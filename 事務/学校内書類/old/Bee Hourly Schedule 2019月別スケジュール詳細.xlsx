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学校内書類/"/>
    </mc:Choice>
  </mc:AlternateContent>
  <xr:revisionPtr revIDLastSave="329" documentId="13_ncr:1_{2426545F-F675-9B4D-8F9B-7A22D55C3C07}" xr6:coauthVersionLast="45" xr6:coauthVersionMax="45" xr10:uidLastSave="{FD183B73-6A9E-4190-97A7-07DD45502C3D}"/>
  <bookViews>
    <workbookView xWindow="-120" yWindow="-120" windowWidth="20730" windowHeight="11160" activeTab="6" xr2:uid="{00000000-000D-0000-FFFF-FFFF00000000}"/>
  </bookViews>
  <sheets>
    <sheet name="April" sheetId="14" r:id="rId1"/>
    <sheet name="May" sheetId="3" r:id="rId2"/>
    <sheet name="June" sheetId="4" r:id="rId3"/>
    <sheet name="July" sheetId="5" r:id="rId4"/>
    <sheet name="August" sheetId="6" r:id="rId5"/>
    <sheet name="September" sheetId="7" r:id="rId6"/>
    <sheet name="October" sheetId="8" r:id="rId7"/>
    <sheet name="November" sheetId="11" r:id="rId8"/>
    <sheet name="December" sheetId="12" r:id="rId9"/>
    <sheet name="Tuesday 1st" sheetId="10" r:id="rId10"/>
    <sheet name="April (2)" sheetId="15" r:id="rId11"/>
  </sheets>
  <definedNames>
    <definedName name="Interval" localSheetId="0">April!$F$2</definedName>
    <definedName name="Interval" localSheetId="10">'April (2)'!$F$2</definedName>
    <definedName name="Interval" localSheetId="4">August!$F$2</definedName>
    <definedName name="Interval" localSheetId="8">December!$F$2</definedName>
    <definedName name="Interval" localSheetId="3">July!$F$2</definedName>
    <definedName name="Interval" localSheetId="2">June!$F$2</definedName>
    <definedName name="Interval" localSheetId="1">May!$F$2</definedName>
    <definedName name="Interval" localSheetId="7">November!$F$2</definedName>
    <definedName name="Interval" localSheetId="6">October!$F$2</definedName>
    <definedName name="Interval" localSheetId="5">September!$F$2</definedName>
    <definedName name="Interval" localSheetId="9">'Tuesday 1st'!$F$2</definedName>
    <definedName name="Interval">#REF!</definedName>
    <definedName name="_xlnm.Print_Area" localSheetId="0">April!$A$1:$N$64</definedName>
    <definedName name="_xlnm.Print_Area" localSheetId="10">'April (2)'!$A$1:$N$64</definedName>
    <definedName name="_xlnm.Print_Area" localSheetId="1">May!$A$1:$N$64</definedName>
    <definedName name="_xlnm.Print_Titles" localSheetId="0">April!$3:$3</definedName>
    <definedName name="_xlnm.Print_Titles" localSheetId="10">'April (2)'!$3:$3</definedName>
    <definedName name="_xlnm.Print_Titles" localSheetId="4">August!$3:$3</definedName>
    <definedName name="_xlnm.Print_Titles" localSheetId="8">December!$3:$3</definedName>
    <definedName name="_xlnm.Print_Titles" localSheetId="3">July!$3:$3</definedName>
    <definedName name="_xlnm.Print_Titles" localSheetId="2">June!$3:$3</definedName>
    <definedName name="_xlnm.Print_Titles" localSheetId="1">May!$3:$3</definedName>
    <definedName name="_xlnm.Print_Titles" localSheetId="7">November!$3:$3</definedName>
    <definedName name="_xlnm.Print_Titles" localSheetId="6">October!$3:$3</definedName>
    <definedName name="_xlnm.Print_Titles" localSheetId="5">September!$3:$3</definedName>
    <definedName name="_xlnm.Print_Titles" localSheetId="9">'Tuesday 1st'!$3:$3</definedName>
    <definedName name="StartTime" localSheetId="0">April!$C$2</definedName>
    <definedName name="StartTime" localSheetId="10">'April (2)'!$C$2</definedName>
    <definedName name="StartTime" localSheetId="4">August!$C$2</definedName>
    <definedName name="StartTime" localSheetId="8">December!$C$2</definedName>
    <definedName name="StartTime" localSheetId="3">July!$C$2</definedName>
    <definedName name="StartTime" localSheetId="2">June!$C$2</definedName>
    <definedName name="StartTime" localSheetId="1">May!$C$2</definedName>
    <definedName name="StartTime" localSheetId="7">November!$C$2</definedName>
    <definedName name="StartTime" localSheetId="6">October!$C$2</definedName>
    <definedName name="StartTime" localSheetId="5">September!$C$2</definedName>
    <definedName name="StartTime" localSheetId="9">'Tuesday 1st'!$C$2</definedName>
    <definedName name="StartTi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1" i="7" l="1"/>
  <c r="L41" i="7"/>
  <c r="J41" i="7"/>
  <c r="H41" i="7"/>
  <c r="F41" i="7"/>
  <c r="D41" i="7"/>
  <c r="N3" i="15" l="1"/>
  <c r="J3" i="15"/>
  <c r="F3" i="15"/>
  <c r="D3" i="15"/>
  <c r="L3" i="15" s="1"/>
  <c r="H3" i="15" l="1"/>
  <c r="D3" i="14"/>
  <c r="H3" i="14"/>
  <c r="F15" i="14"/>
  <c r="F27" i="14"/>
  <c r="F39" i="14"/>
  <c r="F51" i="14"/>
  <c r="H15" i="14"/>
  <c r="H27" i="14"/>
  <c r="H39" i="14"/>
  <c r="H51" i="14"/>
  <c r="N3" i="14"/>
  <c r="F3" i="14"/>
  <c r="L3" i="14"/>
  <c r="J3" i="14"/>
  <c r="N15" i="14"/>
  <c r="N27" i="14"/>
  <c r="N39" i="14"/>
  <c r="N51" i="14"/>
  <c r="D15" i="14"/>
  <c r="D27" i="14"/>
  <c r="D39" i="14"/>
  <c r="D51" i="14"/>
  <c r="L15" i="14"/>
  <c r="L27" i="14"/>
  <c r="L39" i="14"/>
  <c r="L51" i="14"/>
  <c r="J15" i="14"/>
  <c r="J27" i="14"/>
  <c r="J39" i="14"/>
  <c r="J51" i="14"/>
  <c r="H3" i="3"/>
  <c r="N15" i="3" s="1"/>
  <c r="N27" i="3" s="1"/>
  <c r="N39" i="3" s="1"/>
  <c r="N51" i="3" s="1"/>
  <c r="L15" i="3"/>
  <c r="L27" i="3"/>
  <c r="L39" i="3" s="1"/>
  <c r="L51" i="3" s="1"/>
  <c r="J15" i="3"/>
  <c r="J27" i="3"/>
  <c r="J39" i="3" s="1"/>
  <c r="J51" i="3" s="1"/>
  <c r="H15" i="3"/>
  <c r="H27" i="3"/>
  <c r="H39" i="3" s="1"/>
  <c r="H51" i="3" s="1"/>
  <c r="F15" i="3"/>
  <c r="F27" i="3"/>
  <c r="F39" i="3" s="1"/>
  <c r="F51" i="3" s="1"/>
  <c r="D15" i="3"/>
  <c r="D27" i="3"/>
  <c r="D39" i="3" s="1"/>
  <c r="D51" i="3" s="1"/>
  <c r="N3" i="3"/>
  <c r="L3" i="3"/>
  <c r="J3" i="3"/>
  <c r="D3" i="12"/>
  <c r="N3" i="12" s="1"/>
  <c r="N15" i="12" s="1"/>
  <c r="N27" i="12" s="1"/>
  <c r="N39" i="12" s="1"/>
  <c r="N51" i="12" s="1"/>
  <c r="D3" i="11"/>
  <c r="D15" i="11"/>
  <c r="N3" i="11"/>
  <c r="L3" i="11"/>
  <c r="J3" i="11"/>
  <c r="H3" i="11"/>
  <c r="F3" i="11"/>
  <c r="N15" i="11"/>
  <c r="N27" i="11"/>
  <c r="N39" i="11"/>
  <c r="N51" i="11"/>
  <c r="F3" i="10"/>
  <c r="D15" i="10"/>
  <c r="D27" i="10"/>
  <c r="D39" i="10"/>
  <c r="D51" i="10"/>
  <c r="H3" i="10"/>
  <c r="H15" i="10"/>
  <c r="H27" i="10"/>
  <c r="H39" i="10"/>
  <c r="H51" i="10"/>
  <c r="F15" i="10"/>
  <c r="F27" i="10"/>
  <c r="F39" i="10"/>
  <c r="F51" i="10"/>
  <c r="L3" i="10"/>
  <c r="L15" i="10"/>
  <c r="L27" i="10"/>
  <c r="L39" i="10"/>
  <c r="L51" i="10"/>
  <c r="J3" i="10"/>
  <c r="J15" i="10"/>
  <c r="J27" i="10"/>
  <c r="J39" i="10"/>
  <c r="J51" i="10"/>
  <c r="N3" i="10"/>
  <c r="N15" i="10"/>
  <c r="N27" i="10"/>
  <c r="N39" i="10"/>
  <c r="N51" i="10"/>
  <c r="J3" i="12"/>
  <c r="J15" i="12" s="1"/>
  <c r="J27" i="12" s="1"/>
  <c r="J39" i="12" s="1"/>
  <c r="J51" i="12" s="1"/>
  <c r="H15" i="11"/>
  <c r="H27" i="11"/>
  <c r="H39" i="11"/>
  <c r="H51" i="11"/>
  <c r="F15" i="11"/>
  <c r="F27" i="11"/>
  <c r="F39" i="11"/>
  <c r="F51" i="11"/>
  <c r="L15" i="11"/>
  <c r="L27" i="11"/>
  <c r="L39" i="11"/>
  <c r="L51" i="11"/>
  <c r="D27" i="11"/>
  <c r="D39" i="11"/>
  <c r="D51" i="11"/>
  <c r="J15" i="11"/>
  <c r="J27" i="11"/>
  <c r="J39" i="11"/>
  <c r="J51" i="11"/>
  <c r="F3" i="8"/>
  <c r="L3" i="8" s="1"/>
  <c r="L15" i="8" s="1"/>
  <c r="L27" i="8" s="1"/>
  <c r="L39" i="8" s="1"/>
  <c r="L51" i="8" s="1"/>
  <c r="D3" i="7"/>
  <c r="N3" i="7" s="1"/>
  <c r="D3" i="6"/>
  <c r="F51" i="6" s="1"/>
  <c r="D3" i="5"/>
  <c r="L3" i="5" s="1"/>
  <c r="D27" i="5"/>
  <c r="F3" i="5"/>
  <c r="J15" i="5"/>
  <c r="N27" i="5"/>
  <c r="J3" i="5"/>
  <c r="N15" i="5"/>
  <c r="F39" i="5"/>
  <c r="H15" i="5"/>
  <c r="L27" i="5"/>
  <c r="H3" i="5"/>
  <c r="D15" i="5"/>
  <c r="L15" i="5"/>
  <c r="H27" i="5"/>
  <c r="D39" i="5"/>
  <c r="L39" i="5"/>
  <c r="D3" i="4"/>
  <c r="J51" i="4" s="1"/>
  <c r="H51" i="4"/>
  <c r="N51" i="4"/>
  <c r="N3" i="4"/>
  <c r="H15" i="4"/>
  <c r="F15" i="4"/>
  <c r="L27" i="4"/>
  <c r="H39" i="4"/>
  <c r="H3" i="4"/>
  <c r="N15" i="4"/>
  <c r="J27" i="4"/>
  <c r="F39" i="4"/>
  <c r="N39" i="4"/>
  <c r="F3" i="4"/>
  <c r="L15" i="4"/>
  <c r="H27" i="4"/>
  <c r="D39" i="4"/>
  <c r="L39" i="4"/>
  <c r="J15" i="4"/>
  <c r="F27" i="4"/>
  <c r="N27" i="4"/>
  <c r="J39" i="4"/>
  <c r="L3" i="12" l="1"/>
  <c r="L15" i="12" s="1"/>
  <c r="L27" i="12" s="1"/>
  <c r="L39" i="12" s="1"/>
  <c r="L51" i="12" s="1"/>
  <c r="D15" i="12"/>
  <c r="D27" i="12" s="1"/>
  <c r="D39" i="12" s="1"/>
  <c r="D51" i="12" s="1"/>
  <c r="F3" i="12"/>
  <c r="F15" i="12" s="1"/>
  <c r="F27" i="12" s="1"/>
  <c r="F39" i="12" s="1"/>
  <c r="F51" i="12" s="1"/>
  <c r="H3" i="12"/>
  <c r="H15" i="12" s="1"/>
  <c r="H27" i="12" s="1"/>
  <c r="H39" i="12" s="1"/>
  <c r="H51" i="12" s="1"/>
  <c r="J3" i="8"/>
  <c r="J15" i="8" s="1"/>
  <c r="J27" i="8" s="1"/>
  <c r="J39" i="8" s="1"/>
  <c r="J51" i="8" s="1"/>
  <c r="D15" i="8"/>
  <c r="D27" i="8" s="1"/>
  <c r="D39" i="8" s="1"/>
  <c r="D51" i="8" s="1"/>
  <c r="F15" i="8"/>
  <c r="F27" i="8" s="1"/>
  <c r="F39" i="8" s="1"/>
  <c r="F51" i="8" s="1"/>
  <c r="N3" i="8"/>
  <c r="N15" i="8" s="1"/>
  <c r="N27" i="8" s="1"/>
  <c r="N39" i="8" s="1"/>
  <c r="N51" i="8" s="1"/>
  <c r="H3" i="8"/>
  <c r="H15" i="8" s="1"/>
  <c r="H27" i="8" s="1"/>
  <c r="H39" i="8" s="1"/>
  <c r="H51" i="8" s="1"/>
  <c r="N15" i="7"/>
  <c r="L3" i="7"/>
  <c r="L39" i="7"/>
  <c r="H39" i="7"/>
  <c r="H27" i="7"/>
  <c r="J15" i="7"/>
  <c r="L39" i="6"/>
  <c r="D15" i="6"/>
  <c r="F39" i="6"/>
  <c r="J3" i="6"/>
  <c r="D27" i="6"/>
  <c r="N51" i="6"/>
  <c r="J39" i="6"/>
  <c r="D39" i="6"/>
  <c r="H3" i="6"/>
  <c r="J27" i="6"/>
  <c r="D51" i="6"/>
  <c r="H15" i="6"/>
  <c r="F27" i="6"/>
  <c r="N3" i="6"/>
  <c r="H51" i="6"/>
  <c r="H27" i="6"/>
  <c r="J51" i="6"/>
  <c r="N15" i="6"/>
  <c r="H39" i="6"/>
  <c r="L3" i="6"/>
  <c r="N27" i="6"/>
  <c r="J15" i="6"/>
  <c r="L15" i="6"/>
  <c r="N39" i="6"/>
  <c r="F15" i="6"/>
  <c r="L27" i="6"/>
  <c r="L51" i="6"/>
  <c r="F3" i="6"/>
  <c r="D51" i="4"/>
  <c r="D27" i="4"/>
  <c r="J3" i="4"/>
  <c r="L3" i="4"/>
  <c r="D15" i="4"/>
  <c r="F51" i="4"/>
  <c r="L51" i="4"/>
  <c r="N39" i="5"/>
  <c r="J27" i="5"/>
  <c r="F15" i="5"/>
  <c r="J39" i="5"/>
  <c r="F27" i="5"/>
  <c r="N3" i="5"/>
  <c r="H39" i="5"/>
  <c r="F3" i="7"/>
  <c r="D15" i="7"/>
  <c r="D27" i="7"/>
  <c r="F39" i="7"/>
  <c r="J3" i="7"/>
  <c r="F27" i="7"/>
  <c r="D39" i="7"/>
  <c r="L15" i="7"/>
  <c r="H3" i="7"/>
  <c r="L27" i="7"/>
  <c r="H15" i="7"/>
  <c r="N39" i="7"/>
  <c r="J27" i="7"/>
  <c r="F15" i="7"/>
  <c r="N27" i="7"/>
  <c r="J39" i="7"/>
  <c r="L15" i="15"/>
  <c r="L27" i="15" s="1"/>
  <c r="L39" i="15" s="1"/>
  <c r="L51" i="15" s="1"/>
  <c r="H15" i="15"/>
  <c r="H27" i="15" s="1"/>
  <c r="H39" i="15" s="1"/>
  <c r="H51" i="15" s="1"/>
  <c r="D15" i="15"/>
  <c r="D27" i="15" s="1"/>
  <c r="D39" i="15" s="1"/>
  <c r="D51" i="15" s="1"/>
  <c r="N15" i="15"/>
  <c r="N27" i="15" s="1"/>
  <c r="N39" i="15" s="1"/>
  <c r="N51" i="15" s="1"/>
  <c r="J15" i="15"/>
  <c r="J27" i="15" s="1"/>
  <c r="J39" i="15" s="1"/>
  <c r="J51" i="15" s="1"/>
  <c r="F15" i="15"/>
  <c r="F27" i="15" s="1"/>
  <c r="F39" i="15" s="1"/>
  <c r="F51" i="15" s="1"/>
</calcChain>
</file>

<file path=xl/sharedStrings.xml><?xml version="1.0" encoding="utf-8"?>
<sst xmlns="http://schemas.openxmlformats.org/spreadsheetml/2006/main" count="2854" uniqueCount="67">
  <si>
    <t>ビー英会話</t>
  </si>
  <si>
    <t>APRIL 2019</t>
  </si>
  <si>
    <t>開校時間</t>
  </si>
  <si>
    <t>平日</t>
  </si>
  <si>
    <t>土日</t>
  </si>
  <si>
    <t xml:space="preserve"> tel: 092-561-1220</t>
  </si>
  <si>
    <t xml:space="preserve"> mail: info@beeschool.jp</t>
  </si>
  <si>
    <t>12:00 PM - 21:00 PM</t>
  </si>
  <si>
    <t>11:00 AM - 16:00 PM</t>
  </si>
  <si>
    <t>Time</t>
  </si>
  <si>
    <t>Monday</t>
  </si>
  <si>
    <t>Tuesday</t>
  </si>
  <si>
    <t>Wednesday</t>
  </si>
  <si>
    <t>Thursday</t>
  </si>
  <si>
    <t>Friday</t>
  </si>
  <si>
    <t>Saturday</t>
  </si>
  <si>
    <t>外国人講師</t>
  </si>
  <si>
    <t>日本人講師</t>
  </si>
  <si>
    <t>キッズ</t>
  </si>
  <si>
    <t>中級-T3</t>
  </si>
  <si>
    <t>Free</t>
  </si>
  <si>
    <t>初級Ⅱ-T2</t>
  </si>
  <si>
    <t>上級-F</t>
  </si>
  <si>
    <t>キッズ 16:10から</t>
  </si>
  <si>
    <t>キッズ 17:10から</t>
  </si>
  <si>
    <t>高校生</t>
  </si>
  <si>
    <t>プラ</t>
  </si>
  <si>
    <t xml:space="preserve"> 福岡市南区大橋１−７−１２ 森藤第一ビル７階 tel/fax: 092-561-1220 - mail: info@beeschool.jp - web: www.beeschool.jp</t>
  </si>
  <si>
    <t>要事前予約</t>
  </si>
  <si>
    <t>50分</t>
  </si>
  <si>
    <t>55分</t>
  </si>
  <si>
    <t>MAY 2019</t>
  </si>
  <si>
    <t>4/29/19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</si>
  <si>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</si>
  <si>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</si>
  <si>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</si>
  <si>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</si>
  <si>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</si>
  <si>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</si>
  <si>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</si>
  <si>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WEEK START DATE</t>
  </si>
  <si>
    <t>11:00 AM - 16::00 PM</t>
  </si>
  <si>
    <t>Chat Class</t>
  </si>
  <si>
    <t>Chat Class(初)</t>
    <rPh sb="11" eb="12">
      <t>ショ</t>
    </rPh>
    <phoneticPr fontId="42"/>
  </si>
  <si>
    <t>Chat Class(上)</t>
    <rPh sb="11" eb="12">
      <t>ウエ</t>
    </rPh>
    <phoneticPr fontId="42"/>
  </si>
  <si>
    <t>中学生</t>
  </si>
  <si>
    <t>小学生・中学生</t>
  </si>
  <si>
    <t>中・高生</t>
  </si>
  <si>
    <t>初級・中級・上級・プラ・セミプラ</t>
  </si>
  <si>
    <t>グループ（大人）・ プラ ・ セミプラ</t>
  </si>
  <si>
    <t>中・高生</t>
    <phoneticPr fontId="42"/>
  </si>
  <si>
    <t>中学生</t>
    <rPh sb="0" eb="3">
      <t>チュウガクセイ</t>
    </rPh>
    <phoneticPr fontId="42"/>
  </si>
  <si>
    <t>プラ</t>
    <phoneticPr fontId="42"/>
  </si>
  <si>
    <t>プラ</t>
    <phoneticPr fontId="42"/>
  </si>
  <si>
    <t>キッズ</t>
    <phoneticPr fontId="42"/>
  </si>
  <si>
    <t>プラ</t>
    <phoneticPr fontId="42"/>
  </si>
  <si>
    <t>上級T4</t>
  </si>
  <si>
    <t>高生</t>
  </si>
  <si>
    <t>セミプラ</t>
  </si>
  <si>
    <t>高校生</t>
    <rPh sb="0" eb="3">
      <t>コウコウセイ</t>
    </rPh>
    <phoneticPr fontId="42"/>
  </si>
  <si>
    <t>プラ</t>
    <phoneticPr fontId="42"/>
  </si>
  <si>
    <t>高校生</t>
    <rPh sb="0" eb="3">
      <t>コウコウセイ</t>
    </rPh>
    <phoneticPr fontId="42"/>
  </si>
  <si>
    <t>初級Ⅱ-T2</t>
    <phoneticPr fontId="42"/>
  </si>
  <si>
    <t>中・高生</t>
    <phoneticPr fontId="42"/>
  </si>
  <si>
    <t>高校生</t>
    <rPh sb="0" eb="3">
      <t>コウコウセイ</t>
    </rPh>
    <phoneticPr fontId="42"/>
  </si>
  <si>
    <t>プラ</t>
    <phoneticPr fontId="42"/>
  </si>
  <si>
    <t>初級Ⅰ-T1</t>
    <phoneticPr fontId="4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</si>
</sst>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m&quot;月&quot;d&quot;日&quot;;@"/>
    <numFmt numFmtId="178" formatCode="h:mm;@"/>
  </numFmts>
  <fonts count="52">
    <font>
      <sz val="11"/>
      <color theme="1" tint="0.34998626667073579"/>
      <name val="Verdana"/>
      <family val="2"/>
      <scheme val="minor"/>
    </font>
    <font>
      <sz val="12"/>
      <color theme="1" tint="0.34998626667073579"/>
      <name val="Verdana"/>
      <family val="2"/>
      <scheme val="minor"/>
    </font>
    <font>
      <sz val="12"/>
      <color theme="0"/>
      <name val="Verdana"/>
      <family val="2"/>
      <scheme val="minor"/>
    </font>
    <font>
      <b/>
      <sz val="30"/>
      <color theme="1" tint="0.34998626667073579"/>
      <name val="Tahoma"/>
      <family val="2"/>
      <scheme val="major"/>
    </font>
    <font>
      <b/>
      <sz val="72"/>
      <color theme="1" tint="0.34998626667073579"/>
      <name val="Century Gothic"/>
      <family val="2"/>
    </font>
    <font>
      <sz val="36"/>
      <color theme="1" tint="0.34998626667073579"/>
      <name val="Meiryo UI"/>
      <family val="3"/>
      <charset val="128"/>
    </font>
    <font>
      <sz val="28"/>
      <color theme="1"/>
      <name val="Meiryo UI"/>
      <family val="3"/>
      <charset val="128"/>
    </font>
    <font>
      <b/>
      <sz val="72"/>
      <color theme="1" tint="0.34998626667073579"/>
      <name val="Meiryo UI"/>
      <family val="3"/>
      <charset val="128"/>
    </font>
    <font>
      <sz val="36"/>
      <color theme="0"/>
      <name val="Century Gothic"/>
      <family val="2"/>
    </font>
    <font>
      <b/>
      <sz val="20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48"/>
      <color theme="1" tint="0.34998626667073579"/>
      <name val="Meiryo UI"/>
      <family val="3"/>
      <charset val="128"/>
    </font>
    <font>
      <sz val="72"/>
      <color theme="1" tint="0.34998626667073579"/>
      <name val="Century Gothic"/>
      <family val="2"/>
    </font>
    <font>
      <sz val="24"/>
      <color theme="0"/>
      <name val="Meiryo UI"/>
      <family val="3"/>
      <charset val="128"/>
    </font>
    <font>
      <sz val="26"/>
      <color theme="0"/>
      <name val="Century Gothic"/>
      <family val="2"/>
    </font>
    <font>
      <sz val="16"/>
      <color theme="1" tint="0.34998626667073579"/>
      <name val="Century Gothic"/>
      <family val="2"/>
    </font>
    <font>
      <sz val="36"/>
      <color theme="1" tint="0.34998626667073579"/>
      <name val="Century Gothic"/>
      <family val="2"/>
    </font>
    <font>
      <b/>
      <sz val="60"/>
      <color theme="1" tint="0.34998626667073579"/>
      <name val="Century Gothic"/>
      <family val="2"/>
    </font>
    <font>
      <sz val="36"/>
      <color theme="1" tint="0.14999847407452621"/>
      <name val="Century Gothic"/>
      <family val="2"/>
    </font>
    <font>
      <sz val="48"/>
      <color theme="1" tint="0.34998626667073579"/>
      <name val="Verdana"/>
      <family val="2"/>
      <scheme val="minor"/>
    </font>
    <font>
      <sz val="72"/>
      <color theme="1"/>
      <name val="Meiryo UI"/>
      <family val="3"/>
      <charset val="128"/>
    </font>
    <font>
      <sz val="72"/>
      <color theme="1" tint="0.34998626667073579"/>
      <name val="Meiryo UI"/>
      <family val="3"/>
      <charset val="128"/>
    </font>
    <font>
      <sz val="72"/>
      <color theme="1" tint="0.34998626667073579"/>
      <name val="Verdana"/>
      <family val="2"/>
      <scheme val="minor"/>
    </font>
    <font>
      <b/>
      <sz val="69"/>
      <color theme="1"/>
      <name val="Meiryo UI"/>
      <family val="3"/>
      <charset val="128"/>
    </font>
    <font>
      <b/>
      <sz val="72"/>
      <color theme="0"/>
      <name val="Meiryo UI"/>
      <family val="3"/>
      <charset val="128"/>
    </font>
    <font>
      <sz val="72"/>
      <color theme="0" tint="-4.9989318521683403E-2"/>
      <name val="Meiryo UI"/>
      <family val="3"/>
      <charset val="128"/>
    </font>
    <font>
      <sz val="63"/>
      <color theme="0"/>
      <name val="Century Gothic"/>
      <family val="2"/>
    </font>
    <font>
      <sz val="63"/>
      <color theme="1" tint="0.14999847407452621"/>
      <name val="Century Gothic"/>
      <family val="2"/>
    </font>
    <font>
      <sz val="63"/>
      <color theme="0"/>
      <name val="Verdana"/>
      <family val="2"/>
      <scheme val="minor"/>
    </font>
    <font>
      <sz val="63"/>
      <color theme="0"/>
      <name val="Meiryo UI"/>
      <family val="3"/>
      <charset val="128"/>
    </font>
    <font>
      <sz val="63"/>
      <color theme="1" tint="0.34998626667073579"/>
      <name val="Century Gothic"/>
      <family val="2"/>
    </font>
    <font>
      <sz val="63"/>
      <color theme="1" tint="0.34998626667073579"/>
      <name val="Meiryo UI"/>
      <family val="3"/>
      <charset val="128"/>
    </font>
    <font>
      <sz val="76"/>
      <color theme="1" tint="0.34998626667073579"/>
      <name val="Meiryo UI"/>
      <family val="3"/>
      <charset val="128"/>
    </font>
    <font>
      <sz val="76"/>
      <color theme="1" tint="0.34998626667073579"/>
      <name val="Verdana"/>
      <family val="2"/>
      <scheme val="minor"/>
    </font>
    <font>
      <sz val="67"/>
      <color theme="1" tint="0.34998626667073579"/>
      <name val="Century Gothic"/>
      <family val="2"/>
    </font>
    <font>
      <b/>
      <sz val="66"/>
      <color theme="1"/>
      <name val="Meiryo UI"/>
      <family val="3"/>
      <charset val="128"/>
    </font>
    <font>
      <sz val="20"/>
      <color theme="0" tint="-4.9989318521683403E-2"/>
      <name val="Meiryo UI"/>
      <family val="3"/>
      <charset val="128"/>
    </font>
    <font>
      <b/>
      <sz val="20"/>
      <color theme="0"/>
      <name val="Meiryo UI"/>
      <family val="3"/>
      <charset val="128"/>
    </font>
    <font>
      <sz val="63"/>
      <color theme="1" tint="4.9989318521683403E-2"/>
      <name val="Century Gothic"/>
      <family val="2"/>
    </font>
    <font>
      <sz val="63"/>
      <color theme="1" tint="0.34998626667073579"/>
      <name val="Verdana"/>
      <family val="2"/>
      <scheme val="minor"/>
    </font>
    <font>
      <sz val="63"/>
      <name val="Century Gothic"/>
      <family val="2"/>
    </font>
    <font>
      <sz val="63"/>
      <color theme="1"/>
      <name val="Meiryo UI"/>
      <family val="3"/>
      <charset val="128"/>
    </font>
    <font>
      <sz val="6"/>
      <name val="Verdana"/>
      <family val="3"/>
      <charset val="128"/>
      <scheme val="minor"/>
    </font>
    <font>
      <sz val="69"/>
      <color theme="1" tint="0.34998626667073579"/>
      <name val="Meiryo UI"/>
      <family val="3"/>
      <charset val="128"/>
    </font>
    <font>
      <sz val="63"/>
      <color rgb="FF595959"/>
      <name val="Meiryo UI"/>
      <family val="3"/>
      <charset val="128"/>
    </font>
    <font>
      <sz val="57"/>
      <name val="Century Gothic"/>
      <family val="2"/>
    </font>
    <font>
      <b/>
      <sz val="60"/>
      <color theme="1"/>
      <name val="Meiryo UI"/>
      <family val="2"/>
      <charset val="128"/>
    </font>
    <font>
      <b/>
      <sz val="60"/>
      <color theme="1"/>
      <name val="Meiryo UI"/>
      <family val="3"/>
      <charset val="128"/>
    </font>
    <font>
      <sz val="57"/>
      <color theme="1" tint="0.14999847407452621"/>
      <name val="Century Gothic"/>
      <family val="2"/>
    </font>
    <font>
      <sz val="60"/>
      <color theme="1" tint="0.34998626667073579"/>
      <name val="Century Gothic"/>
      <family val="2"/>
    </font>
    <font>
      <sz val="63"/>
      <name val="Meiryo"/>
      <family val="2"/>
      <charset val="128"/>
    </font>
    <font>
      <b/>
      <sz val="72"/>
      <color theme="1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99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1" tint="0.499984740745262"/>
      </left>
      <right style="medium">
        <color theme="0"/>
      </right>
      <top style="thin">
        <color theme="1" tint="0.499984740745262"/>
      </top>
      <bottom style="medium">
        <color theme="0"/>
      </bottom>
      <diagonal/>
    </border>
    <border>
      <left style="medium">
        <color theme="0"/>
      </left>
      <right style="thin">
        <color theme="1" tint="0.499984740745262"/>
      </right>
      <top style="thin">
        <color theme="1" tint="0.499984740745262"/>
      </top>
      <bottom style="medium">
        <color theme="0"/>
      </bottom>
      <diagonal/>
    </border>
    <border>
      <left style="thin">
        <color theme="1" tint="0.499984740745262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1" tint="0.499984740745262"/>
      </right>
      <top style="medium">
        <color theme="0"/>
      </top>
      <bottom/>
      <diagonal/>
    </border>
    <border>
      <left style="medium">
        <color theme="0"/>
      </left>
      <right style="thin">
        <color theme="1" tint="0.499984740745262"/>
      </right>
      <top style="medium">
        <color theme="0"/>
      </top>
      <bottom style="medium">
        <color theme="0"/>
      </bottom>
      <diagonal/>
    </border>
    <border>
      <left style="thin">
        <color theme="1" tint="0.499984740745262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 tint="0.499984740745262"/>
      </left>
      <right style="medium">
        <color theme="0"/>
      </right>
      <top style="medium">
        <color theme="0"/>
      </top>
      <bottom style="thin">
        <color theme="1" tint="0.499984740745262"/>
      </bottom>
      <diagonal/>
    </border>
    <border>
      <left style="medium">
        <color theme="0"/>
      </left>
      <right style="thin">
        <color theme="1" tint="0.499984740745262"/>
      </right>
      <top style="medium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0"/>
      </right>
      <top style="thin">
        <color theme="1" tint="0.499984740745262"/>
      </top>
      <bottom/>
      <diagonal/>
    </border>
    <border>
      <left style="medium">
        <color theme="0"/>
      </left>
      <right style="thin">
        <color theme="1" tint="0.499984740745262"/>
      </right>
      <top/>
      <bottom style="medium">
        <color theme="0"/>
      </bottom>
      <diagonal/>
    </border>
    <border>
      <left style="medium">
        <color theme="0"/>
      </left>
      <right/>
      <top style="thin">
        <color theme="1" tint="0.49998474074526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n">
        <color theme="1" tint="0.499984740745262"/>
      </right>
      <top style="medium">
        <color theme="0"/>
      </top>
      <bottom/>
      <diagonal/>
    </border>
    <border>
      <left/>
      <right style="medium">
        <color theme="0"/>
      </right>
      <top style="thin">
        <color theme="1" tint="0.499984740745262"/>
      </top>
      <bottom style="medium">
        <color theme="0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0"/>
      </right>
      <top/>
      <bottom/>
      <diagonal/>
    </border>
    <border>
      <left style="thin">
        <color theme="1" tint="0.499984740745262"/>
      </left>
      <right style="medium">
        <color theme="0"/>
      </right>
      <top/>
      <bottom style="medium">
        <color theme="0"/>
      </bottom>
      <diagonal/>
    </border>
  </borders>
  <cellStyleXfs count="7">
    <xf numFmtId="0" fontId="0" fillId="0" borderId="5">
      <alignment wrapText="1"/>
    </xf>
    <xf numFmtId="0" fontId="3" fillId="0" borderId="0" applyNumberFormat="0" applyFill="0" applyBorder="0" applyProtection="0">
      <alignment vertical="center"/>
    </xf>
    <xf numFmtId="0" fontId="1" fillId="0" borderId="0" applyNumberFormat="0" applyFill="0" applyBorder="0" applyProtection="0">
      <alignment horizontal="right" vertical="center"/>
    </xf>
    <xf numFmtId="0" fontId="2" fillId="2" borderId="0" applyNumberFormat="0" applyBorder="0" applyProtection="0">
      <alignment horizontal="left" vertical="center" indent="2"/>
    </xf>
    <xf numFmtId="0" fontId="1" fillId="0" borderId="0" applyNumberFormat="0" applyFill="0" applyProtection="0">
      <alignment horizontal="left" vertical="center"/>
    </xf>
    <xf numFmtId="176" fontId="1" fillId="0" borderId="1" applyFont="0" applyFill="0" applyBorder="0">
      <alignment horizontal="center" vertical="center"/>
    </xf>
    <xf numFmtId="0" fontId="1" fillId="0" borderId="1">
      <alignment horizontal="center" vertical="center"/>
    </xf>
  </cellStyleXfs>
  <cellXfs count="305">
    <xf numFmtId="0" fontId="0" fillId="0" borderId="5" xfId="0">
      <alignment wrapText="1"/>
    </xf>
    <xf numFmtId="0" fontId="5" fillId="0" borderId="5" xfId="0" applyFont="1">
      <alignment wrapText="1"/>
    </xf>
    <xf numFmtId="0" fontId="6" fillId="3" borderId="1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1" fontId="5" fillId="3" borderId="5" xfId="0" applyNumberFormat="1" applyFont="1" applyFill="1" applyBorder="1" applyAlignment="1">
      <alignment horizontal="center" vertical="center" wrapText="1"/>
    </xf>
    <xf numFmtId="0" fontId="2" fillId="2" borderId="8" xfId="3" applyBorder="1">
      <alignment horizontal="left" vertical="center" indent="2"/>
    </xf>
    <xf numFmtId="0" fontId="10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6" fillId="3" borderId="16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  <xf numFmtId="0" fontId="5" fillId="0" borderId="0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7" xfId="0" applyFont="1" applyBorder="1">
      <alignment wrapText="1"/>
    </xf>
    <xf numFmtId="176" fontId="9" fillId="0" borderId="8" xfId="0" applyNumberFormat="1" applyFont="1" applyBorder="1" applyAlignment="1">
      <alignment vertical="center"/>
    </xf>
    <xf numFmtId="176" fontId="9" fillId="0" borderId="9" xfId="0" applyNumberFormat="1" applyFont="1" applyBorder="1" applyAlignment="1">
      <alignment vertical="center"/>
    </xf>
    <xf numFmtId="176" fontId="9" fillId="0" borderId="19" xfId="0" applyNumberFormat="1" applyFont="1" applyBorder="1" applyAlignment="1">
      <alignment vertical="center"/>
    </xf>
    <xf numFmtId="176" fontId="9" fillId="0" borderId="15" xfId="0" applyNumberFormat="1" applyFont="1" applyBorder="1" applyAlignment="1">
      <alignment vertical="center"/>
    </xf>
    <xf numFmtId="14" fontId="9" fillId="0" borderId="20" xfId="0" applyNumberFormat="1" applyFont="1" applyBorder="1" applyAlignment="1">
      <alignment horizontal="center" vertical="center"/>
    </xf>
    <xf numFmtId="0" fontId="0" fillId="0" borderId="7" xfId="0" applyBorder="1">
      <alignment wrapText="1"/>
    </xf>
    <xf numFmtId="0" fontId="13" fillId="9" borderId="0" xfId="3" applyFont="1" applyFill="1" applyBorder="1" applyAlignment="1">
      <alignment horizontal="right" vertical="center"/>
    </xf>
    <xf numFmtId="14" fontId="13" fillId="9" borderId="0" xfId="3" applyNumberFormat="1" applyFont="1" applyFill="1" applyBorder="1" applyAlignment="1">
      <alignment horizontal="left" vertical="center"/>
    </xf>
    <xf numFmtId="0" fontId="13" fillId="9" borderId="0" xfId="3" applyFont="1" applyFill="1" applyBorder="1" applyAlignment="1">
      <alignment horizontal="center" vertical="center"/>
    </xf>
    <xf numFmtId="0" fontId="14" fillId="2" borderId="4" xfId="3" applyFont="1" applyBorder="1" applyAlignment="1">
      <alignment horizontal="center" vertical="center"/>
    </xf>
    <xf numFmtId="176" fontId="15" fillId="4" borderId="2" xfId="5" applyFont="1" applyFill="1" applyBorder="1">
      <alignment horizontal="center" vertical="center"/>
    </xf>
    <xf numFmtId="176" fontId="15" fillId="3" borderId="10" xfId="5" applyFont="1" applyFill="1" applyBorder="1">
      <alignment horizontal="center" vertical="center"/>
    </xf>
    <xf numFmtId="176" fontId="15" fillId="4" borderId="5" xfId="5" applyFont="1" applyFill="1" applyBorder="1">
      <alignment horizontal="center" vertical="center"/>
    </xf>
    <xf numFmtId="176" fontId="15" fillId="3" borderId="5" xfId="5" applyFont="1" applyFill="1" applyBorder="1">
      <alignment horizontal="center" vertical="center"/>
    </xf>
    <xf numFmtId="176" fontId="15" fillId="3" borderId="7" xfId="5" applyFont="1" applyFill="1" applyBorder="1">
      <alignment horizontal="center" vertical="center"/>
    </xf>
    <xf numFmtId="0" fontId="8" fillId="2" borderId="0" xfId="3" applyFont="1" applyBorder="1" applyAlignment="1">
      <alignment horizontal="right" vertical="center"/>
    </xf>
    <xf numFmtId="14" fontId="8" fillId="2" borderId="0" xfId="3" applyNumberFormat="1" applyFont="1" applyBorder="1" applyAlignment="1">
      <alignment horizontal="left" vertical="center"/>
    </xf>
    <xf numFmtId="14" fontId="8" fillId="2" borderId="0" xfId="3" applyNumberFormat="1" applyFont="1" applyBorder="1">
      <alignment horizontal="left" vertical="center" indent="2"/>
    </xf>
    <xf numFmtId="0" fontId="18" fillId="10" borderId="0" xfId="3" applyFont="1" applyFill="1" applyBorder="1" applyAlignment="1">
      <alignment horizontal="right" vertical="center"/>
    </xf>
    <xf numFmtId="14" fontId="18" fillId="10" borderId="0" xfId="3" applyNumberFormat="1" applyFont="1" applyFill="1" applyBorder="1">
      <alignment horizontal="left" vertical="center" indent="2"/>
    </xf>
    <xf numFmtId="18" fontId="0" fillId="0" borderId="5" xfId="0" applyNumberFormat="1">
      <alignment wrapText="1"/>
    </xf>
    <xf numFmtId="18" fontId="20" fillId="3" borderId="12" xfId="0" applyNumberFormat="1" applyFont="1" applyFill="1" applyBorder="1" applyAlignment="1">
      <alignment horizontal="center" vertical="center"/>
    </xf>
    <xf numFmtId="18" fontId="20" fillId="3" borderId="14" xfId="0" applyNumberFormat="1" applyFont="1" applyFill="1" applyBorder="1" applyAlignment="1">
      <alignment vertical="center"/>
    </xf>
    <xf numFmtId="18" fontId="20" fillId="3" borderId="15" xfId="0" applyNumberFormat="1" applyFont="1" applyFill="1" applyBorder="1" applyAlignment="1">
      <alignment vertical="center"/>
    </xf>
    <xf numFmtId="18" fontId="20" fillId="3" borderId="16" xfId="0" applyNumberFormat="1" applyFont="1" applyFill="1" applyBorder="1" applyAlignment="1">
      <alignment vertical="center"/>
    </xf>
    <xf numFmtId="0" fontId="11" fillId="0" borderId="5" xfId="0" applyFont="1">
      <alignment wrapText="1"/>
    </xf>
    <xf numFmtId="0" fontId="19" fillId="0" borderId="5" xfId="0" applyFont="1">
      <alignment wrapText="1"/>
    </xf>
    <xf numFmtId="0" fontId="0" fillId="0" borderId="5" xfId="0" applyAlignment="1">
      <alignment horizontal="center" vertical="center"/>
    </xf>
    <xf numFmtId="18" fontId="21" fillId="0" borderId="0" xfId="2" applyNumberFormat="1" applyFont="1" applyBorder="1" applyAlignment="1">
      <alignment vertical="center"/>
    </xf>
    <xf numFmtId="18" fontId="21" fillId="0" borderId="9" xfId="2" applyNumberFormat="1" applyFont="1" applyBorder="1" applyAlignment="1">
      <alignment vertical="center"/>
    </xf>
    <xf numFmtId="18" fontId="21" fillId="0" borderId="7" xfId="0" applyNumberFormat="1" applyFont="1" applyBorder="1">
      <alignment wrapText="1"/>
    </xf>
    <xf numFmtId="18" fontId="23" fillId="0" borderId="9" xfId="0" applyNumberFormat="1" applyFont="1" applyBorder="1" applyAlignment="1">
      <alignment vertical="center"/>
    </xf>
    <xf numFmtId="18" fontId="26" fillId="2" borderId="4" xfId="3" applyNumberFormat="1" applyFont="1" applyBorder="1" applyAlignment="1">
      <alignment horizontal="center" vertical="center"/>
    </xf>
    <xf numFmtId="18" fontId="28" fillId="2" borderId="8" xfId="3" applyNumberFormat="1" applyFont="1" applyBorder="1" applyAlignment="1">
      <alignment horizontal="center" vertical="center"/>
    </xf>
    <xf numFmtId="18" fontId="29" fillId="9" borderId="0" xfId="3" applyNumberFormat="1" applyFont="1" applyFill="1" applyBorder="1" applyAlignment="1">
      <alignment horizontal="center" vertical="center"/>
    </xf>
    <xf numFmtId="18" fontId="30" fillId="4" borderId="2" xfId="5" applyNumberFormat="1" applyFont="1" applyFill="1" applyBorder="1" applyAlignment="1">
      <alignment horizontal="center" vertical="center"/>
    </xf>
    <xf numFmtId="18" fontId="31" fillId="3" borderId="5" xfId="0" applyNumberFormat="1" applyFont="1" applyFill="1" applyBorder="1" applyAlignment="1">
      <alignment horizontal="center" vertical="center"/>
    </xf>
    <xf numFmtId="18" fontId="31" fillId="7" borderId="5" xfId="0" applyNumberFormat="1" applyFont="1" applyFill="1" applyBorder="1" applyAlignment="1">
      <alignment horizontal="center" vertical="center"/>
    </xf>
    <xf numFmtId="18" fontId="30" fillId="3" borderId="10" xfId="5" applyNumberFormat="1" applyFont="1" applyFill="1" applyBorder="1" applyAlignment="1">
      <alignment horizontal="center" vertical="center"/>
    </xf>
    <xf numFmtId="18" fontId="30" fillId="4" borderId="5" xfId="5" applyNumberFormat="1" applyFont="1" applyFill="1" applyBorder="1" applyAlignment="1">
      <alignment horizontal="center" vertical="center"/>
    </xf>
    <xf numFmtId="18" fontId="31" fillId="6" borderId="5" xfId="0" applyNumberFormat="1" applyFont="1" applyFill="1" applyBorder="1" applyAlignment="1">
      <alignment horizontal="center" vertical="center"/>
    </xf>
    <xf numFmtId="18" fontId="30" fillId="3" borderId="5" xfId="5" applyNumberFormat="1" applyFont="1" applyFill="1" applyBorder="1" applyAlignment="1">
      <alignment horizontal="center" vertical="center"/>
    </xf>
    <xf numFmtId="18" fontId="31" fillId="8" borderId="3" xfId="0" applyNumberFormat="1" applyFont="1" applyFill="1" applyBorder="1" applyAlignment="1">
      <alignment horizontal="center" vertical="center"/>
    </xf>
    <xf numFmtId="18" fontId="31" fillId="6" borderId="2" xfId="0" applyNumberFormat="1" applyFont="1" applyFill="1" applyBorder="1" applyAlignment="1">
      <alignment horizontal="center" vertical="center"/>
    </xf>
    <xf numFmtId="18" fontId="30" fillId="3" borderId="7" xfId="5" applyNumberFormat="1" applyFont="1" applyFill="1" applyBorder="1" applyAlignment="1">
      <alignment horizontal="center" vertical="center"/>
    </xf>
    <xf numFmtId="18" fontId="32" fillId="8" borderId="3" xfId="0" applyNumberFormat="1" applyFont="1" applyFill="1" applyBorder="1" applyAlignment="1">
      <alignment vertical="center" wrapText="1"/>
    </xf>
    <xf numFmtId="18" fontId="32" fillId="0" borderId="5" xfId="0" applyNumberFormat="1" applyFont="1" applyAlignment="1">
      <alignment vertical="center" wrapText="1"/>
    </xf>
    <xf numFmtId="18" fontId="32" fillId="7" borderId="5" xfId="0" applyNumberFormat="1" applyFont="1" applyFill="1" applyBorder="1" applyAlignment="1">
      <alignment vertical="center" wrapText="1"/>
    </xf>
    <xf numFmtId="18" fontId="33" fillId="0" borderId="5" xfId="0" applyNumberFormat="1" applyFont="1" applyAlignment="1">
      <alignment wrapText="1"/>
    </xf>
    <xf numFmtId="18" fontId="34" fillId="0" borderId="21" xfId="2" applyNumberFormat="1" applyFont="1" applyBorder="1" applyAlignment="1">
      <alignment vertical="center"/>
    </xf>
    <xf numFmtId="18" fontId="35" fillId="0" borderId="8" xfId="0" applyNumberFormat="1" applyFont="1" applyBorder="1" applyAlignment="1">
      <alignment vertical="center"/>
    </xf>
    <xf numFmtId="18" fontId="35" fillId="0" borderId="19" xfId="0" applyNumberFormat="1" applyFont="1" applyBorder="1" applyAlignment="1">
      <alignment vertical="center"/>
    </xf>
    <xf numFmtId="0" fontId="21" fillId="0" borderId="0" xfId="2" applyFont="1" applyBorder="1" applyAlignment="1">
      <alignment vertical="center"/>
    </xf>
    <xf numFmtId="0" fontId="21" fillId="0" borderId="9" xfId="2" applyFont="1" applyBorder="1" applyAlignment="1">
      <alignment vertical="center"/>
    </xf>
    <xf numFmtId="176" fontId="35" fillId="0" borderId="8" xfId="0" applyNumberFormat="1" applyFont="1" applyBorder="1" applyAlignment="1">
      <alignment vertical="center"/>
    </xf>
    <xf numFmtId="176" fontId="35" fillId="0" borderId="9" xfId="0" applyNumberFormat="1" applyFont="1" applyBorder="1" applyAlignment="1">
      <alignment vertical="center"/>
    </xf>
    <xf numFmtId="176" fontId="35" fillId="0" borderId="19" xfId="0" applyNumberFormat="1" applyFont="1" applyBorder="1" applyAlignment="1">
      <alignment vertical="center"/>
    </xf>
    <xf numFmtId="176" fontId="35" fillId="0" borderId="15" xfId="0" applyNumberFormat="1" applyFont="1" applyBorder="1" applyAlignment="1">
      <alignment vertical="center"/>
    </xf>
    <xf numFmtId="0" fontId="20" fillId="3" borderId="12" xfId="0" applyFont="1" applyFill="1" applyBorder="1" applyAlignment="1">
      <alignment horizontal="center" vertical="center"/>
    </xf>
    <xf numFmtId="18" fontId="20" fillId="3" borderId="22" xfId="0" applyNumberFormat="1" applyFont="1" applyFill="1" applyBorder="1" applyAlignment="1">
      <alignment vertical="center"/>
    </xf>
    <xf numFmtId="18" fontId="22" fillId="0" borderId="11" xfId="0" applyNumberFormat="1" applyFont="1" applyBorder="1">
      <alignment wrapText="1"/>
    </xf>
    <xf numFmtId="18" fontId="25" fillId="0" borderId="0" xfId="0" applyNumberFormat="1" applyFont="1" applyFill="1" applyBorder="1" applyAlignment="1">
      <alignment horizontal="center" vertical="center"/>
    </xf>
    <xf numFmtId="18" fontId="23" fillId="0" borderId="23" xfId="0" applyNumberFormat="1" applyFont="1" applyBorder="1" applyAlignment="1">
      <alignment vertical="center"/>
    </xf>
    <xf numFmtId="18" fontId="22" fillId="0" borderId="3" xfId="0" applyNumberFormat="1" applyFont="1" applyBorder="1">
      <alignment wrapText="1"/>
    </xf>
    <xf numFmtId="0" fontId="36" fillId="3" borderId="12" xfId="0" applyFont="1" applyFill="1" applyBorder="1" applyAlignment="1">
      <alignment horizontal="center" vertical="center"/>
    </xf>
    <xf numFmtId="14" fontId="37" fillId="0" borderId="20" xfId="0" applyNumberFormat="1" applyFont="1" applyBorder="1" applyAlignment="1">
      <alignment horizontal="center" vertical="center"/>
    </xf>
    <xf numFmtId="0" fontId="26" fillId="2" borderId="4" xfId="3" applyFont="1" applyBorder="1" applyAlignment="1">
      <alignment horizontal="center" vertical="center"/>
    </xf>
    <xf numFmtId="0" fontId="29" fillId="9" borderId="0" xfId="3" applyFont="1" applyFill="1" applyBorder="1" applyAlignment="1">
      <alignment horizontal="right" vertical="center"/>
    </xf>
    <xf numFmtId="14" fontId="29" fillId="9" borderId="0" xfId="3" applyNumberFormat="1" applyFont="1" applyFill="1" applyBorder="1" applyAlignment="1">
      <alignment horizontal="left" vertical="center"/>
    </xf>
    <xf numFmtId="0" fontId="29" fillId="9" borderId="0" xfId="3" applyFont="1" applyFill="1" applyBorder="1" applyAlignment="1">
      <alignment horizontal="center" vertical="center"/>
    </xf>
    <xf numFmtId="0" fontId="31" fillId="7" borderId="5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6" borderId="7" xfId="0" applyFont="1" applyFill="1" applyBorder="1" applyAlignment="1">
      <alignment horizontal="center" vertical="center"/>
    </xf>
    <xf numFmtId="0" fontId="31" fillId="8" borderId="3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28" fillId="2" borderId="8" xfId="3" applyFont="1" applyBorder="1" applyAlignment="1">
      <alignment horizontal="left" vertical="center"/>
    </xf>
    <xf numFmtId="176" fontId="30" fillId="3" borderId="10" xfId="5" applyFont="1" applyFill="1" applyBorder="1" applyAlignment="1">
      <alignment horizontal="center" vertical="center"/>
    </xf>
    <xf numFmtId="0" fontId="39" fillId="0" borderId="5" xfId="0" applyFont="1" applyAlignment="1"/>
    <xf numFmtId="0" fontId="32" fillId="8" borderId="3" xfId="0" applyFont="1" applyFill="1" applyBorder="1" applyAlignment="1">
      <alignment horizontal="center" vertical="center" wrapText="1"/>
    </xf>
    <xf numFmtId="0" fontId="33" fillId="0" borderId="5" xfId="0" applyFont="1">
      <alignment wrapText="1"/>
    </xf>
    <xf numFmtId="0" fontId="31" fillId="7" borderId="5" xfId="0" applyFont="1" applyFill="1" applyBorder="1" applyAlignment="1">
      <alignment horizontal="left" vertical="center"/>
    </xf>
    <xf numFmtId="0" fontId="31" fillId="7" borderId="5" xfId="0" applyFont="1" applyFill="1" applyBorder="1" applyAlignment="1">
      <alignment horizontal="right" vertical="center"/>
    </xf>
    <xf numFmtId="14" fontId="24" fillId="0" borderId="0" xfId="0" applyNumberFormat="1" applyFont="1" applyBorder="1" applyAlignment="1">
      <alignment horizontal="center" vertical="center"/>
    </xf>
    <xf numFmtId="14" fontId="27" fillId="10" borderId="6" xfId="3" applyNumberFormat="1" applyFont="1" applyFill="1" applyBorder="1" applyAlignment="1">
      <alignment horizontal="right" vertical="center"/>
    </xf>
    <xf numFmtId="14" fontId="27" fillId="10" borderId="6" xfId="3" applyNumberFormat="1" applyFont="1" applyFill="1" applyBorder="1" applyAlignment="1">
      <alignment horizontal="left" vertical="center"/>
    </xf>
    <xf numFmtId="14" fontId="27" fillId="9" borderId="6" xfId="3" applyNumberFormat="1" applyFont="1" applyFill="1" applyBorder="1" applyAlignment="1">
      <alignment horizontal="right" vertical="center"/>
    </xf>
    <xf numFmtId="14" fontId="27" fillId="9" borderId="6" xfId="3" applyNumberFormat="1" applyFont="1" applyFill="1" applyBorder="1" applyAlignment="1">
      <alignment vertical="center"/>
    </xf>
    <xf numFmtId="14" fontId="27" fillId="9" borderId="6" xfId="3" applyNumberFormat="1" applyFont="1" applyFill="1" applyBorder="1" applyAlignment="1">
      <alignment horizontal="left" vertical="center"/>
    </xf>
    <xf numFmtId="14" fontId="40" fillId="10" borderId="6" xfId="3" applyNumberFormat="1" applyFont="1" applyFill="1" applyBorder="1" applyAlignment="1">
      <alignment horizontal="right" vertical="center"/>
    </xf>
    <xf numFmtId="14" fontId="40" fillId="10" borderId="6" xfId="3" applyNumberFormat="1" applyFont="1" applyFill="1" applyBorder="1" applyAlignment="1">
      <alignment horizontal="left" vertical="center"/>
    </xf>
    <xf numFmtId="14" fontId="40" fillId="10" borderId="0" xfId="3" applyNumberFormat="1" applyFont="1" applyFill="1" applyBorder="1" applyAlignment="1">
      <alignment horizontal="right" vertical="center"/>
    </xf>
    <xf numFmtId="14" fontId="40" fillId="10" borderId="3" xfId="3" applyNumberFormat="1" applyFont="1" applyFill="1" applyBorder="1" applyAlignment="1">
      <alignment horizontal="left" vertical="center"/>
    </xf>
    <xf numFmtId="0" fontId="27" fillId="9" borderId="0" xfId="3" applyFont="1" applyFill="1" applyBorder="1" applyAlignment="1">
      <alignment horizontal="right" vertical="center"/>
    </xf>
    <xf numFmtId="14" fontId="27" fillId="9" borderId="0" xfId="3" applyNumberFormat="1" applyFont="1" applyFill="1" applyBorder="1" applyAlignment="1">
      <alignment horizontal="left" vertical="center"/>
    </xf>
    <xf numFmtId="0" fontId="40" fillId="10" borderId="0" xfId="3" applyFont="1" applyFill="1" applyBorder="1" applyAlignment="1">
      <alignment horizontal="right" vertical="center" wrapText="1"/>
    </xf>
    <xf numFmtId="14" fontId="40" fillId="10" borderId="0" xfId="3" applyNumberFormat="1" applyFont="1" applyFill="1" applyBorder="1" applyAlignment="1">
      <alignment horizontal="left" vertical="center" wrapText="1"/>
    </xf>
    <xf numFmtId="0" fontId="40" fillId="10" borderId="0" xfId="3" applyFont="1" applyFill="1" applyBorder="1" applyAlignment="1">
      <alignment horizontal="right" vertical="center"/>
    </xf>
    <xf numFmtId="14" fontId="40" fillId="10" borderId="0" xfId="3" applyNumberFormat="1" applyFont="1" applyFill="1" applyBorder="1" applyAlignment="1">
      <alignment horizontal="left" vertical="center"/>
    </xf>
    <xf numFmtId="0" fontId="40" fillId="9" borderId="0" xfId="3" applyFont="1" applyFill="1" applyBorder="1" applyAlignment="1">
      <alignment horizontal="right" vertical="center"/>
    </xf>
    <xf numFmtId="14" fontId="40" fillId="9" borderId="0" xfId="3" applyNumberFormat="1" applyFont="1" applyFill="1" applyBorder="1" applyAlignment="1">
      <alignment horizontal="left" vertical="center"/>
    </xf>
    <xf numFmtId="0" fontId="27" fillId="4" borderId="0" xfId="3" applyFont="1" applyFill="1" applyBorder="1" applyAlignment="1">
      <alignment horizontal="right" vertical="center"/>
    </xf>
    <xf numFmtId="14" fontId="40" fillId="9" borderId="6" xfId="3" applyNumberFormat="1" applyFont="1" applyFill="1" applyBorder="1" applyAlignment="1">
      <alignment horizontal="right" vertical="center"/>
    </xf>
    <xf numFmtId="14" fontId="40" fillId="9" borderId="6" xfId="3" applyNumberFormat="1" applyFont="1" applyFill="1" applyBorder="1" applyAlignment="1">
      <alignment horizontal="left" vertical="center"/>
    </xf>
    <xf numFmtId="18" fontId="31" fillId="3" borderId="10" xfId="0" applyNumberFormat="1" applyFont="1" applyFill="1" applyBorder="1" applyAlignment="1">
      <alignment horizontal="center" vertical="center"/>
    </xf>
    <xf numFmtId="18" fontId="31" fillId="3" borderId="11" xfId="0" applyNumberFormat="1" applyFont="1" applyFill="1" applyBorder="1" applyAlignment="1">
      <alignment horizontal="center" vertical="center"/>
    </xf>
    <xf numFmtId="18" fontId="31" fillId="7" borderId="11" xfId="0" applyNumberFormat="1" applyFont="1" applyFill="1" applyBorder="1" applyAlignment="1">
      <alignment horizontal="center" vertical="center"/>
    </xf>
    <xf numFmtId="18" fontId="31" fillId="6" borderId="11" xfId="0" applyNumberFormat="1" applyFont="1" applyFill="1" applyBorder="1" applyAlignment="1">
      <alignment horizontal="center" vertical="center"/>
    </xf>
    <xf numFmtId="14" fontId="40" fillId="10" borderId="9" xfId="3" applyNumberFormat="1" applyFont="1" applyFill="1" applyBorder="1" applyAlignment="1">
      <alignment horizontal="left" vertical="center"/>
    </xf>
    <xf numFmtId="18" fontId="31" fillId="3" borderId="24" xfId="0" applyNumberFormat="1" applyFont="1" applyFill="1" applyBorder="1" applyAlignment="1">
      <alignment horizontal="center" vertical="center"/>
    </xf>
    <xf numFmtId="18" fontId="31" fillId="3" borderId="25" xfId="0" applyNumberFormat="1" applyFont="1" applyFill="1" applyBorder="1" applyAlignment="1">
      <alignment horizontal="center" vertical="center"/>
    </xf>
    <xf numFmtId="18" fontId="31" fillId="6" borderId="26" xfId="0" applyNumberFormat="1" applyFont="1" applyFill="1" applyBorder="1" applyAlignment="1">
      <alignment horizontal="center" vertical="center"/>
    </xf>
    <xf numFmtId="18" fontId="31" fillId="6" borderId="27" xfId="0" applyNumberFormat="1" applyFont="1" applyFill="1" applyBorder="1" applyAlignment="1">
      <alignment horizontal="center" vertical="center"/>
    </xf>
    <xf numFmtId="18" fontId="31" fillId="8" borderId="26" xfId="0" applyNumberFormat="1" applyFont="1" applyFill="1" applyBorder="1" applyAlignment="1">
      <alignment horizontal="center" vertical="center"/>
    </xf>
    <xf numFmtId="18" fontId="31" fillId="6" borderId="28" xfId="0" applyNumberFormat="1" applyFont="1" applyFill="1" applyBorder="1" applyAlignment="1">
      <alignment horizontal="center" vertical="center"/>
    </xf>
    <xf numFmtId="18" fontId="31" fillId="7" borderId="29" xfId="0" applyNumberFormat="1" applyFont="1" applyFill="1" applyBorder="1" applyAlignment="1">
      <alignment horizontal="center" vertical="center"/>
    </xf>
    <xf numFmtId="18" fontId="31" fillId="6" borderId="30" xfId="0" applyNumberFormat="1" applyFont="1" applyFill="1" applyBorder="1" applyAlignment="1">
      <alignment horizontal="center" vertical="center"/>
    </xf>
    <xf numFmtId="18" fontId="31" fillId="3" borderId="31" xfId="0" applyNumberFormat="1" applyFont="1" applyFill="1" applyBorder="1" applyAlignment="1">
      <alignment horizontal="center" vertical="center"/>
    </xf>
    <xf numFmtId="18" fontId="31" fillId="3" borderId="29" xfId="0" applyNumberFormat="1" applyFont="1" applyFill="1" applyBorder="1" applyAlignment="1">
      <alignment horizontal="center" vertical="center"/>
    </xf>
    <xf numFmtId="18" fontId="31" fillId="6" borderId="29" xfId="0" applyNumberFormat="1" applyFont="1" applyFill="1" applyBorder="1" applyAlignment="1">
      <alignment horizontal="center" vertical="center"/>
    </xf>
    <xf numFmtId="18" fontId="31" fillId="8" borderId="30" xfId="0" applyNumberFormat="1" applyFont="1" applyFill="1" applyBorder="1" applyAlignment="1">
      <alignment horizontal="center" vertical="center"/>
    </xf>
    <xf numFmtId="18" fontId="31" fillId="6" borderId="32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" fontId="31" fillId="7" borderId="24" xfId="0" applyNumberFormat="1" applyFont="1" applyFill="1" applyBorder="1" applyAlignment="1">
      <alignment horizontal="center" vertical="center"/>
    </xf>
    <xf numFmtId="18" fontId="31" fillId="6" borderId="33" xfId="0" applyNumberFormat="1" applyFont="1" applyFill="1" applyBorder="1" applyAlignment="1">
      <alignment horizontal="center" vertical="center"/>
    </xf>
    <xf numFmtId="18" fontId="31" fillId="3" borderId="28" xfId="0" applyNumberFormat="1" applyFont="1" applyFill="1" applyBorder="1" applyAlignment="1">
      <alignment horizontal="center" vertical="center"/>
    </xf>
    <xf numFmtId="18" fontId="31" fillId="3" borderId="30" xfId="0" applyNumberFormat="1" applyFont="1" applyFill="1" applyBorder="1" applyAlignment="1">
      <alignment horizontal="center" vertical="center"/>
    </xf>
    <xf numFmtId="18" fontId="31" fillId="3" borderId="34" xfId="0" applyNumberFormat="1" applyFont="1" applyFill="1" applyBorder="1" applyAlignment="1">
      <alignment horizontal="center" vertical="center"/>
    </xf>
    <xf numFmtId="18" fontId="31" fillId="6" borderId="4" xfId="0" applyNumberFormat="1" applyFont="1" applyFill="1" applyBorder="1" applyAlignment="1">
      <alignment horizontal="center" vertical="center"/>
    </xf>
    <xf numFmtId="18" fontId="31" fillId="6" borderId="10" xfId="0" applyNumberFormat="1" applyFont="1" applyFill="1" applyBorder="1" applyAlignment="1">
      <alignment horizontal="center" vertical="center"/>
    </xf>
    <xf numFmtId="18" fontId="31" fillId="3" borderId="35" xfId="0" applyNumberFormat="1" applyFont="1" applyFill="1" applyBorder="1" applyAlignment="1">
      <alignment horizontal="center" vertical="center"/>
    </xf>
    <xf numFmtId="14" fontId="40" fillId="9" borderId="0" xfId="3" applyNumberFormat="1" applyFont="1" applyFill="1" applyBorder="1" applyAlignment="1">
      <alignment horizontal="right" vertical="center"/>
    </xf>
    <xf numFmtId="14" fontId="27" fillId="9" borderId="0" xfId="3" applyNumberFormat="1" applyFont="1" applyFill="1" applyBorder="1" applyAlignment="1">
      <alignment horizontal="right" vertical="center"/>
    </xf>
    <xf numFmtId="14" fontId="27" fillId="9" borderId="9" xfId="3" applyNumberFormat="1" applyFont="1" applyFill="1" applyBorder="1" applyAlignment="1">
      <alignment horizontal="left" vertical="center"/>
    </xf>
    <xf numFmtId="49" fontId="27" fillId="9" borderId="6" xfId="3" applyNumberFormat="1" applyFont="1" applyFill="1" applyBorder="1" applyAlignment="1">
      <alignment vertical="center"/>
    </xf>
    <xf numFmtId="0" fontId="31" fillId="3" borderId="11" xfId="0" applyFont="1" applyFill="1" applyBorder="1" applyAlignment="1">
      <alignment horizontal="center" vertical="center"/>
    </xf>
    <xf numFmtId="0" fontId="31" fillId="3" borderId="24" xfId="0" applyFont="1" applyFill="1" applyBorder="1" applyAlignment="1">
      <alignment horizontal="center" vertical="center"/>
    </xf>
    <xf numFmtId="0" fontId="31" fillId="3" borderId="25" xfId="0" applyFont="1" applyFill="1" applyBorder="1" applyAlignment="1">
      <alignment horizontal="center" vertical="center"/>
    </xf>
    <xf numFmtId="0" fontId="31" fillId="3" borderId="29" xfId="0" applyFont="1" applyFill="1" applyBorder="1" applyAlignment="1">
      <alignment horizontal="center" vertical="center"/>
    </xf>
    <xf numFmtId="0" fontId="31" fillId="3" borderId="28" xfId="0" applyFont="1" applyFill="1" applyBorder="1" applyAlignment="1">
      <alignment horizontal="center" vertical="center"/>
    </xf>
    <xf numFmtId="0" fontId="31" fillId="3" borderId="30" xfId="0" applyFont="1" applyFill="1" applyBorder="1" applyAlignment="1">
      <alignment horizontal="center" vertical="center"/>
    </xf>
    <xf numFmtId="0" fontId="31" fillId="3" borderId="31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/>
    </xf>
    <xf numFmtId="0" fontId="31" fillId="8" borderId="39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right" vertical="center"/>
    </xf>
    <xf numFmtId="0" fontId="31" fillId="7" borderId="28" xfId="0" applyFont="1" applyFill="1" applyBorder="1" applyAlignment="1">
      <alignment horizontal="center" vertical="center"/>
    </xf>
    <xf numFmtId="0" fontId="31" fillId="4" borderId="29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1" fillId="6" borderId="32" xfId="0" applyFont="1" applyFill="1" applyBorder="1" applyAlignment="1">
      <alignment horizontal="center" vertical="center"/>
    </xf>
    <xf numFmtId="0" fontId="31" fillId="6" borderId="26" xfId="0" applyFont="1" applyFill="1" applyBorder="1" applyAlignment="1">
      <alignment horizontal="center" vertical="center"/>
    </xf>
    <xf numFmtId="0" fontId="31" fillId="6" borderId="27" xfId="0" applyFont="1" applyFill="1" applyBorder="1" applyAlignment="1">
      <alignment horizontal="center" vertical="center"/>
    </xf>
    <xf numFmtId="0" fontId="31" fillId="8" borderId="26" xfId="0" applyFont="1" applyFill="1" applyBorder="1" applyAlignment="1">
      <alignment horizontal="center" vertical="center"/>
    </xf>
    <xf numFmtId="0" fontId="31" fillId="6" borderId="28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horizontal="left" vertical="center"/>
    </xf>
    <xf numFmtId="0" fontId="31" fillId="7" borderId="29" xfId="0" applyFont="1" applyFill="1" applyBorder="1" applyAlignment="1">
      <alignment horizontal="center" vertical="center"/>
    </xf>
    <xf numFmtId="0" fontId="31" fillId="6" borderId="30" xfId="0" applyFont="1" applyFill="1" applyBorder="1" applyAlignment="1">
      <alignment horizontal="center" vertical="center"/>
    </xf>
    <xf numFmtId="0" fontId="31" fillId="6" borderId="29" xfId="0" applyFont="1" applyFill="1" applyBorder="1" applyAlignment="1">
      <alignment horizontal="center" vertical="center"/>
    </xf>
    <xf numFmtId="0" fontId="0" fillId="0" borderId="11" xfId="0" applyBorder="1">
      <alignment wrapText="1"/>
    </xf>
    <xf numFmtId="0" fontId="31" fillId="3" borderId="10" xfId="0" applyFont="1" applyFill="1" applyBorder="1" applyAlignment="1">
      <alignment horizontal="center" vertical="center"/>
    </xf>
    <xf numFmtId="0" fontId="31" fillId="3" borderId="35" xfId="0" applyFont="1" applyFill="1" applyBorder="1" applyAlignment="1">
      <alignment horizontal="center" vertical="center"/>
    </xf>
    <xf numFmtId="14" fontId="29" fillId="9" borderId="37" xfId="3" applyNumberFormat="1" applyFont="1" applyFill="1" applyBorder="1" applyAlignment="1">
      <alignment horizontal="left" vertical="center"/>
    </xf>
    <xf numFmtId="0" fontId="0" fillId="0" borderId="2" xfId="0" applyBorder="1">
      <alignment wrapText="1"/>
    </xf>
    <xf numFmtId="11" fontId="31" fillId="3" borderId="11" xfId="0" applyNumberFormat="1" applyFont="1" applyFill="1" applyBorder="1" applyAlignment="1">
      <alignment horizontal="center" vertical="center"/>
    </xf>
    <xf numFmtId="0" fontId="31" fillId="3" borderId="4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31" fillId="6" borderId="4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 vertical="center"/>
    </xf>
    <xf numFmtId="0" fontId="31" fillId="3" borderId="44" xfId="0" applyFont="1" applyFill="1" applyBorder="1" applyAlignment="1">
      <alignment horizontal="center" vertical="center"/>
    </xf>
    <xf numFmtId="18" fontId="31" fillId="7" borderId="44" xfId="0" applyNumberFormat="1" applyFont="1" applyFill="1" applyBorder="1" applyAlignment="1">
      <alignment horizontal="center" vertical="center"/>
    </xf>
    <xf numFmtId="18" fontId="31" fillId="3" borderId="33" xfId="0" applyNumberFormat="1" applyFont="1" applyFill="1" applyBorder="1" applyAlignment="1">
      <alignment horizontal="center" vertical="center"/>
    </xf>
    <xf numFmtId="11" fontId="31" fillId="3" borderId="44" xfId="0" applyNumberFormat="1" applyFont="1" applyFill="1" applyBorder="1" applyAlignment="1">
      <alignment horizontal="center" vertical="center"/>
    </xf>
    <xf numFmtId="0" fontId="40" fillId="10" borderId="41" xfId="3" applyFont="1" applyFill="1" applyBorder="1" applyAlignment="1">
      <alignment horizontal="right" vertical="center" wrapText="1"/>
    </xf>
    <xf numFmtId="14" fontId="40" fillId="10" borderId="42" xfId="3" applyNumberFormat="1" applyFont="1" applyFill="1" applyBorder="1" applyAlignment="1">
      <alignment horizontal="left" vertical="center" wrapText="1"/>
    </xf>
    <xf numFmtId="0" fontId="31" fillId="3" borderId="13" xfId="0" applyFont="1" applyFill="1" applyBorder="1" applyAlignment="1">
      <alignment horizontal="center" vertical="center"/>
    </xf>
    <xf numFmtId="176" fontId="30" fillId="4" borderId="13" xfId="5" applyFont="1" applyFill="1" applyBorder="1" applyAlignment="1">
      <alignment horizontal="center" vertical="center"/>
    </xf>
    <xf numFmtId="176" fontId="30" fillId="4" borderId="10" xfId="5" applyFont="1" applyFill="1" applyBorder="1" applyAlignment="1">
      <alignment horizontal="center" vertical="center"/>
    </xf>
    <xf numFmtId="176" fontId="30" fillId="3" borderId="4" xfId="5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0" fontId="0" fillId="0" borderId="5" xfId="0" applyBorder="1">
      <alignment wrapText="1"/>
    </xf>
    <xf numFmtId="0" fontId="0" fillId="0" borderId="28" xfId="0" applyBorder="1">
      <alignment wrapText="1"/>
    </xf>
    <xf numFmtId="18" fontId="29" fillId="11" borderId="0" xfId="3" applyNumberFormat="1" applyFont="1" applyFill="1" applyBorder="1" applyAlignment="1">
      <alignment horizontal="center" vertical="center"/>
    </xf>
    <xf numFmtId="18" fontId="29" fillId="11" borderId="36" xfId="3" applyNumberFormat="1" applyFont="1" applyFill="1" applyBorder="1" applyAlignment="1">
      <alignment horizontal="center" vertical="center"/>
    </xf>
    <xf numFmtId="18" fontId="29" fillId="11" borderId="37" xfId="3" applyNumberFormat="1" applyFont="1" applyFill="1" applyBorder="1" applyAlignment="1">
      <alignment horizontal="center" vertical="center"/>
    </xf>
    <xf numFmtId="18" fontId="41" fillId="9" borderId="0" xfId="3" applyNumberFormat="1" applyFont="1" applyFill="1" applyBorder="1" applyAlignment="1">
      <alignment horizontal="center" vertical="center"/>
    </xf>
    <xf numFmtId="18" fontId="41" fillId="9" borderId="36" xfId="3" applyNumberFormat="1" applyFont="1" applyFill="1" applyBorder="1" applyAlignment="1">
      <alignment horizontal="center" vertical="center"/>
    </xf>
    <xf numFmtId="18" fontId="41" fillId="9" borderId="37" xfId="3" applyNumberFormat="1" applyFont="1" applyFill="1" applyBorder="1" applyAlignment="1">
      <alignment horizontal="center" vertical="center"/>
    </xf>
    <xf numFmtId="14" fontId="40" fillId="9" borderId="9" xfId="3" applyNumberFormat="1" applyFont="1" applyFill="1" applyBorder="1" applyAlignment="1">
      <alignment horizontal="left" vertical="center"/>
    </xf>
    <xf numFmtId="18" fontId="31" fillId="6" borderId="33" xfId="0" applyNumberFormat="1" applyFont="1" applyFill="1" applyBorder="1" applyAlignment="1">
      <alignment horizontal="center" vertical="center" shrinkToFit="1"/>
    </xf>
    <xf numFmtId="0" fontId="43" fillId="7" borderId="5" xfId="0" applyFont="1" applyFill="1" applyBorder="1" applyAlignment="1">
      <alignment horizontal="center" vertical="center" wrapText="1"/>
    </xf>
    <xf numFmtId="0" fontId="32" fillId="0" borderId="5" xfId="0" applyFont="1" applyAlignment="1">
      <alignment horizontal="center" vertical="center" wrapText="1"/>
    </xf>
    <xf numFmtId="0" fontId="33" fillId="0" borderId="5" xfId="0" applyFont="1" applyAlignment="1">
      <alignment horizontal="center" wrapText="1"/>
    </xf>
    <xf numFmtId="0" fontId="31" fillId="7" borderId="3" xfId="0" applyFont="1" applyFill="1" applyBorder="1" applyAlignment="1">
      <alignment horizontal="center" vertical="center"/>
    </xf>
    <xf numFmtId="0" fontId="44" fillId="12" borderId="0" xfId="0" applyFont="1" applyFill="1" applyBorder="1" applyAlignment="1">
      <alignment horizontal="center" vertical="center"/>
    </xf>
    <xf numFmtId="0" fontId="45" fillId="10" borderId="0" xfId="3" applyFont="1" applyFill="1" applyBorder="1" applyAlignment="1">
      <alignment vertical="center" wrapText="1"/>
    </xf>
    <xf numFmtId="176" fontId="46" fillId="0" borderId="8" xfId="0" applyNumberFormat="1" applyFont="1" applyBorder="1" applyAlignment="1">
      <alignment vertical="center"/>
    </xf>
    <xf numFmtId="176" fontId="47" fillId="0" borderId="19" xfId="0" applyNumberFormat="1" applyFont="1" applyBorder="1" applyAlignment="1">
      <alignment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21" fillId="13" borderId="0" xfId="2" applyFont="1" applyFill="1" applyBorder="1" applyAlignment="1">
      <alignment vertical="center"/>
    </xf>
    <xf numFmtId="0" fontId="21" fillId="13" borderId="9" xfId="2" applyFont="1" applyFill="1" applyBorder="1" applyAlignment="1">
      <alignment vertical="center"/>
    </xf>
    <xf numFmtId="0" fontId="5" fillId="13" borderId="7" xfId="0" applyFont="1" applyFill="1" applyBorder="1">
      <alignment wrapText="1"/>
    </xf>
    <xf numFmtId="176" fontId="46" fillId="13" borderId="8" xfId="0" applyNumberFormat="1" applyFont="1" applyFill="1" applyBorder="1" applyAlignment="1">
      <alignment vertical="center"/>
    </xf>
    <xf numFmtId="176" fontId="35" fillId="13" borderId="9" xfId="0" applyNumberFormat="1" applyFont="1" applyFill="1" applyBorder="1" applyAlignment="1">
      <alignment vertical="center"/>
    </xf>
    <xf numFmtId="176" fontId="47" fillId="13" borderId="19" xfId="0" applyNumberFormat="1" applyFont="1" applyFill="1" applyBorder="1" applyAlignment="1">
      <alignment vertical="center"/>
    </xf>
    <xf numFmtId="176" fontId="35" fillId="13" borderId="15" xfId="0" applyNumberFormat="1" applyFont="1" applyFill="1" applyBorder="1" applyAlignment="1">
      <alignment vertical="center"/>
    </xf>
    <xf numFmtId="14" fontId="37" fillId="13" borderId="20" xfId="0" applyNumberFormat="1" applyFont="1" applyFill="1" applyBorder="1" applyAlignment="1">
      <alignment horizontal="center" vertical="center"/>
    </xf>
    <xf numFmtId="0" fontId="0" fillId="13" borderId="7" xfId="0" applyFill="1" applyBorder="1">
      <alignment wrapText="1"/>
    </xf>
    <xf numFmtId="0" fontId="26" fillId="13" borderId="4" xfId="3" applyFont="1" applyFill="1" applyBorder="1" applyAlignment="1">
      <alignment horizontal="center" vertical="center" wrapText="1"/>
    </xf>
    <xf numFmtId="0" fontId="27" fillId="13" borderId="0" xfId="3" applyFont="1" applyFill="1" applyBorder="1" applyAlignment="1">
      <alignment horizontal="right" vertical="center"/>
    </xf>
    <xf numFmtId="14" fontId="27" fillId="13" borderId="0" xfId="3" applyNumberFormat="1" applyFont="1" applyFill="1" applyBorder="1" applyAlignment="1">
      <alignment horizontal="left" vertical="center"/>
    </xf>
    <xf numFmtId="0" fontId="48" fillId="13" borderId="0" xfId="3" applyFont="1" applyFill="1" applyBorder="1" applyAlignment="1">
      <alignment horizontal="right" vertical="center"/>
    </xf>
    <xf numFmtId="0" fontId="40" fillId="13" borderId="0" xfId="3" applyFont="1" applyFill="1" applyBorder="1" applyAlignment="1">
      <alignment horizontal="right" vertical="center"/>
    </xf>
    <xf numFmtId="14" fontId="40" fillId="13" borderId="0" xfId="3" applyNumberFormat="1" applyFont="1" applyFill="1" applyBorder="1" applyAlignment="1">
      <alignment horizontal="left" vertical="center"/>
    </xf>
    <xf numFmtId="0" fontId="41" fillId="9" borderId="36" xfId="3" applyFont="1" applyFill="1" applyBorder="1" applyAlignment="1">
      <alignment horizontal="center" vertical="center"/>
    </xf>
    <xf numFmtId="0" fontId="41" fillId="9" borderId="37" xfId="3" applyFont="1" applyFill="1" applyBorder="1" applyAlignment="1">
      <alignment horizontal="center" vertical="center"/>
    </xf>
    <xf numFmtId="14" fontId="41" fillId="9" borderId="37" xfId="3" applyNumberFormat="1" applyFont="1" applyFill="1" applyBorder="1" applyAlignment="1">
      <alignment horizontal="left" vertical="center"/>
    </xf>
    <xf numFmtId="177" fontId="50" fillId="10" borderId="0" xfId="3" applyNumberFormat="1" applyFont="1" applyFill="1" applyBorder="1" applyAlignment="1">
      <alignment horizontal="center" vertical="center"/>
    </xf>
    <xf numFmtId="0" fontId="41" fillId="9" borderId="0" xfId="3" applyFont="1" applyFill="1" applyBorder="1" applyAlignment="1">
      <alignment horizontal="center" vertical="center"/>
    </xf>
    <xf numFmtId="14" fontId="41" fillId="9" borderId="0" xfId="3" applyNumberFormat="1" applyFont="1" applyFill="1" applyBorder="1" applyAlignment="1">
      <alignment horizontal="left" vertical="center"/>
    </xf>
    <xf numFmtId="0" fontId="41" fillId="9" borderId="0" xfId="3" applyFont="1" applyFill="1" applyBorder="1" applyAlignment="1">
      <alignment horizontal="right" vertical="center"/>
    </xf>
    <xf numFmtId="0" fontId="26" fillId="2" borderId="4" xfId="3" applyFont="1" applyBorder="1" applyAlignment="1">
      <alignment horizontal="center" vertical="center"/>
    </xf>
    <xf numFmtId="177" fontId="40" fillId="10" borderId="0" xfId="3" applyNumberFormat="1" applyFont="1" applyFill="1" applyBorder="1" applyAlignment="1">
      <alignment horizontal="left" vertical="center"/>
    </xf>
    <xf numFmtId="177" fontId="40" fillId="9" borderId="0" xfId="3" applyNumberFormat="1" applyFont="1" applyFill="1" applyBorder="1" applyAlignment="1">
      <alignment horizontal="left" vertical="center"/>
    </xf>
    <xf numFmtId="177" fontId="27" fillId="9" borderId="0" xfId="3" applyNumberFormat="1" applyFont="1" applyFill="1" applyBorder="1" applyAlignment="1">
      <alignment horizontal="left" vertical="center"/>
    </xf>
    <xf numFmtId="177" fontId="27" fillId="4" borderId="0" xfId="3" applyNumberFormat="1" applyFont="1" applyFill="1" applyBorder="1" applyAlignment="1">
      <alignment horizontal="left" vertical="center"/>
    </xf>
    <xf numFmtId="178" fontId="30" fillId="3" borderId="7" xfId="5" applyNumberFormat="1" applyFont="1" applyFill="1" applyBorder="1" applyAlignment="1">
      <alignment horizontal="center" vertical="center"/>
    </xf>
    <xf numFmtId="178" fontId="30" fillId="4" borderId="2" xfId="5" applyNumberFormat="1" applyFont="1" applyFill="1" applyBorder="1" applyAlignment="1">
      <alignment horizontal="center" vertical="center"/>
    </xf>
    <xf numFmtId="178" fontId="30" fillId="3" borderId="10" xfId="5" applyNumberFormat="1" applyFont="1" applyFill="1" applyBorder="1" applyAlignment="1">
      <alignment horizontal="center" vertical="center"/>
    </xf>
    <xf numFmtId="178" fontId="30" fillId="4" borderId="5" xfId="5" applyNumberFormat="1" applyFont="1" applyFill="1" applyBorder="1" applyAlignment="1">
      <alignment horizontal="center" vertical="center"/>
    </xf>
    <xf numFmtId="178" fontId="30" fillId="3" borderId="5" xfId="5" applyNumberFormat="1" applyFont="1" applyFill="1" applyBorder="1" applyAlignment="1">
      <alignment horizontal="center" vertical="center"/>
    </xf>
    <xf numFmtId="0" fontId="40" fillId="10" borderId="0" xfId="3" applyFont="1" applyFill="1" applyAlignment="1">
      <alignment horizontal="right" vertical="center"/>
    </xf>
    <xf numFmtId="0" fontId="29" fillId="9" borderId="0" xfId="3" applyFont="1" applyFill="1" applyAlignment="1">
      <alignment horizontal="center" vertical="center"/>
    </xf>
    <xf numFmtId="14" fontId="29" fillId="9" borderId="0" xfId="3" applyNumberFormat="1" applyFont="1" applyFill="1" applyAlignment="1">
      <alignment horizontal="left" vertical="center"/>
    </xf>
    <xf numFmtId="177" fontId="40" fillId="10" borderId="0" xfId="3" applyNumberFormat="1" applyFont="1" applyFill="1" applyAlignment="1">
      <alignment horizontal="left" vertical="center"/>
    </xf>
    <xf numFmtId="0" fontId="27" fillId="10" borderId="0" xfId="3" applyFont="1" applyFill="1" applyBorder="1" applyAlignment="1">
      <alignment horizontal="right" vertical="center"/>
    </xf>
    <xf numFmtId="177" fontId="27" fillId="10" borderId="0" xfId="3" applyNumberFormat="1" applyFont="1" applyFill="1" applyBorder="1" applyAlignment="1">
      <alignment horizontal="left" vertical="center"/>
    </xf>
    <xf numFmtId="0" fontId="38" fillId="10" borderId="0" xfId="3" applyFont="1" applyFill="1" applyBorder="1" applyAlignment="1">
      <alignment horizontal="right" vertical="center"/>
    </xf>
    <xf numFmtId="177" fontId="38" fillId="10" borderId="0" xfId="3" applyNumberFormat="1" applyFont="1" applyFill="1" applyBorder="1" applyAlignment="1">
      <alignment horizontal="left" vertical="center"/>
    </xf>
    <xf numFmtId="18" fontId="7" fillId="0" borderId="8" xfId="1" applyNumberFormat="1" applyFont="1" applyBorder="1" applyAlignment="1">
      <alignment horizontal="right" vertical="center"/>
    </xf>
    <xf numFmtId="18" fontId="7" fillId="0" borderId="0" xfId="1" applyNumberFormat="1" applyFont="1" applyAlignment="1">
      <alignment horizontal="right" vertical="center"/>
    </xf>
    <xf numFmtId="18" fontId="7" fillId="0" borderId="9" xfId="1" applyNumberFormat="1" applyFont="1" applyBorder="1" applyAlignment="1">
      <alignment horizontal="right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18" fontId="12" fillId="0" borderId="13" xfId="2" applyNumberFormat="1" applyFont="1" applyBorder="1" applyAlignment="1">
      <alignment horizontal="center" vertical="center"/>
    </xf>
    <xf numFmtId="18" fontId="12" fillId="0" borderId="0" xfId="2" applyNumberFormat="1" applyFont="1" applyBorder="1" applyAlignment="1">
      <alignment horizontal="center" vertical="center"/>
    </xf>
    <xf numFmtId="18" fontId="32" fillId="0" borderId="10" xfId="0" applyNumberFormat="1" applyFont="1" applyBorder="1" applyAlignment="1">
      <alignment horizontal="center" vertical="center" wrapText="1"/>
    </xf>
    <xf numFmtId="18" fontId="32" fillId="0" borderId="18" xfId="0" applyNumberFormat="1" applyFont="1" applyBorder="1" applyAlignment="1">
      <alignment horizontal="center" vertical="center" wrapText="1"/>
    </xf>
    <xf numFmtId="18" fontId="32" fillId="0" borderId="21" xfId="0" applyNumberFormat="1" applyFont="1" applyBorder="1" applyAlignment="1">
      <alignment horizontal="center" vertical="center" wrapText="1"/>
    </xf>
    <xf numFmtId="18" fontId="32" fillId="0" borderId="38" xfId="0" applyNumberFormat="1" applyFont="1" applyBorder="1" applyAlignment="1">
      <alignment horizontal="center" vertical="center" wrapText="1"/>
    </xf>
    <xf numFmtId="18" fontId="32" fillId="0" borderId="11" xfId="0" applyNumberFormat="1" applyFont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32" fillId="6" borderId="18" xfId="0" applyFont="1" applyFill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center" vertical="center" wrapText="1"/>
    </xf>
    <xf numFmtId="0" fontId="51" fillId="3" borderId="14" xfId="0" applyFont="1" applyFill="1" applyBorder="1" applyAlignment="1">
      <alignment horizontal="center" vertical="center"/>
    </xf>
    <xf numFmtId="0" fontId="51" fillId="3" borderId="15" xfId="0" applyFont="1" applyFill="1" applyBorder="1" applyAlignment="1">
      <alignment horizontal="center" vertical="center"/>
    </xf>
    <xf numFmtId="0" fontId="51" fillId="3" borderId="16" xfId="0" applyFont="1" applyFill="1" applyBorder="1" applyAlignment="1">
      <alignment horizontal="center" vertical="center"/>
    </xf>
    <xf numFmtId="0" fontId="51" fillId="3" borderId="17" xfId="0" applyFont="1" applyFill="1" applyBorder="1" applyAlignment="1">
      <alignment horizontal="center" vertical="center"/>
    </xf>
    <xf numFmtId="18" fontId="4" fillId="0" borderId="10" xfId="1" applyNumberFormat="1" applyFont="1" applyBorder="1" applyAlignment="1">
      <alignment horizontal="center" vertical="center"/>
    </xf>
    <xf numFmtId="18" fontId="4" fillId="0" borderId="11" xfId="1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7" fillId="0" borderId="8" xfId="1" applyFont="1" applyBorder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7" fillId="0" borderId="9" xfId="1" applyFont="1" applyBorder="1" applyAlignment="1">
      <alignment horizontal="right" vertical="center"/>
    </xf>
    <xf numFmtId="0" fontId="12" fillId="13" borderId="8" xfId="2" applyFont="1" applyFill="1" applyBorder="1" applyAlignment="1">
      <alignment horizontal="center" vertical="center"/>
    </xf>
    <xf numFmtId="0" fontId="12" fillId="13" borderId="0" xfId="2" applyFont="1" applyFill="1" applyBorder="1" applyAlignment="1">
      <alignment horizontal="center" vertical="center"/>
    </xf>
    <xf numFmtId="0" fontId="49" fillId="13" borderId="0" xfId="2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34" fillId="0" borderId="0" xfId="2" applyFont="1" applyBorder="1" applyAlignment="1">
      <alignment horizontal="center" vertical="center"/>
    </xf>
    <xf numFmtId="0" fontId="26" fillId="2" borderId="4" xfId="3" applyFont="1" applyBorder="1" applyAlignment="1">
      <alignment horizontal="center" vertical="center"/>
    </xf>
    <xf numFmtId="0" fontId="26" fillId="2" borderId="8" xfId="3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49" fontId="17" fillId="0" borderId="10" xfId="1" applyNumberFormat="1" applyFont="1" applyBorder="1" applyAlignment="1">
      <alignment horizontal="center" vertical="center"/>
    </xf>
    <xf numFmtId="49" fontId="17" fillId="0" borderId="11" xfId="1" applyNumberFormat="1" applyFont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0" fontId="16" fillId="0" borderId="13" xfId="2" applyFont="1" applyBorder="1" applyAlignment="1">
      <alignment horizontal="center" vertical="center"/>
    </xf>
    <xf numFmtId="0" fontId="16" fillId="0" borderId="0" xfId="2" applyFont="1" applyBorder="1" applyAlignment="1">
      <alignment horizontal="center" vertical="center"/>
    </xf>
  </cellXfs>
  <cellStyles count="7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Time" xfId="5" xr:uid="{00000000-0005-0000-0000-000004000000}"/>
    <cellStyle name="Time Interval (minutes)" xfId="6" xr:uid="{00000000-0005-0000-0000-000005000000}"/>
    <cellStyle name="Title" xfId="1" builtinId="15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1214436</xdr:colOff>
      <xdr:row>0</xdr:row>
      <xdr:rowOff>666750</xdr:rowOff>
    </xdr:from>
    <xdr:to>
      <xdr:col>2</xdr:col>
      <xdr:colOff>2033095</xdr:colOff>
      <xdr:row>0</xdr:row>
      <xdr:rowOff>3286124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6061" y="666750"/>
          <a:ext cx="6133609" cy="2619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1214436</xdr:colOff>
      <xdr:row>0</xdr:row>
      <xdr:rowOff>666750</xdr:rowOff>
    </xdr:from>
    <xdr:to>
      <xdr:col>2</xdr:col>
      <xdr:colOff>2033095</xdr:colOff>
      <xdr:row>0</xdr:row>
      <xdr:rowOff>3286124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3186" y="666750"/>
          <a:ext cx="5771659" cy="2619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666750</xdr:rowOff>
    </xdr:from>
    <xdr:to>
      <xdr:col>2</xdr:col>
      <xdr:colOff>1675909</xdr:colOff>
      <xdr:row>0</xdr:row>
      <xdr:rowOff>3286124</xdr:rowOff>
    </xdr:to>
    <xdr:pic>
      <xdr:nvPicPr>
        <xdr:cNvPr id="4" name="Picture 3" descr="bee-school-英会話-福岡-大橋-西鉄駅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66750"/>
          <a:ext cx="5771659" cy="2619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571500</xdr:rowOff>
    </xdr:from>
    <xdr:to>
      <xdr:col>2</xdr:col>
      <xdr:colOff>1390159</xdr:colOff>
      <xdr:row>0</xdr:row>
      <xdr:rowOff>3190874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571500"/>
          <a:ext cx="5771659" cy="2619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666750</xdr:rowOff>
    </xdr:from>
    <xdr:to>
      <xdr:col>2</xdr:col>
      <xdr:colOff>1009159</xdr:colOff>
      <xdr:row>0</xdr:row>
      <xdr:rowOff>3286124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0" y="666750"/>
          <a:ext cx="5866909" cy="26193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285750</xdr:rowOff>
    </xdr:from>
    <xdr:to>
      <xdr:col>2</xdr:col>
      <xdr:colOff>1390159</xdr:colOff>
      <xdr:row>0</xdr:row>
      <xdr:rowOff>2905124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85750"/>
          <a:ext cx="5866909" cy="26193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0</xdr:row>
      <xdr:rowOff>190500</xdr:rowOff>
    </xdr:from>
    <xdr:to>
      <xdr:col>2</xdr:col>
      <xdr:colOff>1485409</xdr:colOff>
      <xdr:row>0</xdr:row>
      <xdr:rowOff>2809874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190500"/>
          <a:ext cx="5866909" cy="26193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190500</xdr:rowOff>
    </xdr:from>
    <xdr:to>
      <xdr:col>2</xdr:col>
      <xdr:colOff>1294909</xdr:colOff>
      <xdr:row>0</xdr:row>
      <xdr:rowOff>2809874</xdr:rowOff>
    </xdr:to>
    <xdr:pic>
      <xdr:nvPicPr>
        <xdr:cNvPr id="4" name="Picture 3" descr="bee-school-英会話-福岡-大橋-西鉄駅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90500"/>
          <a:ext cx="5866909" cy="26193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0</xdr:row>
      <xdr:rowOff>95250</xdr:rowOff>
    </xdr:from>
    <xdr:to>
      <xdr:col>2</xdr:col>
      <xdr:colOff>1485409</xdr:colOff>
      <xdr:row>0</xdr:row>
      <xdr:rowOff>2714624</xdr:rowOff>
    </xdr:to>
    <xdr:pic>
      <xdr:nvPicPr>
        <xdr:cNvPr id="3" name="Picture 2" descr="bee-school-英会話-福岡-大橋-西鉄駅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95250"/>
          <a:ext cx="5866909" cy="26193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228471</xdr:colOff>
      <xdr:row>0</xdr:row>
      <xdr:rowOff>377140</xdr:rowOff>
    </xdr:from>
    <xdr:to>
      <xdr:col>3</xdr:col>
      <xdr:colOff>1</xdr:colOff>
      <xdr:row>0</xdr:row>
      <xdr:rowOff>1998162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921" y="377140"/>
          <a:ext cx="3962530" cy="16210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1214436</xdr:colOff>
      <xdr:row>0</xdr:row>
      <xdr:rowOff>666750</xdr:rowOff>
    </xdr:from>
    <xdr:to>
      <xdr:col>2</xdr:col>
      <xdr:colOff>2033095</xdr:colOff>
      <xdr:row>0</xdr:row>
      <xdr:rowOff>3286124</xdr:rowOff>
    </xdr:to>
    <xdr:pic>
      <xdr:nvPicPr>
        <xdr:cNvPr id="2" name="Picture 1" descr="bee-school-英会話-福岡-大橋-西鉄駅.png">
          <a:extLst>
            <a:ext uri="{FF2B5EF4-FFF2-40B4-BE49-F238E27FC236}">
              <a16:creationId xmlns:a16="http://schemas.microsoft.com/office/drawing/2014/main" id="{10B7095F-401D-1B41-8083-E54176030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4936" y="666750"/>
          <a:ext cx="5784359" cy="2619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Weekly Class Schedule">
      <a:majorFont>
        <a:latin typeface="Tahom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autoPageBreaks="0" fitToPage="1"/>
  </sheetPr>
  <dimension ref="A1:O64"/>
  <sheetViews>
    <sheetView showGridLines="0" zoomScale="10" zoomScaleNormal="10" zoomScaleSheetLayoutView="10" zoomScalePageLayoutView="10" workbookViewId="0">
      <selection activeCell="I1" sqref="I1:L1"/>
    </sheetView>
  </sheetViews>
  <sheetFormatPr defaultColWidth="8.69921875" defaultRowHeight="30" customHeight="1" thickBottom="1"/>
  <cols>
    <col min="1" max="1" width="16.3984375" customWidth="1"/>
    <col min="2" max="14" width="55.8984375" style="42" customWidth="1"/>
    <col min="15" max="15" width="8.8984375" customWidth="1"/>
  </cols>
  <sheetData>
    <row r="1" spans="1:15" ht="273.75" customHeight="1" thickBot="1">
      <c r="B1" s="261" t="s">
        <v>0</v>
      </c>
      <c r="C1" s="262"/>
      <c r="D1" s="262"/>
      <c r="E1" s="263"/>
      <c r="F1" s="264" t="s">
        <v>1</v>
      </c>
      <c r="G1" s="265"/>
      <c r="H1" s="43" t="s">
        <v>2</v>
      </c>
      <c r="I1" s="276" t="s">
        <v>3</v>
      </c>
      <c r="J1" s="277"/>
      <c r="K1" s="278" t="s">
        <v>4</v>
      </c>
      <c r="L1" s="279"/>
      <c r="M1" s="83"/>
      <c r="N1" s="82"/>
    </row>
    <row r="2" spans="1:15" s="48" customFormat="1" ht="172.5" customHeight="1" thickBot="1">
      <c r="A2" s="47"/>
      <c r="B2" s="266" t="s">
        <v>5</v>
      </c>
      <c r="C2" s="267"/>
      <c r="D2" s="71" t="s">
        <v>6</v>
      </c>
      <c r="E2" s="71"/>
      <c r="F2" s="50"/>
      <c r="G2" s="51"/>
      <c r="H2" s="52"/>
      <c r="I2" s="72" t="s">
        <v>7</v>
      </c>
      <c r="J2" s="53"/>
      <c r="K2" s="73" t="s">
        <v>8</v>
      </c>
      <c r="L2" s="84"/>
      <c r="M2" s="105">
        <v>43556</v>
      </c>
      <c r="N2" s="85"/>
    </row>
    <row r="3" spans="1:15" s="49" customFormat="1" ht="105.75" customHeight="1" thickBot="1">
      <c r="B3" s="243" t="s">
        <v>9</v>
      </c>
      <c r="C3" s="108" t="s">
        <v>10</v>
      </c>
      <c r="D3" s="109">
        <f>M2</f>
        <v>43556</v>
      </c>
      <c r="E3" s="106" t="s">
        <v>11</v>
      </c>
      <c r="F3" s="107">
        <f>D3+1</f>
        <v>43557</v>
      </c>
      <c r="G3" s="111" t="s">
        <v>12</v>
      </c>
      <c r="H3" s="112">
        <f>D3+2</f>
        <v>43558</v>
      </c>
      <c r="I3" s="111" t="s">
        <v>13</v>
      </c>
      <c r="J3" s="112">
        <f>D3+3</f>
        <v>43559</v>
      </c>
      <c r="K3" s="111" t="s">
        <v>14</v>
      </c>
      <c r="L3" s="112">
        <f>D3+4</f>
        <v>43560</v>
      </c>
      <c r="M3" s="113" t="s">
        <v>15</v>
      </c>
      <c r="N3" s="112">
        <f>D3+5</f>
        <v>43561</v>
      </c>
    </row>
    <row r="4" spans="1:15" s="49" customFormat="1" ht="105.75" customHeight="1" thickBot="1">
      <c r="B4" s="98"/>
      <c r="C4" s="56"/>
      <c r="D4" s="56"/>
      <c r="E4" s="56"/>
      <c r="F4" s="56"/>
      <c r="G4" s="56"/>
      <c r="H4" s="56"/>
      <c r="I4" s="56"/>
      <c r="J4" s="56"/>
      <c r="K4" s="56"/>
      <c r="L4" s="56"/>
      <c r="M4" s="206" t="s">
        <v>16</v>
      </c>
      <c r="N4" s="206" t="s">
        <v>17</v>
      </c>
    </row>
    <row r="5" spans="1:15" s="49" customFormat="1" ht="105.75" customHeight="1" thickBot="1">
      <c r="B5" s="249">
        <v>0.45833333333333331</v>
      </c>
      <c r="C5" s="58"/>
      <c r="D5" s="126"/>
      <c r="E5" s="131"/>
      <c r="F5" s="132"/>
      <c r="G5" s="143"/>
      <c r="H5" s="132"/>
      <c r="I5" s="131"/>
      <c r="J5" s="132"/>
      <c r="K5" s="131"/>
      <c r="L5" s="132"/>
      <c r="M5" s="145" t="s">
        <v>18</v>
      </c>
      <c r="N5" s="132"/>
      <c r="O5" s="144"/>
    </row>
    <row r="6" spans="1:15" s="49" customFormat="1" ht="105.75" customHeight="1" thickBot="1">
      <c r="B6" s="250">
        <v>0.5</v>
      </c>
      <c r="C6" s="58"/>
      <c r="D6" s="126"/>
      <c r="E6" s="140"/>
      <c r="F6" s="147"/>
      <c r="G6" s="133" t="s">
        <v>19</v>
      </c>
      <c r="H6" s="134"/>
      <c r="I6" s="133"/>
      <c r="J6" s="134"/>
      <c r="K6" s="133"/>
      <c r="L6" s="134"/>
      <c r="M6" s="137" t="s">
        <v>18</v>
      </c>
      <c r="N6" s="136"/>
      <c r="O6" s="144"/>
    </row>
    <row r="7" spans="1:15" s="49" customFormat="1" ht="105.75" customHeight="1" thickBot="1">
      <c r="B7" s="251">
        <v>0.54166666666666663</v>
      </c>
      <c r="C7" s="58"/>
      <c r="D7" s="126"/>
      <c r="E7" s="140"/>
      <c r="F7" s="147"/>
      <c r="G7" s="135" t="s">
        <v>20</v>
      </c>
      <c r="H7" s="134"/>
      <c r="I7" s="135" t="s">
        <v>20</v>
      </c>
      <c r="J7" s="134"/>
      <c r="K7" s="135" t="s">
        <v>20</v>
      </c>
      <c r="L7" s="134"/>
      <c r="M7" s="135" t="s">
        <v>20</v>
      </c>
      <c r="N7" s="136"/>
      <c r="O7" s="144"/>
    </row>
    <row r="8" spans="1:15" s="49" customFormat="1" ht="105.75" customHeight="1" thickBot="1">
      <c r="B8" s="252">
        <v>0.58333333333333337</v>
      </c>
      <c r="C8" s="58"/>
      <c r="D8" s="126"/>
      <c r="E8" s="140"/>
      <c r="F8" s="147"/>
      <c r="G8" s="133" t="s">
        <v>21</v>
      </c>
      <c r="H8" s="134"/>
      <c r="I8" s="133" t="s">
        <v>22</v>
      </c>
      <c r="J8" s="134"/>
      <c r="K8" s="135" t="s">
        <v>20</v>
      </c>
      <c r="L8" s="134"/>
      <c r="M8" s="141" t="s">
        <v>56</v>
      </c>
      <c r="N8" s="146"/>
      <c r="O8" s="144"/>
    </row>
    <row r="9" spans="1:15" s="49" customFormat="1" ht="105.75" customHeight="1" thickBot="1">
      <c r="B9" s="251">
        <v>0.625</v>
      </c>
      <c r="C9" s="58"/>
      <c r="D9" s="126"/>
      <c r="E9" s="140"/>
      <c r="F9" s="147"/>
      <c r="G9" s="140"/>
      <c r="H9" s="136"/>
      <c r="I9" s="133" t="s">
        <v>21</v>
      </c>
      <c r="J9" s="136"/>
      <c r="K9" s="133"/>
      <c r="L9" s="136"/>
      <c r="M9" s="141" t="s">
        <v>21</v>
      </c>
      <c r="N9" s="136"/>
      <c r="O9" s="144"/>
    </row>
    <row r="10" spans="1:15" s="49" customFormat="1" ht="105.75" customHeight="1" thickBot="1">
      <c r="B10" s="252">
        <v>0.66666666666666663</v>
      </c>
      <c r="C10" s="58"/>
      <c r="D10" s="126"/>
      <c r="E10" s="140"/>
      <c r="F10" s="147"/>
      <c r="G10" s="137" t="s">
        <v>23</v>
      </c>
      <c r="H10" s="136"/>
      <c r="I10" s="137" t="s">
        <v>23</v>
      </c>
      <c r="J10" s="136"/>
      <c r="K10" s="140"/>
      <c r="L10" s="136"/>
      <c r="M10" s="140"/>
      <c r="N10" s="136"/>
      <c r="O10" s="144"/>
    </row>
    <row r="11" spans="1:15" s="49" customFormat="1" ht="105.75" customHeight="1" thickBot="1">
      <c r="B11" s="251">
        <v>0.70833333333333337</v>
      </c>
      <c r="C11" s="58"/>
      <c r="D11" s="126"/>
      <c r="E11" s="140"/>
      <c r="F11" s="147"/>
      <c r="G11" s="137" t="s">
        <v>24</v>
      </c>
      <c r="H11" s="136"/>
      <c r="I11" s="137" t="s">
        <v>24</v>
      </c>
      <c r="J11" s="136"/>
      <c r="K11" s="140"/>
      <c r="L11" s="136"/>
      <c r="M11" s="140"/>
      <c r="N11" s="147"/>
      <c r="O11" s="144"/>
    </row>
    <row r="12" spans="1:15" s="49" customFormat="1" ht="105.75" customHeight="1" thickBot="1">
      <c r="B12" s="252">
        <v>0.75</v>
      </c>
      <c r="C12" s="58"/>
      <c r="D12" s="126"/>
      <c r="E12" s="140"/>
      <c r="F12" s="147"/>
      <c r="G12" s="137" t="s">
        <v>18</v>
      </c>
      <c r="H12" s="136"/>
      <c r="I12" s="137" t="s">
        <v>18</v>
      </c>
      <c r="J12" s="136"/>
      <c r="K12" s="140"/>
      <c r="L12" s="136"/>
      <c r="M12" s="140"/>
      <c r="N12" s="147"/>
      <c r="O12" s="144"/>
    </row>
    <row r="13" spans="1:15" s="49" customFormat="1" ht="105.75" customHeight="1" thickBot="1">
      <c r="B13" s="251">
        <v>0.79166666666666663</v>
      </c>
      <c r="C13" s="58"/>
      <c r="D13" s="126"/>
      <c r="E13" s="141" t="s">
        <v>25</v>
      </c>
      <c r="F13" s="147"/>
      <c r="G13" s="135" t="s">
        <v>20</v>
      </c>
      <c r="H13" s="136"/>
      <c r="I13" s="135" t="s">
        <v>20</v>
      </c>
      <c r="J13" s="136"/>
      <c r="K13" s="141" t="s">
        <v>19</v>
      </c>
      <c r="L13" s="136"/>
      <c r="M13" s="140"/>
      <c r="N13" s="147"/>
      <c r="O13" s="144"/>
    </row>
    <row r="14" spans="1:15" s="49" customFormat="1" ht="105.75" customHeight="1" thickBot="1">
      <c r="B14" s="248">
        <v>0.83333333333333337</v>
      </c>
      <c r="C14" s="58"/>
      <c r="D14" s="126"/>
      <c r="E14" s="138" t="s">
        <v>19</v>
      </c>
      <c r="F14" s="139"/>
      <c r="G14" s="138" t="s">
        <v>21</v>
      </c>
      <c r="H14" s="139"/>
      <c r="I14" s="138" t="s">
        <v>26</v>
      </c>
      <c r="J14" s="139"/>
      <c r="K14" s="142" t="s">
        <v>20</v>
      </c>
      <c r="L14" s="139"/>
      <c r="M14" s="148"/>
      <c r="N14" s="139"/>
      <c r="O14" s="144"/>
    </row>
    <row r="15" spans="1:15" s="49" customFormat="1" ht="105.75" customHeight="1" thickBot="1">
      <c r="B15" s="243" t="s">
        <v>9</v>
      </c>
      <c r="C15" s="124" t="s">
        <v>10</v>
      </c>
      <c r="D15" s="125">
        <f>H3+5</f>
        <v>43563</v>
      </c>
      <c r="E15" s="113" t="s">
        <v>11</v>
      </c>
      <c r="F15" s="120">
        <f>H3+6</f>
        <v>43564</v>
      </c>
      <c r="G15" s="111" t="s">
        <v>12</v>
      </c>
      <c r="H15" s="112">
        <f>H3+7</f>
        <v>43565</v>
      </c>
      <c r="I15" s="111" t="s">
        <v>13</v>
      </c>
      <c r="J15" s="114">
        <f>H3+8</f>
        <v>43566</v>
      </c>
      <c r="K15" s="111" t="s">
        <v>14</v>
      </c>
      <c r="L15" s="114">
        <f>H3+9</f>
        <v>43567</v>
      </c>
      <c r="M15" s="113" t="s">
        <v>15</v>
      </c>
      <c r="N15" s="130">
        <f>H3+10</f>
        <v>43568</v>
      </c>
    </row>
    <row r="16" spans="1:15" s="49" customFormat="1" ht="105.75" customHeight="1" thickBot="1">
      <c r="B16" s="98"/>
      <c r="C16" s="206"/>
      <c r="D16" s="206"/>
      <c r="E16" s="206" t="s">
        <v>16</v>
      </c>
      <c r="F16" s="206"/>
      <c r="G16" s="206" t="s">
        <v>16</v>
      </c>
      <c r="H16" s="206" t="s">
        <v>17</v>
      </c>
      <c r="I16" s="206" t="s">
        <v>16</v>
      </c>
      <c r="J16" s="206" t="s">
        <v>17</v>
      </c>
      <c r="K16" s="206" t="s">
        <v>16</v>
      </c>
      <c r="L16" s="206" t="s">
        <v>17</v>
      </c>
      <c r="M16" s="206" t="s">
        <v>16</v>
      </c>
      <c r="N16" s="206" t="s">
        <v>17</v>
      </c>
    </row>
    <row r="17" spans="2:15" s="49" customFormat="1" ht="105.75" customHeight="1" thickBot="1">
      <c r="B17" s="249">
        <v>0.45833333333333331</v>
      </c>
      <c r="C17" s="58"/>
      <c r="D17" s="126"/>
      <c r="E17" s="131"/>
      <c r="F17" s="132"/>
      <c r="G17" s="143"/>
      <c r="H17" s="132"/>
      <c r="I17" s="131"/>
      <c r="J17" s="132"/>
      <c r="K17" s="131"/>
      <c r="L17" s="132"/>
      <c r="M17" s="145" t="s">
        <v>18</v>
      </c>
      <c r="N17" s="132"/>
      <c r="O17" s="144"/>
    </row>
    <row r="18" spans="2:15" s="49" customFormat="1" ht="105.75" customHeight="1" thickBot="1">
      <c r="B18" s="250">
        <v>0.5</v>
      </c>
      <c r="C18" s="58"/>
      <c r="D18" s="126"/>
      <c r="E18" s="140"/>
      <c r="F18" s="147"/>
      <c r="G18" s="133" t="s">
        <v>19</v>
      </c>
      <c r="H18" s="134"/>
      <c r="I18" s="133"/>
      <c r="J18" s="134"/>
      <c r="K18" s="133"/>
      <c r="L18" s="134"/>
      <c r="M18" s="137" t="s">
        <v>18</v>
      </c>
      <c r="N18" s="136"/>
      <c r="O18" s="144"/>
    </row>
    <row r="19" spans="2:15" s="49" customFormat="1" ht="105.75" customHeight="1" thickBot="1">
      <c r="B19" s="251">
        <v>0.54166666666666663</v>
      </c>
      <c r="C19" s="58"/>
      <c r="D19" s="126"/>
      <c r="E19" s="140"/>
      <c r="F19" s="147"/>
      <c r="G19" s="135" t="s">
        <v>20</v>
      </c>
      <c r="H19" s="134"/>
      <c r="I19" s="135" t="s">
        <v>20</v>
      </c>
      <c r="J19" s="134"/>
      <c r="K19" s="135" t="s">
        <v>20</v>
      </c>
      <c r="L19" s="134"/>
      <c r="M19" s="135" t="s">
        <v>20</v>
      </c>
      <c r="N19" s="136"/>
      <c r="O19" s="144"/>
    </row>
    <row r="20" spans="2:15" s="49" customFormat="1" ht="105.75" customHeight="1" thickBot="1">
      <c r="B20" s="252">
        <v>0.58333333333333337</v>
      </c>
      <c r="C20" s="58"/>
      <c r="D20" s="126"/>
      <c r="E20" s="140"/>
      <c r="F20" s="147"/>
      <c r="G20" s="133" t="s">
        <v>21</v>
      </c>
      <c r="H20" s="134"/>
      <c r="I20" s="133" t="s">
        <v>22</v>
      </c>
      <c r="J20" s="134"/>
      <c r="K20" s="135" t="s">
        <v>20</v>
      </c>
      <c r="L20" s="134"/>
      <c r="M20" s="141" t="s">
        <v>56</v>
      </c>
      <c r="N20" s="146"/>
      <c r="O20" s="144"/>
    </row>
    <row r="21" spans="2:15" s="49" customFormat="1" ht="105.75" customHeight="1" thickBot="1">
      <c r="B21" s="251">
        <v>0.625</v>
      </c>
      <c r="C21" s="58"/>
      <c r="D21" s="126"/>
      <c r="E21" s="140"/>
      <c r="F21" s="147"/>
      <c r="G21" s="140"/>
      <c r="H21" s="136"/>
      <c r="I21" s="133" t="s">
        <v>21</v>
      </c>
      <c r="J21" s="136"/>
      <c r="K21" s="133"/>
      <c r="L21" s="136"/>
      <c r="M21" s="141" t="s">
        <v>21</v>
      </c>
      <c r="N21" s="136"/>
      <c r="O21" s="144"/>
    </row>
    <row r="22" spans="2:15" s="49" customFormat="1" ht="105.75" customHeight="1" thickBot="1">
      <c r="B22" s="252">
        <v>0.66666666666666663</v>
      </c>
      <c r="C22" s="58"/>
      <c r="D22" s="126"/>
      <c r="E22" s="140"/>
      <c r="F22" s="147"/>
      <c r="G22" s="137" t="s">
        <v>23</v>
      </c>
      <c r="H22" s="136"/>
      <c r="I22" s="137" t="s">
        <v>23</v>
      </c>
      <c r="J22" s="136"/>
      <c r="K22" s="140"/>
      <c r="L22" s="136"/>
      <c r="M22" s="140"/>
      <c r="N22" s="136"/>
      <c r="O22" s="144"/>
    </row>
    <row r="23" spans="2:15" s="49" customFormat="1" ht="105.75" customHeight="1" thickBot="1">
      <c r="B23" s="251">
        <v>0.70833333333333337</v>
      </c>
      <c r="C23" s="58"/>
      <c r="D23" s="126"/>
      <c r="E23" s="140"/>
      <c r="F23" s="147"/>
      <c r="G23" s="137" t="s">
        <v>24</v>
      </c>
      <c r="H23" s="136"/>
      <c r="I23" s="137" t="s">
        <v>24</v>
      </c>
      <c r="J23" s="136"/>
      <c r="K23" s="140"/>
      <c r="L23" s="136"/>
      <c r="M23" s="140"/>
      <c r="N23" s="147"/>
      <c r="O23" s="144"/>
    </row>
    <row r="24" spans="2:15" s="49" customFormat="1" ht="105.75" customHeight="1" thickBot="1">
      <c r="B24" s="252">
        <v>0.75</v>
      </c>
      <c r="C24" s="58"/>
      <c r="D24" s="126"/>
      <c r="E24" s="140"/>
      <c r="F24" s="147"/>
      <c r="G24" s="137" t="s">
        <v>18</v>
      </c>
      <c r="H24" s="136"/>
      <c r="I24" s="137" t="s">
        <v>18</v>
      </c>
      <c r="J24" s="136"/>
      <c r="K24" s="140"/>
      <c r="L24" s="136"/>
      <c r="M24" s="140"/>
      <c r="N24" s="147"/>
      <c r="O24" s="144"/>
    </row>
    <row r="25" spans="2:15" s="49" customFormat="1" ht="105.75" customHeight="1" thickBot="1">
      <c r="B25" s="251">
        <v>0.79166666666666663</v>
      </c>
      <c r="C25" s="58"/>
      <c r="D25" s="126"/>
      <c r="E25" s="141" t="s">
        <v>25</v>
      </c>
      <c r="F25" s="147"/>
      <c r="G25" s="135" t="s">
        <v>20</v>
      </c>
      <c r="H25" s="136"/>
      <c r="I25" s="135" t="s">
        <v>20</v>
      </c>
      <c r="J25" s="136"/>
      <c r="K25" s="141" t="s">
        <v>19</v>
      </c>
      <c r="L25" s="136"/>
      <c r="M25" s="140"/>
      <c r="N25" s="147"/>
      <c r="O25" s="144"/>
    </row>
    <row r="26" spans="2:15" s="49" customFormat="1" ht="105.75" customHeight="1" thickBot="1">
      <c r="B26" s="248">
        <v>0.83333333333333337</v>
      </c>
      <c r="C26" s="58"/>
      <c r="D26" s="126"/>
      <c r="E26" s="138" t="s">
        <v>19</v>
      </c>
      <c r="F26" s="139"/>
      <c r="G26" s="138" t="s">
        <v>21</v>
      </c>
      <c r="H26" s="139"/>
      <c r="I26" s="138" t="s">
        <v>26</v>
      </c>
      <c r="J26" s="139"/>
      <c r="K26" s="142" t="s">
        <v>20</v>
      </c>
      <c r="L26" s="139"/>
      <c r="M26" s="148"/>
      <c r="N26" s="139"/>
      <c r="O26" s="144"/>
    </row>
    <row r="27" spans="2:15" s="49" customFormat="1" ht="105.75" customHeight="1" thickBot="1">
      <c r="B27" s="243" t="s">
        <v>9</v>
      </c>
      <c r="C27" s="124" t="s">
        <v>10</v>
      </c>
      <c r="D27" s="125">
        <f>D15+7</f>
        <v>43570</v>
      </c>
      <c r="E27" s="113" t="s">
        <v>11</v>
      </c>
      <c r="F27" s="120">
        <f>F15+7</f>
        <v>43571</v>
      </c>
      <c r="G27" s="113" t="s">
        <v>12</v>
      </c>
      <c r="H27" s="120">
        <f>H15+7</f>
        <v>43572</v>
      </c>
      <c r="I27" s="113" t="s">
        <v>13</v>
      </c>
      <c r="J27" s="130">
        <f>J15+7</f>
        <v>43573</v>
      </c>
      <c r="K27" s="113" t="s">
        <v>14</v>
      </c>
      <c r="L27" s="130">
        <f>L15+7</f>
        <v>43574</v>
      </c>
      <c r="M27" s="113" t="s">
        <v>15</v>
      </c>
      <c r="N27" s="130">
        <f>N15+7</f>
        <v>43575</v>
      </c>
    </row>
    <row r="28" spans="2:15" s="49" customFormat="1" ht="105.75" customHeight="1" thickBot="1">
      <c r="B28" s="98"/>
      <c r="C28" s="206"/>
      <c r="D28" s="206"/>
      <c r="E28" s="206" t="s">
        <v>16</v>
      </c>
      <c r="F28" s="206"/>
      <c r="G28" s="206" t="s">
        <v>16</v>
      </c>
      <c r="H28" s="206" t="s">
        <v>17</v>
      </c>
      <c r="I28" s="206" t="s">
        <v>16</v>
      </c>
      <c r="J28" s="206" t="s">
        <v>17</v>
      </c>
      <c r="K28" s="206" t="s">
        <v>16</v>
      </c>
      <c r="L28" s="206" t="s">
        <v>17</v>
      </c>
      <c r="M28" s="207" t="s">
        <v>16</v>
      </c>
      <c r="N28" s="208" t="s">
        <v>17</v>
      </c>
      <c r="O28" s="144"/>
    </row>
    <row r="29" spans="2:15" s="49" customFormat="1" ht="105.75" customHeight="1" thickBot="1">
      <c r="B29" s="249">
        <v>0.45833333333333331</v>
      </c>
      <c r="C29" s="58"/>
      <c r="D29" s="126"/>
      <c r="E29" s="131"/>
      <c r="F29" s="132"/>
      <c r="G29" s="143"/>
      <c r="H29" s="132"/>
      <c r="I29" s="131"/>
      <c r="J29" s="132"/>
      <c r="K29" s="131"/>
      <c r="L29" s="149"/>
      <c r="M29" s="137" t="s">
        <v>18</v>
      </c>
      <c r="N29" s="147"/>
      <c r="O29" s="144"/>
    </row>
    <row r="30" spans="2:15" s="49" customFormat="1" ht="105.75" customHeight="1" thickBot="1">
      <c r="B30" s="250">
        <v>0.5</v>
      </c>
      <c r="C30" s="58"/>
      <c r="D30" s="126"/>
      <c r="E30" s="140"/>
      <c r="F30" s="147"/>
      <c r="G30" s="133" t="s">
        <v>19</v>
      </c>
      <c r="H30" s="134"/>
      <c r="I30" s="133"/>
      <c r="J30" s="134"/>
      <c r="K30" s="133"/>
      <c r="L30" s="150"/>
      <c r="M30" s="137" t="s">
        <v>18</v>
      </c>
      <c r="N30" s="136"/>
      <c r="O30" s="144"/>
    </row>
    <row r="31" spans="2:15" s="49" customFormat="1" ht="105.75" customHeight="1" thickBot="1">
      <c r="B31" s="251">
        <v>0.54166666666666663</v>
      </c>
      <c r="C31" s="58"/>
      <c r="D31" s="126"/>
      <c r="E31" s="140"/>
      <c r="F31" s="147"/>
      <c r="G31" s="135" t="s">
        <v>20</v>
      </c>
      <c r="H31" s="134"/>
      <c r="I31" s="135" t="s">
        <v>20</v>
      </c>
      <c r="J31" s="134"/>
      <c r="K31" s="135" t="s">
        <v>20</v>
      </c>
      <c r="L31" s="150"/>
      <c r="M31" s="135" t="s">
        <v>20</v>
      </c>
      <c r="N31" s="136"/>
      <c r="O31" s="144"/>
    </row>
    <row r="32" spans="2:15" s="49" customFormat="1" ht="105.75" customHeight="1" thickBot="1">
      <c r="B32" s="252">
        <v>0.58333333333333337</v>
      </c>
      <c r="C32" s="58"/>
      <c r="D32" s="126"/>
      <c r="E32" s="140"/>
      <c r="F32" s="147"/>
      <c r="G32" s="133" t="s">
        <v>21</v>
      </c>
      <c r="H32" s="134"/>
      <c r="I32" s="133" t="s">
        <v>22</v>
      </c>
      <c r="J32" s="134"/>
      <c r="K32" s="135" t="s">
        <v>20</v>
      </c>
      <c r="L32" s="150"/>
      <c r="M32" s="141" t="s">
        <v>56</v>
      </c>
      <c r="N32" s="146"/>
      <c r="O32" s="144"/>
    </row>
    <row r="33" spans="2:15" s="49" customFormat="1" ht="105.75" customHeight="1" thickBot="1">
      <c r="B33" s="251">
        <v>0.625</v>
      </c>
      <c r="C33" s="58"/>
      <c r="D33" s="126"/>
      <c r="E33" s="140"/>
      <c r="F33" s="147"/>
      <c r="G33" s="140"/>
      <c r="H33" s="136"/>
      <c r="I33" s="133" t="s">
        <v>21</v>
      </c>
      <c r="J33" s="136"/>
      <c r="K33" s="133"/>
      <c r="L33" s="151"/>
      <c r="M33" s="141" t="s">
        <v>21</v>
      </c>
      <c r="N33" s="136"/>
      <c r="O33" s="144"/>
    </row>
    <row r="34" spans="2:15" s="49" customFormat="1" ht="105.75" customHeight="1" thickBot="1">
      <c r="B34" s="252">
        <v>0.66666666666666663</v>
      </c>
      <c r="C34" s="58"/>
      <c r="D34" s="126"/>
      <c r="E34" s="140"/>
      <c r="F34" s="147"/>
      <c r="G34" s="137" t="s">
        <v>23</v>
      </c>
      <c r="H34" s="136"/>
      <c r="I34" s="137" t="s">
        <v>23</v>
      </c>
      <c r="J34" s="136"/>
      <c r="K34" s="140"/>
      <c r="L34" s="151"/>
      <c r="M34" s="140"/>
      <c r="N34" s="136"/>
      <c r="O34" s="144"/>
    </row>
    <row r="35" spans="2:15" s="49" customFormat="1" ht="105.75" customHeight="1" thickBot="1">
      <c r="B35" s="251">
        <v>0.70833333333333337</v>
      </c>
      <c r="C35" s="58"/>
      <c r="D35" s="126"/>
      <c r="E35" s="140"/>
      <c r="F35" s="147"/>
      <c r="G35" s="137" t="s">
        <v>24</v>
      </c>
      <c r="H35" s="136"/>
      <c r="I35" s="137" t="s">
        <v>24</v>
      </c>
      <c r="J35" s="136"/>
      <c r="K35" s="140"/>
      <c r="L35" s="151"/>
      <c r="M35" s="140"/>
      <c r="N35" s="147"/>
      <c r="O35" s="144"/>
    </row>
    <row r="36" spans="2:15" s="49" customFormat="1" ht="105.75" customHeight="1" thickBot="1">
      <c r="B36" s="252">
        <v>0.75</v>
      </c>
      <c r="C36" s="58"/>
      <c r="D36" s="126"/>
      <c r="E36" s="140"/>
      <c r="F36" s="147"/>
      <c r="G36" s="137" t="s">
        <v>18</v>
      </c>
      <c r="H36" s="136"/>
      <c r="I36" s="137" t="s">
        <v>18</v>
      </c>
      <c r="J36" s="136"/>
      <c r="K36" s="140"/>
      <c r="L36" s="151"/>
      <c r="M36" s="140"/>
      <c r="N36" s="147"/>
      <c r="O36" s="144"/>
    </row>
    <row r="37" spans="2:15" s="49" customFormat="1" ht="105.75" customHeight="1" thickBot="1">
      <c r="B37" s="251">
        <v>0.79166666666666663</v>
      </c>
      <c r="C37" s="58"/>
      <c r="D37" s="126"/>
      <c r="E37" s="141" t="s">
        <v>25</v>
      </c>
      <c r="F37" s="147"/>
      <c r="G37" s="135" t="s">
        <v>20</v>
      </c>
      <c r="H37" s="136"/>
      <c r="I37" s="135" t="s">
        <v>20</v>
      </c>
      <c r="J37" s="136"/>
      <c r="K37" s="141" t="s">
        <v>19</v>
      </c>
      <c r="L37" s="151"/>
      <c r="M37" s="140"/>
      <c r="N37" s="147"/>
      <c r="O37" s="144"/>
    </row>
    <row r="38" spans="2:15" s="49" customFormat="1" ht="105.75" customHeight="1" thickBot="1">
      <c r="B38" s="248">
        <v>0.83333333333333337</v>
      </c>
      <c r="C38" s="58"/>
      <c r="D38" s="126"/>
      <c r="E38" s="138" t="s">
        <v>19</v>
      </c>
      <c r="F38" s="139"/>
      <c r="G38" s="138" t="s">
        <v>21</v>
      </c>
      <c r="H38" s="139"/>
      <c r="I38" s="138" t="s">
        <v>26</v>
      </c>
      <c r="J38" s="139"/>
      <c r="K38" s="142" t="s">
        <v>20</v>
      </c>
      <c r="L38" s="152"/>
      <c r="M38" s="148"/>
      <c r="N38" s="139"/>
      <c r="O38" s="144"/>
    </row>
    <row r="39" spans="2:15" s="49" customFormat="1" ht="105.75" customHeight="1" thickBot="1">
      <c r="B39" s="243" t="s">
        <v>9</v>
      </c>
      <c r="C39" s="124" t="s">
        <v>10</v>
      </c>
      <c r="D39" s="125">
        <f>D27+7</f>
        <v>43577</v>
      </c>
      <c r="E39" s="113" t="s">
        <v>11</v>
      </c>
      <c r="F39" s="120">
        <f>F27+7</f>
        <v>43578</v>
      </c>
      <c r="G39" s="113" t="s">
        <v>12</v>
      </c>
      <c r="H39" s="120">
        <f>H27+7</f>
        <v>43579</v>
      </c>
      <c r="I39" s="113" t="s">
        <v>13</v>
      </c>
      <c r="J39" s="130">
        <f>J27+7</f>
        <v>43580</v>
      </c>
      <c r="K39" s="113" t="s">
        <v>14</v>
      </c>
      <c r="L39" s="130">
        <f>L27+7</f>
        <v>43581</v>
      </c>
      <c r="M39" s="113" t="s">
        <v>15</v>
      </c>
      <c r="N39" s="130">
        <f>N27+7</f>
        <v>43582</v>
      </c>
    </row>
    <row r="40" spans="2:15" s="49" customFormat="1" ht="105.75" customHeight="1" thickBot="1">
      <c r="B40" s="98"/>
      <c r="C40" s="206"/>
      <c r="D40" s="206"/>
      <c r="E40" s="206" t="s">
        <v>16</v>
      </c>
      <c r="F40" s="206"/>
      <c r="G40" s="206" t="s">
        <v>16</v>
      </c>
      <c r="H40" s="206" t="s">
        <v>17</v>
      </c>
      <c r="I40" s="206" t="s">
        <v>16</v>
      </c>
      <c r="J40" s="206" t="s">
        <v>17</v>
      </c>
      <c r="K40" s="206" t="s">
        <v>16</v>
      </c>
      <c r="L40" s="206" t="s">
        <v>17</v>
      </c>
      <c r="M40" s="206" t="s">
        <v>16</v>
      </c>
      <c r="N40" s="206" t="s">
        <v>16</v>
      </c>
    </row>
    <row r="41" spans="2:15" s="49" customFormat="1" ht="105.75" customHeight="1" thickBot="1">
      <c r="B41" s="249">
        <v>0.45833333333333331</v>
      </c>
      <c r="C41" s="58"/>
      <c r="D41" s="126"/>
      <c r="E41" s="131"/>
      <c r="F41" s="132"/>
      <c r="G41" s="143"/>
      <c r="H41" s="132"/>
      <c r="I41" s="131"/>
      <c r="J41" s="132"/>
      <c r="K41" s="131"/>
      <c r="L41" s="132"/>
      <c r="M41" s="145" t="s">
        <v>18</v>
      </c>
      <c r="N41" s="132"/>
      <c r="O41" s="144"/>
    </row>
    <row r="42" spans="2:15" s="49" customFormat="1" ht="105.75" customHeight="1" thickBot="1">
      <c r="B42" s="250">
        <v>0.5</v>
      </c>
      <c r="C42" s="58"/>
      <c r="D42" s="126"/>
      <c r="E42" s="140"/>
      <c r="F42" s="147"/>
      <c r="G42" s="133" t="s">
        <v>19</v>
      </c>
      <c r="H42" s="134"/>
      <c r="I42" s="133"/>
      <c r="J42" s="134"/>
      <c r="K42" s="133"/>
      <c r="L42" s="134"/>
      <c r="M42" s="137" t="s">
        <v>18</v>
      </c>
      <c r="N42" s="136"/>
      <c r="O42" s="144"/>
    </row>
    <row r="43" spans="2:15" s="49" customFormat="1" ht="105.75" customHeight="1" thickBot="1">
      <c r="B43" s="251">
        <v>0.54166666666666663</v>
      </c>
      <c r="C43" s="58"/>
      <c r="D43" s="126"/>
      <c r="E43" s="140"/>
      <c r="F43" s="147"/>
      <c r="G43" s="135" t="s">
        <v>20</v>
      </c>
      <c r="H43" s="134"/>
      <c r="I43" s="135" t="s">
        <v>20</v>
      </c>
      <c r="J43" s="134"/>
      <c r="K43" s="135" t="s">
        <v>20</v>
      </c>
      <c r="L43" s="134"/>
      <c r="M43" s="135" t="s">
        <v>20</v>
      </c>
      <c r="N43" s="136"/>
      <c r="O43" s="144"/>
    </row>
    <row r="44" spans="2:15" s="49" customFormat="1" ht="105.75" customHeight="1" thickBot="1">
      <c r="B44" s="252">
        <v>0.58333333333333337</v>
      </c>
      <c r="C44" s="58"/>
      <c r="D44" s="126"/>
      <c r="E44" s="140"/>
      <c r="F44" s="147"/>
      <c r="G44" s="133" t="s">
        <v>21</v>
      </c>
      <c r="H44" s="134"/>
      <c r="I44" s="133" t="s">
        <v>22</v>
      </c>
      <c r="J44" s="134"/>
      <c r="K44" s="135" t="s">
        <v>20</v>
      </c>
      <c r="L44" s="134"/>
      <c r="M44" s="141" t="s">
        <v>56</v>
      </c>
      <c r="N44" s="146" t="s">
        <v>42</v>
      </c>
      <c r="O44" s="144"/>
    </row>
    <row r="45" spans="2:15" s="49" customFormat="1" ht="105.75" customHeight="1" thickBot="1">
      <c r="B45" s="251">
        <v>0.625</v>
      </c>
      <c r="C45" s="58"/>
      <c r="D45" s="126"/>
      <c r="E45" s="140"/>
      <c r="F45" s="147"/>
      <c r="G45" s="140"/>
      <c r="H45" s="136"/>
      <c r="I45" s="133" t="s">
        <v>21</v>
      </c>
      <c r="J45" s="136"/>
      <c r="K45" s="133"/>
      <c r="L45" s="136"/>
      <c r="M45" s="141" t="s">
        <v>21</v>
      </c>
      <c r="N45" s="146" t="s">
        <v>42</v>
      </c>
      <c r="O45" s="144"/>
    </row>
    <row r="46" spans="2:15" s="49" customFormat="1" ht="105.75" customHeight="1" thickBot="1">
      <c r="B46" s="252">
        <v>0.66666666666666663</v>
      </c>
      <c r="C46" s="58"/>
      <c r="D46" s="126"/>
      <c r="E46" s="140"/>
      <c r="F46" s="147"/>
      <c r="G46" s="137" t="s">
        <v>23</v>
      </c>
      <c r="H46" s="136"/>
      <c r="I46" s="137" t="s">
        <v>23</v>
      </c>
      <c r="J46" s="136"/>
      <c r="K46" s="140"/>
      <c r="L46" s="136"/>
      <c r="M46" s="140"/>
      <c r="N46" s="136"/>
      <c r="O46" s="144"/>
    </row>
    <row r="47" spans="2:15" s="49" customFormat="1" ht="105.75" customHeight="1" thickBot="1">
      <c r="B47" s="251">
        <v>0.70833333333333337</v>
      </c>
      <c r="C47" s="58"/>
      <c r="D47" s="126"/>
      <c r="E47" s="140"/>
      <c r="F47" s="147"/>
      <c r="G47" s="137" t="s">
        <v>24</v>
      </c>
      <c r="H47" s="136"/>
      <c r="I47" s="137" t="s">
        <v>24</v>
      </c>
      <c r="J47" s="136"/>
      <c r="K47" s="140"/>
      <c r="L47" s="136"/>
      <c r="M47" s="140"/>
      <c r="N47" s="147"/>
      <c r="O47" s="144"/>
    </row>
    <row r="48" spans="2:15" s="49" customFormat="1" ht="105.75" customHeight="1" thickBot="1">
      <c r="B48" s="252">
        <v>0.75</v>
      </c>
      <c r="C48" s="58"/>
      <c r="D48" s="126"/>
      <c r="E48" s="140"/>
      <c r="F48" s="147"/>
      <c r="G48" s="137" t="s">
        <v>18</v>
      </c>
      <c r="H48" s="136"/>
      <c r="I48" s="137" t="s">
        <v>18</v>
      </c>
      <c r="J48" s="136"/>
      <c r="K48" s="140"/>
      <c r="L48" s="136"/>
      <c r="M48" s="140"/>
      <c r="N48" s="147"/>
      <c r="O48" s="144"/>
    </row>
    <row r="49" spans="2:15" s="49" customFormat="1" ht="105.75" customHeight="1" thickBot="1">
      <c r="B49" s="251">
        <v>0.79166666666666663</v>
      </c>
      <c r="C49" s="58"/>
      <c r="D49" s="126"/>
      <c r="E49" s="141" t="s">
        <v>25</v>
      </c>
      <c r="F49" s="147"/>
      <c r="G49" s="135" t="s">
        <v>20</v>
      </c>
      <c r="H49" s="136"/>
      <c r="I49" s="135" t="s">
        <v>20</v>
      </c>
      <c r="J49" s="136"/>
      <c r="K49" s="141" t="s">
        <v>19</v>
      </c>
      <c r="L49" s="136"/>
      <c r="M49" s="140"/>
      <c r="N49" s="147"/>
      <c r="O49" s="144"/>
    </row>
    <row r="50" spans="2:15" s="49" customFormat="1" ht="105.75" customHeight="1" thickBot="1">
      <c r="B50" s="248">
        <v>0.83333333333333337</v>
      </c>
      <c r="C50" s="58"/>
      <c r="D50" s="126"/>
      <c r="E50" s="138" t="s">
        <v>19</v>
      </c>
      <c r="F50" s="139"/>
      <c r="G50" s="138" t="s">
        <v>21</v>
      </c>
      <c r="H50" s="139"/>
      <c r="I50" s="138" t="s">
        <v>26</v>
      </c>
      <c r="J50" s="139"/>
      <c r="K50" s="142" t="s">
        <v>20</v>
      </c>
      <c r="L50" s="139"/>
      <c r="M50" s="148"/>
      <c r="N50" s="139"/>
      <c r="O50" s="144"/>
    </row>
    <row r="51" spans="2:15" s="49" customFormat="1" ht="105.75" customHeight="1" thickBot="1">
      <c r="B51" s="243" t="s">
        <v>9</v>
      </c>
      <c r="C51" s="124" t="s">
        <v>10</v>
      </c>
      <c r="D51" s="125">
        <f>D39+7</f>
        <v>43584</v>
      </c>
      <c r="E51" s="153" t="s">
        <v>11</v>
      </c>
      <c r="F51" s="122">
        <f>F39+7</f>
        <v>43585</v>
      </c>
      <c r="G51" s="153" t="s">
        <v>12</v>
      </c>
      <c r="H51" s="122">
        <f>H39+7</f>
        <v>43586</v>
      </c>
      <c r="I51" s="153" t="s">
        <v>13</v>
      </c>
      <c r="J51" s="209">
        <f>J39+7</f>
        <v>43587</v>
      </c>
      <c r="K51" s="153" t="s">
        <v>14</v>
      </c>
      <c r="L51" s="209">
        <f>L39+7</f>
        <v>43588</v>
      </c>
      <c r="M51" s="154" t="s">
        <v>15</v>
      </c>
      <c r="N51" s="155">
        <f>N39+7</f>
        <v>43589</v>
      </c>
    </row>
    <row r="52" spans="2:15" s="49" customFormat="1" ht="105.75" customHeight="1" thickBot="1">
      <c r="B52" s="98"/>
      <c r="C52" s="206"/>
      <c r="D52" s="206"/>
      <c r="E52" s="206" t="s">
        <v>16</v>
      </c>
      <c r="F52" s="206"/>
      <c r="G52" s="206" t="s">
        <v>16</v>
      </c>
      <c r="H52" s="206" t="s">
        <v>17</v>
      </c>
      <c r="I52" s="206" t="s">
        <v>16</v>
      </c>
      <c r="J52" s="206" t="s">
        <v>17</v>
      </c>
      <c r="K52" s="206" t="s">
        <v>16</v>
      </c>
      <c r="L52" s="206" t="s">
        <v>17</v>
      </c>
      <c r="M52" s="206" t="s">
        <v>16</v>
      </c>
      <c r="N52" s="206" t="s">
        <v>17</v>
      </c>
    </row>
    <row r="53" spans="2:15" s="49" customFormat="1" ht="105.75" customHeight="1" thickBot="1">
      <c r="B53" s="249">
        <v>0.45833333333333331</v>
      </c>
      <c r="C53" s="58"/>
      <c r="D53" s="58"/>
      <c r="E53" s="58"/>
      <c r="F53" s="126"/>
      <c r="G53" s="143"/>
      <c r="H53" s="132"/>
      <c r="I53" s="131"/>
      <c r="J53" s="132"/>
      <c r="K53" s="131"/>
      <c r="L53" s="132"/>
      <c r="M53" s="145" t="s">
        <v>18</v>
      </c>
      <c r="N53" s="132"/>
      <c r="O53" s="144"/>
    </row>
    <row r="54" spans="2:15" s="49" customFormat="1" ht="105.75" customHeight="1" thickBot="1">
      <c r="B54" s="250">
        <v>0.5</v>
      </c>
      <c r="C54" s="58"/>
      <c r="D54" s="58"/>
      <c r="E54" s="58"/>
      <c r="F54" s="126"/>
      <c r="G54" s="133" t="s">
        <v>19</v>
      </c>
      <c r="H54" s="134"/>
      <c r="I54" s="133"/>
      <c r="J54" s="134"/>
      <c r="K54" s="133"/>
      <c r="L54" s="134"/>
      <c r="M54" s="137" t="s">
        <v>18</v>
      </c>
      <c r="N54" s="136"/>
      <c r="O54" s="144"/>
    </row>
    <row r="55" spans="2:15" s="49" customFormat="1" ht="105.75" customHeight="1" thickBot="1">
      <c r="B55" s="251">
        <v>0.54166666666666663</v>
      </c>
      <c r="C55" s="58"/>
      <c r="D55" s="58"/>
      <c r="E55" s="58"/>
      <c r="F55" s="126"/>
      <c r="G55" s="135" t="s">
        <v>20</v>
      </c>
      <c r="H55" s="134"/>
      <c r="I55" s="135" t="s">
        <v>20</v>
      </c>
      <c r="J55" s="134"/>
      <c r="K55" s="135" t="s">
        <v>20</v>
      </c>
      <c r="L55" s="134"/>
      <c r="M55" s="135" t="s">
        <v>20</v>
      </c>
      <c r="N55" s="136"/>
      <c r="O55" s="144"/>
    </row>
    <row r="56" spans="2:15" s="49" customFormat="1" ht="105.75" customHeight="1" thickBot="1">
      <c r="B56" s="252">
        <v>0.58333333333333337</v>
      </c>
      <c r="C56" s="58"/>
      <c r="D56" s="58"/>
      <c r="E56" s="58"/>
      <c r="F56" s="126"/>
      <c r="G56" s="133" t="s">
        <v>21</v>
      </c>
      <c r="H56" s="134"/>
      <c r="I56" s="133" t="s">
        <v>22</v>
      </c>
      <c r="J56" s="134"/>
      <c r="K56" s="135" t="s">
        <v>20</v>
      </c>
      <c r="L56" s="134"/>
      <c r="M56" s="141" t="s">
        <v>56</v>
      </c>
      <c r="N56" s="146"/>
      <c r="O56" s="144"/>
    </row>
    <row r="57" spans="2:15" s="49" customFormat="1" ht="105.75" customHeight="1" thickBot="1">
      <c r="B57" s="251">
        <v>0.625</v>
      </c>
      <c r="C57" s="58"/>
      <c r="D57" s="58"/>
      <c r="E57" s="58"/>
      <c r="F57" s="126"/>
      <c r="G57" s="140"/>
      <c r="H57" s="136"/>
      <c r="I57" s="133" t="s">
        <v>21</v>
      </c>
      <c r="J57" s="136"/>
      <c r="K57" s="133"/>
      <c r="L57" s="136"/>
      <c r="M57" s="141" t="s">
        <v>21</v>
      </c>
      <c r="N57" s="136"/>
      <c r="O57" s="144"/>
    </row>
    <row r="58" spans="2:15" s="49" customFormat="1" ht="105.75" customHeight="1" thickBot="1">
      <c r="B58" s="252">
        <v>0.66666666666666663</v>
      </c>
      <c r="C58" s="58"/>
      <c r="D58" s="58"/>
      <c r="E58" s="58"/>
      <c r="F58" s="126"/>
      <c r="G58" s="137" t="s">
        <v>23</v>
      </c>
      <c r="H58" s="136"/>
      <c r="I58" s="137" t="s">
        <v>23</v>
      </c>
      <c r="J58" s="136"/>
      <c r="K58" s="140"/>
      <c r="L58" s="136"/>
      <c r="M58" s="140"/>
      <c r="N58" s="136"/>
      <c r="O58" s="144"/>
    </row>
    <row r="59" spans="2:15" s="49" customFormat="1" ht="105.75" customHeight="1" thickBot="1">
      <c r="B59" s="251">
        <v>0.70833333333333337</v>
      </c>
      <c r="C59" s="58"/>
      <c r="D59" s="58"/>
      <c r="E59" s="58"/>
      <c r="F59" s="126"/>
      <c r="G59" s="137" t="s">
        <v>24</v>
      </c>
      <c r="H59" s="136"/>
      <c r="I59" s="137" t="s">
        <v>24</v>
      </c>
      <c r="J59" s="136"/>
      <c r="K59" s="140"/>
      <c r="L59" s="136"/>
      <c r="M59" s="140"/>
      <c r="N59" s="147"/>
      <c r="O59" s="144"/>
    </row>
    <row r="60" spans="2:15" s="49" customFormat="1" ht="105.75" customHeight="1" thickBot="1">
      <c r="B60" s="252">
        <v>0.75</v>
      </c>
      <c r="C60" s="58"/>
      <c r="D60" s="58"/>
      <c r="E60" s="58"/>
      <c r="F60" s="126"/>
      <c r="G60" s="137" t="s">
        <v>18</v>
      </c>
      <c r="H60" s="136"/>
      <c r="I60" s="137" t="s">
        <v>18</v>
      </c>
      <c r="J60" s="136"/>
      <c r="K60" s="140"/>
      <c r="L60" s="136"/>
      <c r="M60" s="140"/>
      <c r="N60" s="147"/>
      <c r="O60" s="144"/>
    </row>
    <row r="61" spans="2:15" s="49" customFormat="1" ht="105.75" customHeight="1" thickBot="1">
      <c r="B61" s="251">
        <v>0.79166666666666663</v>
      </c>
      <c r="C61" s="58"/>
      <c r="D61" s="58"/>
      <c r="E61" s="58"/>
      <c r="F61" s="126"/>
      <c r="G61" s="135" t="s">
        <v>20</v>
      </c>
      <c r="H61" s="136"/>
      <c r="I61" s="135" t="s">
        <v>20</v>
      </c>
      <c r="J61" s="136"/>
      <c r="K61" s="141" t="s">
        <v>19</v>
      </c>
      <c r="L61" s="136"/>
      <c r="M61" s="140"/>
      <c r="N61" s="147"/>
      <c r="O61" s="144"/>
    </row>
    <row r="62" spans="2:15" s="49" customFormat="1" ht="105.75" customHeight="1" thickBot="1">
      <c r="B62" s="248">
        <v>0.83333333333333337</v>
      </c>
      <c r="C62" s="58"/>
      <c r="D62" s="58"/>
      <c r="E62" s="58"/>
      <c r="F62" s="126"/>
      <c r="G62" s="138" t="s">
        <v>21</v>
      </c>
      <c r="H62" s="139"/>
      <c r="I62" s="138" t="s">
        <v>26</v>
      </c>
      <c r="J62" s="139"/>
      <c r="K62" s="142" t="s">
        <v>20</v>
      </c>
      <c r="L62" s="139"/>
      <c r="M62" s="148"/>
      <c r="N62" s="139"/>
      <c r="O62" s="144"/>
    </row>
    <row r="63" spans="2:15" ht="120.75" customHeight="1" thickBot="1">
      <c r="B63" s="268" t="s">
        <v>27</v>
      </c>
      <c r="C63" s="269"/>
      <c r="D63" s="269"/>
      <c r="E63" s="269"/>
      <c r="F63" s="269"/>
      <c r="G63" s="270"/>
      <c r="H63" s="270"/>
      <c r="I63" s="270"/>
      <c r="J63" s="270"/>
      <c r="K63" s="270"/>
      <c r="L63" s="270"/>
      <c r="M63" s="270"/>
      <c r="N63" s="271"/>
    </row>
    <row r="64" spans="2:15" ht="143.25" customHeight="1" thickBot="1">
      <c r="B64" s="67" t="s">
        <v>20</v>
      </c>
      <c r="C64" s="268" t="s">
        <v>28</v>
      </c>
      <c r="D64" s="272"/>
      <c r="E64" s="211" t="s">
        <v>46</v>
      </c>
      <c r="F64" s="68" t="s">
        <v>29</v>
      </c>
      <c r="G64" s="273" t="s">
        <v>48</v>
      </c>
      <c r="H64" s="274"/>
      <c r="I64" s="275"/>
      <c r="J64" s="68" t="s">
        <v>30</v>
      </c>
      <c r="K64" s="70"/>
      <c r="L64" s="70"/>
      <c r="M64" s="70"/>
      <c r="N64" s="70"/>
    </row>
  </sheetData>
  <mergeCells count="8">
    <mergeCell ref="B1:E1"/>
    <mergeCell ref="F1:G1"/>
    <mergeCell ref="B2:C2"/>
    <mergeCell ref="B63:N63"/>
    <mergeCell ref="C64:D64"/>
    <mergeCell ref="G64:I64"/>
    <mergeCell ref="I1:J1"/>
    <mergeCell ref="K1:L1"/>
  </mergeCells>
  <phoneticPr fontId="42"/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51:N52 C3:N4 C15:N16 C39:N40" xr:uid="{00000000-0002-0000-0000-000000000000}"/>
    <dataValidation allowBlank="1" showInputMessage="1" showErrorMessage="1" prompt="Time is automatically updated in this column under this heading" sqref="B27:B28 B15:B16 B3:B4 B39:B40 B51:B52" xr:uid="{B9DAEE97-84F7-5943-94B7-59A37FBAB029}"/>
    <dataValidation allowBlank="1" showInputMessage="1" showErrorMessage="1" prompt="Create a Class Schedule in this worksheet. Enter Start Time in cell C2, Interval duration in cell E2, and weekly schedule starting in cells B3" sqref="A1" xr:uid="{00000000-0002-0000-0000-000002000000}"/>
    <dataValidation allowBlank="1" showInputMessage="1" showErrorMessage="1" prompt="Enter Start Time in cell at right" sqref="B2" xr:uid="{00000000-0002-0000-0000-000003000000}"/>
    <dataValidation allowBlank="1" showInputMessage="1" showErrorMessage="1" prompt="Title of this worksheet is in this cell.  Enter semester name in cell at right" sqref="B1:E1" xr:uid="{00000000-0002-0000-0000-000004000000}"/>
    <dataValidation allowBlank="1" showInputMessage="1" showErrorMessage="1" prompt="Enter semester name in this cell" sqref="F1:G1" xr:uid="{00000000-0002-0000-0000-000005000000}"/>
  </dataValidations>
  <printOptions horizontalCentered="1" verticalCentered="1"/>
  <pageMargins left="7.0000000000000007E-2" right="7.0000000000000007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  <pageSetUpPr autoPageBreaks="0" fitToPage="1"/>
  </sheetPr>
  <dimension ref="A1:O64"/>
  <sheetViews>
    <sheetView showGridLines="0" view="pageBreakPreview" zoomScale="10" zoomScaleNormal="10" zoomScaleSheetLayoutView="10" zoomScalePageLayoutView="10" workbookViewId="0">
      <selection activeCell="I1" sqref="I1:L1"/>
    </sheetView>
  </sheetViews>
  <sheetFormatPr defaultColWidth="8.69921875" defaultRowHeight="30" customHeight="1" thickBottom="1"/>
  <cols>
    <col min="1" max="1" width="16.3984375" customWidth="1"/>
    <col min="2" max="14" width="55.8984375" style="42" customWidth="1"/>
    <col min="15" max="15" width="8.8984375" customWidth="1"/>
  </cols>
  <sheetData>
    <row r="1" spans="1:15" ht="273.75" customHeight="1" thickBot="1">
      <c r="B1" s="261" t="s">
        <v>0</v>
      </c>
      <c r="C1" s="262"/>
      <c r="D1" s="262"/>
      <c r="E1" s="263"/>
      <c r="F1" s="280" t="s">
        <v>31</v>
      </c>
      <c r="G1" s="281"/>
      <c r="H1" s="43" t="s">
        <v>2</v>
      </c>
      <c r="I1" s="276" t="s">
        <v>3</v>
      </c>
      <c r="J1" s="277"/>
      <c r="K1" s="278" t="s">
        <v>4</v>
      </c>
      <c r="L1" s="279"/>
      <c r="M1" s="83"/>
      <c r="N1" s="82"/>
    </row>
    <row r="2" spans="1:15" s="48" customFormat="1" ht="172.5" customHeight="1" thickBot="1">
      <c r="A2" s="47"/>
      <c r="B2" s="266" t="s">
        <v>5</v>
      </c>
      <c r="C2" s="267"/>
      <c r="D2" s="71" t="s">
        <v>6</v>
      </c>
      <c r="E2" s="71"/>
      <c r="F2" s="50"/>
      <c r="G2" s="51"/>
      <c r="H2" s="52"/>
      <c r="I2" s="72" t="s">
        <v>7</v>
      </c>
      <c r="J2" s="53"/>
      <c r="K2" s="73" t="s">
        <v>8</v>
      </c>
      <c r="L2" s="84"/>
      <c r="M2" s="105">
        <v>43586</v>
      </c>
      <c r="N2" s="85"/>
    </row>
    <row r="3" spans="1:15" s="49" customFormat="1" ht="105.75" customHeight="1" thickBot="1">
      <c r="B3" s="243" t="s">
        <v>9</v>
      </c>
      <c r="C3" s="108" t="s">
        <v>10</v>
      </c>
      <c r="D3" s="156" t="s">
        <v>32</v>
      </c>
      <c r="E3" s="108" t="s">
        <v>11</v>
      </c>
      <c r="F3" s="110">
        <v>43585</v>
      </c>
      <c r="G3" s="124" t="s">
        <v>12</v>
      </c>
      <c r="H3" s="125">
        <f>M2</f>
        <v>43586</v>
      </c>
      <c r="I3" s="124" t="s">
        <v>13</v>
      </c>
      <c r="J3" s="125">
        <f>H3+1</f>
        <v>43587</v>
      </c>
      <c r="K3" s="124" t="s">
        <v>14</v>
      </c>
      <c r="L3" s="125">
        <f>H3+2</f>
        <v>43588</v>
      </c>
      <c r="M3" s="113" t="s">
        <v>15</v>
      </c>
      <c r="N3" s="112">
        <f>H3+3</f>
        <v>43589</v>
      </c>
    </row>
    <row r="4" spans="1:15" s="49" customFormat="1" ht="105.75" customHeight="1" thickBot="1">
      <c r="B4" s="98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 t="s">
        <v>16</v>
      </c>
      <c r="N4" s="206" t="s">
        <v>17</v>
      </c>
    </row>
    <row r="5" spans="1:15" s="49" customFormat="1" ht="105.75" customHeight="1" thickBot="1">
      <c r="B5" s="249">
        <v>0.45833333333333331</v>
      </c>
      <c r="C5" s="58"/>
      <c r="D5" s="58"/>
      <c r="E5" s="58"/>
      <c r="F5" s="58"/>
      <c r="G5" s="58"/>
      <c r="H5" s="58"/>
      <c r="I5" s="58"/>
      <c r="J5" s="58"/>
      <c r="K5" s="58"/>
      <c r="L5" s="126"/>
      <c r="M5" s="145" t="s">
        <v>18</v>
      </c>
      <c r="N5" s="132"/>
      <c r="O5" s="144"/>
    </row>
    <row r="6" spans="1:15" s="49" customFormat="1" ht="105.75" customHeight="1" thickBot="1">
      <c r="B6" s="250">
        <v>0.5</v>
      </c>
      <c r="C6" s="58"/>
      <c r="D6" s="58"/>
      <c r="E6" s="58"/>
      <c r="F6" s="58"/>
      <c r="G6" s="58"/>
      <c r="H6" s="58"/>
      <c r="I6" s="58"/>
      <c r="J6" s="58"/>
      <c r="K6" s="58"/>
      <c r="L6" s="126"/>
      <c r="M6" s="137" t="s">
        <v>18</v>
      </c>
      <c r="N6" s="136"/>
      <c r="O6" s="144"/>
    </row>
    <row r="7" spans="1:15" s="49" customFormat="1" ht="105.75" customHeight="1" thickBot="1">
      <c r="B7" s="251">
        <v>0.54166666666666663</v>
      </c>
      <c r="C7" s="58"/>
      <c r="D7" s="58"/>
      <c r="E7" s="58"/>
      <c r="F7" s="58"/>
      <c r="G7" s="58"/>
      <c r="H7" s="58"/>
      <c r="I7" s="58"/>
      <c r="J7" s="58"/>
      <c r="K7" s="58"/>
      <c r="L7" s="126"/>
      <c r="M7" s="135" t="s">
        <v>20</v>
      </c>
      <c r="N7" s="136"/>
      <c r="O7" s="144"/>
    </row>
    <row r="8" spans="1:15" s="49" customFormat="1" ht="105.75" customHeight="1" thickBot="1">
      <c r="B8" s="252">
        <v>0.58333333333333337</v>
      </c>
      <c r="C8" s="58"/>
      <c r="D8" s="58"/>
      <c r="E8" s="58"/>
      <c r="F8" s="58"/>
      <c r="G8" s="58"/>
      <c r="H8" s="58"/>
      <c r="I8" s="58"/>
      <c r="J8" s="58"/>
      <c r="K8" s="58"/>
      <c r="L8" s="126"/>
      <c r="M8" s="141" t="s">
        <v>56</v>
      </c>
      <c r="N8" s="146"/>
      <c r="O8" s="144"/>
    </row>
    <row r="9" spans="1:15" s="49" customFormat="1" ht="105.75" customHeight="1" thickBot="1">
      <c r="B9" s="251">
        <v>0.625</v>
      </c>
      <c r="C9" s="58"/>
      <c r="D9" s="58"/>
      <c r="E9" s="58"/>
      <c r="F9" s="58"/>
      <c r="G9" s="58"/>
      <c r="H9" s="58"/>
      <c r="I9" s="58"/>
      <c r="J9" s="58"/>
      <c r="K9" s="58"/>
      <c r="L9" s="126"/>
      <c r="M9" s="141" t="s">
        <v>21</v>
      </c>
      <c r="N9" s="136"/>
      <c r="O9" s="144"/>
    </row>
    <row r="10" spans="1:15" s="49" customFormat="1" ht="105.75" customHeight="1" thickBot="1">
      <c r="B10" s="252">
        <v>0.66666666666666663</v>
      </c>
      <c r="C10" s="58"/>
      <c r="D10" s="58"/>
      <c r="E10" s="58"/>
      <c r="F10" s="58"/>
      <c r="G10" s="58"/>
      <c r="H10" s="58"/>
      <c r="I10" s="58"/>
      <c r="J10" s="58"/>
      <c r="K10" s="58"/>
      <c r="L10" s="126"/>
      <c r="M10" s="140"/>
      <c r="N10" s="136"/>
      <c r="O10" s="144"/>
    </row>
    <row r="11" spans="1:15" s="49" customFormat="1" ht="105.75" customHeight="1" thickBot="1">
      <c r="B11" s="251">
        <v>0.70833333333333337</v>
      </c>
      <c r="C11" s="58"/>
      <c r="D11" s="58"/>
      <c r="E11" s="58"/>
      <c r="F11" s="58"/>
      <c r="G11" s="58"/>
      <c r="H11" s="58"/>
      <c r="I11" s="58"/>
      <c r="J11" s="58"/>
      <c r="K11" s="58"/>
      <c r="L11" s="126"/>
      <c r="M11" s="140"/>
      <c r="N11" s="147"/>
      <c r="O11" s="144"/>
    </row>
    <row r="12" spans="1:15" s="49" customFormat="1" ht="105.75" customHeight="1" thickBot="1">
      <c r="B12" s="252">
        <v>0.75</v>
      </c>
      <c r="C12" s="58"/>
      <c r="D12" s="58"/>
      <c r="E12" s="58"/>
      <c r="F12" s="58"/>
      <c r="G12" s="58"/>
      <c r="H12" s="58"/>
      <c r="I12" s="58"/>
      <c r="J12" s="58"/>
      <c r="K12" s="58"/>
      <c r="L12" s="126"/>
      <c r="M12" s="140"/>
      <c r="N12" s="147"/>
      <c r="O12" s="144"/>
    </row>
    <row r="13" spans="1:15" s="49" customFormat="1" ht="105.75" customHeight="1" thickBot="1">
      <c r="B13" s="251">
        <v>0.79166666666666663</v>
      </c>
      <c r="C13" s="58"/>
      <c r="D13" s="58"/>
      <c r="E13" s="58"/>
      <c r="F13" s="58"/>
      <c r="G13" s="58"/>
      <c r="H13" s="58"/>
      <c r="I13" s="58"/>
      <c r="J13" s="58"/>
      <c r="K13" s="58"/>
      <c r="L13" s="126"/>
      <c r="M13" s="140"/>
      <c r="N13" s="147"/>
      <c r="O13" s="144"/>
    </row>
    <row r="14" spans="1:15" s="49" customFormat="1" ht="105.75" customHeight="1" thickBot="1">
      <c r="B14" s="248">
        <v>0.83333333333333337</v>
      </c>
      <c r="C14" s="58"/>
      <c r="D14" s="58"/>
      <c r="E14" s="58"/>
      <c r="F14" s="58"/>
      <c r="G14" s="58"/>
      <c r="H14" s="58"/>
      <c r="I14" s="58"/>
      <c r="J14" s="58"/>
      <c r="K14" s="58"/>
      <c r="L14" s="126"/>
      <c r="M14" s="148"/>
      <c r="N14" s="139"/>
      <c r="O14" s="144"/>
    </row>
    <row r="15" spans="1:15" s="49" customFormat="1" ht="105.75" customHeight="1" thickBot="1">
      <c r="B15" s="243" t="s">
        <v>9</v>
      </c>
      <c r="C15" s="111" t="s">
        <v>10</v>
      </c>
      <c r="D15" s="112">
        <f>H3+5</f>
        <v>43591</v>
      </c>
      <c r="E15" s="111" t="s">
        <v>11</v>
      </c>
      <c r="F15" s="112">
        <f>H3+6</f>
        <v>43592</v>
      </c>
      <c r="G15" s="111" t="s">
        <v>12</v>
      </c>
      <c r="H15" s="112">
        <f>H3+7</f>
        <v>43593</v>
      </c>
      <c r="I15" s="111" t="s">
        <v>13</v>
      </c>
      <c r="J15" s="114">
        <f>H3+8</f>
        <v>43594</v>
      </c>
      <c r="K15" s="111" t="s">
        <v>14</v>
      </c>
      <c r="L15" s="114">
        <f>H3+9</f>
        <v>43595</v>
      </c>
      <c r="M15" s="113" t="s">
        <v>15</v>
      </c>
      <c r="N15" s="130">
        <f>H3+10</f>
        <v>43596</v>
      </c>
    </row>
    <row r="16" spans="1:15" s="49" customFormat="1" ht="105.75" customHeight="1" thickBot="1">
      <c r="B16" s="98"/>
      <c r="C16" s="206"/>
      <c r="D16" s="206"/>
      <c r="E16" s="206" t="s">
        <v>16</v>
      </c>
      <c r="F16" s="206"/>
      <c r="G16" s="206" t="s">
        <v>16</v>
      </c>
      <c r="H16" s="206" t="s">
        <v>17</v>
      </c>
      <c r="I16" s="206" t="s">
        <v>16</v>
      </c>
      <c r="J16" s="206" t="s">
        <v>17</v>
      </c>
      <c r="K16" s="206" t="s">
        <v>16</v>
      </c>
      <c r="L16" s="206" t="s">
        <v>17</v>
      </c>
      <c r="M16" s="206" t="s">
        <v>16</v>
      </c>
      <c r="N16" s="206" t="s">
        <v>17</v>
      </c>
    </row>
    <row r="17" spans="2:15" s="49" customFormat="1" ht="105.75" customHeight="1" thickBot="1">
      <c r="B17" s="249">
        <v>0.45833333333333331</v>
      </c>
      <c r="C17" s="58"/>
      <c r="D17" s="126"/>
      <c r="E17" s="131"/>
      <c r="F17" s="132"/>
      <c r="G17" s="143"/>
      <c r="H17" s="132"/>
      <c r="I17" s="140"/>
      <c r="J17" s="147"/>
      <c r="K17" s="131"/>
      <c r="L17" s="132"/>
      <c r="M17" s="145" t="s">
        <v>18</v>
      </c>
      <c r="N17" s="132"/>
      <c r="O17" s="144"/>
    </row>
    <row r="18" spans="2:15" s="49" customFormat="1" ht="105.75" customHeight="1" thickBot="1">
      <c r="B18" s="250">
        <v>0.5</v>
      </c>
      <c r="C18" s="58"/>
      <c r="D18" s="126"/>
      <c r="E18" s="140"/>
      <c r="F18" s="147"/>
      <c r="G18" s="133" t="s">
        <v>19</v>
      </c>
      <c r="H18" s="134"/>
      <c r="I18" s="133"/>
      <c r="J18" s="134"/>
      <c r="K18" s="133"/>
      <c r="L18" s="134"/>
      <c r="M18" s="137" t="s">
        <v>18</v>
      </c>
      <c r="N18" s="136"/>
      <c r="O18" s="144"/>
    </row>
    <row r="19" spans="2:15" s="49" customFormat="1" ht="105.75" customHeight="1" thickBot="1">
      <c r="B19" s="251">
        <v>0.54166666666666663</v>
      </c>
      <c r="C19" s="58"/>
      <c r="D19" s="126"/>
      <c r="E19" s="140"/>
      <c r="F19" s="147"/>
      <c r="G19" s="135" t="s">
        <v>20</v>
      </c>
      <c r="H19" s="134"/>
      <c r="I19" s="135" t="s">
        <v>20</v>
      </c>
      <c r="J19" s="134"/>
      <c r="K19" s="135" t="s">
        <v>20</v>
      </c>
      <c r="L19" s="134"/>
      <c r="M19" s="135" t="s">
        <v>20</v>
      </c>
      <c r="N19" s="136"/>
      <c r="O19" s="144"/>
    </row>
    <row r="20" spans="2:15" s="49" customFormat="1" ht="105.75" customHeight="1" thickBot="1">
      <c r="B20" s="252">
        <v>0.58333333333333337</v>
      </c>
      <c r="C20" s="58"/>
      <c r="D20" s="126"/>
      <c r="E20" s="140"/>
      <c r="F20" s="147"/>
      <c r="G20" s="133" t="s">
        <v>21</v>
      </c>
      <c r="H20" s="134"/>
      <c r="I20" s="133" t="s">
        <v>22</v>
      </c>
      <c r="J20" s="134"/>
      <c r="K20" s="135" t="s">
        <v>20</v>
      </c>
      <c r="L20" s="134"/>
      <c r="M20" s="141" t="s">
        <v>56</v>
      </c>
      <c r="N20" s="146"/>
      <c r="O20" s="144"/>
    </row>
    <row r="21" spans="2:15" s="49" customFormat="1" ht="105.75" customHeight="1" thickBot="1">
      <c r="B21" s="251">
        <v>0.625</v>
      </c>
      <c r="C21" s="58"/>
      <c r="D21" s="126"/>
      <c r="E21" s="140"/>
      <c r="F21" s="147"/>
      <c r="G21" s="140"/>
      <c r="H21" s="136"/>
      <c r="I21" s="133" t="s">
        <v>21</v>
      </c>
      <c r="J21" s="136"/>
      <c r="K21" s="133"/>
      <c r="L21" s="136"/>
      <c r="M21" s="141" t="s">
        <v>21</v>
      </c>
      <c r="N21" s="136"/>
      <c r="O21" s="144"/>
    </row>
    <row r="22" spans="2:15" s="49" customFormat="1" ht="105.75" customHeight="1" thickBot="1">
      <c r="B22" s="252">
        <v>0.66666666666666663</v>
      </c>
      <c r="C22" s="58"/>
      <c r="D22" s="126"/>
      <c r="E22" s="140"/>
      <c r="F22" s="147"/>
      <c r="G22" s="137" t="s">
        <v>23</v>
      </c>
      <c r="H22" s="136"/>
      <c r="I22" s="137" t="s">
        <v>23</v>
      </c>
      <c r="J22" s="136"/>
      <c r="K22" s="140"/>
      <c r="L22" s="136"/>
      <c r="M22" s="140"/>
      <c r="N22" s="136"/>
      <c r="O22" s="144"/>
    </row>
    <row r="23" spans="2:15" s="49" customFormat="1" ht="105.75" customHeight="1" thickBot="1">
      <c r="B23" s="251">
        <v>0.70833333333333337</v>
      </c>
      <c r="C23" s="58"/>
      <c r="D23" s="126"/>
      <c r="E23" s="140"/>
      <c r="F23" s="147"/>
      <c r="G23" s="137" t="s">
        <v>24</v>
      </c>
      <c r="H23" s="136"/>
      <c r="I23" s="137" t="s">
        <v>24</v>
      </c>
      <c r="J23" s="136"/>
      <c r="K23" s="140"/>
      <c r="L23" s="136"/>
      <c r="M23" s="140"/>
      <c r="N23" s="147"/>
      <c r="O23" s="144"/>
    </row>
    <row r="24" spans="2:15" s="49" customFormat="1" ht="105.75" customHeight="1" thickBot="1">
      <c r="B24" s="252">
        <v>0.75</v>
      </c>
      <c r="C24" s="58"/>
      <c r="D24" s="126"/>
      <c r="E24" s="140"/>
      <c r="F24" s="147"/>
      <c r="G24" s="137" t="s">
        <v>18</v>
      </c>
      <c r="H24" s="136"/>
      <c r="I24" s="137" t="s">
        <v>18</v>
      </c>
      <c r="J24" s="136"/>
      <c r="K24" s="140"/>
      <c r="L24" s="136"/>
      <c r="M24" s="140"/>
      <c r="N24" s="147"/>
      <c r="O24" s="144"/>
    </row>
    <row r="25" spans="2:15" s="49" customFormat="1" ht="105.75" customHeight="1" thickBot="1">
      <c r="B25" s="251">
        <v>0.79166666666666663</v>
      </c>
      <c r="C25" s="58"/>
      <c r="D25" s="126"/>
      <c r="E25" s="141" t="s">
        <v>25</v>
      </c>
      <c r="F25" s="147"/>
      <c r="G25" s="135" t="s">
        <v>20</v>
      </c>
      <c r="H25" s="136"/>
      <c r="I25" s="215" t="s">
        <v>45</v>
      </c>
      <c r="J25" s="136"/>
      <c r="K25" s="141" t="s">
        <v>19</v>
      </c>
      <c r="L25" s="136"/>
      <c r="M25" s="140"/>
      <c r="N25" s="147"/>
      <c r="O25" s="144"/>
    </row>
    <row r="26" spans="2:15" s="49" customFormat="1" ht="105.75" customHeight="1" thickBot="1">
      <c r="B26" s="248">
        <v>0.83333333333333337</v>
      </c>
      <c r="C26" s="58"/>
      <c r="D26" s="126"/>
      <c r="E26" s="138" t="s">
        <v>19</v>
      </c>
      <c r="F26" s="139"/>
      <c r="G26" s="138" t="s">
        <v>21</v>
      </c>
      <c r="H26" s="139"/>
      <c r="I26" s="141" t="s">
        <v>26</v>
      </c>
      <c r="J26" s="147"/>
      <c r="K26" s="137" t="s">
        <v>45</v>
      </c>
      <c r="L26" s="139"/>
      <c r="M26" s="148"/>
      <c r="N26" s="139"/>
      <c r="O26" s="144"/>
    </row>
    <row r="27" spans="2:15" s="49" customFormat="1" ht="105.75" customHeight="1" thickBot="1">
      <c r="B27" s="243" t="s">
        <v>9</v>
      </c>
      <c r="C27" s="111" t="s">
        <v>10</v>
      </c>
      <c r="D27" s="112">
        <f>D15+7</f>
        <v>43598</v>
      </c>
      <c r="E27" s="113" t="s">
        <v>11</v>
      </c>
      <c r="F27" s="120">
        <f>F15+7</f>
        <v>43599</v>
      </c>
      <c r="G27" s="113" t="s">
        <v>12</v>
      </c>
      <c r="H27" s="120">
        <f>H15+7</f>
        <v>43600</v>
      </c>
      <c r="I27" s="111" t="s">
        <v>13</v>
      </c>
      <c r="J27" s="114">
        <f>J15+7</f>
        <v>43601</v>
      </c>
      <c r="K27" s="113" t="s">
        <v>14</v>
      </c>
      <c r="L27" s="130">
        <f>L15+7</f>
        <v>43602</v>
      </c>
      <c r="M27" s="113" t="s">
        <v>15</v>
      </c>
      <c r="N27" s="130">
        <f>N15+7</f>
        <v>43603</v>
      </c>
    </row>
    <row r="28" spans="2:15" s="49" customFormat="1" ht="105.75" customHeight="1" thickBot="1">
      <c r="B28" s="98"/>
      <c r="C28" s="206"/>
      <c r="D28" s="206"/>
      <c r="E28" s="206" t="s">
        <v>16</v>
      </c>
      <c r="F28" s="206"/>
      <c r="G28" s="206" t="s">
        <v>16</v>
      </c>
      <c r="H28" s="206" t="s">
        <v>17</v>
      </c>
      <c r="I28" s="206" t="s">
        <v>16</v>
      </c>
      <c r="J28" s="206" t="s">
        <v>17</v>
      </c>
      <c r="K28" s="206" t="s">
        <v>16</v>
      </c>
      <c r="L28" s="206" t="s">
        <v>17</v>
      </c>
      <c r="M28" s="206" t="s">
        <v>16</v>
      </c>
      <c r="N28" s="206" t="s">
        <v>17</v>
      </c>
    </row>
    <row r="29" spans="2:15" s="49" customFormat="1" ht="105.75" customHeight="1" thickBot="1">
      <c r="B29" s="249">
        <v>0.45833333333333331</v>
      </c>
      <c r="C29" s="58"/>
      <c r="D29" s="126"/>
      <c r="E29" s="131"/>
      <c r="F29" s="132"/>
      <c r="G29" s="143"/>
      <c r="H29" s="132"/>
      <c r="I29" s="131"/>
      <c r="J29" s="132"/>
      <c r="K29" s="131"/>
      <c r="L29" s="132"/>
      <c r="M29" s="145" t="s">
        <v>18</v>
      </c>
      <c r="N29" s="132"/>
      <c r="O29" s="144"/>
    </row>
    <row r="30" spans="2:15" s="49" customFormat="1" ht="105.75" customHeight="1" thickBot="1">
      <c r="B30" s="250">
        <v>0.5</v>
      </c>
      <c r="C30" s="58"/>
      <c r="D30" s="126"/>
      <c r="E30" s="140"/>
      <c r="F30" s="147"/>
      <c r="G30" s="133" t="s">
        <v>19</v>
      </c>
      <c r="H30" s="134"/>
      <c r="I30" s="133"/>
      <c r="J30" s="134"/>
      <c r="K30" s="133"/>
      <c r="L30" s="134"/>
      <c r="M30" s="137" t="s">
        <v>18</v>
      </c>
      <c r="N30" s="136"/>
      <c r="O30" s="144"/>
    </row>
    <row r="31" spans="2:15" s="49" customFormat="1" ht="105.75" customHeight="1" thickBot="1">
      <c r="B31" s="251">
        <v>0.54166666666666663</v>
      </c>
      <c r="C31" s="58"/>
      <c r="D31" s="126"/>
      <c r="E31" s="140"/>
      <c r="F31" s="147"/>
      <c r="G31" s="135" t="s">
        <v>20</v>
      </c>
      <c r="H31" s="134"/>
      <c r="I31" s="135" t="s">
        <v>20</v>
      </c>
      <c r="J31" s="134"/>
      <c r="K31" s="135" t="s">
        <v>20</v>
      </c>
      <c r="L31" s="134"/>
      <c r="M31" s="135" t="s">
        <v>20</v>
      </c>
      <c r="N31" s="136"/>
      <c r="O31" s="144"/>
    </row>
    <row r="32" spans="2:15" s="49" customFormat="1" ht="105.75" customHeight="1" thickBot="1">
      <c r="B32" s="252">
        <v>0.58333333333333337</v>
      </c>
      <c r="C32" s="58"/>
      <c r="D32" s="126"/>
      <c r="E32" s="140"/>
      <c r="F32" s="147"/>
      <c r="G32" s="133" t="s">
        <v>21</v>
      </c>
      <c r="H32" s="134"/>
      <c r="I32" s="133" t="s">
        <v>22</v>
      </c>
      <c r="J32" s="134"/>
      <c r="K32" s="135" t="s">
        <v>20</v>
      </c>
      <c r="L32" s="134"/>
      <c r="M32" s="141" t="s">
        <v>56</v>
      </c>
      <c r="N32" s="146"/>
      <c r="O32" s="144"/>
    </row>
    <row r="33" spans="2:15" s="49" customFormat="1" ht="105.75" customHeight="1" thickBot="1">
      <c r="B33" s="251">
        <v>0.625</v>
      </c>
      <c r="C33" s="58"/>
      <c r="D33" s="126"/>
      <c r="E33" s="140"/>
      <c r="F33" s="147"/>
      <c r="G33" s="140"/>
      <c r="H33" s="136"/>
      <c r="I33" s="133" t="s">
        <v>21</v>
      </c>
      <c r="J33" s="136"/>
      <c r="K33" s="133"/>
      <c r="L33" s="136"/>
      <c r="M33" s="141" t="s">
        <v>21</v>
      </c>
      <c r="N33" s="136"/>
      <c r="O33" s="144"/>
    </row>
    <row r="34" spans="2:15" s="49" customFormat="1" ht="105.75" customHeight="1" thickBot="1">
      <c r="B34" s="252">
        <v>0.66666666666666663</v>
      </c>
      <c r="C34" s="58"/>
      <c r="D34" s="126"/>
      <c r="E34" s="140"/>
      <c r="F34" s="147"/>
      <c r="G34" s="137" t="s">
        <v>23</v>
      </c>
      <c r="H34" s="136"/>
      <c r="I34" s="137" t="s">
        <v>23</v>
      </c>
      <c r="J34" s="136"/>
      <c r="K34" s="140"/>
      <c r="L34" s="136"/>
      <c r="M34" s="140"/>
      <c r="N34" s="136"/>
      <c r="O34" s="144"/>
    </row>
    <row r="35" spans="2:15" s="49" customFormat="1" ht="105.75" customHeight="1" thickBot="1">
      <c r="B35" s="251">
        <v>0.70833333333333337</v>
      </c>
      <c r="C35" s="58"/>
      <c r="D35" s="126"/>
      <c r="E35" s="140"/>
      <c r="F35" s="147"/>
      <c r="G35" s="137" t="s">
        <v>24</v>
      </c>
      <c r="H35" s="136"/>
      <c r="I35" s="137" t="s">
        <v>24</v>
      </c>
      <c r="J35" s="136"/>
      <c r="K35" s="140"/>
      <c r="L35" s="136"/>
      <c r="M35" s="140"/>
      <c r="N35" s="147"/>
      <c r="O35" s="144"/>
    </row>
    <row r="36" spans="2:15" s="49" customFormat="1" ht="105.75" customHeight="1" thickBot="1">
      <c r="B36" s="252">
        <v>0.75</v>
      </c>
      <c r="C36" s="58"/>
      <c r="D36" s="126"/>
      <c r="E36" s="140"/>
      <c r="F36" s="147"/>
      <c r="G36" s="137" t="s">
        <v>18</v>
      </c>
      <c r="H36" s="136"/>
      <c r="I36" s="137" t="s">
        <v>18</v>
      </c>
      <c r="J36" s="136"/>
      <c r="K36" s="140"/>
      <c r="L36" s="136"/>
      <c r="M36" s="140"/>
      <c r="N36" s="147"/>
      <c r="O36" s="144"/>
    </row>
    <row r="37" spans="2:15" s="49" customFormat="1" ht="105.75" customHeight="1" thickBot="1">
      <c r="B37" s="251">
        <v>0.79166666666666663</v>
      </c>
      <c r="C37" s="58"/>
      <c r="D37" s="126"/>
      <c r="E37" s="141" t="s">
        <v>25</v>
      </c>
      <c r="F37" s="147"/>
      <c r="G37" s="135" t="s">
        <v>20</v>
      </c>
      <c r="H37" s="136"/>
      <c r="I37" s="215" t="s">
        <v>45</v>
      </c>
      <c r="J37" s="136"/>
      <c r="K37" s="141" t="s">
        <v>19</v>
      </c>
      <c r="L37" s="136"/>
      <c r="M37" s="140"/>
      <c r="N37" s="147"/>
      <c r="O37" s="144"/>
    </row>
    <row r="38" spans="2:15" s="49" customFormat="1" ht="105.75" customHeight="1" thickBot="1">
      <c r="B38" s="248">
        <v>0.83333333333333337</v>
      </c>
      <c r="C38" s="58"/>
      <c r="D38" s="126"/>
      <c r="E38" s="138" t="s">
        <v>19</v>
      </c>
      <c r="F38" s="139"/>
      <c r="G38" s="138" t="s">
        <v>21</v>
      </c>
      <c r="H38" s="139"/>
      <c r="I38" s="138" t="s">
        <v>26</v>
      </c>
      <c r="J38" s="139"/>
      <c r="K38" s="137" t="s">
        <v>45</v>
      </c>
      <c r="L38" s="139"/>
      <c r="M38" s="148"/>
      <c r="N38" s="139"/>
      <c r="O38" s="144"/>
    </row>
    <row r="39" spans="2:15" s="49" customFormat="1" ht="105.75" customHeight="1" thickBot="1">
      <c r="B39" s="243" t="s">
        <v>9</v>
      </c>
      <c r="C39" s="111" t="s">
        <v>10</v>
      </c>
      <c r="D39" s="112">
        <f>D27+7</f>
        <v>43605</v>
      </c>
      <c r="E39" s="113" t="s">
        <v>11</v>
      </c>
      <c r="F39" s="120">
        <f>F27+7</f>
        <v>43606</v>
      </c>
      <c r="G39" s="113" t="s">
        <v>12</v>
      </c>
      <c r="H39" s="120">
        <f>H27+7</f>
        <v>43607</v>
      </c>
      <c r="I39" s="113" t="s">
        <v>13</v>
      </c>
      <c r="J39" s="130">
        <f>J27+7</f>
        <v>43608</v>
      </c>
      <c r="K39" s="113" t="s">
        <v>14</v>
      </c>
      <c r="L39" s="130">
        <f>L27+7</f>
        <v>43609</v>
      </c>
      <c r="M39" s="113" t="s">
        <v>15</v>
      </c>
      <c r="N39" s="130">
        <f>N27+7</f>
        <v>43610</v>
      </c>
    </row>
    <row r="40" spans="2:15" s="49" customFormat="1" ht="105.75" customHeight="1" thickBot="1">
      <c r="B40" s="98"/>
      <c r="C40" s="206"/>
      <c r="D40" s="206"/>
      <c r="E40" s="206" t="s">
        <v>16</v>
      </c>
      <c r="F40" s="206"/>
      <c r="G40" s="206" t="s">
        <v>16</v>
      </c>
      <c r="H40" s="206" t="s">
        <v>17</v>
      </c>
      <c r="I40" s="206" t="s">
        <v>16</v>
      </c>
      <c r="J40" s="206" t="s">
        <v>17</v>
      </c>
      <c r="K40" s="206" t="s">
        <v>16</v>
      </c>
      <c r="L40" s="206" t="s">
        <v>17</v>
      </c>
      <c r="M40" s="206" t="s">
        <v>16</v>
      </c>
      <c r="N40" s="206"/>
    </row>
    <row r="41" spans="2:15" s="49" customFormat="1" ht="105.75" customHeight="1" thickBot="1">
      <c r="B41" s="249">
        <v>0.45833333333333331</v>
      </c>
      <c r="C41" s="58"/>
      <c r="D41" s="126"/>
      <c r="E41" s="131"/>
      <c r="F41" s="132"/>
      <c r="G41" s="143"/>
      <c r="H41" s="132"/>
      <c r="I41" s="131"/>
      <c r="J41" s="132"/>
      <c r="K41" s="131"/>
      <c r="L41" s="132"/>
      <c r="M41" s="145" t="s">
        <v>18</v>
      </c>
      <c r="N41" s="132"/>
      <c r="O41" s="144"/>
    </row>
    <row r="42" spans="2:15" s="49" customFormat="1" ht="105.75" customHeight="1" thickBot="1">
      <c r="B42" s="250">
        <v>0.5</v>
      </c>
      <c r="C42" s="58"/>
      <c r="D42" s="126"/>
      <c r="E42" s="140"/>
      <c r="F42" s="147"/>
      <c r="G42" s="133" t="s">
        <v>19</v>
      </c>
      <c r="H42" s="134"/>
      <c r="I42" s="133"/>
      <c r="J42" s="134"/>
      <c r="K42" s="133"/>
      <c r="L42" s="134"/>
      <c r="M42" s="137" t="s">
        <v>18</v>
      </c>
      <c r="N42" s="136"/>
      <c r="O42" s="144"/>
    </row>
    <row r="43" spans="2:15" s="49" customFormat="1" ht="105.75" customHeight="1" thickBot="1">
      <c r="B43" s="251">
        <v>0.54166666666666663</v>
      </c>
      <c r="C43" s="58"/>
      <c r="D43" s="126"/>
      <c r="E43" s="140"/>
      <c r="F43" s="147"/>
      <c r="G43" s="135" t="s">
        <v>20</v>
      </c>
      <c r="H43" s="134"/>
      <c r="I43" s="135" t="s">
        <v>20</v>
      </c>
      <c r="J43" s="134"/>
      <c r="K43" s="135" t="s">
        <v>20</v>
      </c>
      <c r="L43" s="134"/>
      <c r="M43" s="135" t="s">
        <v>20</v>
      </c>
      <c r="N43" s="136"/>
      <c r="O43" s="144"/>
    </row>
    <row r="44" spans="2:15" s="49" customFormat="1" ht="105.75" customHeight="1" thickBot="1">
      <c r="B44" s="252">
        <v>0.58333333333333337</v>
      </c>
      <c r="C44" s="58"/>
      <c r="D44" s="126"/>
      <c r="E44" s="140"/>
      <c r="F44" s="147"/>
      <c r="G44" s="133" t="s">
        <v>21</v>
      </c>
      <c r="H44" s="134"/>
      <c r="I44" s="133" t="s">
        <v>22</v>
      </c>
      <c r="J44" s="134"/>
      <c r="K44" s="135" t="s">
        <v>20</v>
      </c>
      <c r="L44" s="134"/>
      <c r="M44" s="141" t="s">
        <v>56</v>
      </c>
      <c r="N44" s="210" t="s">
        <v>43</v>
      </c>
      <c r="O44" s="144"/>
    </row>
    <row r="45" spans="2:15" s="49" customFormat="1" ht="105.75" customHeight="1" thickBot="1">
      <c r="B45" s="251">
        <v>0.625</v>
      </c>
      <c r="C45" s="58"/>
      <c r="D45" s="126"/>
      <c r="E45" s="140"/>
      <c r="F45" s="147"/>
      <c r="G45" s="140"/>
      <c r="H45" s="136"/>
      <c r="I45" s="133" t="s">
        <v>21</v>
      </c>
      <c r="J45" s="136"/>
      <c r="K45" s="133"/>
      <c r="L45" s="136"/>
      <c r="M45" s="141" t="s">
        <v>21</v>
      </c>
      <c r="N45" s="210" t="s">
        <v>44</v>
      </c>
      <c r="O45" s="144"/>
    </row>
    <row r="46" spans="2:15" s="49" customFormat="1" ht="105.75" customHeight="1" thickBot="1">
      <c r="B46" s="252">
        <v>0.66666666666666663</v>
      </c>
      <c r="C46" s="58"/>
      <c r="D46" s="126"/>
      <c r="E46" s="140"/>
      <c r="F46" s="147"/>
      <c r="G46" s="137" t="s">
        <v>23</v>
      </c>
      <c r="H46" s="136"/>
      <c r="I46" s="137" t="s">
        <v>23</v>
      </c>
      <c r="J46" s="136"/>
      <c r="K46" s="140"/>
      <c r="L46" s="136"/>
      <c r="M46" s="140"/>
      <c r="N46" s="136"/>
      <c r="O46" s="144"/>
    </row>
    <row r="47" spans="2:15" s="49" customFormat="1" ht="105.75" customHeight="1" thickBot="1">
      <c r="B47" s="251">
        <v>0.70833333333333337</v>
      </c>
      <c r="C47" s="58"/>
      <c r="D47" s="126"/>
      <c r="E47" s="140"/>
      <c r="F47" s="147"/>
      <c r="G47" s="137" t="s">
        <v>24</v>
      </c>
      <c r="H47" s="136"/>
      <c r="I47" s="137" t="s">
        <v>24</v>
      </c>
      <c r="J47" s="136"/>
      <c r="K47" s="140"/>
      <c r="L47" s="136"/>
      <c r="M47" s="140"/>
      <c r="N47" s="147"/>
      <c r="O47" s="144"/>
    </row>
    <row r="48" spans="2:15" s="49" customFormat="1" ht="105.75" customHeight="1" thickBot="1">
      <c r="B48" s="252">
        <v>0.75</v>
      </c>
      <c r="C48" s="58"/>
      <c r="D48" s="126"/>
      <c r="E48" s="140"/>
      <c r="F48" s="147"/>
      <c r="G48" s="137" t="s">
        <v>18</v>
      </c>
      <c r="H48" s="136"/>
      <c r="I48" s="137" t="s">
        <v>18</v>
      </c>
      <c r="J48" s="136"/>
      <c r="K48" s="140"/>
      <c r="L48" s="136"/>
      <c r="M48" s="140"/>
      <c r="N48" s="147"/>
      <c r="O48" s="144"/>
    </row>
    <row r="49" spans="2:15" s="49" customFormat="1" ht="105.75" customHeight="1" thickBot="1">
      <c r="B49" s="251">
        <v>0.79166666666666663</v>
      </c>
      <c r="C49" s="58"/>
      <c r="D49" s="126"/>
      <c r="E49" s="141" t="s">
        <v>25</v>
      </c>
      <c r="F49" s="147"/>
      <c r="G49" s="135" t="s">
        <v>20</v>
      </c>
      <c r="H49" s="136"/>
      <c r="I49" s="215" t="s">
        <v>45</v>
      </c>
      <c r="J49" s="136"/>
      <c r="K49" s="141" t="s">
        <v>19</v>
      </c>
      <c r="L49" s="136"/>
      <c r="M49" s="140"/>
      <c r="N49" s="147"/>
      <c r="O49" s="144"/>
    </row>
    <row r="50" spans="2:15" s="49" customFormat="1" ht="105.75" customHeight="1" thickBot="1">
      <c r="B50" s="248">
        <v>0.83333333333333337</v>
      </c>
      <c r="C50" s="58"/>
      <c r="D50" s="126"/>
      <c r="E50" s="138" t="s">
        <v>19</v>
      </c>
      <c r="F50" s="139"/>
      <c r="G50" s="138" t="s">
        <v>21</v>
      </c>
      <c r="H50" s="139"/>
      <c r="I50" s="138" t="s">
        <v>26</v>
      </c>
      <c r="J50" s="139"/>
      <c r="K50" s="137" t="s">
        <v>45</v>
      </c>
      <c r="L50" s="139"/>
      <c r="M50" s="148"/>
      <c r="N50" s="139"/>
      <c r="O50" s="144"/>
    </row>
    <row r="51" spans="2:15" s="49" customFormat="1" ht="105.75" customHeight="1" thickBot="1">
      <c r="B51" s="243" t="s">
        <v>9</v>
      </c>
      <c r="C51" s="111" t="s">
        <v>10</v>
      </c>
      <c r="D51" s="112">
        <f>D39+7</f>
        <v>43612</v>
      </c>
      <c r="E51" s="113" t="s">
        <v>11</v>
      </c>
      <c r="F51" s="120">
        <f>F39+7</f>
        <v>43613</v>
      </c>
      <c r="G51" s="113" t="s">
        <v>12</v>
      </c>
      <c r="H51" s="120">
        <f>H39+7</f>
        <v>43614</v>
      </c>
      <c r="I51" s="113" t="s">
        <v>13</v>
      </c>
      <c r="J51" s="130">
        <f>J39+7</f>
        <v>43615</v>
      </c>
      <c r="K51" s="113" t="s">
        <v>14</v>
      </c>
      <c r="L51" s="130">
        <f>L39+7</f>
        <v>43616</v>
      </c>
      <c r="M51" s="154" t="s">
        <v>15</v>
      </c>
      <c r="N51" s="155">
        <f>N39+7</f>
        <v>43617</v>
      </c>
    </row>
    <row r="52" spans="2:15" s="49" customFormat="1" ht="105.75" customHeight="1" thickBot="1">
      <c r="B52" s="98"/>
      <c r="C52" s="206"/>
      <c r="D52" s="206"/>
      <c r="E52" s="206" t="s">
        <v>16</v>
      </c>
      <c r="F52" s="206"/>
      <c r="G52" s="206" t="s">
        <v>16</v>
      </c>
      <c r="H52" s="206" t="s">
        <v>17</v>
      </c>
      <c r="I52" s="206" t="s">
        <v>16</v>
      </c>
      <c r="J52" s="206" t="s">
        <v>17</v>
      </c>
      <c r="K52" s="206" t="s">
        <v>16</v>
      </c>
      <c r="L52" s="206" t="s">
        <v>17</v>
      </c>
      <c r="M52" s="206" t="s">
        <v>16</v>
      </c>
      <c r="N52" s="206" t="s">
        <v>17</v>
      </c>
    </row>
    <row r="53" spans="2:15" s="49" customFormat="1" ht="105.75" customHeight="1" thickBot="1">
      <c r="B53" s="249">
        <v>0.45833333333333331</v>
      </c>
      <c r="C53" s="58"/>
      <c r="D53" s="126"/>
      <c r="E53" s="131"/>
      <c r="F53" s="132"/>
      <c r="G53" s="143"/>
      <c r="H53" s="132"/>
      <c r="I53" s="131"/>
      <c r="J53" s="132"/>
      <c r="K53" s="131"/>
      <c r="L53" s="132"/>
      <c r="M53" s="145" t="s">
        <v>18</v>
      </c>
      <c r="N53" s="132"/>
      <c r="O53" s="144"/>
    </row>
    <row r="54" spans="2:15" s="49" customFormat="1" ht="105.75" customHeight="1" thickBot="1">
      <c r="B54" s="250">
        <v>0.5</v>
      </c>
      <c r="C54" s="58"/>
      <c r="D54" s="126"/>
      <c r="E54" s="140"/>
      <c r="F54" s="147"/>
      <c r="G54" s="133" t="s">
        <v>19</v>
      </c>
      <c r="H54" s="134"/>
      <c r="I54" s="133"/>
      <c r="J54" s="134"/>
      <c r="K54" s="133"/>
      <c r="L54" s="134"/>
      <c r="M54" s="137" t="s">
        <v>18</v>
      </c>
      <c r="N54" s="136"/>
      <c r="O54" s="144"/>
    </row>
    <row r="55" spans="2:15" s="49" customFormat="1" ht="105.75" customHeight="1" thickBot="1">
      <c r="B55" s="251">
        <v>0.54166666666666663</v>
      </c>
      <c r="C55" s="58"/>
      <c r="D55" s="126"/>
      <c r="E55" s="140"/>
      <c r="F55" s="147"/>
      <c r="G55" s="135" t="s">
        <v>20</v>
      </c>
      <c r="H55" s="134"/>
      <c r="I55" s="135" t="s">
        <v>20</v>
      </c>
      <c r="J55" s="134"/>
      <c r="K55" s="135" t="s">
        <v>20</v>
      </c>
      <c r="L55" s="134"/>
      <c r="M55" s="135" t="s">
        <v>20</v>
      </c>
      <c r="N55" s="136"/>
      <c r="O55" s="144"/>
    </row>
    <row r="56" spans="2:15" s="49" customFormat="1" ht="105.75" customHeight="1" thickBot="1">
      <c r="B56" s="252">
        <v>0.58333333333333337</v>
      </c>
      <c r="C56" s="58"/>
      <c r="D56" s="126"/>
      <c r="E56" s="140"/>
      <c r="F56" s="147"/>
      <c r="G56" s="133" t="s">
        <v>21</v>
      </c>
      <c r="H56" s="134"/>
      <c r="I56" s="133" t="s">
        <v>22</v>
      </c>
      <c r="J56" s="134"/>
      <c r="K56" s="135" t="s">
        <v>20</v>
      </c>
      <c r="L56" s="134"/>
      <c r="M56" s="141" t="s">
        <v>56</v>
      </c>
      <c r="N56" s="146"/>
      <c r="O56" s="144"/>
    </row>
    <row r="57" spans="2:15" s="49" customFormat="1" ht="105.75" customHeight="1" thickBot="1">
      <c r="B57" s="251">
        <v>0.625</v>
      </c>
      <c r="C57" s="58"/>
      <c r="D57" s="126"/>
      <c r="E57" s="140"/>
      <c r="F57" s="147"/>
      <c r="G57" s="140"/>
      <c r="H57" s="136"/>
      <c r="I57" s="133" t="s">
        <v>21</v>
      </c>
      <c r="J57" s="136"/>
      <c r="K57" s="133"/>
      <c r="L57" s="136"/>
      <c r="M57" s="141" t="s">
        <v>21</v>
      </c>
      <c r="N57" s="136"/>
      <c r="O57" s="144"/>
    </row>
    <row r="58" spans="2:15" s="49" customFormat="1" ht="105.75" customHeight="1" thickBot="1">
      <c r="B58" s="252">
        <v>0.66666666666666663</v>
      </c>
      <c r="C58" s="58"/>
      <c r="D58" s="126"/>
      <c r="E58" s="140"/>
      <c r="F58" s="147"/>
      <c r="G58" s="137" t="s">
        <v>23</v>
      </c>
      <c r="H58" s="136"/>
      <c r="I58" s="137" t="s">
        <v>23</v>
      </c>
      <c r="J58" s="136"/>
      <c r="K58" s="140"/>
      <c r="L58" s="136"/>
      <c r="M58" s="140"/>
      <c r="N58" s="136"/>
      <c r="O58" s="144"/>
    </row>
    <row r="59" spans="2:15" s="49" customFormat="1" ht="105.75" customHeight="1" thickBot="1">
      <c r="B59" s="251">
        <v>0.70833333333333337</v>
      </c>
      <c r="C59" s="58"/>
      <c r="D59" s="126"/>
      <c r="E59" s="140"/>
      <c r="F59" s="147"/>
      <c r="G59" s="137" t="s">
        <v>24</v>
      </c>
      <c r="H59" s="136"/>
      <c r="I59" s="137" t="s">
        <v>24</v>
      </c>
      <c r="J59" s="136"/>
      <c r="K59" s="140"/>
      <c r="L59" s="136"/>
      <c r="M59" s="140"/>
      <c r="N59" s="147"/>
      <c r="O59" s="144"/>
    </row>
    <row r="60" spans="2:15" s="49" customFormat="1" ht="105.75" customHeight="1" thickBot="1">
      <c r="B60" s="252">
        <v>0.75</v>
      </c>
      <c r="C60" s="58"/>
      <c r="D60" s="126"/>
      <c r="E60" s="140"/>
      <c r="F60" s="147"/>
      <c r="G60" s="137" t="s">
        <v>18</v>
      </c>
      <c r="H60" s="136"/>
      <c r="I60" s="137" t="s">
        <v>18</v>
      </c>
      <c r="J60" s="136"/>
      <c r="K60" s="140"/>
      <c r="L60" s="136"/>
      <c r="M60" s="140"/>
      <c r="N60" s="147"/>
      <c r="O60" s="144"/>
    </row>
    <row r="61" spans="2:15" s="49" customFormat="1" ht="105.75" customHeight="1" thickBot="1">
      <c r="B61" s="251">
        <v>0.79166666666666663</v>
      </c>
      <c r="C61" s="58"/>
      <c r="D61" s="126"/>
      <c r="E61" s="141" t="s">
        <v>25</v>
      </c>
      <c r="F61" s="147"/>
      <c r="G61" s="135" t="s">
        <v>20</v>
      </c>
      <c r="H61" s="136"/>
      <c r="I61" s="215" t="s">
        <v>45</v>
      </c>
      <c r="J61" s="136"/>
      <c r="K61" s="141" t="s">
        <v>19</v>
      </c>
      <c r="L61" s="136"/>
      <c r="M61" s="140"/>
      <c r="N61" s="147"/>
      <c r="O61" s="144"/>
    </row>
    <row r="62" spans="2:15" s="49" customFormat="1" ht="105.75" customHeight="1" thickBot="1">
      <c r="B62" s="248">
        <v>0.83333333333333337</v>
      </c>
      <c r="C62" s="58"/>
      <c r="D62" s="126"/>
      <c r="E62" s="138" t="s">
        <v>19</v>
      </c>
      <c r="F62" s="139"/>
      <c r="G62" s="138" t="s">
        <v>21</v>
      </c>
      <c r="H62" s="139"/>
      <c r="I62" s="138" t="s">
        <v>26</v>
      </c>
      <c r="J62" s="139"/>
      <c r="K62" s="137" t="s">
        <v>45</v>
      </c>
      <c r="L62" s="139"/>
      <c r="M62" s="148"/>
      <c r="N62" s="139"/>
      <c r="O62" s="144"/>
    </row>
    <row r="63" spans="2:15" ht="120.75" customHeight="1" thickBot="1">
      <c r="B63" s="268" t="s">
        <v>27</v>
      </c>
      <c r="C63" s="269"/>
      <c r="D63" s="269"/>
      <c r="E63" s="270"/>
      <c r="F63" s="270"/>
      <c r="G63" s="270"/>
      <c r="H63" s="270"/>
      <c r="I63" s="270"/>
      <c r="J63" s="270"/>
      <c r="K63" s="270"/>
      <c r="L63" s="270"/>
      <c r="M63" s="270"/>
      <c r="N63" s="271"/>
    </row>
    <row r="64" spans="2:15" ht="177" customHeight="1" thickBot="1">
      <c r="B64" s="101" t="s">
        <v>20</v>
      </c>
      <c r="C64" s="282" t="s">
        <v>28</v>
      </c>
      <c r="D64" s="283"/>
      <c r="E64" s="211" t="s">
        <v>46</v>
      </c>
      <c r="F64" s="212" t="s">
        <v>29</v>
      </c>
      <c r="G64" s="273" t="s">
        <v>49</v>
      </c>
      <c r="H64" s="274"/>
      <c r="I64" s="275"/>
      <c r="J64" s="212" t="s">
        <v>30</v>
      </c>
      <c r="K64" s="102"/>
      <c r="L64" s="102"/>
      <c r="M64" s="102"/>
      <c r="N64" s="102"/>
    </row>
  </sheetData>
  <mergeCells count="8">
    <mergeCell ref="B1:E1"/>
    <mergeCell ref="F1:G1"/>
    <mergeCell ref="B2:C2"/>
    <mergeCell ref="B63:N63"/>
    <mergeCell ref="C64:D64"/>
    <mergeCell ref="G64:I64"/>
    <mergeCell ref="I1:J1"/>
    <mergeCell ref="K1:L1"/>
  </mergeCells>
  <phoneticPr fontId="42"/>
  <dataValidations count="6">
    <dataValidation allowBlank="1" showInputMessage="1" showErrorMessage="1" prompt="Enter semester name in this cell" sqref="F1:G1" xr:uid="{00000000-0002-0000-0100-000000000000}"/>
    <dataValidation allowBlank="1" showInputMessage="1" showErrorMessage="1" prompt="Title of this worksheet is in this cell.  Enter semester name in cell at right" sqref="B1:E1" xr:uid="{00000000-0002-0000-0100-000001000000}"/>
    <dataValidation allowBlank="1" showInputMessage="1" showErrorMessage="1" prompt="Enter Start Time in cell at right" sqref="B2" xr:uid="{00000000-0002-0000-01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100-000003000000}"/>
    <dataValidation allowBlank="1" showInputMessage="1" showErrorMessage="1" prompt="Time is automatically updated in this column under this heading" sqref="B27:B28 B15:B16 B3:B4 B39:B40 B51:B52" xr:uid="{19D68212-1F68-E346-8B01-C057927F1CE9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51:N52 C3:N4 C39:N40 C15:N16" xr:uid="{00000000-0002-0000-0100-000005000000}"/>
  </dataValidations>
  <printOptions horizontalCentered="1" verticalCentered="1"/>
  <pageMargins left="7.0000000000000007E-2" right="7.0000000000000007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autoPageBreaks="0"/>
  </sheetPr>
  <dimension ref="A1:AJ65"/>
  <sheetViews>
    <sheetView showGridLines="0" showWhiteSpace="0" view="pageLayout" zoomScale="10" zoomScaleNormal="20" zoomScalePageLayoutView="10" workbookViewId="0">
      <selection activeCell="I1" sqref="I1:L1"/>
    </sheetView>
  </sheetViews>
  <sheetFormatPr defaultColWidth="8.69921875" defaultRowHeight="30" customHeight="1" thickBottom="1"/>
  <cols>
    <col min="1" max="1" width="1.8984375" customWidth="1"/>
    <col min="2" max="14" width="51.09765625" customWidth="1"/>
    <col min="15" max="15" width="8.8984375" customWidth="1"/>
  </cols>
  <sheetData>
    <row r="1" spans="1:15" ht="273.75" customHeight="1" thickBot="1">
      <c r="B1" s="284" t="s">
        <v>0</v>
      </c>
      <c r="C1" s="285"/>
      <c r="D1" s="285"/>
      <c r="E1" s="286"/>
      <c r="F1" s="264" t="s">
        <v>33</v>
      </c>
      <c r="G1" s="265"/>
      <c r="H1" s="80" t="s">
        <v>2</v>
      </c>
      <c r="I1" s="276" t="s">
        <v>3</v>
      </c>
      <c r="J1" s="277"/>
      <c r="K1" s="278" t="s">
        <v>4</v>
      </c>
      <c r="L1" s="279"/>
      <c r="M1" s="86"/>
    </row>
    <row r="2" spans="1:15" ht="172.5" customHeight="1" thickBot="1">
      <c r="A2" s="1"/>
      <c r="B2" s="287" t="s">
        <v>5</v>
      </c>
      <c r="C2" s="288"/>
      <c r="D2" s="289" t="s">
        <v>6</v>
      </c>
      <c r="E2" s="289"/>
      <c r="F2" s="221"/>
      <c r="G2" s="222"/>
      <c r="H2" s="223"/>
      <c r="I2" s="224" t="s">
        <v>7</v>
      </c>
      <c r="J2" s="225"/>
      <c r="K2" s="226" t="s">
        <v>8</v>
      </c>
      <c r="L2" s="227"/>
      <c r="M2" s="228">
        <v>43612</v>
      </c>
      <c r="N2" s="229"/>
    </row>
    <row r="3" spans="1:15" ht="97.5" customHeight="1" thickBot="1">
      <c r="B3" s="230" t="s">
        <v>9</v>
      </c>
      <c r="C3" s="231" t="s">
        <v>10</v>
      </c>
      <c r="D3" s="232">
        <f>M2</f>
        <v>43612</v>
      </c>
      <c r="E3" s="231" t="s">
        <v>11</v>
      </c>
      <c r="F3" s="232">
        <f>D3+1</f>
        <v>43613</v>
      </c>
      <c r="G3" s="233" t="s">
        <v>12</v>
      </c>
      <c r="H3" s="232">
        <f>D3+2</f>
        <v>43614</v>
      </c>
      <c r="I3" s="231" t="s">
        <v>13</v>
      </c>
      <c r="J3" s="232">
        <f>D3+3</f>
        <v>43615</v>
      </c>
      <c r="K3" s="231" t="s">
        <v>14</v>
      </c>
      <c r="L3" s="232">
        <f>D3+4</f>
        <v>43616</v>
      </c>
      <c r="M3" s="234" t="s">
        <v>15</v>
      </c>
      <c r="N3" s="235">
        <f>D3+5</f>
        <v>43617</v>
      </c>
    </row>
    <row r="4" spans="1:15" ht="97.5" customHeight="1" thickBot="1">
      <c r="B4" s="243" t="s">
        <v>9</v>
      </c>
      <c r="C4" s="242"/>
      <c r="D4" s="241"/>
      <c r="E4" s="240" t="s">
        <v>16</v>
      </c>
      <c r="F4" s="240" t="s">
        <v>16</v>
      </c>
      <c r="G4" s="240" t="s">
        <v>16</v>
      </c>
      <c r="H4" s="240" t="s">
        <v>17</v>
      </c>
      <c r="I4" s="240" t="s">
        <v>16</v>
      </c>
      <c r="J4" s="240" t="s">
        <v>17</v>
      </c>
      <c r="K4" s="240" t="s">
        <v>16</v>
      </c>
      <c r="L4" s="240" t="s">
        <v>17</v>
      </c>
      <c r="M4" s="236" t="s">
        <v>16</v>
      </c>
      <c r="N4" s="237" t="s">
        <v>17</v>
      </c>
      <c r="O4" s="179"/>
    </row>
    <row r="5" spans="1:15" ht="97.5" customHeight="1" thickBot="1">
      <c r="B5" s="98"/>
      <c r="C5" s="186"/>
      <c r="D5" s="186"/>
      <c r="E5" s="160"/>
      <c r="F5" s="161"/>
      <c r="G5" s="171"/>
      <c r="H5" s="161"/>
      <c r="I5" s="160"/>
      <c r="J5" s="161"/>
      <c r="K5" s="160"/>
      <c r="L5" s="161"/>
      <c r="M5" s="137" t="s">
        <v>18</v>
      </c>
      <c r="N5" s="147"/>
      <c r="O5" s="179"/>
    </row>
    <row r="6" spans="1:15" ht="97.5" customHeight="1" thickBot="1">
      <c r="B6" s="249">
        <v>0.45833333333333331</v>
      </c>
      <c r="C6" s="186"/>
      <c r="D6" s="186"/>
      <c r="E6" s="160"/>
      <c r="F6" s="165" t="s">
        <v>20</v>
      </c>
      <c r="G6" s="171" t="s">
        <v>19</v>
      </c>
      <c r="H6" s="172"/>
      <c r="I6" s="171"/>
      <c r="J6" s="172"/>
      <c r="K6" s="171"/>
      <c r="L6" s="172"/>
      <c r="M6" s="137" t="s">
        <v>18</v>
      </c>
      <c r="N6" s="136"/>
      <c r="O6" s="179"/>
    </row>
    <row r="7" spans="1:15" ht="97.5" customHeight="1" thickBot="1">
      <c r="B7" s="250">
        <v>0.5</v>
      </c>
      <c r="C7" s="186"/>
      <c r="D7" s="186"/>
      <c r="E7" s="160"/>
      <c r="F7" s="165" t="s">
        <v>20</v>
      </c>
      <c r="G7" s="173" t="s">
        <v>20</v>
      </c>
      <c r="H7" s="172"/>
      <c r="I7" s="173" t="s">
        <v>20</v>
      </c>
      <c r="J7" s="172"/>
      <c r="K7" s="173" t="s">
        <v>20</v>
      </c>
      <c r="L7" s="172"/>
      <c r="M7" s="135" t="s">
        <v>20</v>
      </c>
      <c r="N7" s="136"/>
      <c r="O7" s="179"/>
    </row>
    <row r="8" spans="1:15" ht="97.5" customHeight="1" thickBot="1">
      <c r="B8" s="251">
        <v>0.54166666666666663</v>
      </c>
      <c r="C8" s="186"/>
      <c r="D8" s="186"/>
      <c r="E8" s="160"/>
      <c r="F8" s="165" t="s">
        <v>20</v>
      </c>
      <c r="G8" s="171" t="s">
        <v>21</v>
      </c>
      <c r="H8" s="172"/>
      <c r="I8" s="171" t="s">
        <v>22</v>
      </c>
      <c r="J8" s="172"/>
      <c r="K8" s="173" t="s">
        <v>20</v>
      </c>
      <c r="L8" s="172"/>
      <c r="M8" s="141" t="s">
        <v>56</v>
      </c>
      <c r="N8" s="146"/>
      <c r="O8" s="179"/>
    </row>
    <row r="9" spans="1:15" ht="97.5" customHeight="1" thickBot="1">
      <c r="B9" s="252">
        <v>0.58333333333333337</v>
      </c>
      <c r="C9" s="186"/>
      <c r="D9" s="186"/>
      <c r="E9" s="160"/>
      <c r="F9" s="165" t="s">
        <v>20</v>
      </c>
      <c r="G9" s="160"/>
      <c r="H9" s="174"/>
      <c r="I9" s="171" t="s">
        <v>21</v>
      </c>
      <c r="J9" s="174"/>
      <c r="K9" s="171"/>
      <c r="L9" s="174"/>
      <c r="M9" s="215" t="s">
        <v>47</v>
      </c>
      <c r="N9" s="136"/>
      <c r="O9" s="179"/>
    </row>
    <row r="10" spans="1:15" ht="97.5" customHeight="1" thickBot="1">
      <c r="B10" s="251">
        <v>0.625</v>
      </c>
      <c r="C10" s="186"/>
      <c r="D10" s="186"/>
      <c r="E10" s="160"/>
      <c r="F10" s="166" t="s">
        <v>23</v>
      </c>
      <c r="G10" s="175" t="s">
        <v>23</v>
      </c>
      <c r="H10" s="174"/>
      <c r="I10" s="175" t="s">
        <v>23</v>
      </c>
      <c r="J10" s="174"/>
      <c r="K10" s="160"/>
      <c r="L10" s="174"/>
      <c r="M10" s="140"/>
      <c r="N10" s="136"/>
      <c r="O10" s="179"/>
    </row>
    <row r="11" spans="1:15" ht="97.5" customHeight="1" thickBot="1">
      <c r="B11" s="252">
        <v>0.66666666666666663</v>
      </c>
      <c r="C11" s="186"/>
      <c r="D11" s="186"/>
      <c r="E11" s="160"/>
      <c r="F11" s="166" t="s">
        <v>24</v>
      </c>
      <c r="G11" s="175" t="s">
        <v>24</v>
      </c>
      <c r="H11" s="174"/>
      <c r="I11" s="175" t="s">
        <v>24</v>
      </c>
      <c r="J11" s="174"/>
      <c r="K11" s="160"/>
      <c r="L11" s="174"/>
      <c r="M11" s="140"/>
      <c r="N11" s="161"/>
      <c r="O11" s="179"/>
    </row>
    <row r="12" spans="1:15" ht="97.5" customHeight="1" thickBot="1">
      <c r="B12" s="251">
        <v>0.70833333333333337</v>
      </c>
      <c r="C12" s="186"/>
      <c r="D12" s="186"/>
      <c r="E12" s="160"/>
      <c r="F12" s="167" t="s">
        <v>18</v>
      </c>
      <c r="G12" s="176" t="s">
        <v>18</v>
      </c>
      <c r="H12" s="174"/>
      <c r="I12" s="176" t="s">
        <v>18</v>
      </c>
      <c r="J12" s="174"/>
      <c r="K12" s="160"/>
      <c r="L12" s="174"/>
      <c r="M12" s="140"/>
      <c r="N12" s="161"/>
      <c r="O12" s="179"/>
    </row>
    <row r="13" spans="1:15" ht="97.5" customHeight="1" thickBot="1">
      <c r="B13" s="252">
        <v>0.75</v>
      </c>
      <c r="C13" s="186"/>
      <c r="D13" s="186"/>
      <c r="E13" s="168" t="s">
        <v>25</v>
      </c>
      <c r="F13" s="167" t="s">
        <v>18</v>
      </c>
      <c r="G13" s="173" t="s">
        <v>20</v>
      </c>
      <c r="H13" s="174"/>
      <c r="I13" s="215" t="s">
        <v>45</v>
      </c>
      <c r="J13" s="174"/>
      <c r="K13" s="178" t="s">
        <v>19</v>
      </c>
      <c r="L13" s="174"/>
      <c r="M13" s="140"/>
      <c r="N13" s="161"/>
      <c r="O13" s="179"/>
    </row>
    <row r="14" spans="1:15" ht="97.5" customHeight="1" thickBot="1">
      <c r="B14" s="251">
        <v>0.79166666666666663</v>
      </c>
      <c r="C14" s="186"/>
      <c r="D14" s="186"/>
      <c r="E14" s="162" t="s">
        <v>19</v>
      </c>
      <c r="F14" s="169" t="s">
        <v>47</v>
      </c>
      <c r="G14" s="177" t="s">
        <v>21</v>
      </c>
      <c r="H14" s="163"/>
      <c r="I14" s="177" t="s">
        <v>26</v>
      </c>
      <c r="J14" s="163"/>
      <c r="K14" s="177" t="s">
        <v>45</v>
      </c>
      <c r="L14" s="163"/>
      <c r="M14" s="148"/>
      <c r="N14" s="163"/>
      <c r="O14" s="179"/>
    </row>
    <row r="15" spans="1:15" ht="97.5" customHeight="1" thickBot="1">
      <c r="B15" s="248">
        <v>0.83333333333333337</v>
      </c>
      <c r="C15" s="117" t="s">
        <v>10</v>
      </c>
      <c r="D15" s="118">
        <f>D3+7</f>
        <v>43619</v>
      </c>
      <c r="E15" s="117" t="s">
        <v>11</v>
      </c>
      <c r="F15" s="118">
        <f>D3+8</f>
        <v>43620</v>
      </c>
      <c r="G15" s="216" t="s">
        <v>12</v>
      </c>
      <c r="H15" s="118">
        <f>D3+9</f>
        <v>43621</v>
      </c>
      <c r="I15" s="117" t="s">
        <v>13</v>
      </c>
      <c r="J15" s="118">
        <f>D3+10</f>
        <v>43622</v>
      </c>
      <c r="K15" s="117" t="s">
        <v>14</v>
      </c>
      <c r="L15" s="118">
        <f>D3+11</f>
        <v>43623</v>
      </c>
      <c r="M15" s="117" t="s">
        <v>15</v>
      </c>
      <c r="N15" s="118">
        <f>D3+12</f>
        <v>43624</v>
      </c>
    </row>
    <row r="16" spans="1:15" ht="97.5" customHeight="1" thickBot="1">
      <c r="B16" s="243" t="s">
        <v>9</v>
      </c>
      <c r="C16" s="236" t="s">
        <v>16</v>
      </c>
      <c r="D16" s="238"/>
      <c r="E16" s="236" t="s">
        <v>16</v>
      </c>
      <c r="F16" s="237" t="s">
        <v>16</v>
      </c>
      <c r="G16" s="236" t="s">
        <v>16</v>
      </c>
      <c r="H16" s="237" t="s">
        <v>17</v>
      </c>
      <c r="I16" s="236" t="s">
        <v>16</v>
      </c>
      <c r="J16" s="237" t="s">
        <v>17</v>
      </c>
      <c r="K16" s="240" t="s">
        <v>16</v>
      </c>
      <c r="L16" s="240" t="s">
        <v>17</v>
      </c>
      <c r="M16" s="240" t="s">
        <v>16</v>
      </c>
      <c r="N16" s="240" t="s">
        <v>17</v>
      </c>
    </row>
    <row r="17" spans="2:36" ht="97.5" customHeight="1" thickBot="1">
      <c r="B17" s="98"/>
      <c r="C17" s="158"/>
      <c r="D17" s="159"/>
      <c r="E17" s="158"/>
      <c r="F17" s="159"/>
      <c r="G17" s="170"/>
      <c r="H17" s="159"/>
      <c r="I17" s="158"/>
      <c r="J17" s="159"/>
      <c r="K17" s="185"/>
      <c r="L17" s="159"/>
      <c r="M17" s="145" t="s">
        <v>18</v>
      </c>
      <c r="N17" s="132"/>
      <c r="O17" s="179"/>
      <c r="AJ17" s="42"/>
    </row>
    <row r="18" spans="2:36" ht="97.5" customHeight="1" thickBot="1">
      <c r="B18" s="249">
        <v>0.45833333333333331</v>
      </c>
      <c r="C18" s="173" t="s">
        <v>20</v>
      </c>
      <c r="D18" s="161"/>
      <c r="E18" s="160"/>
      <c r="F18" s="165" t="s">
        <v>20</v>
      </c>
      <c r="G18" s="171" t="s">
        <v>19</v>
      </c>
      <c r="H18" s="172"/>
      <c r="I18" s="171"/>
      <c r="J18" s="172"/>
      <c r="K18" s="96"/>
      <c r="L18" s="172"/>
      <c r="M18" s="137" t="s">
        <v>18</v>
      </c>
      <c r="N18" s="136"/>
      <c r="O18" s="179"/>
    </row>
    <row r="19" spans="2:36" ht="97.5" customHeight="1" thickBot="1">
      <c r="B19" s="250">
        <v>0.5</v>
      </c>
      <c r="C19" s="173" t="s">
        <v>20</v>
      </c>
      <c r="D19" s="161"/>
      <c r="E19" s="160"/>
      <c r="F19" s="165" t="s">
        <v>20</v>
      </c>
      <c r="G19" s="173" t="s">
        <v>20</v>
      </c>
      <c r="H19" s="172"/>
      <c r="I19" s="173" t="s">
        <v>20</v>
      </c>
      <c r="J19" s="172"/>
      <c r="K19" s="95" t="s">
        <v>20</v>
      </c>
      <c r="L19" s="172"/>
      <c r="M19" s="135" t="s">
        <v>20</v>
      </c>
      <c r="N19" s="136"/>
      <c r="O19" s="179"/>
    </row>
    <row r="20" spans="2:36" ht="97.5" customHeight="1" thickBot="1">
      <c r="B20" s="251">
        <v>0.54166666666666663</v>
      </c>
      <c r="C20" s="173" t="s">
        <v>20</v>
      </c>
      <c r="D20" s="161"/>
      <c r="E20" s="160"/>
      <c r="F20" s="165" t="s">
        <v>20</v>
      </c>
      <c r="G20" s="171" t="s">
        <v>21</v>
      </c>
      <c r="H20" s="172"/>
      <c r="I20" s="171" t="s">
        <v>22</v>
      </c>
      <c r="J20" s="172"/>
      <c r="K20" s="95" t="s">
        <v>20</v>
      </c>
      <c r="L20" s="172"/>
      <c r="M20" s="141" t="s">
        <v>56</v>
      </c>
      <c r="N20" s="146"/>
      <c r="O20" s="179"/>
    </row>
    <row r="21" spans="2:36" ht="97.5" customHeight="1" thickBot="1">
      <c r="B21" s="252">
        <v>0.58333333333333337</v>
      </c>
      <c r="C21" s="173" t="s">
        <v>20</v>
      </c>
      <c r="D21" s="161"/>
      <c r="E21" s="160"/>
      <c r="F21" s="165" t="s">
        <v>20</v>
      </c>
      <c r="G21" s="160"/>
      <c r="H21" s="174"/>
      <c r="I21" s="171" t="s">
        <v>21</v>
      </c>
      <c r="J21" s="174"/>
      <c r="K21" s="96"/>
      <c r="L21" s="174"/>
      <c r="M21" s="215" t="s">
        <v>47</v>
      </c>
      <c r="N21" s="136"/>
      <c r="O21" s="179"/>
    </row>
    <row r="22" spans="2:36" ht="97.5" customHeight="1" thickBot="1">
      <c r="B22" s="251">
        <v>0.625</v>
      </c>
      <c r="C22" s="175" t="s">
        <v>23</v>
      </c>
      <c r="D22" s="161"/>
      <c r="E22" s="160"/>
      <c r="F22" s="166" t="s">
        <v>23</v>
      </c>
      <c r="G22" s="175" t="s">
        <v>23</v>
      </c>
      <c r="H22" s="174"/>
      <c r="I22" s="176" t="s">
        <v>23</v>
      </c>
      <c r="J22" s="174"/>
      <c r="K22" s="157"/>
      <c r="L22" s="174"/>
      <c r="M22" s="140"/>
      <c r="N22" s="136"/>
      <c r="O22" s="179"/>
    </row>
    <row r="23" spans="2:36" ht="97.5" customHeight="1" thickBot="1">
      <c r="B23" s="252">
        <v>0.66666666666666663</v>
      </c>
      <c r="C23" s="175" t="s">
        <v>24</v>
      </c>
      <c r="D23" s="161"/>
      <c r="E23" s="160"/>
      <c r="F23" s="166" t="s">
        <v>24</v>
      </c>
      <c r="G23" s="175" t="s">
        <v>24</v>
      </c>
      <c r="H23" s="174"/>
      <c r="I23" s="176" t="s">
        <v>24</v>
      </c>
      <c r="J23" s="174"/>
      <c r="K23" s="157"/>
      <c r="L23" s="174"/>
      <c r="M23" s="140"/>
      <c r="N23" s="161"/>
      <c r="O23" s="179"/>
    </row>
    <row r="24" spans="2:36" ht="97.5" customHeight="1" thickBot="1">
      <c r="B24" s="251">
        <v>0.70833333333333337</v>
      </c>
      <c r="C24" s="176" t="s">
        <v>18</v>
      </c>
      <c r="D24" s="161"/>
      <c r="E24" s="160"/>
      <c r="F24" s="167" t="s">
        <v>18</v>
      </c>
      <c r="G24" s="176" t="s">
        <v>18</v>
      </c>
      <c r="H24" s="174"/>
      <c r="I24" s="176" t="s">
        <v>18</v>
      </c>
      <c r="J24" s="174"/>
      <c r="K24" s="157"/>
      <c r="L24" s="174"/>
      <c r="M24" s="140"/>
      <c r="N24" s="161"/>
      <c r="O24" s="179"/>
    </row>
    <row r="25" spans="2:36" ht="97.5" customHeight="1" thickBot="1">
      <c r="B25" s="252">
        <v>0.75</v>
      </c>
      <c r="C25" s="176" t="s">
        <v>18</v>
      </c>
      <c r="D25" s="161"/>
      <c r="E25" s="215" t="s">
        <v>45</v>
      </c>
      <c r="F25" s="167" t="s">
        <v>18</v>
      </c>
      <c r="G25" s="173" t="s">
        <v>20</v>
      </c>
      <c r="H25" s="174"/>
      <c r="I25" s="215" t="s">
        <v>45</v>
      </c>
      <c r="J25" s="174"/>
      <c r="K25" s="164" t="s">
        <v>19</v>
      </c>
      <c r="L25" s="174"/>
      <c r="M25" s="140"/>
      <c r="N25" s="161"/>
      <c r="O25" s="179"/>
    </row>
    <row r="26" spans="2:36" ht="97.5" customHeight="1" thickBot="1">
      <c r="B26" s="251">
        <v>0.79166666666666663</v>
      </c>
      <c r="C26" s="219" t="s">
        <v>47</v>
      </c>
      <c r="D26" s="163"/>
      <c r="E26" s="162" t="s">
        <v>19</v>
      </c>
      <c r="F26" s="169" t="s">
        <v>47</v>
      </c>
      <c r="G26" s="177" t="s">
        <v>21</v>
      </c>
      <c r="H26" s="163"/>
      <c r="I26" s="177" t="s">
        <v>26</v>
      </c>
      <c r="J26" s="163"/>
      <c r="K26" s="177" t="s">
        <v>45</v>
      </c>
      <c r="L26" s="163"/>
      <c r="M26" s="148"/>
      <c r="N26" s="163"/>
      <c r="O26" s="179"/>
    </row>
    <row r="27" spans="2:36" ht="97.5" customHeight="1" thickBot="1">
      <c r="B27" s="248">
        <v>0.83333333333333337</v>
      </c>
      <c r="C27" s="117" t="s">
        <v>10</v>
      </c>
      <c r="D27" s="118">
        <f>D3+14</f>
        <v>43626</v>
      </c>
      <c r="E27" s="117" t="s">
        <v>11</v>
      </c>
      <c r="F27" s="118">
        <f>D3+15</f>
        <v>43627</v>
      </c>
      <c r="G27" s="216" t="s">
        <v>12</v>
      </c>
      <c r="H27" s="118">
        <f>D3+16</f>
        <v>43628</v>
      </c>
      <c r="I27" s="117" t="s">
        <v>13</v>
      </c>
      <c r="J27" s="118">
        <f>D3+17</f>
        <v>43629</v>
      </c>
      <c r="K27" s="117" t="s">
        <v>14</v>
      </c>
      <c r="L27" s="118">
        <f>D3+18</f>
        <v>43630</v>
      </c>
      <c r="M27" s="117" t="s">
        <v>15</v>
      </c>
      <c r="N27" s="118">
        <f>D3+19</f>
        <v>43631</v>
      </c>
    </row>
    <row r="28" spans="2:36" ht="97.5" customHeight="1" thickBot="1">
      <c r="B28" s="243" t="s">
        <v>9</v>
      </c>
      <c r="C28" s="240" t="s">
        <v>16</v>
      </c>
      <c r="D28" s="241"/>
      <c r="E28" s="240" t="s">
        <v>16</v>
      </c>
      <c r="F28" s="240" t="s">
        <v>16</v>
      </c>
      <c r="G28" s="240" t="s">
        <v>16</v>
      </c>
      <c r="H28" s="240" t="s">
        <v>17</v>
      </c>
      <c r="I28" s="240" t="s">
        <v>16</v>
      </c>
      <c r="J28" s="240" t="s">
        <v>17</v>
      </c>
      <c r="K28" s="240" t="s">
        <v>16</v>
      </c>
      <c r="L28" s="240" t="s">
        <v>17</v>
      </c>
      <c r="M28" s="240" t="s">
        <v>16</v>
      </c>
      <c r="N28" s="240" t="s">
        <v>17</v>
      </c>
      <c r="O28" s="179"/>
    </row>
    <row r="29" spans="2:36" ht="97.5" customHeight="1" thickBot="1">
      <c r="B29" s="98"/>
      <c r="C29" s="189"/>
      <c r="D29" s="195"/>
      <c r="E29" s="189"/>
      <c r="F29" s="188"/>
      <c r="G29" s="187"/>
      <c r="H29" s="188"/>
      <c r="I29" s="189"/>
      <c r="J29" s="188"/>
      <c r="K29" s="189"/>
      <c r="L29" s="188"/>
      <c r="M29" s="190" t="s">
        <v>18</v>
      </c>
      <c r="N29" s="191"/>
      <c r="O29" s="179"/>
    </row>
    <row r="30" spans="2:36" ht="97.5" customHeight="1" thickBot="1">
      <c r="B30" s="249">
        <v>0.45833333333333331</v>
      </c>
      <c r="C30" s="173" t="s">
        <v>20</v>
      </c>
      <c r="D30" s="180"/>
      <c r="E30" s="160"/>
      <c r="F30" s="165" t="s">
        <v>20</v>
      </c>
      <c r="G30" s="171" t="s">
        <v>19</v>
      </c>
      <c r="H30" s="172"/>
      <c r="I30" s="171"/>
      <c r="J30" s="172"/>
      <c r="K30" s="171"/>
      <c r="L30" s="172"/>
      <c r="M30" s="137" t="s">
        <v>18</v>
      </c>
      <c r="N30" s="136"/>
      <c r="O30" s="179"/>
    </row>
    <row r="31" spans="2:36" ht="97.5" customHeight="1" thickBot="1">
      <c r="B31" s="250">
        <v>0.5</v>
      </c>
      <c r="C31" s="173" t="s">
        <v>20</v>
      </c>
      <c r="D31" s="180"/>
      <c r="E31" s="160"/>
      <c r="F31" s="165" t="s">
        <v>20</v>
      </c>
      <c r="G31" s="173" t="s">
        <v>20</v>
      </c>
      <c r="H31" s="172"/>
      <c r="I31" s="173" t="s">
        <v>20</v>
      </c>
      <c r="J31" s="172"/>
      <c r="K31" s="173" t="s">
        <v>20</v>
      </c>
      <c r="L31" s="172"/>
      <c r="M31" s="135" t="s">
        <v>20</v>
      </c>
      <c r="N31" s="136"/>
      <c r="O31" s="179"/>
    </row>
    <row r="32" spans="2:36" ht="97.5" customHeight="1" thickBot="1">
      <c r="B32" s="251">
        <v>0.54166666666666663</v>
      </c>
      <c r="C32" s="173" t="s">
        <v>20</v>
      </c>
      <c r="D32" s="180"/>
      <c r="E32" s="160"/>
      <c r="F32" s="165" t="s">
        <v>20</v>
      </c>
      <c r="G32" s="171" t="s">
        <v>21</v>
      </c>
      <c r="H32" s="172"/>
      <c r="I32" s="171" t="s">
        <v>22</v>
      </c>
      <c r="J32" s="172"/>
      <c r="K32" s="173" t="s">
        <v>20</v>
      </c>
      <c r="L32" s="172"/>
      <c r="M32" s="141" t="s">
        <v>56</v>
      </c>
      <c r="N32" s="146"/>
      <c r="O32" s="179"/>
    </row>
    <row r="33" spans="2:15" ht="97.5" customHeight="1" thickBot="1">
      <c r="B33" s="252">
        <v>0.58333333333333337</v>
      </c>
      <c r="C33" s="173" t="s">
        <v>20</v>
      </c>
      <c r="D33" s="180"/>
      <c r="E33" s="160"/>
      <c r="F33" s="165" t="s">
        <v>20</v>
      </c>
      <c r="G33" s="160"/>
      <c r="H33" s="174"/>
      <c r="I33" s="171" t="s">
        <v>21</v>
      </c>
      <c r="J33" s="174"/>
      <c r="K33" s="171"/>
      <c r="L33" s="174"/>
      <c r="M33" s="215" t="s">
        <v>47</v>
      </c>
      <c r="N33" s="136"/>
      <c r="O33" s="179"/>
    </row>
    <row r="34" spans="2:15" ht="97.5" customHeight="1" thickBot="1">
      <c r="B34" s="251">
        <v>0.625</v>
      </c>
      <c r="C34" s="175" t="s">
        <v>23</v>
      </c>
      <c r="D34" s="180"/>
      <c r="E34" s="160"/>
      <c r="F34" s="166" t="s">
        <v>23</v>
      </c>
      <c r="G34" s="175" t="s">
        <v>23</v>
      </c>
      <c r="H34" s="174"/>
      <c r="I34" s="176" t="s">
        <v>23</v>
      </c>
      <c r="J34" s="174"/>
      <c r="K34" s="160"/>
      <c r="L34" s="174"/>
      <c r="M34" s="140"/>
      <c r="N34" s="136"/>
      <c r="O34" s="179"/>
    </row>
    <row r="35" spans="2:15" ht="97.5" customHeight="1" thickBot="1">
      <c r="B35" s="252">
        <v>0.66666666666666663</v>
      </c>
      <c r="C35" s="175" t="s">
        <v>24</v>
      </c>
      <c r="D35" s="180"/>
      <c r="E35" s="160"/>
      <c r="F35" s="166" t="s">
        <v>24</v>
      </c>
      <c r="G35" s="175" t="s">
        <v>24</v>
      </c>
      <c r="H35" s="174"/>
      <c r="I35" s="176" t="s">
        <v>24</v>
      </c>
      <c r="J35" s="174"/>
      <c r="K35" s="160"/>
      <c r="L35" s="174"/>
      <c r="M35" s="140"/>
      <c r="N35" s="161"/>
      <c r="O35" s="179"/>
    </row>
    <row r="36" spans="2:15" ht="97.5" customHeight="1" thickBot="1">
      <c r="B36" s="251">
        <v>0.70833333333333337</v>
      </c>
      <c r="C36" s="176" t="s">
        <v>18</v>
      </c>
      <c r="D36" s="180"/>
      <c r="E36" s="160"/>
      <c r="F36" s="167" t="s">
        <v>18</v>
      </c>
      <c r="G36" s="176" t="s">
        <v>18</v>
      </c>
      <c r="H36" s="174"/>
      <c r="I36" s="176" t="s">
        <v>18</v>
      </c>
      <c r="J36" s="174"/>
      <c r="K36" s="160"/>
      <c r="L36" s="174"/>
      <c r="M36" s="140"/>
      <c r="N36" s="161"/>
      <c r="O36" s="179"/>
    </row>
    <row r="37" spans="2:15" ht="97.5" customHeight="1" thickBot="1">
      <c r="B37" s="252">
        <v>0.75</v>
      </c>
      <c r="C37" s="176" t="s">
        <v>18</v>
      </c>
      <c r="D37" s="180"/>
      <c r="E37" s="215" t="s">
        <v>45</v>
      </c>
      <c r="F37" s="167" t="s">
        <v>18</v>
      </c>
      <c r="G37" s="173" t="s">
        <v>20</v>
      </c>
      <c r="H37" s="174"/>
      <c r="I37" s="215" t="s">
        <v>45</v>
      </c>
      <c r="J37" s="174"/>
      <c r="K37" s="178" t="s">
        <v>19</v>
      </c>
      <c r="L37" s="174"/>
      <c r="M37" s="140"/>
      <c r="N37" s="161"/>
      <c r="O37" s="179"/>
    </row>
    <row r="38" spans="2:15" ht="97.5" customHeight="1" thickBot="1">
      <c r="B38" s="251">
        <v>0.79166666666666663</v>
      </c>
      <c r="C38" s="219" t="s">
        <v>47</v>
      </c>
      <c r="D38" s="181"/>
      <c r="E38" s="162" t="s">
        <v>19</v>
      </c>
      <c r="F38" s="169" t="s">
        <v>47</v>
      </c>
      <c r="G38" s="177" t="s">
        <v>21</v>
      </c>
      <c r="H38" s="163"/>
      <c r="I38" s="177" t="s">
        <v>26</v>
      </c>
      <c r="J38" s="163"/>
      <c r="K38" s="177" t="s">
        <v>45</v>
      </c>
      <c r="L38" s="163"/>
      <c r="M38" s="148"/>
      <c r="N38" s="163"/>
      <c r="O38" s="179"/>
    </row>
    <row r="39" spans="2:15" ht="97.5" customHeight="1" thickBot="1">
      <c r="B39" s="248">
        <v>0.83333333333333337</v>
      </c>
      <c r="C39" s="117" t="s">
        <v>10</v>
      </c>
      <c r="D39" s="118">
        <f>D3+21</f>
        <v>43633</v>
      </c>
      <c r="E39" s="193" t="s">
        <v>11</v>
      </c>
      <c r="F39" s="194">
        <f>D3+22</f>
        <v>43634</v>
      </c>
      <c r="G39" s="216" t="s">
        <v>12</v>
      </c>
      <c r="H39" s="118">
        <f>D3+23</f>
        <v>43635</v>
      </c>
      <c r="I39" s="117" t="s">
        <v>13</v>
      </c>
      <c r="J39" s="118">
        <f>D3+24</f>
        <v>43636</v>
      </c>
      <c r="K39" s="117" t="s">
        <v>14</v>
      </c>
      <c r="L39" s="118">
        <f>D3+25</f>
        <v>43637</v>
      </c>
      <c r="M39" s="117" t="s">
        <v>15</v>
      </c>
      <c r="N39" s="118">
        <f>D3+26</f>
        <v>43638</v>
      </c>
    </row>
    <row r="40" spans="2:15" ht="97.5" customHeight="1" thickBot="1">
      <c r="B40" s="243" t="s">
        <v>9</v>
      </c>
      <c r="C40" s="240" t="s">
        <v>16</v>
      </c>
      <c r="D40" s="241"/>
      <c r="E40" s="240" t="s">
        <v>16</v>
      </c>
      <c r="F40" s="240" t="s">
        <v>16</v>
      </c>
      <c r="G40" s="240" t="s">
        <v>16</v>
      </c>
      <c r="H40" s="240" t="s">
        <v>17</v>
      </c>
      <c r="I40" s="240" t="s">
        <v>16</v>
      </c>
      <c r="J40" s="240" t="s">
        <v>17</v>
      </c>
      <c r="K40" s="240" t="s">
        <v>16</v>
      </c>
      <c r="L40" s="240" t="s">
        <v>17</v>
      </c>
      <c r="M40" s="240" t="s">
        <v>16</v>
      </c>
      <c r="N40" s="240" t="s">
        <v>17</v>
      </c>
      <c r="O40" s="179"/>
    </row>
    <row r="41" spans="2:15" ht="97.5" customHeight="1" thickBot="1">
      <c r="B41" s="98"/>
      <c r="C41" s="189"/>
      <c r="D41" s="188"/>
      <c r="E41" s="189"/>
      <c r="F41" s="188"/>
      <c r="G41" s="187"/>
      <c r="H41" s="188"/>
      <c r="I41" s="189"/>
      <c r="J41" s="188"/>
      <c r="K41" s="189"/>
      <c r="L41" s="188"/>
      <c r="M41" s="190" t="s">
        <v>18</v>
      </c>
      <c r="N41" s="191"/>
      <c r="O41" s="179"/>
    </row>
    <row r="42" spans="2:15" ht="97.5" customHeight="1" thickBot="1">
      <c r="B42" s="249">
        <v>0.45833333333333331</v>
      </c>
      <c r="C42" s="173" t="s">
        <v>20</v>
      </c>
      <c r="D42" s="161"/>
      <c r="E42" s="160"/>
      <c r="F42" s="165" t="s">
        <v>20</v>
      </c>
      <c r="G42" s="171" t="s">
        <v>19</v>
      </c>
      <c r="H42" s="172"/>
      <c r="I42" s="171"/>
      <c r="J42" s="172"/>
      <c r="K42" s="171"/>
      <c r="L42" s="172"/>
      <c r="M42" s="137" t="s">
        <v>18</v>
      </c>
      <c r="N42" s="136"/>
      <c r="O42" s="179"/>
    </row>
    <row r="43" spans="2:15" ht="97.5" customHeight="1" thickBot="1">
      <c r="B43" s="250">
        <v>0.5</v>
      </c>
      <c r="C43" s="173" t="s">
        <v>20</v>
      </c>
      <c r="D43" s="161"/>
      <c r="E43" s="160"/>
      <c r="F43" s="165" t="s">
        <v>20</v>
      </c>
      <c r="G43" s="173" t="s">
        <v>20</v>
      </c>
      <c r="H43" s="172"/>
      <c r="I43" s="173" t="s">
        <v>20</v>
      </c>
      <c r="J43" s="172"/>
      <c r="K43" s="173" t="s">
        <v>20</v>
      </c>
      <c r="L43" s="172"/>
      <c r="M43" s="135" t="s">
        <v>20</v>
      </c>
      <c r="N43" s="136"/>
      <c r="O43" s="179"/>
    </row>
    <row r="44" spans="2:15" ht="97.5" customHeight="1" thickBot="1">
      <c r="B44" s="251">
        <v>0.54166666666666663</v>
      </c>
      <c r="C44" s="173" t="s">
        <v>20</v>
      </c>
      <c r="D44" s="161"/>
      <c r="E44" s="160"/>
      <c r="F44" s="165" t="s">
        <v>20</v>
      </c>
      <c r="G44" s="171" t="s">
        <v>21</v>
      </c>
      <c r="H44" s="172"/>
      <c r="I44" s="171" t="s">
        <v>22</v>
      </c>
      <c r="J44" s="172"/>
      <c r="K44" s="173" t="s">
        <v>20</v>
      </c>
      <c r="L44" s="172"/>
      <c r="M44" s="141" t="s">
        <v>56</v>
      </c>
      <c r="N44" s="146"/>
      <c r="O44" s="179"/>
    </row>
    <row r="45" spans="2:15" ht="97.5" customHeight="1" thickBot="1">
      <c r="B45" s="252">
        <v>0.58333333333333337</v>
      </c>
      <c r="C45" s="173" t="s">
        <v>20</v>
      </c>
      <c r="D45" s="161"/>
      <c r="E45" s="160"/>
      <c r="F45" s="165" t="s">
        <v>20</v>
      </c>
      <c r="G45" s="160"/>
      <c r="H45" s="174"/>
      <c r="I45" s="171" t="s">
        <v>21</v>
      </c>
      <c r="J45" s="174"/>
      <c r="K45" s="171"/>
      <c r="L45" s="174"/>
      <c r="M45" s="215" t="s">
        <v>47</v>
      </c>
      <c r="N45" s="136"/>
      <c r="O45" s="179"/>
    </row>
    <row r="46" spans="2:15" ht="97.5" customHeight="1" thickBot="1">
      <c r="B46" s="251">
        <v>0.625</v>
      </c>
      <c r="C46" s="175" t="s">
        <v>23</v>
      </c>
      <c r="D46" s="161"/>
      <c r="E46" s="160"/>
      <c r="F46" s="166" t="s">
        <v>23</v>
      </c>
      <c r="G46" s="175" t="s">
        <v>23</v>
      </c>
      <c r="H46" s="174"/>
      <c r="I46" s="176" t="s">
        <v>23</v>
      </c>
      <c r="J46" s="174"/>
      <c r="K46" s="160"/>
      <c r="L46" s="174"/>
      <c r="M46" s="140"/>
      <c r="N46" s="136"/>
      <c r="O46" s="179"/>
    </row>
    <row r="47" spans="2:15" ht="97.5" customHeight="1" thickBot="1">
      <c r="B47" s="252">
        <v>0.66666666666666663</v>
      </c>
      <c r="C47" s="175" t="s">
        <v>24</v>
      </c>
      <c r="D47" s="161"/>
      <c r="E47" s="160"/>
      <c r="F47" s="166" t="s">
        <v>24</v>
      </c>
      <c r="G47" s="175" t="s">
        <v>24</v>
      </c>
      <c r="H47" s="174"/>
      <c r="I47" s="176" t="s">
        <v>24</v>
      </c>
      <c r="J47" s="174"/>
      <c r="K47" s="160"/>
      <c r="L47" s="174"/>
      <c r="M47" s="140"/>
      <c r="N47" s="161"/>
      <c r="O47" s="179"/>
    </row>
    <row r="48" spans="2:15" ht="97.5" customHeight="1" thickBot="1">
      <c r="B48" s="251">
        <v>0.70833333333333337</v>
      </c>
      <c r="C48" s="176" t="s">
        <v>18</v>
      </c>
      <c r="D48" s="161"/>
      <c r="E48" s="160"/>
      <c r="F48" s="167" t="s">
        <v>18</v>
      </c>
      <c r="G48" s="176" t="s">
        <v>18</v>
      </c>
      <c r="H48" s="174"/>
      <c r="I48" s="176" t="s">
        <v>18</v>
      </c>
      <c r="J48" s="174"/>
      <c r="K48" s="160"/>
      <c r="L48" s="174"/>
      <c r="M48" s="140"/>
      <c r="N48" s="161"/>
      <c r="O48" s="179"/>
    </row>
    <row r="49" spans="2:15" ht="97.5" customHeight="1" thickBot="1">
      <c r="B49" s="252">
        <v>0.75</v>
      </c>
      <c r="C49" s="176" t="s">
        <v>18</v>
      </c>
      <c r="D49" s="161"/>
      <c r="E49" s="215" t="s">
        <v>45</v>
      </c>
      <c r="F49" s="167" t="s">
        <v>18</v>
      </c>
      <c r="G49" s="173" t="s">
        <v>20</v>
      </c>
      <c r="H49" s="174"/>
      <c r="I49" s="215" t="s">
        <v>45</v>
      </c>
      <c r="J49" s="174"/>
      <c r="K49" s="178" t="s">
        <v>19</v>
      </c>
      <c r="L49" s="174"/>
      <c r="M49" s="140"/>
      <c r="N49" s="161"/>
      <c r="O49" s="179"/>
    </row>
    <row r="50" spans="2:15" ht="97.5" customHeight="1" thickBot="1">
      <c r="B50" s="251">
        <v>0.79166666666666663</v>
      </c>
      <c r="C50" s="219" t="s">
        <v>47</v>
      </c>
      <c r="D50" s="163"/>
      <c r="E50" s="162" t="s">
        <v>19</v>
      </c>
      <c r="F50" s="169" t="s">
        <v>47</v>
      </c>
      <c r="G50" s="177" t="s">
        <v>21</v>
      </c>
      <c r="H50" s="163"/>
      <c r="I50" s="177" t="s">
        <v>26</v>
      </c>
      <c r="J50" s="163"/>
      <c r="K50" s="177" t="s">
        <v>26</v>
      </c>
      <c r="L50" s="163"/>
      <c r="M50" s="148"/>
      <c r="N50" s="163"/>
      <c r="O50" s="179"/>
    </row>
    <row r="51" spans="2:15" ht="97.5" customHeight="1" thickBot="1">
      <c r="B51" s="248">
        <v>0.83333333333333337</v>
      </c>
      <c r="C51" s="117" t="s">
        <v>10</v>
      </c>
      <c r="D51" s="118">
        <f>D3+28</f>
        <v>43640</v>
      </c>
      <c r="E51" s="117" t="s">
        <v>11</v>
      </c>
      <c r="F51" s="118">
        <f>D3+29</f>
        <v>43641</v>
      </c>
      <c r="G51" s="216" t="s">
        <v>12</v>
      </c>
      <c r="H51" s="118">
        <f>D3+30</f>
        <v>43642</v>
      </c>
      <c r="I51" s="117" t="s">
        <v>13</v>
      </c>
      <c r="J51" s="118">
        <f>D3+31</f>
        <v>43643</v>
      </c>
      <c r="K51" s="117" t="s">
        <v>14</v>
      </c>
      <c r="L51" s="118">
        <f>D3+32</f>
        <v>43644</v>
      </c>
      <c r="M51" s="117" t="s">
        <v>15</v>
      </c>
      <c r="N51" s="118">
        <f>D3+33</f>
        <v>43645</v>
      </c>
    </row>
    <row r="52" spans="2:15" ht="97.5" customHeight="1" thickBot="1">
      <c r="B52" s="243" t="s">
        <v>9</v>
      </c>
      <c r="C52" s="240" t="s">
        <v>16</v>
      </c>
      <c r="D52" s="241"/>
      <c r="E52" s="240" t="s">
        <v>16</v>
      </c>
      <c r="F52" s="240" t="s">
        <v>16</v>
      </c>
      <c r="G52" s="240" t="s">
        <v>16</v>
      </c>
      <c r="H52" s="240" t="s">
        <v>17</v>
      </c>
      <c r="I52" s="240" t="s">
        <v>16</v>
      </c>
      <c r="J52" s="240" t="s">
        <v>17</v>
      </c>
      <c r="K52" s="240" t="s">
        <v>16</v>
      </c>
      <c r="L52" s="240" t="s">
        <v>17</v>
      </c>
      <c r="M52" s="240" t="s">
        <v>16</v>
      </c>
      <c r="N52" s="240" t="s">
        <v>17</v>
      </c>
      <c r="O52" s="179"/>
    </row>
    <row r="53" spans="2:15" ht="97.5" customHeight="1" thickBot="1">
      <c r="B53" s="98"/>
      <c r="C53" s="189"/>
      <c r="D53" s="188"/>
      <c r="E53" s="189"/>
      <c r="F53" s="188"/>
      <c r="G53" s="187"/>
      <c r="H53" s="188"/>
      <c r="I53" s="189"/>
      <c r="J53" s="188"/>
      <c r="K53" s="189"/>
      <c r="L53" s="188"/>
      <c r="M53" s="192"/>
      <c r="N53" s="188"/>
      <c r="O53" s="179"/>
    </row>
    <row r="54" spans="2:15" ht="97.5" customHeight="1" thickBot="1">
      <c r="B54" s="249">
        <v>0.45833333333333331</v>
      </c>
      <c r="C54" s="173" t="s">
        <v>20</v>
      </c>
      <c r="D54" s="161"/>
      <c r="E54" s="160"/>
      <c r="F54" s="165" t="s">
        <v>20</v>
      </c>
      <c r="G54" s="171" t="s">
        <v>19</v>
      </c>
      <c r="H54" s="172"/>
      <c r="I54" s="171"/>
      <c r="J54" s="172"/>
      <c r="K54" s="171"/>
      <c r="L54" s="172"/>
      <c r="M54" s="160"/>
      <c r="N54" s="161"/>
      <c r="O54" s="179"/>
    </row>
    <row r="55" spans="2:15" ht="97.5" customHeight="1" thickBot="1">
      <c r="B55" s="250">
        <v>0.5</v>
      </c>
      <c r="C55" s="173" t="s">
        <v>20</v>
      </c>
      <c r="D55" s="161"/>
      <c r="E55" s="160"/>
      <c r="F55" s="165" t="s">
        <v>20</v>
      </c>
      <c r="G55" s="173" t="s">
        <v>20</v>
      </c>
      <c r="H55" s="172"/>
      <c r="I55" s="173" t="s">
        <v>20</v>
      </c>
      <c r="J55" s="172"/>
      <c r="K55" s="173" t="s">
        <v>20</v>
      </c>
      <c r="L55" s="172"/>
      <c r="M55" s="160"/>
      <c r="N55" s="161"/>
      <c r="O55" s="179"/>
    </row>
    <row r="56" spans="2:15" ht="97.5" customHeight="1" thickBot="1">
      <c r="B56" s="251">
        <v>0.54166666666666663</v>
      </c>
      <c r="C56" s="173" t="s">
        <v>20</v>
      </c>
      <c r="D56" s="161"/>
      <c r="E56" s="160"/>
      <c r="F56" s="165" t="s">
        <v>20</v>
      </c>
      <c r="G56" s="171" t="s">
        <v>21</v>
      </c>
      <c r="H56" s="172"/>
      <c r="I56" s="171" t="s">
        <v>22</v>
      </c>
      <c r="J56" s="172"/>
      <c r="K56" s="173" t="s">
        <v>20</v>
      </c>
      <c r="L56" s="172"/>
      <c r="M56" s="160"/>
      <c r="N56" s="161"/>
      <c r="O56" s="179"/>
    </row>
    <row r="57" spans="2:15" ht="97.5" customHeight="1" thickBot="1">
      <c r="B57" s="252">
        <v>0.58333333333333337</v>
      </c>
      <c r="C57" s="173" t="s">
        <v>20</v>
      </c>
      <c r="D57" s="161"/>
      <c r="E57" s="160"/>
      <c r="F57" s="165" t="s">
        <v>20</v>
      </c>
      <c r="G57" s="160"/>
      <c r="H57" s="174"/>
      <c r="I57" s="171" t="s">
        <v>21</v>
      </c>
      <c r="J57" s="174"/>
      <c r="K57" s="171"/>
      <c r="L57" s="174"/>
      <c r="M57" s="160"/>
      <c r="N57" s="161"/>
      <c r="O57" s="179"/>
    </row>
    <row r="58" spans="2:15" ht="97.5" customHeight="1" thickBot="1">
      <c r="B58" s="251">
        <v>0.625</v>
      </c>
      <c r="C58" s="175" t="s">
        <v>23</v>
      </c>
      <c r="D58" s="161"/>
      <c r="E58" s="160"/>
      <c r="F58" s="166" t="s">
        <v>23</v>
      </c>
      <c r="G58" s="175" t="s">
        <v>23</v>
      </c>
      <c r="H58" s="174"/>
      <c r="I58" s="176" t="s">
        <v>23</v>
      </c>
      <c r="J58" s="174"/>
      <c r="K58" s="160"/>
      <c r="L58" s="174"/>
      <c r="M58" s="160"/>
      <c r="N58" s="161"/>
      <c r="O58" s="179"/>
    </row>
    <row r="59" spans="2:15" ht="97.5" customHeight="1" thickBot="1">
      <c r="B59" s="252">
        <v>0.66666666666666663</v>
      </c>
      <c r="C59" s="175" t="s">
        <v>24</v>
      </c>
      <c r="D59" s="161"/>
      <c r="E59" s="160"/>
      <c r="F59" s="166" t="s">
        <v>24</v>
      </c>
      <c r="G59" s="175" t="s">
        <v>24</v>
      </c>
      <c r="H59" s="174"/>
      <c r="I59" s="176" t="s">
        <v>24</v>
      </c>
      <c r="J59" s="174"/>
      <c r="K59" s="160"/>
      <c r="L59" s="174"/>
      <c r="M59" s="160"/>
      <c r="N59" s="161"/>
      <c r="O59" s="179"/>
    </row>
    <row r="60" spans="2:15" ht="97.5" customHeight="1" thickBot="1">
      <c r="B60" s="251">
        <v>0.70833333333333337</v>
      </c>
      <c r="C60" s="176" t="s">
        <v>18</v>
      </c>
      <c r="D60" s="161"/>
      <c r="E60" s="160"/>
      <c r="F60" s="167" t="s">
        <v>18</v>
      </c>
      <c r="G60" s="176" t="s">
        <v>18</v>
      </c>
      <c r="H60" s="174"/>
      <c r="I60" s="176" t="s">
        <v>18</v>
      </c>
      <c r="J60" s="174"/>
      <c r="K60" s="160"/>
      <c r="L60" s="174"/>
      <c r="M60" s="160"/>
      <c r="N60" s="161"/>
      <c r="O60" s="179"/>
    </row>
    <row r="61" spans="2:15" ht="97.5" customHeight="1" thickBot="1">
      <c r="B61" s="252">
        <v>0.75</v>
      </c>
      <c r="C61" s="176" t="s">
        <v>18</v>
      </c>
      <c r="D61" s="161"/>
      <c r="E61" s="215" t="s">
        <v>45</v>
      </c>
      <c r="F61" s="167" t="s">
        <v>18</v>
      </c>
      <c r="G61" s="173" t="s">
        <v>20</v>
      </c>
      <c r="H61" s="174"/>
      <c r="I61" s="215" t="s">
        <v>45</v>
      </c>
      <c r="J61" s="174"/>
      <c r="K61" s="178" t="s">
        <v>19</v>
      </c>
      <c r="L61" s="174"/>
      <c r="M61" s="160"/>
      <c r="N61" s="161"/>
      <c r="O61" s="179"/>
    </row>
    <row r="62" spans="2:15" ht="97.5" customHeight="1" thickBot="1">
      <c r="B62" s="251">
        <v>0.79166666666666663</v>
      </c>
      <c r="C62" s="219" t="s">
        <v>47</v>
      </c>
      <c r="D62" s="163"/>
      <c r="E62" s="162" t="s">
        <v>19</v>
      </c>
      <c r="F62" s="169" t="s">
        <v>47</v>
      </c>
      <c r="G62" s="177" t="s">
        <v>21</v>
      </c>
      <c r="H62" s="163"/>
      <c r="I62" s="177" t="s">
        <v>26</v>
      </c>
      <c r="J62" s="163"/>
      <c r="K62" s="177" t="s">
        <v>45</v>
      </c>
      <c r="L62" s="163"/>
      <c r="M62" s="162"/>
      <c r="N62" s="163"/>
      <c r="O62" s="179"/>
    </row>
    <row r="63" spans="2:15" ht="30" customHeight="1" thickBot="1">
      <c r="B63" s="248">
        <v>0.83333333333333337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</row>
    <row r="64" spans="2:15" ht="177" customHeight="1" thickBot="1">
      <c r="B64" s="282" t="s">
        <v>27</v>
      </c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83"/>
    </row>
    <row r="65" spans="2:14" ht="177" customHeight="1" thickBot="1">
      <c r="B65" s="101" t="s">
        <v>20</v>
      </c>
      <c r="C65" s="282" t="s">
        <v>28</v>
      </c>
      <c r="D65" s="283"/>
      <c r="E65" s="211" t="s">
        <v>46</v>
      </c>
      <c r="F65" s="212" t="s">
        <v>29</v>
      </c>
      <c r="G65" s="273" t="s">
        <v>49</v>
      </c>
      <c r="H65" s="274"/>
      <c r="I65" s="275"/>
      <c r="J65" s="212" t="s">
        <v>30</v>
      </c>
      <c r="K65" s="213"/>
      <c r="L65" s="213"/>
      <c r="M65" s="213"/>
      <c r="N65" s="213"/>
    </row>
  </sheetData>
  <mergeCells count="9">
    <mergeCell ref="G65:I65"/>
    <mergeCell ref="C65:D65"/>
    <mergeCell ref="B1:E1"/>
    <mergeCell ref="F1:G1"/>
    <mergeCell ref="B2:C2"/>
    <mergeCell ref="D2:E2"/>
    <mergeCell ref="B64:N64"/>
    <mergeCell ref="I1:J1"/>
    <mergeCell ref="K1:L1"/>
  </mergeCells>
  <phoneticPr fontId="42"/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39:N40 C51:N52 C3:N4 C27:N28 C15:N16" xr:uid="{00000000-0002-0000-0200-000000000000}"/>
    <dataValidation allowBlank="1" showInputMessage="1" showErrorMessage="1" prompt="Time is automatically updated in this column under this heading" sqref="B3:B5 B28:B29 B16:B17 B40:B41 B52:B53" xr:uid="{00000000-0002-0000-02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200-000002000000}"/>
    <dataValidation allowBlank="1" showInputMessage="1" showErrorMessage="1" prompt="Enter Start Time in cell at right" sqref="B2" xr:uid="{5C61BADF-705F-3E40-A78B-01A9D2B95E62}"/>
    <dataValidation allowBlank="1" showInputMessage="1" showErrorMessage="1" prompt="Title of this worksheet is in this cell.  Enter semester name in cell at right" sqref="B1:E1" xr:uid="{00000000-0002-0000-0200-000004000000}"/>
    <dataValidation allowBlank="1" showInputMessage="1" showErrorMessage="1" prompt="Enter semester name in this cell" sqref="F1:G1" xr:uid="{00000000-0002-0000-0200-000005000000}"/>
  </dataValidations>
  <printOptions horizontalCentered="1" verticalCentered="1"/>
  <pageMargins left="0.25" right="7.4652777777777804E-2" top="0" bottom="0" header="0" footer="0"/>
  <pageSetup paperSize="9" scale="12" orientation="portrait" copies="9" r:id="rId1"/>
  <headerFooter differentFirst="1"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autoPageBreaks="0" fitToPage="1"/>
  </sheetPr>
  <dimension ref="A1:O62"/>
  <sheetViews>
    <sheetView showGridLines="0" showWhiteSpace="0" view="pageLayout" zoomScale="20" zoomScaleNormal="20" zoomScalePageLayoutView="20" workbookViewId="0">
      <selection activeCell="I1" sqref="I1:L1"/>
    </sheetView>
  </sheetViews>
  <sheetFormatPr defaultColWidth="8.69921875" defaultRowHeight="30" customHeight="1" thickBottom="1"/>
  <cols>
    <col min="1" max="1" width="1.8984375" customWidth="1"/>
    <col min="2" max="14" width="56.296875" customWidth="1"/>
    <col min="15" max="15" width="8.8984375" customWidth="1"/>
  </cols>
  <sheetData>
    <row r="1" spans="1:15" ht="273.75" customHeight="1" thickBot="1">
      <c r="B1" s="284" t="s">
        <v>0</v>
      </c>
      <c r="C1" s="285"/>
      <c r="D1" s="285"/>
      <c r="E1" s="286"/>
      <c r="F1" s="264" t="s">
        <v>34</v>
      </c>
      <c r="G1" s="265"/>
      <c r="H1" s="80" t="s">
        <v>2</v>
      </c>
      <c r="I1" s="276" t="s">
        <v>3</v>
      </c>
      <c r="J1" s="277"/>
      <c r="K1" s="278" t="s">
        <v>4</v>
      </c>
      <c r="L1" s="279"/>
      <c r="M1" s="14"/>
    </row>
    <row r="2" spans="1:15" ht="172.5" customHeight="1" thickBot="1">
      <c r="A2" s="1"/>
      <c r="B2" s="291" t="s">
        <v>5</v>
      </c>
      <c r="C2" s="292"/>
      <c r="D2" s="293" t="s">
        <v>6</v>
      </c>
      <c r="E2" s="293"/>
      <c r="F2" s="74"/>
      <c r="G2" s="75"/>
      <c r="H2" s="21"/>
      <c r="I2" s="217" t="s">
        <v>7</v>
      </c>
      <c r="J2" s="77"/>
      <c r="K2" s="218" t="s">
        <v>8</v>
      </c>
      <c r="L2" s="79"/>
      <c r="M2" s="26">
        <v>43647</v>
      </c>
      <c r="N2" s="27"/>
    </row>
    <row r="3" spans="1:15" ht="120" customHeight="1" thickBot="1">
      <c r="B3" s="294" t="s">
        <v>9</v>
      </c>
      <c r="C3" s="119" t="s">
        <v>10</v>
      </c>
      <c r="D3" s="239">
        <f>M2</f>
        <v>43647</v>
      </c>
      <c r="E3" s="119" t="s">
        <v>11</v>
      </c>
      <c r="F3" s="239">
        <f>D3+1</f>
        <v>43648</v>
      </c>
      <c r="G3" s="119" t="s">
        <v>12</v>
      </c>
      <c r="H3" s="239">
        <f>D3+2</f>
        <v>43649</v>
      </c>
      <c r="I3" s="119" t="s">
        <v>13</v>
      </c>
      <c r="J3" s="239">
        <f>D3+3</f>
        <v>43650</v>
      </c>
      <c r="K3" s="119" t="s">
        <v>14</v>
      </c>
      <c r="L3" s="239">
        <f>D3+4</f>
        <v>43651</v>
      </c>
      <c r="M3" s="119" t="s">
        <v>15</v>
      </c>
      <c r="N3" s="239">
        <f>D3+5</f>
        <v>43652</v>
      </c>
    </row>
    <row r="4" spans="1:15" ht="120" customHeight="1" thickBot="1">
      <c r="B4" s="295"/>
      <c r="C4" s="236" t="s">
        <v>16</v>
      </c>
      <c r="D4" s="238"/>
      <c r="E4" s="236" t="s">
        <v>16</v>
      </c>
      <c r="F4" s="237" t="s">
        <v>16</v>
      </c>
      <c r="G4" s="236" t="s">
        <v>16</v>
      </c>
      <c r="H4" s="237" t="s">
        <v>17</v>
      </c>
      <c r="I4" s="236" t="s">
        <v>16</v>
      </c>
      <c r="J4" s="237" t="s">
        <v>17</v>
      </c>
      <c r="K4" s="236" t="s">
        <v>16</v>
      </c>
      <c r="L4" s="237" t="s">
        <v>17</v>
      </c>
      <c r="M4" s="236" t="s">
        <v>16</v>
      </c>
      <c r="N4" s="237" t="s">
        <v>17</v>
      </c>
      <c r="O4" s="179"/>
    </row>
    <row r="5" spans="1:15" ht="120" customHeight="1" thickBot="1">
      <c r="B5" s="196">
        <v>0.45833333333333331</v>
      </c>
      <c r="C5" s="160"/>
      <c r="D5" s="161"/>
      <c r="E5" s="160"/>
      <c r="F5" s="161"/>
      <c r="G5" s="171" t="s">
        <v>52</v>
      </c>
      <c r="H5" s="161"/>
      <c r="I5" s="160"/>
      <c r="J5" s="161"/>
      <c r="K5" s="160"/>
      <c r="L5" s="161"/>
      <c r="M5" s="137" t="s">
        <v>18</v>
      </c>
      <c r="N5" s="147"/>
      <c r="O5" s="179"/>
    </row>
    <row r="6" spans="1:15" ht="120" customHeight="1" thickBot="1">
      <c r="B6" s="99">
        <v>0.5</v>
      </c>
      <c r="C6" s="173" t="s">
        <v>20</v>
      </c>
      <c r="D6" s="161"/>
      <c r="E6" s="160"/>
      <c r="F6" s="165" t="s">
        <v>20</v>
      </c>
      <c r="G6" s="171" t="s">
        <v>19</v>
      </c>
      <c r="H6" s="172"/>
      <c r="I6" s="171"/>
      <c r="J6" s="172"/>
      <c r="K6" s="171"/>
      <c r="L6" s="172"/>
      <c r="M6" s="137" t="s">
        <v>18</v>
      </c>
      <c r="N6" s="136"/>
      <c r="O6" s="179"/>
    </row>
    <row r="7" spans="1:15" ht="120" customHeight="1" thickBot="1">
      <c r="B7" s="197">
        <v>0.54166666666666663</v>
      </c>
      <c r="C7" s="173" t="s">
        <v>20</v>
      </c>
      <c r="D7" s="161"/>
      <c r="E7" s="160"/>
      <c r="F7" s="165" t="s">
        <v>20</v>
      </c>
      <c r="G7" s="173" t="s">
        <v>20</v>
      </c>
      <c r="H7" s="172"/>
      <c r="I7" s="173" t="s">
        <v>20</v>
      </c>
      <c r="J7" s="172"/>
      <c r="K7" s="173" t="s">
        <v>20</v>
      </c>
      <c r="L7" s="172"/>
      <c r="M7" s="135" t="s">
        <v>20</v>
      </c>
      <c r="N7" s="136"/>
      <c r="O7" s="179"/>
    </row>
    <row r="8" spans="1:15" ht="120" customHeight="1" thickBot="1">
      <c r="B8" s="99">
        <v>0.58333333333333337</v>
      </c>
      <c r="C8" s="173" t="s">
        <v>20</v>
      </c>
      <c r="D8" s="161"/>
      <c r="E8" s="160"/>
      <c r="F8" s="165" t="s">
        <v>20</v>
      </c>
      <c r="G8" s="171" t="s">
        <v>21</v>
      </c>
      <c r="H8" s="172"/>
      <c r="I8" s="171" t="s">
        <v>22</v>
      </c>
      <c r="J8" s="172"/>
      <c r="K8" s="173" t="s">
        <v>20</v>
      </c>
      <c r="L8" s="172"/>
      <c r="M8" s="141" t="s">
        <v>56</v>
      </c>
      <c r="N8" s="146"/>
      <c r="O8" s="179"/>
    </row>
    <row r="9" spans="1:15" ht="120" customHeight="1" thickBot="1">
      <c r="B9" s="197">
        <v>0.625</v>
      </c>
      <c r="C9" s="173" t="s">
        <v>20</v>
      </c>
      <c r="D9" s="161"/>
      <c r="E9" s="160"/>
      <c r="F9" s="165" t="s">
        <v>20</v>
      </c>
      <c r="G9" s="160"/>
      <c r="H9" s="174"/>
      <c r="I9" s="171" t="s">
        <v>21</v>
      </c>
      <c r="J9" s="174"/>
      <c r="K9" s="171"/>
      <c r="L9" s="174"/>
      <c r="M9" s="215" t="s">
        <v>47</v>
      </c>
      <c r="N9" s="136"/>
      <c r="O9" s="179"/>
    </row>
    <row r="10" spans="1:15" ht="120" customHeight="1" thickBot="1">
      <c r="B10" s="99">
        <v>0.66666666666666663</v>
      </c>
      <c r="C10" s="175" t="s">
        <v>23</v>
      </c>
      <c r="D10" s="161"/>
      <c r="E10" s="160"/>
      <c r="F10" s="166" t="s">
        <v>23</v>
      </c>
      <c r="G10" s="175" t="s">
        <v>23</v>
      </c>
      <c r="H10" s="174"/>
      <c r="I10" s="175" t="s">
        <v>23</v>
      </c>
      <c r="J10" s="174"/>
      <c r="K10" s="160"/>
      <c r="L10" s="174"/>
      <c r="M10" s="140"/>
      <c r="N10" s="136"/>
      <c r="O10" s="179"/>
    </row>
    <row r="11" spans="1:15" ht="120" customHeight="1" thickBot="1">
      <c r="B11" s="197">
        <v>0.70833333333333337</v>
      </c>
      <c r="C11" s="175" t="s">
        <v>24</v>
      </c>
      <c r="D11" s="161"/>
      <c r="E11" s="160"/>
      <c r="F11" s="166" t="s">
        <v>24</v>
      </c>
      <c r="G11" s="175" t="s">
        <v>24</v>
      </c>
      <c r="H11" s="174"/>
      <c r="I11" s="175" t="s">
        <v>24</v>
      </c>
      <c r="J11" s="174"/>
      <c r="K11" s="160"/>
      <c r="L11" s="174"/>
      <c r="M11" s="140"/>
      <c r="N11" s="161"/>
      <c r="O11" s="179"/>
    </row>
    <row r="12" spans="1:15" ht="120" customHeight="1" thickBot="1">
      <c r="B12" s="99">
        <v>0.75</v>
      </c>
      <c r="C12" s="176" t="s">
        <v>18</v>
      </c>
      <c r="D12" s="161"/>
      <c r="E12" s="160"/>
      <c r="F12" s="167" t="s">
        <v>18</v>
      </c>
      <c r="G12" s="176" t="s">
        <v>18</v>
      </c>
      <c r="H12" s="174"/>
      <c r="I12" s="176" t="s">
        <v>18</v>
      </c>
      <c r="J12" s="174"/>
      <c r="K12" s="160"/>
      <c r="L12" s="174"/>
      <c r="M12" s="140"/>
      <c r="N12" s="161"/>
      <c r="O12" s="179"/>
    </row>
    <row r="13" spans="1:15" ht="120" customHeight="1" thickBot="1">
      <c r="B13" s="197">
        <v>0.79166666666666663</v>
      </c>
      <c r="C13" s="176" t="s">
        <v>18</v>
      </c>
      <c r="D13" s="161"/>
      <c r="E13" s="169" t="s">
        <v>51</v>
      </c>
      <c r="F13" s="167" t="s">
        <v>53</v>
      </c>
      <c r="G13" s="173" t="s">
        <v>20</v>
      </c>
      <c r="H13" s="174"/>
      <c r="I13" s="215" t="s">
        <v>45</v>
      </c>
      <c r="J13" s="174"/>
      <c r="K13" s="178" t="s">
        <v>26</v>
      </c>
      <c r="L13" s="174"/>
      <c r="M13" s="140"/>
      <c r="N13" s="161"/>
      <c r="O13" s="179"/>
    </row>
    <row r="14" spans="1:15" ht="120" customHeight="1" thickBot="1">
      <c r="B14" s="198">
        <v>0.83333333333333337</v>
      </c>
      <c r="C14" s="219" t="s">
        <v>47</v>
      </c>
      <c r="D14" s="163"/>
      <c r="E14" s="162" t="s">
        <v>19</v>
      </c>
      <c r="F14" s="169" t="s">
        <v>50</v>
      </c>
      <c r="G14" s="177" t="s">
        <v>21</v>
      </c>
      <c r="H14" s="163"/>
      <c r="I14" s="177" t="s">
        <v>26</v>
      </c>
      <c r="J14" s="163"/>
      <c r="K14" s="177" t="s">
        <v>45</v>
      </c>
      <c r="L14" s="163"/>
      <c r="M14" s="148"/>
      <c r="N14" s="163"/>
      <c r="O14" s="179"/>
    </row>
    <row r="15" spans="1:15" ht="120" customHeight="1" thickBot="1">
      <c r="B15" s="294" t="s">
        <v>9</v>
      </c>
      <c r="C15" s="119" t="s">
        <v>10</v>
      </c>
      <c r="D15" s="239">
        <f>D3+7</f>
        <v>43654</v>
      </c>
      <c r="E15" s="119" t="s">
        <v>11</v>
      </c>
      <c r="F15" s="239">
        <f>D3+8</f>
        <v>43655</v>
      </c>
      <c r="G15" s="119" t="s">
        <v>12</v>
      </c>
      <c r="H15" s="239">
        <f>D3+9</f>
        <v>43656</v>
      </c>
      <c r="I15" s="119" t="s">
        <v>13</v>
      </c>
      <c r="J15" s="239">
        <f>D3+10</f>
        <v>43657</v>
      </c>
      <c r="K15" s="119" t="s">
        <v>14</v>
      </c>
      <c r="L15" s="239">
        <f>D3+11</f>
        <v>43658</v>
      </c>
      <c r="M15" s="119" t="s">
        <v>15</v>
      </c>
      <c r="N15" s="239">
        <f>D3+12</f>
        <v>43659</v>
      </c>
    </row>
    <row r="16" spans="1:15" ht="120" customHeight="1" thickBot="1">
      <c r="B16" s="295"/>
      <c r="C16" s="236" t="s">
        <v>16</v>
      </c>
      <c r="D16" s="238"/>
      <c r="E16" s="236" t="s">
        <v>16</v>
      </c>
      <c r="F16" s="237" t="s">
        <v>16</v>
      </c>
      <c r="G16" s="236" t="s">
        <v>16</v>
      </c>
      <c r="H16" s="237" t="s">
        <v>17</v>
      </c>
      <c r="I16" s="236" t="s">
        <v>16</v>
      </c>
      <c r="J16" s="237" t="s">
        <v>17</v>
      </c>
      <c r="K16" s="236" t="s">
        <v>16</v>
      </c>
      <c r="L16" s="237" t="s">
        <v>17</v>
      </c>
      <c r="M16" s="236" t="s">
        <v>16</v>
      </c>
      <c r="N16" s="237" t="s">
        <v>17</v>
      </c>
      <c r="O16" s="179"/>
    </row>
    <row r="17" spans="2:15" ht="120" customHeight="1" thickBot="1">
      <c r="B17" s="196">
        <v>0.45833333333333331</v>
      </c>
      <c r="C17" s="160"/>
      <c r="D17" s="161"/>
      <c r="E17" s="160"/>
      <c r="F17" s="161"/>
      <c r="G17" s="171"/>
      <c r="H17" s="161"/>
      <c r="I17" s="160"/>
      <c r="J17" s="161"/>
      <c r="K17" s="160"/>
      <c r="L17" s="161"/>
      <c r="M17" s="137" t="s">
        <v>18</v>
      </c>
      <c r="N17" s="147"/>
      <c r="O17" s="179"/>
    </row>
    <row r="18" spans="2:15" ht="120" customHeight="1" thickBot="1">
      <c r="B18" s="99">
        <v>0.5</v>
      </c>
      <c r="C18" s="173" t="s">
        <v>20</v>
      </c>
      <c r="D18" s="161"/>
      <c r="E18" s="160"/>
      <c r="F18" s="165" t="s">
        <v>20</v>
      </c>
      <c r="G18" s="171" t="s">
        <v>19</v>
      </c>
      <c r="H18" s="172"/>
      <c r="I18" s="171"/>
      <c r="J18" s="172"/>
      <c r="K18" s="171"/>
      <c r="L18" s="172"/>
      <c r="M18" s="137" t="s">
        <v>18</v>
      </c>
      <c r="N18" s="136"/>
      <c r="O18" s="179"/>
    </row>
    <row r="19" spans="2:15" ht="120" customHeight="1" thickBot="1">
      <c r="B19" s="197">
        <v>0.54166666666666663</v>
      </c>
      <c r="C19" s="173" t="s">
        <v>20</v>
      </c>
      <c r="D19" s="161"/>
      <c r="E19" s="160"/>
      <c r="F19" s="165" t="s">
        <v>20</v>
      </c>
      <c r="G19" s="173" t="s">
        <v>20</v>
      </c>
      <c r="H19" s="172"/>
      <c r="I19" s="173" t="s">
        <v>20</v>
      </c>
      <c r="J19" s="172"/>
      <c r="K19" s="173" t="s">
        <v>20</v>
      </c>
      <c r="L19" s="172"/>
      <c r="M19" s="135" t="s">
        <v>20</v>
      </c>
      <c r="N19" s="136"/>
      <c r="O19" s="179"/>
    </row>
    <row r="20" spans="2:15" ht="120" customHeight="1" thickBot="1">
      <c r="B20" s="99">
        <v>0.58333333333333337</v>
      </c>
      <c r="C20" s="173" t="s">
        <v>20</v>
      </c>
      <c r="D20" s="161"/>
      <c r="E20" s="160"/>
      <c r="F20" s="165" t="s">
        <v>20</v>
      </c>
      <c r="G20" s="171" t="s">
        <v>21</v>
      </c>
      <c r="H20" s="172"/>
      <c r="I20" s="171" t="s">
        <v>22</v>
      </c>
      <c r="J20" s="172"/>
      <c r="K20" s="173" t="s">
        <v>20</v>
      </c>
      <c r="L20" s="172"/>
      <c r="M20" s="141" t="s">
        <v>56</v>
      </c>
      <c r="N20" s="146"/>
      <c r="O20" s="179"/>
    </row>
    <row r="21" spans="2:15" ht="120" customHeight="1" thickBot="1">
      <c r="B21" s="197">
        <v>0.625</v>
      </c>
      <c r="C21" s="173" t="s">
        <v>20</v>
      </c>
      <c r="D21" s="161"/>
      <c r="E21" s="160"/>
      <c r="F21" s="165" t="s">
        <v>20</v>
      </c>
      <c r="G21" s="160"/>
      <c r="H21" s="174"/>
      <c r="I21" s="171" t="s">
        <v>21</v>
      </c>
      <c r="J21" s="174"/>
      <c r="K21" s="171"/>
      <c r="L21" s="174"/>
      <c r="M21" s="215" t="s">
        <v>47</v>
      </c>
      <c r="N21" s="136"/>
      <c r="O21" s="179"/>
    </row>
    <row r="22" spans="2:15" ht="120" customHeight="1" thickBot="1">
      <c r="B22" s="99">
        <v>0.66666666666666663</v>
      </c>
      <c r="C22" s="175" t="s">
        <v>23</v>
      </c>
      <c r="D22" s="161"/>
      <c r="E22" s="160"/>
      <c r="F22" s="166" t="s">
        <v>23</v>
      </c>
      <c r="G22" s="176" t="s">
        <v>18</v>
      </c>
      <c r="H22" s="174"/>
      <c r="I22" s="175" t="s">
        <v>23</v>
      </c>
      <c r="J22" s="174"/>
      <c r="K22" s="160"/>
      <c r="L22" s="174"/>
      <c r="M22" s="140"/>
      <c r="N22" s="136"/>
      <c r="O22" s="179"/>
    </row>
    <row r="23" spans="2:15" ht="120" customHeight="1" thickBot="1">
      <c r="B23" s="197">
        <v>0.70833333333333337</v>
      </c>
      <c r="C23" s="175" t="s">
        <v>24</v>
      </c>
      <c r="D23" s="161"/>
      <c r="E23" s="160"/>
      <c r="F23" s="166" t="s">
        <v>24</v>
      </c>
      <c r="G23" s="176" t="s">
        <v>18</v>
      </c>
      <c r="H23" s="174"/>
      <c r="I23" s="175" t="s">
        <v>24</v>
      </c>
      <c r="J23" s="174"/>
      <c r="K23" s="160"/>
      <c r="L23" s="174"/>
      <c r="M23" s="140"/>
      <c r="N23" s="161"/>
      <c r="O23" s="179"/>
    </row>
    <row r="24" spans="2:15" ht="120" customHeight="1" thickBot="1">
      <c r="B24" s="99">
        <v>0.75</v>
      </c>
      <c r="C24" s="176" t="s">
        <v>18</v>
      </c>
      <c r="D24" s="161"/>
      <c r="E24" s="160"/>
      <c r="F24" s="167" t="s">
        <v>18</v>
      </c>
      <c r="G24" s="176" t="s">
        <v>18</v>
      </c>
      <c r="H24" s="174"/>
      <c r="I24" s="176" t="s">
        <v>18</v>
      </c>
      <c r="J24" s="174"/>
      <c r="K24" s="160"/>
      <c r="L24" s="174"/>
      <c r="M24" s="140"/>
      <c r="N24" s="161"/>
      <c r="O24" s="179"/>
    </row>
    <row r="25" spans="2:15" ht="120" customHeight="1" thickBot="1">
      <c r="B25" s="197">
        <v>0.79166666666666663</v>
      </c>
      <c r="C25" s="176" t="s">
        <v>18</v>
      </c>
      <c r="D25" s="161"/>
      <c r="E25" s="169" t="s">
        <v>51</v>
      </c>
      <c r="F25" s="167" t="s">
        <v>54</v>
      </c>
      <c r="G25" s="173" t="s">
        <v>20</v>
      </c>
      <c r="H25" s="174"/>
      <c r="I25" s="215" t="s">
        <v>45</v>
      </c>
      <c r="J25" s="174"/>
      <c r="K25" s="178" t="s">
        <v>55</v>
      </c>
      <c r="L25" s="174"/>
      <c r="M25" s="140"/>
      <c r="N25" s="161"/>
      <c r="O25" s="179"/>
    </row>
    <row r="26" spans="2:15" ht="120" customHeight="1" thickBot="1">
      <c r="B26" s="198">
        <v>0.83333333333333337</v>
      </c>
      <c r="C26" s="219" t="s">
        <v>47</v>
      </c>
      <c r="D26" s="163"/>
      <c r="E26" s="162" t="s">
        <v>19</v>
      </c>
      <c r="F26" s="169" t="s">
        <v>47</v>
      </c>
      <c r="G26" s="177" t="s">
        <v>21</v>
      </c>
      <c r="H26" s="163"/>
      <c r="I26" s="177" t="s">
        <v>26</v>
      </c>
      <c r="J26" s="163"/>
      <c r="K26" s="177" t="s">
        <v>45</v>
      </c>
      <c r="L26" s="163"/>
      <c r="M26" s="148"/>
      <c r="N26" s="163"/>
      <c r="O26" s="179"/>
    </row>
    <row r="27" spans="2:15" ht="120" customHeight="1" thickBot="1">
      <c r="B27" s="294" t="s">
        <v>9</v>
      </c>
      <c r="C27" s="119" t="s">
        <v>10</v>
      </c>
      <c r="D27" s="239">
        <f>D3+14</f>
        <v>43661</v>
      </c>
      <c r="E27" s="119" t="s">
        <v>11</v>
      </c>
      <c r="F27" s="239">
        <f>D3+15</f>
        <v>43662</v>
      </c>
      <c r="G27" s="119" t="s">
        <v>12</v>
      </c>
      <c r="H27" s="239">
        <f>D3+16</f>
        <v>43663</v>
      </c>
      <c r="I27" s="119" t="s">
        <v>13</v>
      </c>
      <c r="J27" s="239">
        <f>D3+17</f>
        <v>43664</v>
      </c>
      <c r="K27" s="119" t="s">
        <v>14</v>
      </c>
      <c r="L27" s="239">
        <f>D3+18</f>
        <v>43665</v>
      </c>
      <c r="M27" s="119" t="s">
        <v>15</v>
      </c>
      <c r="N27" s="239">
        <f>D3+19</f>
        <v>43666</v>
      </c>
    </row>
    <row r="28" spans="2:15" ht="120" customHeight="1" thickBot="1">
      <c r="B28" s="295"/>
      <c r="C28" s="236" t="s">
        <v>16</v>
      </c>
      <c r="D28" s="238"/>
      <c r="E28" s="236" t="s">
        <v>16</v>
      </c>
      <c r="F28" s="237" t="s">
        <v>16</v>
      </c>
      <c r="G28" s="236" t="s">
        <v>16</v>
      </c>
      <c r="H28" s="237" t="s">
        <v>17</v>
      </c>
      <c r="I28" s="236" t="s">
        <v>16</v>
      </c>
      <c r="J28" s="237" t="s">
        <v>17</v>
      </c>
      <c r="K28" s="236" t="s">
        <v>16</v>
      </c>
      <c r="L28" s="237" t="s">
        <v>17</v>
      </c>
      <c r="M28" s="236" t="s">
        <v>16</v>
      </c>
      <c r="N28" s="237" t="s">
        <v>17</v>
      </c>
      <c r="O28" s="179"/>
    </row>
    <row r="29" spans="2:15" ht="120" customHeight="1" thickBot="1">
      <c r="B29" s="196">
        <v>0.45833333333333331</v>
      </c>
      <c r="C29" s="160"/>
      <c r="D29" s="161"/>
      <c r="E29" s="160"/>
      <c r="F29" s="161"/>
      <c r="G29" s="171" t="s">
        <v>52</v>
      </c>
      <c r="H29" s="161"/>
      <c r="I29" s="160"/>
      <c r="J29" s="161"/>
      <c r="K29" s="160"/>
      <c r="L29" s="161"/>
      <c r="M29" s="137" t="s">
        <v>18</v>
      </c>
      <c r="N29" s="147"/>
      <c r="O29" s="179"/>
    </row>
    <row r="30" spans="2:15" ht="120" customHeight="1" thickBot="1">
      <c r="B30" s="99">
        <v>0.5</v>
      </c>
      <c r="C30" s="173" t="s">
        <v>20</v>
      </c>
      <c r="D30" s="161"/>
      <c r="E30" s="160"/>
      <c r="F30" s="165" t="s">
        <v>20</v>
      </c>
      <c r="G30" s="171" t="s">
        <v>19</v>
      </c>
      <c r="H30" s="172"/>
      <c r="I30" s="171"/>
      <c r="J30" s="172"/>
      <c r="K30" s="171"/>
      <c r="L30" s="172"/>
      <c r="M30" s="137" t="s">
        <v>18</v>
      </c>
      <c r="N30" s="136"/>
      <c r="O30" s="179"/>
    </row>
    <row r="31" spans="2:15" ht="120" customHeight="1" thickBot="1">
      <c r="B31" s="197">
        <v>0.54166666666666663</v>
      </c>
      <c r="C31" s="173" t="s">
        <v>20</v>
      </c>
      <c r="D31" s="161"/>
      <c r="E31" s="160"/>
      <c r="F31" s="165" t="s">
        <v>20</v>
      </c>
      <c r="G31" s="173" t="s">
        <v>20</v>
      </c>
      <c r="H31" s="172"/>
      <c r="I31" s="173" t="s">
        <v>20</v>
      </c>
      <c r="J31" s="172"/>
      <c r="K31" s="173" t="s">
        <v>20</v>
      </c>
      <c r="L31" s="172"/>
      <c r="M31" s="135" t="s">
        <v>20</v>
      </c>
      <c r="N31" s="136"/>
      <c r="O31" s="179"/>
    </row>
    <row r="32" spans="2:15" ht="120" customHeight="1" thickBot="1">
      <c r="B32" s="99">
        <v>0.58333333333333337</v>
      </c>
      <c r="C32" s="173" t="s">
        <v>20</v>
      </c>
      <c r="D32" s="161"/>
      <c r="E32" s="160"/>
      <c r="F32" s="165" t="s">
        <v>20</v>
      </c>
      <c r="G32" s="171" t="s">
        <v>21</v>
      </c>
      <c r="H32" s="172"/>
      <c r="I32" s="171" t="s">
        <v>22</v>
      </c>
      <c r="J32" s="172"/>
      <c r="K32" s="173" t="s">
        <v>20</v>
      </c>
      <c r="L32" s="172"/>
      <c r="M32" s="141" t="s">
        <v>56</v>
      </c>
      <c r="N32" s="146"/>
      <c r="O32" s="179"/>
    </row>
    <row r="33" spans="2:15" ht="120" customHeight="1" thickBot="1">
      <c r="B33" s="197">
        <v>0.625</v>
      </c>
      <c r="C33" s="173" t="s">
        <v>20</v>
      </c>
      <c r="D33" s="161"/>
      <c r="E33" s="160"/>
      <c r="F33" s="165" t="s">
        <v>20</v>
      </c>
      <c r="G33" s="160" t="s">
        <v>52</v>
      </c>
      <c r="H33" s="174"/>
      <c r="I33" s="171" t="s">
        <v>21</v>
      </c>
      <c r="J33" s="174"/>
      <c r="K33" s="171"/>
      <c r="L33" s="174"/>
      <c r="M33" s="215" t="s">
        <v>47</v>
      </c>
      <c r="N33" s="136"/>
      <c r="O33" s="179"/>
    </row>
    <row r="34" spans="2:15" ht="120" customHeight="1" thickBot="1">
      <c r="B34" s="99">
        <v>0.66666666666666663</v>
      </c>
      <c r="C34" s="175" t="s">
        <v>23</v>
      </c>
      <c r="D34" s="161"/>
      <c r="E34" s="160"/>
      <c r="F34" s="166" t="s">
        <v>23</v>
      </c>
      <c r="G34" s="175" t="s">
        <v>23</v>
      </c>
      <c r="H34" s="174"/>
      <c r="I34" s="175" t="s">
        <v>23</v>
      </c>
      <c r="J34" s="174"/>
      <c r="K34" s="160"/>
      <c r="L34" s="174"/>
      <c r="M34" s="140"/>
      <c r="N34" s="136"/>
      <c r="O34" s="179"/>
    </row>
    <row r="35" spans="2:15" ht="120" customHeight="1" thickBot="1">
      <c r="B35" s="197">
        <v>0.70833333333333337</v>
      </c>
      <c r="C35" s="175" t="s">
        <v>24</v>
      </c>
      <c r="D35" s="161"/>
      <c r="E35" s="160"/>
      <c r="F35" s="166" t="s">
        <v>24</v>
      </c>
      <c r="G35" s="175" t="s">
        <v>24</v>
      </c>
      <c r="H35" s="174"/>
      <c r="I35" s="175" t="s">
        <v>24</v>
      </c>
      <c r="J35" s="174"/>
      <c r="K35" s="160"/>
      <c r="L35" s="174"/>
      <c r="M35" s="140"/>
      <c r="N35" s="161"/>
      <c r="O35" s="179"/>
    </row>
    <row r="36" spans="2:15" ht="120" customHeight="1" thickBot="1">
      <c r="B36" s="99">
        <v>0.75</v>
      </c>
      <c r="C36" s="176" t="s">
        <v>18</v>
      </c>
      <c r="D36" s="161"/>
      <c r="E36" s="160"/>
      <c r="F36" s="167" t="s">
        <v>18</v>
      </c>
      <c r="G36" s="176" t="s">
        <v>18</v>
      </c>
      <c r="H36" s="174"/>
      <c r="I36" s="176" t="s">
        <v>18</v>
      </c>
      <c r="J36" s="174"/>
      <c r="K36" s="160"/>
      <c r="L36" s="174"/>
      <c r="M36" s="140"/>
      <c r="N36" s="161"/>
      <c r="O36" s="179"/>
    </row>
    <row r="37" spans="2:15" ht="120" customHeight="1" thickBot="1">
      <c r="B37" s="197">
        <v>0.79166666666666663</v>
      </c>
      <c r="C37" s="176" t="s">
        <v>18</v>
      </c>
      <c r="D37" s="161"/>
      <c r="E37" s="169" t="s">
        <v>51</v>
      </c>
      <c r="F37" s="167" t="s">
        <v>53</v>
      </c>
      <c r="G37" s="173" t="s">
        <v>20</v>
      </c>
      <c r="H37" s="174"/>
      <c r="I37" s="215" t="s">
        <v>45</v>
      </c>
      <c r="J37" s="174"/>
      <c r="K37" s="178" t="s">
        <v>26</v>
      </c>
      <c r="L37" s="174"/>
      <c r="M37" s="140"/>
      <c r="N37" s="161"/>
      <c r="O37" s="179"/>
    </row>
    <row r="38" spans="2:15" ht="120" customHeight="1" thickBot="1">
      <c r="B38" s="198">
        <v>0.83333333333333337</v>
      </c>
      <c r="C38" s="219" t="s">
        <v>47</v>
      </c>
      <c r="D38" s="163"/>
      <c r="E38" s="162" t="s">
        <v>19</v>
      </c>
      <c r="F38" s="169" t="s">
        <v>47</v>
      </c>
      <c r="G38" s="177" t="s">
        <v>21</v>
      </c>
      <c r="H38" s="163"/>
      <c r="I38" s="177" t="s">
        <v>26</v>
      </c>
      <c r="J38" s="163"/>
      <c r="K38" s="177" t="s">
        <v>45</v>
      </c>
      <c r="L38" s="163"/>
      <c r="M38" s="148"/>
      <c r="N38" s="163"/>
      <c r="O38" s="179"/>
    </row>
    <row r="39" spans="2:15" ht="120" customHeight="1" thickBot="1">
      <c r="B39" s="294" t="s">
        <v>9</v>
      </c>
      <c r="C39" s="119" t="s">
        <v>10</v>
      </c>
      <c r="D39" s="239">
        <f>D3+21</f>
        <v>43668</v>
      </c>
      <c r="E39" s="119" t="s">
        <v>11</v>
      </c>
      <c r="F39" s="239">
        <f>D3+22</f>
        <v>43669</v>
      </c>
      <c r="G39" s="119" t="s">
        <v>12</v>
      </c>
      <c r="H39" s="239">
        <f>D3+23</f>
        <v>43670</v>
      </c>
      <c r="I39" s="119" t="s">
        <v>13</v>
      </c>
      <c r="J39" s="239">
        <f>D3+24</f>
        <v>43671</v>
      </c>
      <c r="K39" s="119" t="s">
        <v>14</v>
      </c>
      <c r="L39" s="239">
        <f>D3+25</f>
        <v>43672</v>
      </c>
      <c r="M39" s="119" t="s">
        <v>15</v>
      </c>
      <c r="N39" s="239">
        <f>D3+26</f>
        <v>43673</v>
      </c>
    </row>
    <row r="40" spans="2:15" ht="120" customHeight="1" thickBot="1">
      <c r="B40" s="295"/>
      <c r="C40" s="236" t="s">
        <v>16</v>
      </c>
      <c r="D40" s="182"/>
      <c r="E40" s="236" t="s">
        <v>16</v>
      </c>
      <c r="F40" s="237" t="s">
        <v>16</v>
      </c>
      <c r="G40" s="236" t="s">
        <v>16</v>
      </c>
      <c r="H40" s="237" t="s">
        <v>17</v>
      </c>
      <c r="I40" s="236" t="s">
        <v>16</v>
      </c>
      <c r="J40" s="237" t="s">
        <v>17</v>
      </c>
      <c r="K40" s="236" t="s">
        <v>16</v>
      </c>
      <c r="L40" s="237" t="s">
        <v>17</v>
      </c>
      <c r="M40" s="236" t="s">
        <v>16</v>
      </c>
      <c r="N40" s="237" t="s">
        <v>17</v>
      </c>
      <c r="O40" s="179"/>
    </row>
    <row r="41" spans="2:15" ht="120" customHeight="1" thickBot="1">
      <c r="B41" s="196">
        <v>0.45833333333333331</v>
      </c>
      <c r="C41" s="160"/>
      <c r="D41" s="161"/>
      <c r="E41" s="160"/>
      <c r="F41" s="161"/>
      <c r="G41" s="171"/>
      <c r="H41" s="161"/>
      <c r="I41" s="160"/>
      <c r="J41" s="161"/>
      <c r="K41" s="160"/>
      <c r="L41" s="161"/>
      <c r="M41" s="137" t="s">
        <v>18</v>
      </c>
      <c r="N41" s="147"/>
      <c r="O41" s="179"/>
    </row>
    <row r="42" spans="2:15" ht="120" customHeight="1" thickBot="1">
      <c r="B42" s="99">
        <v>0.5</v>
      </c>
      <c r="C42" s="173" t="s">
        <v>20</v>
      </c>
      <c r="D42" s="161"/>
      <c r="E42" s="160"/>
      <c r="F42" s="165" t="s">
        <v>20</v>
      </c>
      <c r="G42" s="171" t="s">
        <v>19</v>
      </c>
      <c r="H42" s="172"/>
      <c r="I42" s="171"/>
      <c r="J42" s="172"/>
      <c r="K42" s="171"/>
      <c r="L42" s="172"/>
      <c r="M42" s="137" t="s">
        <v>18</v>
      </c>
      <c r="N42" s="136"/>
      <c r="O42" s="179"/>
    </row>
    <row r="43" spans="2:15" ht="120" customHeight="1" thickBot="1">
      <c r="B43" s="197">
        <v>0.54166666666666663</v>
      </c>
      <c r="C43" s="173" t="s">
        <v>20</v>
      </c>
      <c r="D43" s="161"/>
      <c r="E43" s="160"/>
      <c r="F43" s="165" t="s">
        <v>20</v>
      </c>
      <c r="G43" s="173" t="s">
        <v>20</v>
      </c>
      <c r="H43" s="172"/>
      <c r="I43" s="173" t="s">
        <v>20</v>
      </c>
      <c r="J43" s="172"/>
      <c r="K43" s="173" t="s">
        <v>20</v>
      </c>
      <c r="L43" s="172"/>
      <c r="M43" s="135" t="s">
        <v>20</v>
      </c>
      <c r="N43" s="136"/>
      <c r="O43" s="179"/>
    </row>
    <row r="44" spans="2:15" ht="120" customHeight="1" thickBot="1">
      <c r="B44" s="99">
        <v>0.58333333333333337</v>
      </c>
      <c r="C44" s="173" t="s">
        <v>20</v>
      </c>
      <c r="D44" s="161"/>
      <c r="E44" s="160"/>
      <c r="F44" s="165" t="s">
        <v>20</v>
      </c>
      <c r="G44" s="171" t="s">
        <v>21</v>
      </c>
      <c r="H44" s="172"/>
      <c r="I44" s="171" t="s">
        <v>22</v>
      </c>
      <c r="J44" s="172"/>
      <c r="K44" s="173" t="s">
        <v>20</v>
      </c>
      <c r="L44" s="172"/>
      <c r="M44" s="141" t="s">
        <v>56</v>
      </c>
      <c r="N44" s="146"/>
      <c r="O44" s="179"/>
    </row>
    <row r="45" spans="2:15" ht="120" customHeight="1" thickBot="1">
      <c r="B45" s="197">
        <v>0.625</v>
      </c>
      <c r="C45" s="173" t="s">
        <v>20</v>
      </c>
      <c r="D45" s="161"/>
      <c r="E45" s="160"/>
      <c r="F45" s="165" t="s">
        <v>20</v>
      </c>
      <c r="G45" s="160"/>
      <c r="H45" s="174"/>
      <c r="I45" s="171" t="s">
        <v>21</v>
      </c>
      <c r="J45" s="174"/>
      <c r="K45" s="171"/>
      <c r="L45" s="174"/>
      <c r="M45" s="215" t="s">
        <v>47</v>
      </c>
      <c r="N45" s="136"/>
      <c r="O45" s="179"/>
    </row>
    <row r="46" spans="2:15" ht="120" customHeight="1" thickBot="1">
      <c r="B46" s="99">
        <v>0.66666666666666663</v>
      </c>
      <c r="C46" s="175" t="s">
        <v>23</v>
      </c>
      <c r="D46" s="161"/>
      <c r="E46" s="160"/>
      <c r="F46" s="166" t="s">
        <v>23</v>
      </c>
      <c r="G46" s="175" t="s">
        <v>23</v>
      </c>
      <c r="H46" s="174"/>
      <c r="I46" s="175" t="s">
        <v>23</v>
      </c>
      <c r="J46" s="174"/>
      <c r="K46" s="160"/>
      <c r="L46" s="174"/>
      <c r="M46" s="140"/>
      <c r="N46" s="136"/>
      <c r="O46" s="179"/>
    </row>
    <row r="47" spans="2:15" ht="120" customHeight="1" thickBot="1">
      <c r="B47" s="197">
        <v>0.70833333333333337</v>
      </c>
      <c r="C47" s="175" t="s">
        <v>24</v>
      </c>
      <c r="D47" s="161"/>
      <c r="E47" s="160"/>
      <c r="F47" s="166" t="s">
        <v>24</v>
      </c>
      <c r="G47" s="175" t="s">
        <v>24</v>
      </c>
      <c r="H47" s="174"/>
      <c r="I47" s="175" t="s">
        <v>24</v>
      </c>
      <c r="J47" s="174"/>
      <c r="K47" s="160"/>
      <c r="L47" s="174"/>
      <c r="M47" s="140"/>
      <c r="N47" s="161"/>
      <c r="O47" s="179"/>
    </row>
    <row r="48" spans="2:15" ht="120" customHeight="1" thickBot="1">
      <c r="B48" s="99">
        <v>0.75</v>
      </c>
      <c r="C48" s="176" t="s">
        <v>18</v>
      </c>
      <c r="D48" s="161"/>
      <c r="E48" s="160"/>
      <c r="F48" s="167" t="s">
        <v>18</v>
      </c>
      <c r="G48" s="176" t="s">
        <v>18</v>
      </c>
      <c r="H48" s="174"/>
      <c r="I48" s="176" t="s">
        <v>18</v>
      </c>
      <c r="J48" s="174"/>
      <c r="K48" s="160"/>
      <c r="L48" s="174"/>
      <c r="M48" s="140"/>
      <c r="N48" s="161"/>
      <c r="O48" s="179"/>
    </row>
    <row r="49" spans="2:15" ht="120" customHeight="1" thickBot="1">
      <c r="B49" s="197">
        <v>0.79166666666666663</v>
      </c>
      <c r="C49" s="176" t="s">
        <v>18</v>
      </c>
      <c r="D49" s="161"/>
      <c r="E49" s="169" t="s">
        <v>51</v>
      </c>
      <c r="F49" s="167" t="s">
        <v>18</v>
      </c>
      <c r="G49" s="173" t="s">
        <v>20</v>
      </c>
      <c r="H49" s="174"/>
      <c r="I49" s="215" t="s">
        <v>45</v>
      </c>
      <c r="J49" s="174"/>
      <c r="K49" s="178" t="s">
        <v>26</v>
      </c>
      <c r="L49" s="174"/>
      <c r="M49" s="140"/>
      <c r="N49" s="161"/>
      <c r="O49" s="179"/>
    </row>
    <row r="50" spans="2:15" ht="120" customHeight="1" thickBot="1">
      <c r="B50" s="198">
        <v>0.83333333333333337</v>
      </c>
      <c r="C50" s="219" t="s">
        <v>47</v>
      </c>
      <c r="D50" s="163"/>
      <c r="E50" s="162" t="s">
        <v>19</v>
      </c>
      <c r="F50" s="169" t="s">
        <v>47</v>
      </c>
      <c r="G50" s="177" t="s">
        <v>21</v>
      </c>
      <c r="H50" s="163"/>
      <c r="I50" s="177" t="s">
        <v>26</v>
      </c>
      <c r="J50" s="163"/>
      <c r="K50" s="177" t="s">
        <v>45</v>
      </c>
      <c r="L50" s="163"/>
      <c r="M50" s="148"/>
      <c r="N50" s="163"/>
      <c r="O50" s="179"/>
    </row>
    <row r="51" spans="2:15" ht="30" customHeight="1" thickBot="1"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</row>
    <row r="52" spans="2:15" ht="177" customHeight="1" thickBot="1">
      <c r="B52" s="282" t="s">
        <v>27</v>
      </c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83"/>
    </row>
    <row r="53" spans="2:15" ht="177" customHeight="1" thickBot="1">
      <c r="B53" s="101" t="s">
        <v>20</v>
      </c>
      <c r="C53" s="282" t="s">
        <v>28</v>
      </c>
      <c r="D53" s="283"/>
      <c r="E53" s="211" t="s">
        <v>46</v>
      </c>
      <c r="F53" s="212" t="s">
        <v>29</v>
      </c>
      <c r="G53" s="273" t="s">
        <v>49</v>
      </c>
      <c r="H53" s="274"/>
      <c r="I53" s="275"/>
      <c r="J53" s="212" t="s">
        <v>30</v>
      </c>
      <c r="K53" s="102"/>
      <c r="L53" s="102"/>
      <c r="M53" s="102"/>
      <c r="N53" s="102"/>
    </row>
    <row r="55" spans="2:15" ht="30" customHeight="1"/>
    <row r="56" spans="2:15" ht="30" customHeight="1"/>
    <row r="57" spans="2:15" ht="30" customHeight="1"/>
    <row r="58" spans="2:15" ht="30" customHeight="1"/>
    <row r="59" spans="2:15" ht="30" customHeight="1"/>
    <row r="60" spans="2:15" ht="30" customHeight="1"/>
    <row r="61" spans="2:15" ht="30" customHeight="1"/>
    <row r="62" spans="2:15" ht="30" customHeight="1"/>
  </sheetData>
  <mergeCells count="13">
    <mergeCell ref="G53:I53"/>
    <mergeCell ref="C53:D53"/>
    <mergeCell ref="B1:E1"/>
    <mergeCell ref="F1:G1"/>
    <mergeCell ref="B2:C2"/>
    <mergeCell ref="D2:E2"/>
    <mergeCell ref="B52:N52"/>
    <mergeCell ref="B39:B40"/>
    <mergeCell ref="B27:B28"/>
    <mergeCell ref="B15:B16"/>
    <mergeCell ref="B3:B4"/>
    <mergeCell ref="I1:J1"/>
    <mergeCell ref="K1:L1"/>
  </mergeCells>
  <phoneticPr fontId="42"/>
  <dataValidations count="6">
    <dataValidation allowBlank="1" showInputMessage="1" showErrorMessage="1" prompt="Enter semester name in this cell" sqref="F1:G1" xr:uid="{00000000-0002-0000-0300-000000000000}"/>
    <dataValidation allowBlank="1" showInputMessage="1" showErrorMessage="1" prompt="Title of this worksheet is in this cell.  Enter semester name in cell at right" sqref="B1:E1" xr:uid="{00000000-0002-0000-0300-000001000000}"/>
    <dataValidation allowBlank="1" showInputMessage="1" showErrorMessage="1" prompt="Enter Start Time in cell at right" sqref="B2" xr:uid="{E14392C0-E475-A64B-B162-79FDAC275883}"/>
    <dataValidation allowBlank="1" showInputMessage="1" showErrorMessage="1" prompt="Create a Class Schedule in this worksheet. Enter Start Time in cell C2, Interval duration in cell E2, and weekly schedule starting in cells B3" sqref="A1" xr:uid="{00000000-0002-0000-0300-000003000000}"/>
    <dataValidation allowBlank="1" showInputMessage="1" showErrorMessage="1" prompt="Time is automatically updated in this column under this heading" sqref="B39 B27 B15 B3" xr:uid="{00000000-0002-0000-03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15:N16 C39:N40 C3:N4" xr:uid="{00000000-0002-0000-0300-000005000000}"/>
  </dataValidations>
  <printOptions horizontalCentered="1"/>
  <pageMargins left="0.25" right="7.4652777777777804E-2" top="0" bottom="0" header="0" footer="0"/>
  <pageSetup scale="11" orientation="portrait" r:id="rId1"/>
  <headerFooter differentFirst="1"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autoPageBreaks="0" fitToPage="1"/>
  </sheetPr>
  <dimension ref="A1:N66"/>
  <sheetViews>
    <sheetView showGridLines="0" showWhiteSpace="0" view="pageLayout" topLeftCell="A31" zoomScale="10" zoomScaleNormal="20" zoomScalePageLayoutView="10" workbookViewId="0">
      <selection activeCell="G55" sqref="G55"/>
    </sheetView>
  </sheetViews>
  <sheetFormatPr defaultColWidth="8.69921875" defaultRowHeight="30" customHeight="1" thickBottom="1"/>
  <cols>
    <col min="1" max="14" width="56.296875" customWidth="1"/>
    <col min="15" max="15" width="8.8984375" customWidth="1"/>
  </cols>
  <sheetData>
    <row r="1" spans="1:14" ht="273.75" customHeight="1" thickBot="1">
      <c r="B1" s="284" t="s">
        <v>0</v>
      </c>
      <c r="C1" s="285"/>
      <c r="D1" s="285"/>
      <c r="E1" s="286"/>
      <c r="F1" s="264" t="s">
        <v>35</v>
      </c>
      <c r="G1" s="265"/>
      <c r="H1" s="80" t="s">
        <v>2</v>
      </c>
      <c r="I1" s="276" t="s">
        <v>3</v>
      </c>
      <c r="J1" s="277"/>
      <c r="K1" s="278" t="s">
        <v>4</v>
      </c>
      <c r="L1" s="279"/>
      <c r="M1" s="14"/>
    </row>
    <row r="2" spans="1:14" ht="172.5" customHeight="1" thickBot="1">
      <c r="A2" s="1"/>
      <c r="B2" s="296" t="s">
        <v>5</v>
      </c>
      <c r="C2" s="292"/>
      <c r="D2" s="293" t="s">
        <v>6</v>
      </c>
      <c r="E2" s="293"/>
      <c r="F2" s="74"/>
      <c r="G2" s="75"/>
      <c r="H2" s="21"/>
      <c r="I2" s="76" t="s">
        <v>7</v>
      </c>
      <c r="J2" s="77"/>
      <c r="K2" s="78" t="s">
        <v>8</v>
      </c>
      <c r="L2" s="79"/>
      <c r="M2" s="87">
        <v>43675</v>
      </c>
      <c r="N2" s="27"/>
    </row>
    <row r="3" spans="1:14" ht="120" customHeight="1" thickBot="1">
      <c r="B3" s="88" t="s">
        <v>9</v>
      </c>
      <c r="C3" s="115" t="s">
        <v>10</v>
      </c>
      <c r="D3" s="116">
        <f>M2</f>
        <v>43675</v>
      </c>
      <c r="E3" s="115" t="s">
        <v>11</v>
      </c>
      <c r="F3" s="116">
        <f>D3+1</f>
        <v>43676</v>
      </c>
      <c r="G3" s="115" t="s">
        <v>12</v>
      </c>
      <c r="H3" s="116">
        <f>D3+2</f>
        <v>43677</v>
      </c>
      <c r="I3" s="119" t="s">
        <v>13</v>
      </c>
      <c r="J3" s="244">
        <f>D3+3</f>
        <v>43678</v>
      </c>
      <c r="K3" s="119" t="s">
        <v>14</v>
      </c>
      <c r="L3" s="244">
        <f>D3+4</f>
        <v>43679</v>
      </c>
      <c r="M3" s="119" t="s">
        <v>15</v>
      </c>
      <c r="N3" s="244">
        <f>D3+5</f>
        <v>43680</v>
      </c>
    </row>
    <row r="4" spans="1:14" ht="120" customHeight="1" thickBot="1">
      <c r="B4" s="98"/>
      <c r="C4" s="89"/>
      <c r="D4" s="90"/>
      <c r="E4" s="91"/>
      <c r="F4" s="90"/>
      <c r="G4" s="91"/>
      <c r="H4" s="91"/>
      <c r="I4" s="240" t="s">
        <v>16</v>
      </c>
      <c r="J4" s="240" t="s">
        <v>17</v>
      </c>
      <c r="K4" s="240" t="s">
        <v>16</v>
      </c>
      <c r="L4" s="240" t="s">
        <v>17</v>
      </c>
      <c r="M4" s="240" t="s">
        <v>16</v>
      </c>
      <c r="N4" s="240" t="s">
        <v>17</v>
      </c>
    </row>
    <row r="5" spans="1:14" ht="120" customHeight="1" thickBot="1">
      <c r="B5" s="249">
        <v>0.45833333333333331</v>
      </c>
      <c r="C5" s="93"/>
      <c r="D5" s="93"/>
      <c r="E5" s="93"/>
      <c r="F5" s="93"/>
      <c r="G5" s="93"/>
      <c r="H5" s="180"/>
      <c r="I5" s="160"/>
      <c r="J5" s="180"/>
      <c r="K5" s="160"/>
      <c r="L5" s="180"/>
      <c r="M5" s="137" t="s">
        <v>18</v>
      </c>
      <c r="N5" s="58"/>
    </row>
    <row r="6" spans="1:14" ht="120" customHeight="1" thickBot="1">
      <c r="B6" s="250">
        <v>0.5</v>
      </c>
      <c r="C6" s="93"/>
      <c r="D6" s="93"/>
      <c r="E6" s="93"/>
      <c r="F6" s="93"/>
      <c r="G6" s="93"/>
      <c r="H6" s="180"/>
      <c r="I6" s="171"/>
      <c r="J6" s="199"/>
      <c r="K6" s="171"/>
      <c r="L6" s="199"/>
      <c r="M6" s="137" t="s">
        <v>18</v>
      </c>
      <c r="N6" s="62"/>
    </row>
    <row r="7" spans="1:14" ht="120" customHeight="1" thickBot="1">
      <c r="B7" s="251">
        <v>0.54166666666666663</v>
      </c>
      <c r="C7" s="93"/>
      <c r="D7" s="93"/>
      <c r="E7" s="93"/>
      <c r="F7" s="93"/>
      <c r="G7" s="93"/>
      <c r="H7" s="180"/>
      <c r="I7" s="173" t="s">
        <v>20</v>
      </c>
      <c r="J7" s="199"/>
      <c r="K7" s="173" t="s">
        <v>20</v>
      </c>
      <c r="L7" s="199"/>
      <c r="M7" s="135" t="s">
        <v>20</v>
      </c>
      <c r="N7" s="62"/>
    </row>
    <row r="8" spans="1:14" ht="120" customHeight="1" thickBot="1">
      <c r="B8" s="252">
        <v>0.58333333333333337</v>
      </c>
      <c r="C8" s="93"/>
      <c r="D8" s="93"/>
      <c r="E8" s="93"/>
      <c r="F8" s="93"/>
      <c r="G8" s="93"/>
      <c r="H8" s="180"/>
      <c r="I8" s="171" t="s">
        <v>22</v>
      </c>
      <c r="J8" s="199"/>
      <c r="K8" s="173" t="s">
        <v>20</v>
      </c>
      <c r="L8" s="199"/>
      <c r="M8" s="141" t="s">
        <v>56</v>
      </c>
      <c r="N8" s="65"/>
    </row>
    <row r="9" spans="1:14" ht="120" customHeight="1" thickBot="1">
      <c r="B9" s="251">
        <v>0.625</v>
      </c>
      <c r="C9" s="93"/>
      <c r="D9" s="93"/>
      <c r="E9" s="93"/>
      <c r="F9" s="93"/>
      <c r="G9" s="93"/>
      <c r="H9" s="180"/>
      <c r="I9" s="171" t="s">
        <v>21</v>
      </c>
      <c r="J9" s="200"/>
      <c r="K9" s="171"/>
      <c r="L9" s="200"/>
      <c r="M9" s="215" t="s">
        <v>47</v>
      </c>
      <c r="N9" s="62"/>
    </row>
    <row r="10" spans="1:14" ht="120" customHeight="1" thickBot="1">
      <c r="B10" s="252">
        <v>0.66666666666666663</v>
      </c>
      <c r="C10" s="93"/>
      <c r="D10" s="93"/>
      <c r="E10" s="93"/>
      <c r="F10" s="93"/>
      <c r="G10" s="93"/>
      <c r="H10" s="180"/>
      <c r="I10" s="175" t="s">
        <v>23</v>
      </c>
      <c r="J10" s="200"/>
      <c r="K10" s="160"/>
      <c r="L10" s="200"/>
      <c r="M10" s="140"/>
      <c r="N10" s="62"/>
    </row>
    <row r="11" spans="1:14" ht="120" customHeight="1" thickBot="1">
      <c r="B11" s="251">
        <v>0.70833333333333337</v>
      </c>
      <c r="C11" s="93"/>
      <c r="D11" s="93"/>
      <c r="E11" s="93"/>
      <c r="F11" s="93"/>
      <c r="G11" s="93"/>
      <c r="H11" s="180"/>
      <c r="I11" s="175" t="s">
        <v>24</v>
      </c>
      <c r="J11" s="200"/>
      <c r="K11" s="160"/>
      <c r="L11" s="200"/>
      <c r="M11" s="140"/>
      <c r="N11" s="93"/>
    </row>
    <row r="12" spans="1:14" ht="120" customHeight="1" thickBot="1">
      <c r="B12" s="252">
        <v>0.75</v>
      </c>
      <c r="C12" s="93"/>
      <c r="D12" s="93"/>
      <c r="E12" s="93"/>
      <c r="F12" s="93"/>
      <c r="G12" s="93"/>
      <c r="H12" s="180"/>
      <c r="I12" s="176" t="s">
        <v>18</v>
      </c>
      <c r="J12" s="200"/>
      <c r="K12" s="160"/>
      <c r="L12" s="200"/>
      <c r="M12" s="140"/>
      <c r="N12" s="93"/>
    </row>
    <row r="13" spans="1:14" ht="120" customHeight="1" thickBot="1">
      <c r="B13" s="251">
        <v>0.79166666666666663</v>
      </c>
      <c r="C13" s="93"/>
      <c r="D13" s="93"/>
      <c r="E13" s="93"/>
      <c r="F13" s="93"/>
      <c r="G13" s="93"/>
      <c r="H13" s="180"/>
      <c r="I13" s="215" t="s">
        <v>45</v>
      </c>
      <c r="J13" s="200"/>
      <c r="K13" s="178" t="s">
        <v>26</v>
      </c>
      <c r="L13" s="200"/>
      <c r="M13" s="140"/>
      <c r="N13" s="93"/>
    </row>
    <row r="14" spans="1:14" ht="120" customHeight="1" thickBot="1">
      <c r="B14" s="248">
        <v>0.83333333333333337</v>
      </c>
      <c r="C14" s="93"/>
      <c r="D14" s="93"/>
      <c r="E14" s="93"/>
      <c r="F14" s="93"/>
      <c r="G14" s="93"/>
      <c r="H14" s="180"/>
      <c r="I14" s="178" t="s">
        <v>26</v>
      </c>
      <c r="J14" s="180"/>
      <c r="K14" s="137" t="s">
        <v>45</v>
      </c>
      <c r="L14" s="180"/>
      <c r="M14" s="140"/>
      <c r="N14" s="93"/>
    </row>
    <row r="15" spans="1:14" ht="120" customHeight="1" thickBot="1">
      <c r="B15" s="88" t="s">
        <v>9</v>
      </c>
      <c r="C15" s="119" t="s">
        <v>10</v>
      </c>
      <c r="D15" s="244">
        <f>D3+7</f>
        <v>43682</v>
      </c>
      <c r="E15" s="119" t="s">
        <v>11</v>
      </c>
      <c r="F15" s="244">
        <f>D3+8</f>
        <v>43683</v>
      </c>
      <c r="G15" s="119" t="s">
        <v>12</v>
      </c>
      <c r="H15" s="244">
        <f>D3+9</f>
        <v>43684</v>
      </c>
      <c r="I15" s="119" t="s">
        <v>13</v>
      </c>
      <c r="J15" s="244">
        <f>D3+10</f>
        <v>43685</v>
      </c>
      <c r="K15" s="119" t="s">
        <v>14</v>
      </c>
      <c r="L15" s="244">
        <f>D3+11</f>
        <v>43686</v>
      </c>
      <c r="M15" s="121" t="s">
        <v>15</v>
      </c>
      <c r="N15" s="245">
        <f>D3+12</f>
        <v>43687</v>
      </c>
    </row>
    <row r="16" spans="1:14" ht="120" customHeight="1" thickBot="1">
      <c r="B16" s="98"/>
      <c r="C16" s="240" t="s">
        <v>16</v>
      </c>
      <c r="D16" s="241"/>
      <c r="E16" s="240" t="s">
        <v>16</v>
      </c>
      <c r="F16" s="240" t="s">
        <v>16</v>
      </c>
      <c r="G16" s="240" t="s">
        <v>16</v>
      </c>
      <c r="H16" s="240" t="s">
        <v>17</v>
      </c>
      <c r="I16" s="240" t="s">
        <v>16</v>
      </c>
      <c r="J16" s="240" t="s">
        <v>17</v>
      </c>
      <c r="K16" s="240" t="s">
        <v>16</v>
      </c>
      <c r="L16" s="240" t="s">
        <v>17</v>
      </c>
      <c r="M16" s="240" t="s">
        <v>16</v>
      </c>
      <c r="N16" s="240" t="s">
        <v>17</v>
      </c>
    </row>
    <row r="17" spans="2:14" ht="120" customHeight="1" thickBot="1">
      <c r="B17" s="249">
        <v>0.45833333333333331</v>
      </c>
      <c r="C17" s="93"/>
      <c r="D17" s="161"/>
      <c r="E17" s="160"/>
      <c r="F17" s="161"/>
      <c r="G17" s="171"/>
      <c r="H17" s="161"/>
      <c r="I17" s="160"/>
      <c r="J17" s="161"/>
      <c r="K17" s="160"/>
      <c r="L17" s="161"/>
      <c r="M17" s="128" t="s">
        <v>18</v>
      </c>
      <c r="N17" s="58"/>
    </row>
    <row r="18" spans="2:14" ht="120" customHeight="1" thickBot="1">
      <c r="B18" s="250">
        <v>0.5</v>
      </c>
      <c r="C18" s="95" t="s">
        <v>20</v>
      </c>
      <c r="D18" s="161"/>
      <c r="E18" s="160"/>
      <c r="F18" s="165" t="s">
        <v>20</v>
      </c>
      <c r="G18" s="171" t="s">
        <v>19</v>
      </c>
      <c r="H18" s="172"/>
      <c r="I18" s="171"/>
      <c r="J18" s="172"/>
      <c r="K18" s="171"/>
      <c r="L18" s="172"/>
      <c r="M18" s="128" t="s">
        <v>18</v>
      </c>
      <c r="N18" s="62"/>
    </row>
    <row r="19" spans="2:14" ht="120" customHeight="1" thickBot="1">
      <c r="B19" s="251">
        <v>0.54166666666666663</v>
      </c>
      <c r="C19" s="95" t="s">
        <v>20</v>
      </c>
      <c r="D19" s="161"/>
      <c r="E19" s="160"/>
      <c r="F19" s="165" t="s">
        <v>20</v>
      </c>
      <c r="G19" s="173" t="s">
        <v>20</v>
      </c>
      <c r="H19" s="172"/>
      <c r="I19" s="173" t="s">
        <v>20</v>
      </c>
      <c r="J19" s="172"/>
      <c r="K19" s="173" t="s">
        <v>20</v>
      </c>
      <c r="L19" s="172"/>
      <c r="M19" s="64" t="s">
        <v>20</v>
      </c>
      <c r="N19" s="62"/>
    </row>
    <row r="20" spans="2:14" ht="120" customHeight="1" thickBot="1">
      <c r="B20" s="252">
        <v>0.58333333333333337</v>
      </c>
      <c r="C20" s="95" t="s">
        <v>20</v>
      </c>
      <c r="D20" s="161"/>
      <c r="E20" s="160"/>
      <c r="F20" s="165" t="s">
        <v>20</v>
      </c>
      <c r="G20" s="171" t="s">
        <v>21</v>
      </c>
      <c r="H20" s="172"/>
      <c r="I20" s="171" t="s">
        <v>22</v>
      </c>
      <c r="J20" s="172"/>
      <c r="K20" s="173" t="s">
        <v>20</v>
      </c>
      <c r="L20" s="172"/>
      <c r="M20" s="129" t="s">
        <v>56</v>
      </c>
      <c r="N20" s="65"/>
    </row>
    <row r="21" spans="2:14" ht="120" customHeight="1" thickBot="1">
      <c r="B21" s="251">
        <v>0.625</v>
      </c>
      <c r="C21" s="95" t="s">
        <v>20</v>
      </c>
      <c r="D21" s="161"/>
      <c r="E21" s="160"/>
      <c r="F21" s="165" t="s">
        <v>20</v>
      </c>
      <c r="G21" s="160"/>
      <c r="H21" s="174"/>
      <c r="I21" s="171" t="s">
        <v>21</v>
      </c>
      <c r="J21" s="174"/>
      <c r="K21" s="171"/>
      <c r="L21" s="174"/>
      <c r="M21" s="215" t="s">
        <v>47</v>
      </c>
      <c r="N21" s="62"/>
    </row>
    <row r="22" spans="2:14" ht="120" customHeight="1" thickBot="1">
      <c r="B22" s="252">
        <v>0.66666666666666663</v>
      </c>
      <c r="C22" s="103" t="s">
        <v>23</v>
      </c>
      <c r="D22" s="161"/>
      <c r="E22" s="160"/>
      <c r="F22" s="166" t="s">
        <v>23</v>
      </c>
      <c r="G22" s="175" t="s">
        <v>23</v>
      </c>
      <c r="H22" s="174"/>
      <c r="I22" s="175" t="s">
        <v>23</v>
      </c>
      <c r="J22" s="174"/>
      <c r="K22" s="160"/>
      <c r="L22" s="174"/>
      <c r="M22" s="127"/>
      <c r="N22" s="62"/>
    </row>
    <row r="23" spans="2:14" ht="120" customHeight="1" thickBot="1">
      <c r="B23" s="251">
        <v>0.70833333333333337</v>
      </c>
      <c r="C23" s="103" t="s">
        <v>24</v>
      </c>
      <c r="D23" s="161"/>
      <c r="E23" s="160"/>
      <c r="F23" s="166" t="s">
        <v>24</v>
      </c>
      <c r="G23" s="175" t="s">
        <v>24</v>
      </c>
      <c r="H23" s="174"/>
      <c r="I23" s="175" t="s">
        <v>24</v>
      </c>
      <c r="J23" s="174"/>
      <c r="K23" s="160"/>
      <c r="L23" s="174"/>
      <c r="M23" s="127"/>
      <c r="N23" s="93"/>
    </row>
    <row r="24" spans="2:14" ht="120" customHeight="1" thickBot="1">
      <c r="B24" s="252">
        <v>0.75</v>
      </c>
      <c r="C24" s="92" t="s">
        <v>18</v>
      </c>
      <c r="D24" s="161"/>
      <c r="E24" s="160"/>
      <c r="F24" s="167" t="s">
        <v>18</v>
      </c>
      <c r="G24" s="176" t="s">
        <v>18</v>
      </c>
      <c r="H24" s="174"/>
      <c r="I24" s="176" t="s">
        <v>18</v>
      </c>
      <c r="J24" s="174"/>
      <c r="K24" s="160"/>
      <c r="L24" s="174"/>
      <c r="M24" s="127"/>
      <c r="N24" s="93"/>
    </row>
    <row r="25" spans="2:14" ht="120" customHeight="1" thickBot="1">
      <c r="B25" s="251">
        <v>0.79166666666666663</v>
      </c>
      <c r="C25" s="214" t="s">
        <v>47</v>
      </c>
      <c r="D25" s="161"/>
      <c r="E25" s="167" t="s">
        <v>51</v>
      </c>
      <c r="F25" s="167" t="s">
        <v>18</v>
      </c>
      <c r="G25" s="173" t="s">
        <v>20</v>
      </c>
      <c r="H25" s="174"/>
      <c r="I25" s="215" t="s">
        <v>45</v>
      </c>
      <c r="J25" s="174"/>
      <c r="K25" s="178" t="s">
        <v>26</v>
      </c>
      <c r="L25" s="174"/>
      <c r="M25" s="127"/>
      <c r="N25" s="93"/>
    </row>
    <row r="26" spans="2:14" ht="120" customHeight="1" thickBot="1">
      <c r="B26" s="248">
        <v>0.83333333333333337</v>
      </c>
      <c r="C26" s="173" t="s">
        <v>20</v>
      </c>
      <c r="D26" s="161"/>
      <c r="E26" s="160" t="s">
        <v>19</v>
      </c>
      <c r="F26" s="167" t="s">
        <v>47</v>
      </c>
      <c r="G26" s="178" t="s">
        <v>21</v>
      </c>
      <c r="H26" s="161"/>
      <c r="I26" s="178" t="s">
        <v>26</v>
      </c>
      <c r="J26" s="161"/>
      <c r="K26" s="137" t="s">
        <v>45</v>
      </c>
      <c r="L26" s="161"/>
      <c r="M26" s="127"/>
      <c r="N26" s="93"/>
    </row>
    <row r="27" spans="2:14" ht="120" customHeight="1" thickBot="1">
      <c r="B27" s="88" t="s">
        <v>9</v>
      </c>
      <c r="C27" s="119" t="s">
        <v>10</v>
      </c>
      <c r="D27" s="244">
        <f>D3+14</f>
        <v>43689</v>
      </c>
      <c r="E27" s="119" t="s">
        <v>11</v>
      </c>
      <c r="F27" s="244">
        <f>D3+15</f>
        <v>43690</v>
      </c>
      <c r="G27" s="119" t="s">
        <v>12</v>
      </c>
      <c r="H27" s="244">
        <f>D3+16</f>
        <v>43691</v>
      </c>
      <c r="I27" s="121" t="s">
        <v>13</v>
      </c>
      <c r="J27" s="245">
        <f>D3+17</f>
        <v>43692</v>
      </c>
      <c r="K27" s="121" t="s">
        <v>14</v>
      </c>
      <c r="L27" s="245">
        <f>D3+18</f>
        <v>43693</v>
      </c>
      <c r="M27" s="119" t="s">
        <v>15</v>
      </c>
      <c r="N27" s="244">
        <f>D3+19</f>
        <v>43694</v>
      </c>
    </row>
    <row r="28" spans="2:14" ht="120" customHeight="1" thickBot="1">
      <c r="B28" s="98"/>
      <c r="C28" s="240" t="s">
        <v>16</v>
      </c>
      <c r="D28" s="241"/>
      <c r="E28" s="240" t="s">
        <v>16</v>
      </c>
      <c r="F28" s="240" t="s">
        <v>16</v>
      </c>
      <c r="G28" s="240" t="s">
        <v>16</v>
      </c>
      <c r="H28" s="240" t="s">
        <v>17</v>
      </c>
      <c r="I28" s="240" t="s">
        <v>16</v>
      </c>
      <c r="J28" s="240" t="s">
        <v>17</v>
      </c>
      <c r="K28" s="240" t="s">
        <v>16</v>
      </c>
      <c r="L28" s="240" t="s">
        <v>17</v>
      </c>
      <c r="M28" s="240" t="s">
        <v>16</v>
      </c>
      <c r="N28" s="240" t="s">
        <v>17</v>
      </c>
    </row>
    <row r="29" spans="2:14" ht="120" customHeight="1" thickBot="1">
      <c r="B29" s="249">
        <v>0.45833333333333331</v>
      </c>
      <c r="C29" s="93"/>
      <c r="D29" s="161"/>
      <c r="E29" s="160"/>
      <c r="F29" s="161"/>
      <c r="G29" s="171"/>
      <c r="H29" s="161"/>
      <c r="I29" s="157"/>
      <c r="J29" s="93"/>
      <c r="K29" s="93"/>
      <c r="L29" s="180"/>
      <c r="M29" s="137" t="s">
        <v>18</v>
      </c>
      <c r="N29" s="58"/>
    </row>
    <row r="30" spans="2:14" ht="120" customHeight="1" thickBot="1">
      <c r="B30" s="250">
        <v>0.5</v>
      </c>
      <c r="C30" s="95" t="s">
        <v>20</v>
      </c>
      <c r="D30" s="161"/>
      <c r="E30" s="160"/>
      <c r="F30" s="165" t="s">
        <v>20</v>
      </c>
      <c r="G30" s="171" t="s">
        <v>19</v>
      </c>
      <c r="H30" s="172"/>
      <c r="I30" s="157"/>
      <c r="J30" s="93"/>
      <c r="K30" s="93"/>
      <c r="L30" s="180"/>
      <c r="M30" s="137" t="s">
        <v>18</v>
      </c>
      <c r="N30" s="62"/>
    </row>
    <row r="31" spans="2:14" ht="120" customHeight="1" thickBot="1">
      <c r="B31" s="251">
        <v>0.54166666666666663</v>
      </c>
      <c r="C31" s="95" t="s">
        <v>20</v>
      </c>
      <c r="D31" s="161"/>
      <c r="E31" s="160"/>
      <c r="F31" s="165" t="s">
        <v>20</v>
      </c>
      <c r="G31" s="173" t="s">
        <v>20</v>
      </c>
      <c r="H31" s="172"/>
      <c r="I31" s="157"/>
      <c r="J31" s="93"/>
      <c r="K31" s="93"/>
      <c r="L31" s="180"/>
      <c r="M31" s="135" t="s">
        <v>20</v>
      </c>
      <c r="N31" s="62"/>
    </row>
    <row r="32" spans="2:14" ht="120" customHeight="1" thickBot="1">
      <c r="B32" s="252">
        <v>0.58333333333333337</v>
      </c>
      <c r="C32" s="95" t="s">
        <v>20</v>
      </c>
      <c r="D32" s="161"/>
      <c r="E32" s="160"/>
      <c r="F32" s="165" t="s">
        <v>20</v>
      </c>
      <c r="G32" s="171" t="s">
        <v>21</v>
      </c>
      <c r="H32" s="172"/>
      <c r="I32" s="157"/>
      <c r="J32" s="93"/>
      <c r="K32" s="93"/>
      <c r="L32" s="180"/>
      <c r="M32" s="141" t="s">
        <v>56</v>
      </c>
      <c r="N32" s="65"/>
    </row>
    <row r="33" spans="2:14" ht="120" customHeight="1" thickBot="1">
      <c r="B33" s="251">
        <v>0.625</v>
      </c>
      <c r="C33" s="95" t="s">
        <v>20</v>
      </c>
      <c r="D33" s="161"/>
      <c r="E33" s="160"/>
      <c r="F33" s="165" t="s">
        <v>20</v>
      </c>
      <c r="G33" s="160"/>
      <c r="H33" s="174"/>
      <c r="I33" s="157"/>
      <c r="J33" s="93"/>
      <c r="K33" s="93"/>
      <c r="L33" s="180"/>
      <c r="M33" s="215" t="s">
        <v>47</v>
      </c>
      <c r="N33" s="62"/>
    </row>
    <row r="34" spans="2:14" ht="120" customHeight="1" thickBot="1">
      <c r="B34" s="252">
        <v>0.66666666666666663</v>
      </c>
      <c r="C34" s="103" t="s">
        <v>23</v>
      </c>
      <c r="D34" s="161"/>
      <c r="E34" s="160"/>
      <c r="F34" s="166" t="s">
        <v>23</v>
      </c>
      <c r="G34" s="175" t="s">
        <v>23</v>
      </c>
      <c r="H34" s="174"/>
      <c r="I34" s="157"/>
      <c r="J34" s="93"/>
      <c r="K34" s="93"/>
      <c r="L34" s="180"/>
      <c r="M34" s="140"/>
      <c r="N34" s="62"/>
    </row>
    <row r="35" spans="2:14" ht="120" customHeight="1" thickBot="1">
      <c r="B35" s="251">
        <v>0.70833333333333337</v>
      </c>
      <c r="C35" s="103" t="s">
        <v>24</v>
      </c>
      <c r="D35" s="161"/>
      <c r="E35" s="160"/>
      <c r="F35" s="166" t="s">
        <v>24</v>
      </c>
      <c r="G35" s="175" t="s">
        <v>24</v>
      </c>
      <c r="H35" s="174"/>
      <c r="I35" s="157"/>
      <c r="J35" s="93"/>
      <c r="K35" s="93"/>
      <c r="L35" s="180"/>
      <c r="M35" s="140"/>
      <c r="N35" s="93"/>
    </row>
    <row r="36" spans="2:14" ht="120" customHeight="1" thickBot="1">
      <c r="B36" s="252">
        <v>0.75</v>
      </c>
      <c r="C36" s="92" t="s">
        <v>18</v>
      </c>
      <c r="D36" s="161"/>
      <c r="E36" s="160"/>
      <c r="F36" s="167" t="s">
        <v>18</v>
      </c>
      <c r="G36" s="176" t="s">
        <v>18</v>
      </c>
      <c r="H36" s="174"/>
      <c r="I36" s="157"/>
      <c r="J36" s="93"/>
      <c r="K36" s="93"/>
      <c r="L36" s="180"/>
      <c r="M36" s="140"/>
      <c r="N36" s="93"/>
    </row>
    <row r="37" spans="2:14" ht="120" customHeight="1" thickBot="1">
      <c r="B37" s="251">
        <v>0.79166666666666663</v>
      </c>
      <c r="C37" s="214" t="s">
        <v>47</v>
      </c>
      <c r="D37" s="161"/>
      <c r="E37" s="167" t="s">
        <v>51</v>
      </c>
      <c r="F37" s="167" t="s">
        <v>18</v>
      </c>
      <c r="G37" s="173" t="s">
        <v>20</v>
      </c>
      <c r="H37" s="174"/>
      <c r="I37" s="157"/>
      <c r="J37" s="93"/>
      <c r="K37" s="93"/>
      <c r="L37" s="180"/>
      <c r="M37" s="140"/>
      <c r="N37" s="93"/>
    </row>
    <row r="38" spans="2:14" ht="120" customHeight="1" thickBot="1">
      <c r="B38" s="248">
        <v>0.83333333333333337</v>
      </c>
      <c r="C38" s="173" t="s">
        <v>20</v>
      </c>
      <c r="D38" s="161"/>
      <c r="E38" s="160" t="s">
        <v>19</v>
      </c>
      <c r="F38" s="167" t="s">
        <v>47</v>
      </c>
      <c r="G38" s="178" t="s">
        <v>21</v>
      </c>
      <c r="H38" s="161"/>
      <c r="I38" s="157"/>
      <c r="J38" s="93"/>
      <c r="K38" s="93"/>
      <c r="L38" s="180"/>
      <c r="M38" s="140"/>
      <c r="N38" s="93"/>
    </row>
    <row r="39" spans="2:14" ht="120" customHeight="1" thickBot="1">
      <c r="B39" s="88" t="s">
        <v>9</v>
      </c>
      <c r="C39" s="119" t="s">
        <v>10</v>
      </c>
      <c r="D39" s="244">
        <f>D3+21</f>
        <v>43696</v>
      </c>
      <c r="E39" s="119" t="s">
        <v>11</v>
      </c>
      <c r="F39" s="244">
        <f>D3+22</f>
        <v>43697</v>
      </c>
      <c r="G39" s="119" t="s">
        <v>12</v>
      </c>
      <c r="H39" s="244">
        <f>D3+23</f>
        <v>43698</v>
      </c>
      <c r="I39" s="119" t="s">
        <v>13</v>
      </c>
      <c r="J39" s="244">
        <f>D3+24</f>
        <v>43699</v>
      </c>
      <c r="K39" s="119" t="s">
        <v>14</v>
      </c>
      <c r="L39" s="244">
        <f>D3+25</f>
        <v>43700</v>
      </c>
      <c r="M39" s="119" t="s">
        <v>15</v>
      </c>
      <c r="N39" s="244">
        <f>D3+26</f>
        <v>43701</v>
      </c>
    </row>
    <row r="40" spans="2:14" ht="120" customHeight="1" thickBot="1">
      <c r="B40" s="98"/>
      <c r="C40" s="240" t="s">
        <v>16</v>
      </c>
      <c r="D40" s="241"/>
      <c r="E40" s="240" t="s">
        <v>16</v>
      </c>
      <c r="F40" s="240" t="s">
        <v>16</v>
      </c>
      <c r="G40" s="240" t="s">
        <v>16</v>
      </c>
      <c r="H40" s="240" t="s">
        <v>17</v>
      </c>
      <c r="I40" s="240" t="s">
        <v>16</v>
      </c>
      <c r="J40" s="240" t="s">
        <v>17</v>
      </c>
      <c r="K40" s="240" t="s">
        <v>16</v>
      </c>
      <c r="L40" s="240" t="s">
        <v>17</v>
      </c>
      <c r="M40" s="240" t="s">
        <v>16</v>
      </c>
      <c r="N40" s="240" t="s">
        <v>17</v>
      </c>
    </row>
    <row r="41" spans="2:14" ht="120" customHeight="1" thickBot="1">
      <c r="B41" s="249">
        <v>0.45833333333333331</v>
      </c>
      <c r="C41" s="93"/>
      <c r="D41" s="161"/>
      <c r="E41" s="160"/>
      <c r="F41" s="161"/>
      <c r="G41" s="171"/>
      <c r="H41" s="161"/>
      <c r="I41" s="160"/>
      <c r="J41" s="161"/>
      <c r="K41" s="160"/>
      <c r="L41" s="161"/>
      <c r="M41" s="128" t="s">
        <v>18</v>
      </c>
      <c r="N41" s="58"/>
    </row>
    <row r="42" spans="2:14" ht="120" customHeight="1" thickBot="1">
      <c r="B42" s="250">
        <v>0.5</v>
      </c>
      <c r="C42" s="95" t="s">
        <v>20</v>
      </c>
      <c r="D42" s="161"/>
      <c r="E42" s="160"/>
      <c r="F42" s="165" t="s">
        <v>20</v>
      </c>
      <c r="G42" s="171" t="s">
        <v>19</v>
      </c>
      <c r="H42" s="172"/>
      <c r="I42" s="171"/>
      <c r="J42" s="172"/>
      <c r="K42" s="171"/>
      <c r="L42" s="172"/>
      <c r="M42" s="128" t="s">
        <v>18</v>
      </c>
      <c r="N42" s="62"/>
    </row>
    <row r="43" spans="2:14" ht="120" customHeight="1" thickBot="1">
      <c r="B43" s="251">
        <v>0.54166666666666663</v>
      </c>
      <c r="C43" s="95" t="s">
        <v>20</v>
      </c>
      <c r="D43" s="161"/>
      <c r="E43" s="160"/>
      <c r="F43" s="165" t="s">
        <v>20</v>
      </c>
      <c r="G43" s="173" t="s">
        <v>20</v>
      </c>
      <c r="H43" s="172"/>
      <c r="I43" s="173" t="s">
        <v>20</v>
      </c>
      <c r="J43" s="172"/>
      <c r="K43" s="173" t="s">
        <v>20</v>
      </c>
      <c r="L43" s="172"/>
      <c r="M43" s="64" t="s">
        <v>20</v>
      </c>
      <c r="N43" s="62"/>
    </row>
    <row r="44" spans="2:14" ht="120" customHeight="1" thickBot="1">
      <c r="B44" s="252">
        <v>0.58333333333333337</v>
      </c>
      <c r="C44" s="95" t="s">
        <v>20</v>
      </c>
      <c r="D44" s="161"/>
      <c r="E44" s="160"/>
      <c r="F44" s="165" t="s">
        <v>20</v>
      </c>
      <c r="G44" s="171" t="s">
        <v>21</v>
      </c>
      <c r="H44" s="172"/>
      <c r="I44" s="171" t="s">
        <v>22</v>
      </c>
      <c r="J44" s="172"/>
      <c r="K44" s="173" t="s">
        <v>20</v>
      </c>
      <c r="L44" s="172"/>
      <c r="M44" s="129" t="s">
        <v>56</v>
      </c>
      <c r="N44" s="65"/>
    </row>
    <row r="45" spans="2:14" ht="120" customHeight="1" thickBot="1">
      <c r="B45" s="251">
        <v>0.625</v>
      </c>
      <c r="C45" s="95" t="s">
        <v>20</v>
      </c>
      <c r="D45" s="161"/>
      <c r="E45" s="160"/>
      <c r="F45" s="165" t="s">
        <v>20</v>
      </c>
      <c r="G45" s="160"/>
      <c r="H45" s="174"/>
      <c r="I45" s="171" t="s">
        <v>21</v>
      </c>
      <c r="J45" s="174"/>
      <c r="K45" s="171"/>
      <c r="L45" s="174"/>
      <c r="M45" s="215" t="s">
        <v>47</v>
      </c>
      <c r="N45" s="62"/>
    </row>
    <row r="46" spans="2:14" ht="120" customHeight="1" thickBot="1">
      <c r="B46" s="252">
        <v>0.66666666666666663</v>
      </c>
      <c r="C46" s="103" t="s">
        <v>23</v>
      </c>
      <c r="D46" s="161"/>
      <c r="E46" s="160"/>
      <c r="F46" s="166" t="s">
        <v>23</v>
      </c>
      <c r="G46" s="175" t="s">
        <v>23</v>
      </c>
      <c r="H46" s="174"/>
      <c r="I46" s="175" t="s">
        <v>23</v>
      </c>
      <c r="J46" s="174"/>
      <c r="K46" s="160"/>
      <c r="L46" s="174"/>
      <c r="M46" s="127"/>
      <c r="N46" s="62"/>
    </row>
    <row r="47" spans="2:14" ht="120" customHeight="1" thickBot="1">
      <c r="B47" s="251">
        <v>0.70833333333333337</v>
      </c>
      <c r="C47" s="103" t="s">
        <v>24</v>
      </c>
      <c r="D47" s="161"/>
      <c r="E47" s="160"/>
      <c r="F47" s="166" t="s">
        <v>24</v>
      </c>
      <c r="G47" s="175" t="s">
        <v>24</v>
      </c>
      <c r="H47" s="174"/>
      <c r="I47" s="175" t="s">
        <v>24</v>
      </c>
      <c r="J47" s="174"/>
      <c r="K47" s="160"/>
      <c r="L47" s="174"/>
      <c r="M47" s="127"/>
      <c r="N47" s="93"/>
    </row>
    <row r="48" spans="2:14" ht="120" customHeight="1" thickBot="1">
      <c r="B48" s="252">
        <v>0.75</v>
      </c>
      <c r="C48" s="92" t="s">
        <v>18</v>
      </c>
      <c r="D48" s="161"/>
      <c r="E48" s="160"/>
      <c r="F48" s="167" t="s">
        <v>18</v>
      </c>
      <c r="G48" s="176" t="s">
        <v>18</v>
      </c>
      <c r="H48" s="174"/>
      <c r="I48" s="176" t="s">
        <v>18</v>
      </c>
      <c r="J48" s="174"/>
      <c r="K48" s="160"/>
      <c r="L48" s="174"/>
      <c r="M48" s="127"/>
      <c r="N48" s="93"/>
    </row>
    <row r="49" spans="2:14" ht="120" customHeight="1" thickBot="1">
      <c r="B49" s="251">
        <v>0.79166666666666663</v>
      </c>
      <c r="C49" s="214" t="s">
        <v>47</v>
      </c>
      <c r="D49" s="161"/>
      <c r="E49" s="167" t="s">
        <v>51</v>
      </c>
      <c r="F49" s="167" t="s">
        <v>18</v>
      </c>
      <c r="G49" s="173" t="s">
        <v>20</v>
      </c>
      <c r="H49" s="174"/>
      <c r="I49" s="215" t="s">
        <v>45</v>
      </c>
      <c r="J49" s="174"/>
      <c r="K49" s="178" t="s">
        <v>26</v>
      </c>
      <c r="L49" s="174"/>
      <c r="M49" s="127"/>
      <c r="N49" s="93"/>
    </row>
    <row r="50" spans="2:14" ht="120" customHeight="1" thickBot="1">
      <c r="B50" s="248">
        <v>0.83333333333333337</v>
      </c>
      <c r="C50" s="173" t="s">
        <v>20</v>
      </c>
      <c r="D50" s="161"/>
      <c r="E50" s="160" t="s">
        <v>19</v>
      </c>
      <c r="F50" s="167" t="s">
        <v>47</v>
      </c>
      <c r="G50" s="178" t="s">
        <v>21</v>
      </c>
      <c r="H50" s="161"/>
      <c r="I50" s="178" t="s">
        <v>26</v>
      </c>
      <c r="J50" s="161"/>
      <c r="K50" s="137" t="s">
        <v>45</v>
      </c>
      <c r="L50" s="161"/>
      <c r="M50" s="127"/>
      <c r="N50" s="93"/>
    </row>
    <row r="51" spans="2:14" ht="120" customHeight="1" thickBot="1">
      <c r="B51" s="88" t="s">
        <v>9</v>
      </c>
      <c r="C51" s="119" t="s">
        <v>10</v>
      </c>
      <c r="D51" s="244">
        <f>D3+28</f>
        <v>43703</v>
      </c>
      <c r="E51" s="119" t="s">
        <v>11</v>
      </c>
      <c r="F51" s="244">
        <f>D3+29</f>
        <v>43704</v>
      </c>
      <c r="G51" s="119" t="s">
        <v>12</v>
      </c>
      <c r="H51" s="244">
        <f>D3+30</f>
        <v>43705</v>
      </c>
      <c r="I51" s="119" t="s">
        <v>13</v>
      </c>
      <c r="J51" s="244">
        <f>D3+31</f>
        <v>43706</v>
      </c>
      <c r="K51" s="119" t="s">
        <v>14</v>
      </c>
      <c r="L51" s="244">
        <f>D3+32</f>
        <v>43707</v>
      </c>
      <c r="M51" s="119" t="s">
        <v>15</v>
      </c>
      <c r="N51" s="244">
        <f>D3+33</f>
        <v>43708</v>
      </c>
    </row>
    <row r="52" spans="2:14" ht="120" customHeight="1" thickBot="1">
      <c r="B52" s="98"/>
      <c r="C52" s="240" t="s">
        <v>16</v>
      </c>
      <c r="D52" s="241"/>
      <c r="E52" s="240" t="s">
        <v>16</v>
      </c>
      <c r="F52" s="240" t="s">
        <v>16</v>
      </c>
      <c r="G52" s="240" t="s">
        <v>16</v>
      </c>
      <c r="H52" s="240" t="s">
        <v>17</v>
      </c>
      <c r="I52" s="240" t="s">
        <v>16</v>
      </c>
      <c r="J52" s="240" t="s">
        <v>17</v>
      </c>
      <c r="K52" s="240" t="s">
        <v>16</v>
      </c>
      <c r="L52" s="240" t="s">
        <v>17</v>
      </c>
      <c r="M52" s="89"/>
      <c r="N52" s="90"/>
    </row>
    <row r="53" spans="2:14" ht="120" customHeight="1" thickBot="1">
      <c r="B53" s="249">
        <v>0.45833333333333331</v>
      </c>
      <c r="C53" s="93"/>
      <c r="D53" s="161"/>
      <c r="E53" s="160"/>
      <c r="F53" s="161"/>
      <c r="G53" s="171"/>
      <c r="H53" s="161"/>
      <c r="I53" s="160"/>
      <c r="J53" s="161"/>
      <c r="K53" s="160"/>
      <c r="L53" s="161"/>
      <c r="M53" s="93"/>
      <c r="N53" s="93"/>
    </row>
    <row r="54" spans="2:14" ht="120" customHeight="1" thickBot="1">
      <c r="B54" s="250">
        <v>0.5</v>
      </c>
      <c r="C54" s="95" t="s">
        <v>20</v>
      </c>
      <c r="D54" s="161"/>
      <c r="E54" s="160"/>
      <c r="F54" s="165" t="s">
        <v>20</v>
      </c>
      <c r="G54" s="171" t="s">
        <v>19</v>
      </c>
      <c r="H54" s="172"/>
      <c r="I54" s="171"/>
      <c r="J54" s="172"/>
      <c r="K54" s="171"/>
      <c r="L54" s="172"/>
      <c r="M54" s="93"/>
      <c r="N54" s="93"/>
    </row>
    <row r="55" spans="2:14" ht="120" customHeight="1" thickBot="1">
      <c r="B55" s="251">
        <v>0.54166666666666663</v>
      </c>
      <c r="C55" s="95" t="s">
        <v>20</v>
      </c>
      <c r="D55" s="161"/>
      <c r="E55" s="160"/>
      <c r="F55" s="165" t="s">
        <v>20</v>
      </c>
      <c r="G55" s="173" t="s">
        <v>20</v>
      </c>
      <c r="H55" s="172"/>
      <c r="I55" s="173" t="s">
        <v>20</v>
      </c>
      <c r="J55" s="172"/>
      <c r="K55" s="173" t="s">
        <v>20</v>
      </c>
      <c r="L55" s="172"/>
      <c r="M55" s="93"/>
      <c r="N55" s="93"/>
    </row>
    <row r="56" spans="2:14" ht="120" customHeight="1" thickBot="1">
      <c r="B56" s="252">
        <v>0.58333333333333337</v>
      </c>
      <c r="C56" s="95" t="s">
        <v>20</v>
      </c>
      <c r="D56" s="161"/>
      <c r="E56" s="160"/>
      <c r="F56" s="165" t="s">
        <v>20</v>
      </c>
      <c r="G56" s="171" t="s">
        <v>21</v>
      </c>
      <c r="H56" s="172"/>
      <c r="I56" s="171" t="s">
        <v>22</v>
      </c>
      <c r="J56" s="172"/>
      <c r="K56" s="173" t="s">
        <v>20</v>
      </c>
      <c r="L56" s="172"/>
      <c r="M56" s="93"/>
      <c r="N56" s="93"/>
    </row>
    <row r="57" spans="2:14" ht="120" customHeight="1" thickBot="1">
      <c r="B57" s="251">
        <v>0.625</v>
      </c>
      <c r="C57" s="95" t="s">
        <v>20</v>
      </c>
      <c r="D57" s="161"/>
      <c r="E57" s="160"/>
      <c r="F57" s="165" t="s">
        <v>20</v>
      </c>
      <c r="G57" s="160"/>
      <c r="H57" s="174"/>
      <c r="I57" s="171" t="s">
        <v>21</v>
      </c>
      <c r="J57" s="174"/>
      <c r="K57" s="171"/>
      <c r="L57" s="174"/>
      <c r="M57" s="93"/>
      <c r="N57" s="93"/>
    </row>
    <row r="58" spans="2:14" ht="120" customHeight="1" thickBot="1">
      <c r="B58" s="252">
        <v>0.66666666666666663</v>
      </c>
      <c r="C58" s="103" t="s">
        <v>23</v>
      </c>
      <c r="D58" s="161"/>
      <c r="E58" s="160"/>
      <c r="F58" s="166" t="s">
        <v>23</v>
      </c>
      <c r="G58" s="175" t="s">
        <v>23</v>
      </c>
      <c r="H58" s="174"/>
      <c r="I58" s="175" t="s">
        <v>23</v>
      </c>
      <c r="J58" s="174"/>
      <c r="K58" s="160"/>
      <c r="L58" s="174"/>
      <c r="M58" s="93"/>
      <c r="N58" s="93"/>
    </row>
    <row r="59" spans="2:14" ht="120" customHeight="1" thickBot="1">
      <c r="B59" s="251">
        <v>0.70833333333333337</v>
      </c>
      <c r="C59" s="103" t="s">
        <v>24</v>
      </c>
      <c r="D59" s="161"/>
      <c r="E59" s="160"/>
      <c r="F59" s="166" t="s">
        <v>24</v>
      </c>
      <c r="G59" s="175" t="s">
        <v>24</v>
      </c>
      <c r="H59" s="174"/>
      <c r="I59" s="175" t="s">
        <v>24</v>
      </c>
      <c r="J59" s="174"/>
      <c r="K59" s="160"/>
      <c r="L59" s="174"/>
      <c r="M59" s="93"/>
      <c r="N59" s="93"/>
    </row>
    <row r="60" spans="2:14" ht="120" customHeight="1" thickBot="1">
      <c r="B60" s="252">
        <v>0.75</v>
      </c>
      <c r="C60" s="92" t="s">
        <v>18</v>
      </c>
      <c r="D60" s="161"/>
      <c r="E60" s="168"/>
      <c r="F60" s="167" t="s">
        <v>18</v>
      </c>
      <c r="G60" s="176" t="s">
        <v>18</v>
      </c>
      <c r="H60" s="174"/>
      <c r="I60" s="176" t="s">
        <v>18</v>
      </c>
      <c r="J60" s="174"/>
      <c r="K60" s="160"/>
      <c r="L60" s="174"/>
      <c r="M60" s="93"/>
      <c r="N60" s="93"/>
    </row>
    <row r="61" spans="2:14" ht="120" customHeight="1" thickBot="1">
      <c r="B61" s="251">
        <v>0.79166666666666663</v>
      </c>
      <c r="C61" s="214" t="s">
        <v>47</v>
      </c>
      <c r="D61" s="161"/>
      <c r="E61" s="167" t="s">
        <v>51</v>
      </c>
      <c r="F61" s="167" t="s">
        <v>18</v>
      </c>
      <c r="G61" s="173" t="s">
        <v>20</v>
      </c>
      <c r="H61" s="174"/>
      <c r="I61" s="215" t="s">
        <v>45</v>
      </c>
      <c r="J61" s="174"/>
      <c r="K61" s="178" t="s">
        <v>26</v>
      </c>
      <c r="L61" s="174"/>
      <c r="M61" s="93"/>
      <c r="N61" s="93"/>
    </row>
    <row r="62" spans="2:14" ht="120" customHeight="1" thickBot="1">
      <c r="B62" s="248">
        <v>0.83333333333333337</v>
      </c>
      <c r="C62" s="173" t="s">
        <v>20</v>
      </c>
      <c r="D62" s="161"/>
      <c r="E62" s="160" t="s">
        <v>19</v>
      </c>
      <c r="F62" s="167" t="s">
        <v>47</v>
      </c>
      <c r="G62" s="178" t="s">
        <v>21</v>
      </c>
      <c r="H62" s="161"/>
      <c r="I62" s="178" t="s">
        <v>26</v>
      </c>
      <c r="J62" s="161"/>
      <c r="K62" s="215" t="s">
        <v>45</v>
      </c>
      <c r="L62" s="161"/>
      <c r="M62" s="93"/>
      <c r="N62" s="93"/>
    </row>
    <row r="64" spans="2:14" ht="177" customHeight="1" thickBot="1">
      <c r="B64" s="282" t="s">
        <v>27</v>
      </c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83"/>
    </row>
    <row r="65" spans="2:14" ht="177" customHeight="1" thickBot="1">
      <c r="B65" s="101" t="s">
        <v>20</v>
      </c>
      <c r="C65" s="282" t="s">
        <v>28</v>
      </c>
      <c r="D65" s="283"/>
      <c r="E65" s="211" t="s">
        <v>46</v>
      </c>
      <c r="F65" s="212" t="s">
        <v>29</v>
      </c>
      <c r="G65" s="273" t="s">
        <v>49</v>
      </c>
      <c r="H65" s="274"/>
      <c r="I65" s="274"/>
      <c r="J65" s="275"/>
      <c r="K65" s="212" t="s">
        <v>30</v>
      </c>
      <c r="L65" s="102"/>
      <c r="M65" s="102"/>
      <c r="N65" s="102"/>
    </row>
    <row r="66" spans="2:14" ht="30" customHeight="1" thickBot="1"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</row>
  </sheetData>
  <mergeCells count="9">
    <mergeCell ref="C65:D65"/>
    <mergeCell ref="G65:J65"/>
    <mergeCell ref="B1:E1"/>
    <mergeCell ref="F1:G1"/>
    <mergeCell ref="B2:C2"/>
    <mergeCell ref="D2:E2"/>
    <mergeCell ref="B64:N64"/>
    <mergeCell ref="I1:J1"/>
    <mergeCell ref="K1:L1"/>
  </mergeCells>
  <phoneticPr fontId="42"/>
  <dataValidations count="6">
    <dataValidation allowBlank="1" showInputMessage="1" showErrorMessage="1" prompt="Enter semester name in this cell" sqref="F1:G1" xr:uid="{00000000-0002-0000-0400-000000000000}"/>
    <dataValidation allowBlank="1" showInputMessage="1" showErrorMessage="1" prompt="Title of this worksheet is in this cell.  Enter semester name in cell at right" sqref="B1:E1" xr:uid="{00000000-0002-0000-0400-000001000000}"/>
    <dataValidation allowBlank="1" showInputMessage="1" showErrorMessage="1" prompt="Enter Start Time in cell at right" sqref="B2" xr:uid="{64187D14-FCA9-A54C-946D-06F8D825801A}"/>
    <dataValidation allowBlank="1" showInputMessage="1" showErrorMessage="1" prompt="Create a Class Schedule in this worksheet. Enter Start Time in cell C2, Interval duration in cell E2, and weekly schedule starting in cells B3" sqref="A1" xr:uid="{00000000-0002-0000-0400-000003000000}"/>
    <dataValidation allowBlank="1" showInputMessage="1" showErrorMessage="1" prompt="Time is automatically updated in this column under this heading" sqref="B27:B28 B15:B16 B3:B4 B39:B40 B51:B52" xr:uid="{00000000-0002-0000-04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3:N4 C39:N40 C15:N16 C51:N52" xr:uid="{00000000-0002-0000-0400-000005000000}"/>
  </dataValidations>
  <printOptions verticalCentered="1"/>
  <pageMargins left="0" right="0.25" top="0" bottom="0" header="0" footer="0"/>
  <pageSetup paperSize="9" scale="10" orientation="portrait" r:id="rId1"/>
  <headerFooter differentFirst="1"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  <pageSetUpPr autoPageBreaks="0" fitToPage="1"/>
  </sheetPr>
  <dimension ref="A1:O59"/>
  <sheetViews>
    <sheetView showGridLines="0" view="pageLayout" topLeftCell="A19" zoomScale="10" zoomScaleNormal="20" zoomScalePageLayoutView="10" workbookViewId="0">
      <selection activeCell="C22" sqref="C22"/>
    </sheetView>
  </sheetViews>
  <sheetFormatPr defaultColWidth="8.69921875" defaultRowHeight="30" customHeight="1" thickBottom="1"/>
  <cols>
    <col min="1" max="1" width="1.8984375" customWidth="1"/>
    <col min="2" max="14" width="56.296875" customWidth="1"/>
    <col min="15" max="15" width="8.8984375" customWidth="1"/>
  </cols>
  <sheetData>
    <row r="1" spans="1:14" ht="273.75" customHeight="1" thickBot="1">
      <c r="B1" s="284" t="s">
        <v>0</v>
      </c>
      <c r="C1" s="285"/>
      <c r="D1" s="285"/>
      <c r="E1" s="286"/>
      <c r="F1" s="297" t="s">
        <v>36</v>
      </c>
      <c r="G1" s="298"/>
      <c r="H1" s="80" t="s">
        <v>2</v>
      </c>
      <c r="I1" s="299" t="s">
        <v>3</v>
      </c>
      <c r="J1" s="300"/>
      <c r="K1" s="301" t="s">
        <v>4</v>
      </c>
      <c r="L1" s="302"/>
      <c r="M1" s="14"/>
    </row>
    <row r="2" spans="1:14" ht="172.5" customHeight="1" thickBot="1">
      <c r="A2" s="1"/>
      <c r="B2" s="296" t="s">
        <v>5</v>
      </c>
      <c r="C2" s="292"/>
      <c r="D2" s="293" t="s">
        <v>6</v>
      </c>
      <c r="E2" s="293"/>
      <c r="F2" s="74"/>
      <c r="G2" s="75"/>
      <c r="H2" s="21"/>
      <c r="I2" s="76" t="s">
        <v>7</v>
      </c>
      <c r="J2" s="77"/>
      <c r="K2" s="78" t="s">
        <v>8</v>
      </c>
      <c r="L2" s="79"/>
      <c r="M2" s="87">
        <v>43710</v>
      </c>
      <c r="N2" s="27"/>
    </row>
    <row r="3" spans="1:14" ht="120" customHeight="1" thickBot="1">
      <c r="B3" s="88" t="s">
        <v>9</v>
      </c>
      <c r="C3" s="119" t="s">
        <v>10</v>
      </c>
      <c r="D3" s="244">
        <f>M2</f>
        <v>43710</v>
      </c>
      <c r="E3" s="119" t="s">
        <v>11</v>
      </c>
      <c r="F3" s="244">
        <f>D3+1</f>
        <v>43711</v>
      </c>
      <c r="G3" s="119" t="s">
        <v>12</v>
      </c>
      <c r="H3" s="244">
        <f>D3+2</f>
        <v>43712</v>
      </c>
      <c r="I3" s="119" t="s">
        <v>13</v>
      </c>
      <c r="J3" s="244">
        <f>D3+3</f>
        <v>43713</v>
      </c>
      <c r="K3" s="119" t="s">
        <v>14</v>
      </c>
      <c r="L3" s="244">
        <f>D3+4</f>
        <v>43714</v>
      </c>
      <c r="M3" s="119" t="s">
        <v>15</v>
      </c>
      <c r="N3" s="244">
        <f>D3+5</f>
        <v>43715</v>
      </c>
    </row>
    <row r="4" spans="1:14" ht="120" customHeight="1" thickBot="1">
      <c r="B4" s="98"/>
      <c r="C4" s="240" t="s">
        <v>16</v>
      </c>
      <c r="D4" s="241"/>
      <c r="E4" s="240" t="s">
        <v>16</v>
      </c>
      <c r="F4" s="240" t="s">
        <v>16</v>
      </c>
      <c r="G4" s="240" t="s">
        <v>16</v>
      </c>
      <c r="H4" s="240" t="s">
        <v>17</v>
      </c>
      <c r="I4" s="240" t="s">
        <v>16</v>
      </c>
      <c r="J4" s="240" t="s">
        <v>17</v>
      </c>
      <c r="K4" s="240" t="s">
        <v>16</v>
      </c>
      <c r="L4" s="240" t="s">
        <v>17</v>
      </c>
      <c r="M4" s="240" t="s">
        <v>16</v>
      </c>
      <c r="N4" s="240" t="s">
        <v>17</v>
      </c>
    </row>
    <row r="5" spans="1:14" ht="120" customHeight="1" thickBot="1">
      <c r="B5" s="249">
        <v>0.45833333333333331</v>
      </c>
      <c r="C5" s="93"/>
      <c r="D5" s="161"/>
      <c r="E5" s="160"/>
      <c r="F5" s="161"/>
      <c r="G5" s="171"/>
      <c r="H5" s="161"/>
      <c r="I5" s="160"/>
      <c r="J5" s="161"/>
      <c r="K5" s="160"/>
      <c r="L5" s="161"/>
      <c r="M5" s="137" t="s">
        <v>18</v>
      </c>
      <c r="N5" s="147"/>
    </row>
    <row r="6" spans="1:14" ht="120" customHeight="1" thickBot="1">
      <c r="B6" s="250">
        <v>0.5</v>
      </c>
      <c r="C6" s="95" t="s">
        <v>20</v>
      </c>
      <c r="D6" s="161"/>
      <c r="E6" s="160"/>
      <c r="F6" s="165" t="s">
        <v>20</v>
      </c>
      <c r="G6" s="171" t="s">
        <v>19</v>
      </c>
      <c r="H6" s="172"/>
      <c r="I6" s="171"/>
      <c r="J6" s="172"/>
      <c r="K6" s="171"/>
      <c r="L6" s="172"/>
      <c r="M6" s="137" t="s">
        <v>18</v>
      </c>
      <c r="N6" s="136"/>
    </row>
    <row r="7" spans="1:14" ht="120" customHeight="1" thickBot="1">
      <c r="B7" s="251">
        <v>0.54166666666666663</v>
      </c>
      <c r="C7" s="95" t="s">
        <v>20</v>
      </c>
      <c r="D7" s="161"/>
      <c r="E7" s="160"/>
      <c r="F7" s="165" t="s">
        <v>20</v>
      </c>
      <c r="G7" s="173" t="s">
        <v>20</v>
      </c>
      <c r="H7" s="172"/>
      <c r="I7" s="173" t="s">
        <v>20</v>
      </c>
      <c r="J7" s="172"/>
      <c r="K7" s="173" t="s">
        <v>20</v>
      </c>
      <c r="L7" s="172"/>
      <c r="M7" s="135" t="s">
        <v>20</v>
      </c>
      <c r="N7" s="136"/>
    </row>
    <row r="8" spans="1:14" ht="120" customHeight="1" thickBot="1">
      <c r="B8" s="252">
        <v>0.58333333333333337</v>
      </c>
      <c r="C8" s="95" t="s">
        <v>20</v>
      </c>
      <c r="D8" s="161"/>
      <c r="E8" s="160"/>
      <c r="F8" s="165" t="s">
        <v>20</v>
      </c>
      <c r="G8" s="171" t="s">
        <v>21</v>
      </c>
      <c r="H8" s="172"/>
      <c r="I8" s="171" t="s">
        <v>22</v>
      </c>
      <c r="J8" s="172"/>
      <c r="K8" s="173" t="s">
        <v>20</v>
      </c>
      <c r="L8" s="172"/>
      <c r="M8" s="141" t="s">
        <v>56</v>
      </c>
      <c r="N8" s="146"/>
    </row>
    <row r="9" spans="1:14" ht="120" customHeight="1" thickBot="1">
      <c r="B9" s="251">
        <v>0.625</v>
      </c>
      <c r="C9" s="95" t="s">
        <v>20</v>
      </c>
      <c r="D9" s="161"/>
      <c r="E9" s="160"/>
      <c r="F9" s="165" t="s">
        <v>20</v>
      </c>
      <c r="G9" s="160"/>
      <c r="H9" s="174"/>
      <c r="I9" s="171" t="s">
        <v>21</v>
      </c>
      <c r="J9" s="174"/>
      <c r="K9" s="171"/>
      <c r="L9" s="174"/>
      <c r="M9" s="141"/>
      <c r="N9" s="136"/>
    </row>
    <row r="10" spans="1:14" ht="120" customHeight="1" thickBot="1">
      <c r="B10" s="252">
        <v>0.66666666666666663</v>
      </c>
      <c r="C10" s="103" t="s">
        <v>23</v>
      </c>
      <c r="D10" s="161"/>
      <c r="E10" s="160"/>
      <c r="F10" s="166" t="s">
        <v>23</v>
      </c>
      <c r="G10" s="175" t="s">
        <v>23</v>
      </c>
      <c r="H10" s="174"/>
      <c r="I10" s="176" t="s">
        <v>58</v>
      </c>
      <c r="J10" s="174"/>
      <c r="K10" s="160"/>
      <c r="L10" s="174"/>
      <c r="M10" s="140"/>
      <c r="N10" s="136"/>
    </row>
    <row r="11" spans="1:14" ht="120" customHeight="1" thickBot="1">
      <c r="B11" s="251">
        <v>0.70833333333333337</v>
      </c>
      <c r="C11" s="103" t="s">
        <v>24</v>
      </c>
      <c r="D11" s="161"/>
      <c r="E11" s="160"/>
      <c r="F11" s="166" t="s">
        <v>24</v>
      </c>
      <c r="G11" s="175" t="s">
        <v>24</v>
      </c>
      <c r="H11" s="174"/>
      <c r="I11" s="175" t="s">
        <v>24</v>
      </c>
      <c r="J11" s="174"/>
      <c r="K11" s="160"/>
      <c r="L11" s="174"/>
      <c r="M11" s="140"/>
      <c r="N11" s="161"/>
    </row>
    <row r="12" spans="1:14" ht="120" customHeight="1" thickBot="1">
      <c r="B12" s="252">
        <v>0.75</v>
      </c>
      <c r="C12" s="92" t="s">
        <v>18</v>
      </c>
      <c r="D12" s="161"/>
      <c r="E12" s="160"/>
      <c r="F12" s="167" t="s">
        <v>18</v>
      </c>
      <c r="G12" s="176" t="s">
        <v>18</v>
      </c>
      <c r="H12" s="174"/>
      <c r="I12" s="176" t="s">
        <v>18</v>
      </c>
      <c r="J12" s="174"/>
      <c r="K12" s="160"/>
      <c r="L12" s="174"/>
      <c r="M12" s="140"/>
      <c r="N12" s="161"/>
    </row>
    <row r="13" spans="1:14" ht="120" customHeight="1" thickBot="1">
      <c r="B13" s="251">
        <v>0.79166666666666663</v>
      </c>
      <c r="C13" s="92" t="s">
        <v>61</v>
      </c>
      <c r="D13" s="161"/>
      <c r="E13" s="168" t="s">
        <v>51</v>
      </c>
      <c r="F13" s="167" t="s">
        <v>60</v>
      </c>
      <c r="G13" s="97"/>
      <c r="H13" s="174"/>
      <c r="I13" s="215" t="s">
        <v>45</v>
      </c>
      <c r="J13" s="174"/>
      <c r="K13" s="178" t="s">
        <v>26</v>
      </c>
      <c r="L13" s="174"/>
      <c r="M13" s="140"/>
      <c r="N13" s="161"/>
    </row>
    <row r="14" spans="1:14" ht="120" customHeight="1" thickBot="1">
      <c r="B14" s="248">
        <v>0.83333333333333337</v>
      </c>
      <c r="C14" s="214" t="s">
        <v>59</v>
      </c>
      <c r="D14" s="161"/>
      <c r="E14" s="160" t="s">
        <v>19</v>
      </c>
      <c r="F14" s="167" t="s">
        <v>47</v>
      </c>
      <c r="G14" s="178" t="s">
        <v>21</v>
      </c>
      <c r="H14" s="161"/>
      <c r="I14" s="178" t="s">
        <v>26</v>
      </c>
      <c r="J14" s="161"/>
      <c r="K14" s="137" t="s">
        <v>45</v>
      </c>
      <c r="L14" s="161"/>
      <c r="M14" s="140"/>
      <c r="N14" s="161"/>
    </row>
    <row r="15" spans="1:14" ht="120" customHeight="1" thickBot="1">
      <c r="B15" s="88" t="s">
        <v>9</v>
      </c>
      <c r="C15" s="119" t="s">
        <v>10</v>
      </c>
      <c r="D15" s="244">
        <f>D3+7</f>
        <v>43717</v>
      </c>
      <c r="E15" s="119" t="s">
        <v>11</v>
      </c>
      <c r="F15" s="244">
        <f>D3+8</f>
        <v>43718</v>
      </c>
      <c r="G15" s="119" t="s">
        <v>12</v>
      </c>
      <c r="H15" s="244">
        <f>D3+9</f>
        <v>43719</v>
      </c>
      <c r="I15" s="119" t="s">
        <v>13</v>
      </c>
      <c r="J15" s="244">
        <f>D3+10</f>
        <v>43720</v>
      </c>
      <c r="K15" s="119" t="s">
        <v>14</v>
      </c>
      <c r="L15" s="244">
        <f>D3+11</f>
        <v>43721</v>
      </c>
      <c r="M15" s="119" t="s">
        <v>15</v>
      </c>
      <c r="N15" s="244">
        <f>D3+12</f>
        <v>43722</v>
      </c>
    </row>
    <row r="16" spans="1:14" ht="120" customHeight="1" thickBot="1">
      <c r="B16" s="98"/>
      <c r="C16" s="240" t="s">
        <v>16</v>
      </c>
      <c r="D16" s="241"/>
      <c r="E16" s="240" t="s">
        <v>16</v>
      </c>
      <c r="F16" s="240" t="s">
        <v>16</v>
      </c>
      <c r="G16" s="240" t="s">
        <v>16</v>
      </c>
      <c r="H16" s="240" t="s">
        <v>17</v>
      </c>
      <c r="I16" s="240" t="s">
        <v>16</v>
      </c>
      <c r="J16" s="240" t="s">
        <v>17</v>
      </c>
      <c r="K16" s="240" t="s">
        <v>16</v>
      </c>
      <c r="L16" s="240" t="s">
        <v>17</v>
      </c>
      <c r="M16" s="240" t="s">
        <v>16</v>
      </c>
      <c r="N16" s="240" t="s">
        <v>17</v>
      </c>
    </row>
    <row r="17" spans="2:15" ht="120" customHeight="1" thickBot="1">
      <c r="B17" s="249">
        <v>0.45833333333333331</v>
      </c>
      <c r="C17" s="93"/>
      <c r="D17" s="161"/>
      <c r="E17" s="160"/>
      <c r="F17" s="161"/>
      <c r="G17" s="171"/>
      <c r="H17" s="161"/>
      <c r="I17" s="160"/>
      <c r="J17" s="161"/>
      <c r="K17" s="160"/>
      <c r="L17" s="161"/>
      <c r="M17" s="137" t="s">
        <v>18</v>
      </c>
      <c r="N17" s="147"/>
      <c r="O17" s="179"/>
    </row>
    <row r="18" spans="2:15" ht="120" customHeight="1" thickBot="1">
      <c r="B18" s="250">
        <v>0.5</v>
      </c>
      <c r="C18" s="95" t="s">
        <v>20</v>
      </c>
      <c r="D18" s="161"/>
      <c r="E18" s="160"/>
      <c r="F18" s="165" t="s">
        <v>20</v>
      </c>
      <c r="G18" s="171" t="s">
        <v>19</v>
      </c>
      <c r="H18" s="172"/>
      <c r="I18" s="171"/>
      <c r="J18" s="172"/>
      <c r="K18" s="171"/>
      <c r="L18" s="172"/>
      <c r="M18" s="137" t="s">
        <v>18</v>
      </c>
      <c r="N18" s="136"/>
      <c r="O18" s="179"/>
    </row>
    <row r="19" spans="2:15" ht="120" customHeight="1" thickBot="1">
      <c r="B19" s="251">
        <v>0.54166666666666663</v>
      </c>
      <c r="C19" s="95" t="s">
        <v>20</v>
      </c>
      <c r="D19" s="161"/>
      <c r="E19" s="160"/>
      <c r="F19" s="165" t="s">
        <v>20</v>
      </c>
      <c r="G19" s="173" t="s">
        <v>20</v>
      </c>
      <c r="H19" s="172"/>
      <c r="I19" s="173" t="s">
        <v>20</v>
      </c>
      <c r="J19" s="172"/>
      <c r="K19" s="173" t="s">
        <v>20</v>
      </c>
      <c r="L19" s="172"/>
      <c r="M19" s="135" t="s">
        <v>20</v>
      </c>
      <c r="N19" s="136"/>
      <c r="O19" s="179"/>
    </row>
    <row r="20" spans="2:15" ht="120" customHeight="1" thickBot="1">
      <c r="B20" s="252">
        <v>0.58333333333333337</v>
      </c>
      <c r="C20" s="95" t="s">
        <v>20</v>
      </c>
      <c r="D20" s="161"/>
      <c r="E20" s="160"/>
      <c r="F20" s="165" t="s">
        <v>20</v>
      </c>
      <c r="G20" s="171" t="s">
        <v>21</v>
      </c>
      <c r="H20" s="172"/>
      <c r="I20" s="171" t="s">
        <v>22</v>
      </c>
      <c r="J20" s="172"/>
      <c r="K20" s="173" t="s">
        <v>20</v>
      </c>
      <c r="L20" s="172"/>
      <c r="M20" s="141" t="s">
        <v>56</v>
      </c>
      <c r="N20" s="146"/>
      <c r="O20" s="179"/>
    </row>
    <row r="21" spans="2:15" ht="120" customHeight="1" thickBot="1">
      <c r="B21" s="251">
        <v>0.625</v>
      </c>
      <c r="C21" s="95" t="s">
        <v>20</v>
      </c>
      <c r="D21" s="161"/>
      <c r="E21" s="160"/>
      <c r="F21" s="165" t="s">
        <v>20</v>
      </c>
      <c r="G21" s="160"/>
      <c r="H21" s="174"/>
      <c r="I21" s="171" t="s">
        <v>21</v>
      </c>
      <c r="J21" s="174"/>
      <c r="K21" s="171"/>
      <c r="L21" s="174"/>
      <c r="M21" s="141"/>
      <c r="N21" s="136"/>
      <c r="O21" s="179"/>
    </row>
    <row r="22" spans="2:15" ht="120" customHeight="1" thickBot="1">
      <c r="B22" s="252">
        <v>0.66666666666666663</v>
      </c>
      <c r="C22" s="103" t="s">
        <v>23</v>
      </c>
      <c r="D22" s="161"/>
      <c r="E22" s="160"/>
      <c r="F22" s="166" t="s">
        <v>23</v>
      </c>
      <c r="G22" s="175" t="s">
        <v>23</v>
      </c>
      <c r="H22" s="174"/>
      <c r="I22" s="176" t="s">
        <v>58</v>
      </c>
      <c r="J22" s="174"/>
      <c r="K22" s="160"/>
      <c r="L22" s="174"/>
      <c r="M22" s="140"/>
      <c r="N22" s="136"/>
      <c r="O22" s="179"/>
    </row>
    <row r="23" spans="2:15" ht="120" customHeight="1" thickBot="1">
      <c r="B23" s="251">
        <v>0.70833333333333337</v>
      </c>
      <c r="C23" s="103" t="s">
        <v>24</v>
      </c>
      <c r="D23" s="161"/>
      <c r="E23" s="160"/>
      <c r="F23" s="166" t="s">
        <v>24</v>
      </c>
      <c r="G23" s="175" t="s">
        <v>24</v>
      </c>
      <c r="H23" s="174"/>
      <c r="I23" s="175" t="s">
        <v>24</v>
      </c>
      <c r="J23" s="174"/>
      <c r="K23" s="160"/>
      <c r="L23" s="174"/>
      <c r="M23" s="140"/>
      <c r="N23" s="161"/>
      <c r="O23" s="179"/>
    </row>
    <row r="24" spans="2:15" ht="120" customHeight="1" thickBot="1">
      <c r="B24" s="252">
        <v>0.75</v>
      </c>
      <c r="C24" s="92" t="s">
        <v>18</v>
      </c>
      <c r="D24" s="161"/>
      <c r="E24" s="160"/>
      <c r="F24" s="167" t="s">
        <v>18</v>
      </c>
      <c r="G24" s="176" t="s">
        <v>18</v>
      </c>
      <c r="H24" s="174"/>
      <c r="I24" s="176" t="s">
        <v>18</v>
      </c>
      <c r="J24" s="174"/>
      <c r="K24" s="160"/>
      <c r="L24" s="174"/>
      <c r="M24" s="140"/>
      <c r="N24" s="161"/>
      <c r="O24" s="179"/>
    </row>
    <row r="25" spans="2:15" ht="120" customHeight="1" thickBot="1">
      <c r="B25" s="251">
        <v>0.79166666666666663</v>
      </c>
      <c r="C25" s="92" t="s">
        <v>61</v>
      </c>
      <c r="D25" s="161"/>
      <c r="E25" s="168" t="s">
        <v>51</v>
      </c>
      <c r="F25" s="167"/>
      <c r="G25" s="97"/>
      <c r="H25" s="174"/>
      <c r="I25" s="215" t="s">
        <v>45</v>
      </c>
      <c r="J25" s="174"/>
      <c r="K25" s="178" t="s">
        <v>26</v>
      </c>
      <c r="L25" s="174"/>
      <c r="M25" s="140"/>
      <c r="N25" s="161"/>
      <c r="O25" s="179"/>
    </row>
    <row r="26" spans="2:15" ht="120" customHeight="1" thickBot="1">
      <c r="B26" s="248">
        <v>0.83333333333333337</v>
      </c>
      <c r="C26" s="214" t="s">
        <v>59</v>
      </c>
      <c r="D26" s="161"/>
      <c r="E26" s="160" t="s">
        <v>19</v>
      </c>
      <c r="F26" s="167" t="s">
        <v>47</v>
      </c>
      <c r="G26" s="178" t="s">
        <v>21</v>
      </c>
      <c r="H26" s="161"/>
      <c r="I26" s="178" t="s">
        <v>26</v>
      </c>
      <c r="J26" s="161"/>
      <c r="K26" s="137" t="s">
        <v>45</v>
      </c>
      <c r="L26" s="161"/>
      <c r="M26" s="140"/>
      <c r="N26" s="161"/>
      <c r="O26" s="179"/>
    </row>
    <row r="27" spans="2:15" ht="112.5" customHeight="1" thickBot="1">
      <c r="B27" s="88" t="s">
        <v>9</v>
      </c>
      <c r="C27" s="119" t="s">
        <v>10</v>
      </c>
      <c r="D27" s="244">
        <f>D3+14</f>
        <v>43724</v>
      </c>
      <c r="E27" s="119" t="s">
        <v>11</v>
      </c>
      <c r="F27" s="244">
        <f>D3+15</f>
        <v>43725</v>
      </c>
      <c r="G27" s="119" t="s">
        <v>12</v>
      </c>
      <c r="H27" s="244">
        <f>D3+16</f>
        <v>43726</v>
      </c>
      <c r="I27" s="119" t="s">
        <v>13</v>
      </c>
      <c r="J27" s="244">
        <f>D3+17</f>
        <v>43727</v>
      </c>
      <c r="K27" s="119" t="s">
        <v>14</v>
      </c>
      <c r="L27" s="244">
        <f>D3+18</f>
        <v>43728</v>
      </c>
      <c r="M27" s="119" t="s">
        <v>15</v>
      </c>
      <c r="N27" s="244">
        <f>D3+19</f>
        <v>43729</v>
      </c>
    </row>
    <row r="28" spans="2:15" ht="142.5" customHeight="1" thickBot="1">
      <c r="B28" s="98"/>
      <c r="C28" s="240" t="s">
        <v>16</v>
      </c>
      <c r="D28" s="241"/>
      <c r="E28" s="240" t="s">
        <v>16</v>
      </c>
      <c r="F28" s="240" t="s">
        <v>16</v>
      </c>
      <c r="G28" s="240" t="s">
        <v>16</v>
      </c>
      <c r="H28" s="240" t="s">
        <v>17</v>
      </c>
      <c r="I28" s="240" t="s">
        <v>16</v>
      </c>
      <c r="J28" s="240" t="s">
        <v>17</v>
      </c>
      <c r="K28" s="240" t="s">
        <v>16</v>
      </c>
      <c r="L28" s="240" t="s">
        <v>17</v>
      </c>
      <c r="M28" s="240" t="s">
        <v>16</v>
      </c>
      <c r="N28" s="240" t="s">
        <v>17</v>
      </c>
    </row>
    <row r="29" spans="2:15" ht="120" customHeight="1" thickBot="1">
      <c r="B29" s="249">
        <v>0.45833333333333331</v>
      </c>
      <c r="C29" s="93"/>
      <c r="D29" s="161"/>
      <c r="E29" s="160"/>
      <c r="F29" s="161"/>
      <c r="G29" s="171"/>
      <c r="H29" s="161"/>
      <c r="I29" s="160"/>
      <c r="J29" s="161"/>
      <c r="K29" s="160"/>
      <c r="L29" s="161"/>
      <c r="M29" s="128" t="s">
        <v>18</v>
      </c>
      <c r="N29" s="58"/>
    </row>
    <row r="30" spans="2:15" ht="120" customHeight="1" thickBot="1">
      <c r="B30" s="250">
        <v>0.5</v>
      </c>
      <c r="C30" s="95" t="s">
        <v>20</v>
      </c>
      <c r="D30" s="161"/>
      <c r="E30" s="160"/>
      <c r="F30" s="165" t="s">
        <v>20</v>
      </c>
      <c r="G30" s="171" t="s">
        <v>19</v>
      </c>
      <c r="H30" s="172"/>
      <c r="I30" s="171"/>
      <c r="J30" s="172"/>
      <c r="K30" s="171"/>
      <c r="L30" s="172"/>
      <c r="M30" s="128" t="s">
        <v>18</v>
      </c>
      <c r="N30" s="62"/>
    </row>
    <row r="31" spans="2:15" ht="120" customHeight="1" thickBot="1">
      <c r="B31" s="251">
        <v>0.54166666666666663</v>
      </c>
      <c r="C31" s="95" t="s">
        <v>20</v>
      </c>
      <c r="D31" s="161"/>
      <c r="E31" s="160"/>
      <c r="F31" s="165" t="s">
        <v>20</v>
      </c>
      <c r="G31" s="173" t="s">
        <v>20</v>
      </c>
      <c r="H31" s="172"/>
      <c r="I31" s="173" t="s">
        <v>20</v>
      </c>
      <c r="J31" s="172"/>
      <c r="K31" s="173" t="s">
        <v>20</v>
      </c>
      <c r="L31" s="172"/>
      <c r="M31" s="64" t="s">
        <v>20</v>
      </c>
      <c r="N31" s="62"/>
    </row>
    <row r="32" spans="2:15" ht="120" customHeight="1" thickBot="1">
      <c r="B32" s="252">
        <v>0.58333333333333337</v>
      </c>
      <c r="C32" s="95" t="s">
        <v>20</v>
      </c>
      <c r="D32" s="161"/>
      <c r="E32" s="160"/>
      <c r="F32" s="165" t="s">
        <v>20</v>
      </c>
      <c r="G32" s="171" t="s">
        <v>21</v>
      </c>
      <c r="H32" s="172"/>
      <c r="I32" s="171" t="s">
        <v>22</v>
      </c>
      <c r="J32" s="172"/>
      <c r="K32" s="173" t="s">
        <v>20</v>
      </c>
      <c r="L32" s="172"/>
      <c r="M32" s="129" t="s">
        <v>56</v>
      </c>
      <c r="N32" s="65"/>
    </row>
    <row r="33" spans="2:15" ht="120" customHeight="1" thickBot="1">
      <c r="B33" s="251">
        <v>0.625</v>
      </c>
      <c r="C33" s="95" t="s">
        <v>20</v>
      </c>
      <c r="D33" s="161"/>
      <c r="E33" s="160"/>
      <c r="F33" s="165" t="s">
        <v>20</v>
      </c>
      <c r="G33" s="160"/>
      <c r="H33" s="174"/>
      <c r="I33" s="171" t="s">
        <v>21</v>
      </c>
      <c r="J33" s="174"/>
      <c r="K33" s="171"/>
      <c r="L33" s="174"/>
      <c r="M33" s="129"/>
      <c r="N33" s="62"/>
    </row>
    <row r="34" spans="2:15" ht="120" customHeight="1" thickBot="1">
      <c r="B34" s="252">
        <v>0.66666666666666663</v>
      </c>
      <c r="C34" s="103" t="s">
        <v>23</v>
      </c>
      <c r="D34" s="161"/>
      <c r="E34" s="160"/>
      <c r="F34" s="166" t="s">
        <v>23</v>
      </c>
      <c r="G34" s="175" t="s">
        <v>23</v>
      </c>
      <c r="H34" s="174"/>
      <c r="I34" s="176" t="s">
        <v>58</v>
      </c>
      <c r="J34" s="174"/>
      <c r="K34" s="160"/>
      <c r="L34" s="174"/>
      <c r="M34" s="127"/>
      <c r="N34" s="62"/>
    </row>
    <row r="35" spans="2:15" ht="120" customHeight="1" thickBot="1">
      <c r="B35" s="251">
        <v>0.70833333333333337</v>
      </c>
      <c r="C35" s="103" t="s">
        <v>24</v>
      </c>
      <c r="D35" s="161"/>
      <c r="E35" s="160"/>
      <c r="F35" s="166" t="s">
        <v>24</v>
      </c>
      <c r="G35" s="175" t="s">
        <v>24</v>
      </c>
      <c r="H35" s="174"/>
      <c r="I35" s="175" t="s">
        <v>24</v>
      </c>
      <c r="J35" s="174"/>
      <c r="K35" s="160"/>
      <c r="L35" s="174"/>
      <c r="M35" s="127"/>
      <c r="N35" s="93"/>
    </row>
    <row r="36" spans="2:15" ht="120" customHeight="1" thickBot="1">
      <c r="B36" s="252">
        <v>0.75</v>
      </c>
      <c r="C36" s="92" t="s">
        <v>18</v>
      </c>
      <c r="D36" s="161"/>
      <c r="E36" s="160"/>
      <c r="F36" s="167" t="s">
        <v>18</v>
      </c>
      <c r="G36" s="176" t="s">
        <v>18</v>
      </c>
      <c r="H36" s="174"/>
      <c r="I36" s="176" t="s">
        <v>18</v>
      </c>
      <c r="J36" s="174"/>
      <c r="K36" s="160"/>
      <c r="L36" s="174"/>
      <c r="M36" s="127"/>
      <c r="N36" s="93"/>
    </row>
    <row r="37" spans="2:15" ht="120" customHeight="1" thickBot="1">
      <c r="B37" s="251">
        <v>0.79166666666666663</v>
      </c>
      <c r="C37" s="92" t="s">
        <v>61</v>
      </c>
      <c r="D37" s="161"/>
      <c r="E37" s="168" t="s">
        <v>51</v>
      </c>
      <c r="F37" s="167" t="s">
        <v>60</v>
      </c>
      <c r="G37" s="97"/>
      <c r="H37" s="174"/>
      <c r="I37" s="215" t="s">
        <v>45</v>
      </c>
      <c r="J37" s="174"/>
      <c r="K37" s="178" t="s">
        <v>26</v>
      </c>
      <c r="L37" s="174"/>
      <c r="M37" s="127"/>
      <c r="N37" s="93"/>
    </row>
    <row r="38" spans="2:15" ht="217.5" customHeight="1" thickBot="1">
      <c r="B38" s="248">
        <v>0.83333333333333337</v>
      </c>
      <c r="C38" s="214" t="s">
        <v>59</v>
      </c>
      <c r="D38" s="161"/>
      <c r="E38" s="160" t="s">
        <v>19</v>
      </c>
      <c r="F38" s="167" t="s">
        <v>47</v>
      </c>
      <c r="G38" s="178" t="s">
        <v>21</v>
      </c>
      <c r="H38" s="161"/>
      <c r="I38" s="178" t="s">
        <v>26</v>
      </c>
      <c r="J38" s="161"/>
      <c r="K38" s="137" t="s">
        <v>45</v>
      </c>
      <c r="L38" s="161"/>
      <c r="M38" s="127"/>
      <c r="N38" s="93"/>
    </row>
    <row r="39" spans="2:15" ht="171" customHeight="1" thickBot="1">
      <c r="B39" s="88" t="s">
        <v>9</v>
      </c>
      <c r="C39" s="119" t="s">
        <v>10</v>
      </c>
      <c r="D39" s="244">
        <f>D3+21</f>
        <v>43731</v>
      </c>
      <c r="E39" s="119" t="s">
        <v>11</v>
      </c>
      <c r="F39" s="244">
        <f>D3+22</f>
        <v>43732</v>
      </c>
      <c r="G39" s="119" t="s">
        <v>12</v>
      </c>
      <c r="H39" s="244">
        <f>D3+23</f>
        <v>43733</v>
      </c>
      <c r="I39" s="119" t="s">
        <v>13</v>
      </c>
      <c r="J39" s="244">
        <f>D3+24</f>
        <v>43734</v>
      </c>
      <c r="K39" s="119" t="s">
        <v>14</v>
      </c>
      <c r="L39" s="244">
        <f>D3+25</f>
        <v>43735</v>
      </c>
      <c r="M39" s="119" t="s">
        <v>15</v>
      </c>
      <c r="N39" s="244">
        <f>D3+26</f>
        <v>43736</v>
      </c>
    </row>
    <row r="40" spans="2:15" ht="153.75" customHeight="1" thickBot="1">
      <c r="B40" s="98"/>
      <c r="C40" s="240" t="s">
        <v>16</v>
      </c>
      <c r="D40" s="241"/>
      <c r="E40" s="240" t="s">
        <v>16</v>
      </c>
      <c r="F40" s="240" t="s">
        <v>16</v>
      </c>
      <c r="G40" s="240" t="s">
        <v>16</v>
      </c>
      <c r="H40" s="240" t="s">
        <v>17</v>
      </c>
      <c r="I40" s="240" t="s">
        <v>16</v>
      </c>
      <c r="J40" s="240" t="s">
        <v>17</v>
      </c>
      <c r="K40" s="240" t="s">
        <v>16</v>
      </c>
      <c r="L40" s="240" t="s">
        <v>17</v>
      </c>
      <c r="M40" s="240" t="s">
        <v>16</v>
      </c>
      <c r="N40" s="240" t="s">
        <v>17</v>
      </c>
    </row>
    <row r="41" spans="2:15" ht="120" hidden="1" customHeight="1" thickBot="1">
      <c r="B41" s="243" t="s">
        <v>9</v>
      </c>
      <c r="C41" s="253" t="s">
        <v>10</v>
      </c>
      <c r="D41" s="256">
        <f>D3+21</f>
        <v>43731</v>
      </c>
      <c r="E41" s="253" t="s">
        <v>11</v>
      </c>
      <c r="F41" s="256">
        <f>D3+22</f>
        <v>43732</v>
      </c>
      <c r="G41" s="253" t="s">
        <v>12</v>
      </c>
      <c r="H41" s="256">
        <f>D3+23</f>
        <v>43733</v>
      </c>
      <c r="I41" s="253" t="s">
        <v>13</v>
      </c>
      <c r="J41" s="256">
        <f>D3+24</f>
        <v>43734</v>
      </c>
      <c r="K41" s="253" t="s">
        <v>14</v>
      </c>
      <c r="L41" s="256">
        <f>D3+25</f>
        <v>43735</v>
      </c>
      <c r="M41" s="253" t="s">
        <v>15</v>
      </c>
      <c r="N41" s="256">
        <f>D3+26</f>
        <v>43736</v>
      </c>
    </row>
    <row r="42" spans="2:15" ht="120" hidden="1" customHeight="1" thickBot="1">
      <c r="B42" s="98"/>
      <c r="C42" s="254" t="s">
        <v>16</v>
      </c>
      <c r="D42" s="255"/>
      <c r="E42" s="254" t="s">
        <v>16</v>
      </c>
      <c r="F42" s="254" t="s">
        <v>16</v>
      </c>
      <c r="G42" s="254" t="s">
        <v>16</v>
      </c>
      <c r="H42" s="254" t="s">
        <v>17</v>
      </c>
      <c r="I42" s="254" t="s">
        <v>16</v>
      </c>
      <c r="J42" s="254" t="s">
        <v>17</v>
      </c>
      <c r="K42" s="254" t="s">
        <v>16</v>
      </c>
      <c r="L42" s="254" t="s">
        <v>17</v>
      </c>
      <c r="M42" s="254" t="s">
        <v>16</v>
      </c>
      <c r="N42" s="254" t="s">
        <v>17</v>
      </c>
    </row>
    <row r="43" spans="2:15" ht="120" customHeight="1" thickBot="1">
      <c r="B43" s="249">
        <v>0.45833333333333331</v>
      </c>
      <c r="C43" s="93"/>
      <c r="D43" s="161"/>
      <c r="E43" s="160"/>
      <c r="F43" s="161"/>
      <c r="G43" s="171"/>
      <c r="H43" s="161"/>
      <c r="I43" s="160"/>
      <c r="J43" s="161"/>
      <c r="K43" s="160"/>
      <c r="L43" s="161"/>
      <c r="M43" s="137" t="s">
        <v>18</v>
      </c>
      <c r="N43" s="147"/>
      <c r="O43" s="179"/>
    </row>
    <row r="44" spans="2:15" ht="120" customHeight="1" thickBot="1">
      <c r="B44" s="250">
        <v>0.5</v>
      </c>
      <c r="C44" s="95" t="s">
        <v>20</v>
      </c>
      <c r="D44" s="161"/>
      <c r="E44" s="160"/>
      <c r="F44" s="165" t="s">
        <v>20</v>
      </c>
      <c r="G44" s="171" t="s">
        <v>19</v>
      </c>
      <c r="H44" s="172"/>
      <c r="I44" s="171"/>
      <c r="J44" s="172"/>
      <c r="K44" s="171"/>
      <c r="L44" s="172"/>
      <c r="M44" s="137" t="s">
        <v>18</v>
      </c>
      <c r="N44" s="136"/>
      <c r="O44" s="179"/>
    </row>
    <row r="45" spans="2:15" ht="120" customHeight="1" thickBot="1">
      <c r="B45" s="251">
        <v>0.54166666666666663</v>
      </c>
      <c r="C45" s="95" t="s">
        <v>20</v>
      </c>
      <c r="D45" s="161"/>
      <c r="E45" s="160"/>
      <c r="F45" s="165" t="s">
        <v>20</v>
      </c>
      <c r="G45" s="173" t="s">
        <v>20</v>
      </c>
      <c r="H45" s="172"/>
      <c r="I45" s="173" t="s">
        <v>20</v>
      </c>
      <c r="J45" s="172"/>
      <c r="K45" s="173" t="s">
        <v>20</v>
      </c>
      <c r="L45" s="172"/>
      <c r="M45" s="135" t="s">
        <v>20</v>
      </c>
      <c r="N45" s="136"/>
      <c r="O45" s="179"/>
    </row>
    <row r="46" spans="2:15" ht="120" customHeight="1" thickBot="1">
      <c r="B46" s="252">
        <v>0.58333333333333337</v>
      </c>
      <c r="C46" s="95" t="s">
        <v>20</v>
      </c>
      <c r="D46" s="161"/>
      <c r="E46" s="160"/>
      <c r="F46" s="165" t="s">
        <v>20</v>
      </c>
      <c r="G46" s="171" t="s">
        <v>21</v>
      </c>
      <c r="H46" s="172"/>
      <c r="I46" s="171" t="s">
        <v>22</v>
      </c>
      <c r="J46" s="172"/>
      <c r="K46" s="173" t="s">
        <v>20</v>
      </c>
      <c r="L46" s="172"/>
      <c r="M46" s="141" t="s">
        <v>56</v>
      </c>
      <c r="N46" s="146"/>
      <c r="O46" s="179"/>
    </row>
    <row r="47" spans="2:15" ht="120" customHeight="1" thickBot="1">
      <c r="B47" s="251">
        <v>0.625</v>
      </c>
      <c r="C47" s="95" t="s">
        <v>20</v>
      </c>
      <c r="D47" s="161"/>
      <c r="E47" s="160"/>
      <c r="F47" s="165" t="s">
        <v>20</v>
      </c>
      <c r="G47" s="160"/>
      <c r="H47" s="174"/>
      <c r="I47" s="171" t="s">
        <v>21</v>
      </c>
      <c r="J47" s="174"/>
      <c r="K47" s="171"/>
      <c r="L47" s="174"/>
      <c r="M47" s="141"/>
      <c r="N47" s="136"/>
      <c r="O47" s="179"/>
    </row>
    <row r="48" spans="2:15" ht="120" customHeight="1" thickBot="1">
      <c r="B48" s="252">
        <v>0.66666666666666663</v>
      </c>
      <c r="C48" s="103" t="s">
        <v>23</v>
      </c>
      <c r="D48" s="161"/>
      <c r="E48" s="160"/>
      <c r="F48" s="166" t="s">
        <v>23</v>
      </c>
      <c r="G48" s="175" t="s">
        <v>23</v>
      </c>
      <c r="H48" s="174"/>
      <c r="I48" s="176" t="s">
        <v>58</v>
      </c>
      <c r="J48" s="174"/>
      <c r="K48" s="160"/>
      <c r="L48" s="174"/>
      <c r="M48" s="140"/>
      <c r="N48" s="136"/>
      <c r="O48" s="179"/>
    </row>
    <row r="49" spans="2:15" ht="120" customHeight="1" thickBot="1">
      <c r="B49" s="251">
        <v>0.70833333333333337</v>
      </c>
      <c r="C49" s="103" t="s">
        <v>24</v>
      </c>
      <c r="D49" s="161"/>
      <c r="E49" s="160"/>
      <c r="F49" s="166" t="s">
        <v>24</v>
      </c>
      <c r="G49" s="175" t="s">
        <v>24</v>
      </c>
      <c r="H49" s="174"/>
      <c r="I49" s="175" t="s">
        <v>24</v>
      </c>
      <c r="J49" s="174"/>
      <c r="K49" s="160"/>
      <c r="L49" s="174"/>
      <c r="M49" s="140"/>
      <c r="N49" s="161"/>
      <c r="O49" s="179"/>
    </row>
    <row r="50" spans="2:15" ht="120" customHeight="1" thickBot="1">
      <c r="B50" s="252">
        <v>0.75</v>
      </c>
      <c r="C50" s="92" t="s">
        <v>18</v>
      </c>
      <c r="D50" s="161"/>
      <c r="E50" s="160"/>
      <c r="F50" s="167" t="s">
        <v>18</v>
      </c>
      <c r="G50" s="176" t="s">
        <v>18</v>
      </c>
      <c r="H50" s="174"/>
      <c r="I50" s="176" t="s">
        <v>18</v>
      </c>
      <c r="J50" s="174"/>
      <c r="K50" s="160"/>
      <c r="L50" s="174"/>
      <c r="M50" s="140"/>
      <c r="N50" s="161"/>
      <c r="O50" s="179"/>
    </row>
    <row r="51" spans="2:15" ht="120" customHeight="1" thickBot="1">
      <c r="B51" s="251">
        <v>0.79166666666666663</v>
      </c>
      <c r="C51" s="92" t="s">
        <v>61</v>
      </c>
      <c r="D51" s="161"/>
      <c r="E51" s="168" t="s">
        <v>51</v>
      </c>
      <c r="F51" s="167"/>
      <c r="G51" s="97"/>
      <c r="H51" s="174"/>
      <c r="I51" s="215" t="s">
        <v>45</v>
      </c>
      <c r="J51" s="174"/>
      <c r="K51" s="178" t="s">
        <v>26</v>
      </c>
      <c r="L51" s="174"/>
      <c r="M51" s="140"/>
      <c r="N51" s="161"/>
      <c r="O51" s="179"/>
    </row>
    <row r="52" spans="2:15" ht="135" customHeight="1" thickBot="1">
      <c r="B52" s="248">
        <v>0.83333333333333337</v>
      </c>
      <c r="C52" s="220" t="s">
        <v>59</v>
      </c>
      <c r="D52" s="161"/>
      <c r="E52" s="160" t="s">
        <v>19</v>
      </c>
      <c r="F52" s="167" t="s">
        <v>47</v>
      </c>
      <c r="G52" s="178" t="s">
        <v>21</v>
      </c>
      <c r="H52" s="161"/>
      <c r="I52" s="178" t="s">
        <v>26</v>
      </c>
      <c r="J52" s="161"/>
      <c r="K52" s="137" t="s">
        <v>45</v>
      </c>
      <c r="L52" s="161"/>
      <c r="M52" s="140"/>
      <c r="N52" s="161"/>
      <c r="O52" s="179"/>
    </row>
    <row r="54" spans="2:15" ht="177" customHeight="1" thickBot="1">
      <c r="B54" s="282" t="s">
        <v>27</v>
      </c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83"/>
    </row>
    <row r="55" spans="2:15" ht="177" customHeight="1" thickBot="1">
      <c r="B55" s="101" t="s">
        <v>20</v>
      </c>
      <c r="C55" s="282" t="s">
        <v>28</v>
      </c>
      <c r="D55" s="283"/>
      <c r="E55" s="211" t="s">
        <v>46</v>
      </c>
      <c r="F55" s="212" t="s">
        <v>29</v>
      </c>
      <c r="G55" s="273" t="s">
        <v>49</v>
      </c>
      <c r="H55" s="274"/>
      <c r="I55" s="275"/>
      <c r="J55" s="212" t="s">
        <v>30</v>
      </c>
      <c r="K55" s="102"/>
      <c r="L55" s="102"/>
      <c r="M55" s="102"/>
      <c r="N55" s="102"/>
    </row>
    <row r="57" spans="2:15" ht="30" customHeight="1"/>
    <row r="58" spans="2:15" ht="30" customHeight="1"/>
    <row r="59" spans="2:15" ht="30" customHeight="1"/>
  </sheetData>
  <mergeCells count="9">
    <mergeCell ref="C55:D55"/>
    <mergeCell ref="G55:I55"/>
    <mergeCell ref="B1:E1"/>
    <mergeCell ref="F1:G1"/>
    <mergeCell ref="B2:C2"/>
    <mergeCell ref="D2:E2"/>
    <mergeCell ref="B54:N54"/>
    <mergeCell ref="I1:J1"/>
    <mergeCell ref="K1:L1"/>
  </mergeCells>
  <phoneticPr fontId="42"/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15:N16 C27:N28 C3:N4 C39:N42" xr:uid="{00000000-0002-0000-0500-000000000000}"/>
    <dataValidation allowBlank="1" showInputMessage="1" showErrorMessage="1" prompt="Time is automatically updated in this column under this heading" sqref="B27:B28 B15:B16 B3:B4 B39:B42" xr:uid="{00000000-0002-0000-05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500-000002000000}"/>
    <dataValidation allowBlank="1" showInputMessage="1" showErrorMessage="1" prompt="Enter Start Time in cell at right" sqref="B2" xr:uid="{DFC34F74-EA7F-9242-8B9C-E02B0C6372AD}"/>
    <dataValidation allowBlank="1" showInputMessage="1" showErrorMessage="1" prompt="Title of this worksheet is in this cell.  Enter semester name in cell at right" sqref="B1:E1" xr:uid="{00000000-0002-0000-0500-000004000000}"/>
    <dataValidation allowBlank="1" showInputMessage="1" showErrorMessage="1" prompt="Enter semester name in this cell" sqref="F1:G1" xr:uid="{00000000-0002-0000-0500-000005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0" orientation="portrait" r:id="rId1"/>
  <headerFooter differentFirst="1">
    <oddFooter>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  <pageSetUpPr autoPageBreaks="0"/>
  </sheetPr>
  <dimension ref="A1:O65"/>
  <sheetViews>
    <sheetView showGridLines="0" tabSelected="1" showWhiteSpace="0" view="pageLayout" topLeftCell="A40" zoomScale="10" zoomScaleNormal="20" zoomScalePageLayoutView="10" workbookViewId="0">
      <selection activeCell="C54" sqref="C54"/>
    </sheetView>
  </sheetViews>
  <sheetFormatPr defaultColWidth="8.69921875" defaultRowHeight="30" customHeight="1" thickBottom="1"/>
  <cols>
    <col min="1" max="1" width="1.8984375" customWidth="1"/>
    <col min="2" max="14" width="56.296875" customWidth="1"/>
    <col min="15" max="15" width="8.8984375" customWidth="1"/>
  </cols>
  <sheetData>
    <row r="1" spans="1:15" ht="273.75" customHeight="1" thickBot="1">
      <c r="B1" s="284" t="s">
        <v>0</v>
      </c>
      <c r="C1" s="285"/>
      <c r="D1" s="285"/>
      <c r="E1" s="286"/>
      <c r="F1" s="297" t="s">
        <v>37</v>
      </c>
      <c r="G1" s="298"/>
      <c r="H1" s="80" t="s">
        <v>2</v>
      </c>
      <c r="I1" s="299" t="s">
        <v>3</v>
      </c>
      <c r="J1" s="300"/>
      <c r="K1" s="301" t="s">
        <v>4</v>
      </c>
      <c r="L1" s="302"/>
      <c r="M1" s="14"/>
    </row>
    <row r="2" spans="1:15" ht="172.5" customHeight="1" thickBot="1">
      <c r="A2" s="1"/>
      <c r="B2" s="296" t="s">
        <v>5</v>
      </c>
      <c r="C2" s="292"/>
      <c r="D2" s="293" t="s">
        <v>6</v>
      </c>
      <c r="E2" s="293"/>
      <c r="F2" s="74"/>
      <c r="G2" s="75"/>
      <c r="H2" s="21"/>
      <c r="I2" s="76" t="s">
        <v>7</v>
      </c>
      <c r="J2" s="77"/>
      <c r="K2" s="78" t="s">
        <v>8</v>
      </c>
      <c r="L2" s="79"/>
      <c r="M2" s="87">
        <v>43739</v>
      </c>
      <c r="N2" s="27"/>
    </row>
    <row r="3" spans="1:15" ht="97.5" customHeight="1" thickBot="1">
      <c r="B3" s="88" t="s">
        <v>9</v>
      </c>
      <c r="C3" s="115" t="s">
        <v>10</v>
      </c>
      <c r="D3" s="116"/>
      <c r="E3" s="119" t="s">
        <v>11</v>
      </c>
      <c r="F3" s="120">
        <f>M2</f>
        <v>43739</v>
      </c>
      <c r="G3" s="119" t="s">
        <v>12</v>
      </c>
      <c r="H3" s="120">
        <f>F3+1</f>
        <v>43740</v>
      </c>
      <c r="I3" s="119" t="s">
        <v>13</v>
      </c>
      <c r="J3" s="120">
        <f>F3+2</f>
        <v>43741</v>
      </c>
      <c r="K3" s="119" t="s">
        <v>14</v>
      </c>
      <c r="L3" s="120">
        <f>F3+3</f>
        <v>43742</v>
      </c>
      <c r="M3" s="119" t="s">
        <v>15</v>
      </c>
      <c r="N3" s="120">
        <f>F3+4</f>
        <v>43743</v>
      </c>
    </row>
    <row r="4" spans="1:15" ht="97.5" customHeight="1" thickBot="1">
      <c r="B4" s="98"/>
      <c r="C4" s="242"/>
      <c r="D4" s="241"/>
      <c r="E4" s="240" t="s">
        <v>16</v>
      </c>
      <c r="F4" s="240" t="s">
        <v>16</v>
      </c>
      <c r="G4" s="240" t="s">
        <v>16</v>
      </c>
      <c r="H4" s="240" t="s">
        <v>17</v>
      </c>
      <c r="I4" s="240" t="s">
        <v>16</v>
      </c>
      <c r="J4" s="240" t="s">
        <v>17</v>
      </c>
      <c r="K4" s="240" t="s">
        <v>16</v>
      </c>
      <c r="L4" s="240" t="s">
        <v>17</v>
      </c>
      <c r="M4" s="240" t="s">
        <v>16</v>
      </c>
      <c r="N4" s="240" t="s">
        <v>17</v>
      </c>
    </row>
    <row r="5" spans="1:15" ht="97.5" customHeight="1" thickBot="1">
      <c r="B5" s="249">
        <v>0.45833333333333331</v>
      </c>
      <c r="C5" s="93"/>
      <c r="D5" s="93"/>
      <c r="E5" s="93"/>
      <c r="F5" s="161"/>
      <c r="G5" s="171"/>
      <c r="H5" s="161"/>
      <c r="I5" s="160"/>
      <c r="J5" s="161"/>
      <c r="K5" s="160"/>
      <c r="L5" s="161"/>
      <c r="M5" s="137" t="s">
        <v>18</v>
      </c>
      <c r="N5" s="147"/>
      <c r="O5" s="179"/>
    </row>
    <row r="6" spans="1:15" ht="97.5" customHeight="1" thickBot="1">
      <c r="B6" s="250">
        <v>0.5</v>
      </c>
      <c r="C6" s="93"/>
      <c r="D6" s="93"/>
      <c r="E6" s="93"/>
      <c r="F6" s="165" t="s">
        <v>20</v>
      </c>
      <c r="G6" s="171" t="s">
        <v>19</v>
      </c>
      <c r="H6" s="172"/>
      <c r="I6" s="178"/>
      <c r="J6" s="172"/>
      <c r="K6" s="171"/>
      <c r="L6" s="172"/>
      <c r="M6" s="137" t="s">
        <v>18</v>
      </c>
      <c r="N6" s="136"/>
      <c r="O6" s="179"/>
    </row>
    <row r="7" spans="1:15" ht="97.5" customHeight="1" thickBot="1">
      <c r="B7" s="251">
        <v>0.54166666666666663</v>
      </c>
      <c r="C7" s="93"/>
      <c r="D7" s="93"/>
      <c r="E7" s="93"/>
      <c r="F7" s="165" t="s">
        <v>20</v>
      </c>
      <c r="G7" s="173" t="s">
        <v>20</v>
      </c>
      <c r="H7" s="172"/>
      <c r="I7" s="173" t="s">
        <v>20</v>
      </c>
      <c r="J7" s="172"/>
      <c r="K7" s="171"/>
      <c r="L7" s="172"/>
      <c r="M7" s="135" t="s">
        <v>20</v>
      </c>
      <c r="N7" s="136"/>
      <c r="O7" s="179"/>
    </row>
    <row r="8" spans="1:15" ht="97.5" customHeight="1" thickBot="1">
      <c r="B8" s="252">
        <v>0.58333333333333337</v>
      </c>
      <c r="C8" s="93"/>
      <c r="D8" s="93"/>
      <c r="E8" s="93"/>
      <c r="F8" s="165" t="s">
        <v>20</v>
      </c>
      <c r="G8" s="171" t="s">
        <v>21</v>
      </c>
      <c r="H8" s="172"/>
      <c r="I8" s="171" t="s">
        <v>22</v>
      </c>
      <c r="J8" s="172"/>
      <c r="K8" s="171"/>
      <c r="L8" s="172"/>
      <c r="M8" s="141" t="s">
        <v>56</v>
      </c>
      <c r="N8" s="146"/>
      <c r="O8" s="179"/>
    </row>
    <row r="9" spans="1:15" ht="97.5" customHeight="1" thickBot="1">
      <c r="B9" s="251">
        <v>0.625</v>
      </c>
      <c r="C9" s="93"/>
      <c r="D9" s="93"/>
      <c r="E9" s="93"/>
      <c r="F9" s="165" t="s">
        <v>20</v>
      </c>
      <c r="G9" s="160"/>
      <c r="H9" s="174"/>
      <c r="I9" s="171" t="s">
        <v>21</v>
      </c>
      <c r="J9" s="174"/>
      <c r="K9" s="171"/>
      <c r="L9" s="174"/>
      <c r="M9" s="173" t="s">
        <v>63</v>
      </c>
      <c r="N9" s="136"/>
      <c r="O9" s="179"/>
    </row>
    <row r="10" spans="1:15" ht="97.5" customHeight="1" thickBot="1">
      <c r="B10" s="252">
        <v>0.66666666666666663</v>
      </c>
      <c r="C10" s="93"/>
      <c r="D10" s="93"/>
      <c r="E10" s="93"/>
      <c r="F10" s="166" t="s">
        <v>23</v>
      </c>
      <c r="G10" s="175" t="s">
        <v>23</v>
      </c>
      <c r="H10" s="174"/>
      <c r="I10" s="176" t="s">
        <v>58</v>
      </c>
      <c r="J10" s="174"/>
      <c r="K10" s="160"/>
      <c r="L10" s="174"/>
      <c r="M10" s="140"/>
      <c r="N10" s="136"/>
      <c r="O10" s="179"/>
    </row>
    <row r="11" spans="1:15" ht="97.5" customHeight="1" thickBot="1">
      <c r="B11" s="251">
        <v>0.70833333333333337</v>
      </c>
      <c r="C11" s="93"/>
      <c r="D11" s="93"/>
      <c r="E11" s="93"/>
      <c r="F11" s="166" t="s">
        <v>24</v>
      </c>
      <c r="G11" s="175" t="s">
        <v>24</v>
      </c>
      <c r="H11" s="174"/>
      <c r="I11" s="175" t="s">
        <v>23</v>
      </c>
      <c r="J11" s="174"/>
      <c r="K11" s="160"/>
      <c r="L11" s="174"/>
      <c r="M11" s="140"/>
      <c r="N11" s="161"/>
      <c r="O11" s="179"/>
    </row>
    <row r="12" spans="1:15" ht="97.5" customHeight="1" thickBot="1">
      <c r="B12" s="252">
        <v>0.75</v>
      </c>
      <c r="C12" s="93"/>
      <c r="D12" s="93"/>
      <c r="E12" s="93"/>
      <c r="F12" s="167" t="s">
        <v>18</v>
      </c>
      <c r="G12" s="176" t="s">
        <v>18</v>
      </c>
      <c r="H12" s="174"/>
      <c r="I12" s="176" t="s">
        <v>18</v>
      </c>
      <c r="J12" s="174"/>
      <c r="K12" s="160"/>
      <c r="L12" s="174"/>
      <c r="M12" s="140"/>
      <c r="N12" s="161"/>
      <c r="O12" s="179"/>
    </row>
    <row r="13" spans="1:15" ht="97.5" customHeight="1" thickBot="1">
      <c r="B13" s="251">
        <v>0.79166666666666663</v>
      </c>
      <c r="C13" s="93"/>
      <c r="D13" s="93"/>
      <c r="E13" s="168" t="s">
        <v>51</v>
      </c>
      <c r="F13" s="167" t="s">
        <v>18</v>
      </c>
      <c r="G13" s="97"/>
      <c r="H13" s="174"/>
      <c r="I13" s="173" t="s">
        <v>20</v>
      </c>
      <c r="J13" s="174"/>
      <c r="K13" s="178" t="s">
        <v>26</v>
      </c>
      <c r="L13" s="174"/>
      <c r="M13" s="140"/>
      <c r="N13" s="161"/>
      <c r="O13" s="179"/>
    </row>
    <row r="14" spans="1:15" ht="97.5" customHeight="1" thickBot="1">
      <c r="B14" s="248">
        <v>0.83333333333333337</v>
      </c>
      <c r="C14" s="93"/>
      <c r="D14" s="93"/>
      <c r="E14" s="93" t="s">
        <v>19</v>
      </c>
      <c r="F14" s="167" t="s">
        <v>47</v>
      </c>
      <c r="G14" s="178" t="s">
        <v>62</v>
      </c>
      <c r="H14" s="161"/>
      <c r="I14" s="178" t="s">
        <v>26</v>
      </c>
      <c r="J14" s="161"/>
      <c r="K14" s="137" t="s">
        <v>45</v>
      </c>
      <c r="L14" s="161"/>
      <c r="M14" s="140"/>
      <c r="N14" s="161"/>
      <c r="O14" s="179"/>
    </row>
    <row r="15" spans="1:15" ht="97.5" customHeight="1" thickBot="1">
      <c r="B15" s="88" t="s">
        <v>9</v>
      </c>
      <c r="C15" s="119" t="s">
        <v>10</v>
      </c>
      <c r="D15" s="120">
        <f>F3+6</f>
        <v>43745</v>
      </c>
      <c r="E15" s="119" t="s">
        <v>11</v>
      </c>
      <c r="F15" s="120">
        <f>F3+7</f>
        <v>43746</v>
      </c>
      <c r="G15" s="119" t="s">
        <v>12</v>
      </c>
      <c r="H15" s="120">
        <f>H3+7</f>
        <v>43747</v>
      </c>
      <c r="I15" s="119" t="s">
        <v>13</v>
      </c>
      <c r="J15" s="120">
        <f>J3+7</f>
        <v>43748</v>
      </c>
      <c r="K15" s="119" t="s">
        <v>14</v>
      </c>
      <c r="L15" s="120">
        <f>L3+7</f>
        <v>43749</v>
      </c>
      <c r="M15" s="119" t="s">
        <v>15</v>
      </c>
      <c r="N15" s="120">
        <f>N3+7</f>
        <v>43750</v>
      </c>
    </row>
    <row r="16" spans="1:15" ht="97.5" customHeight="1" thickBot="1">
      <c r="B16" s="98"/>
      <c r="C16" s="240" t="s">
        <v>16</v>
      </c>
      <c r="D16" s="241"/>
      <c r="E16" s="240" t="s">
        <v>16</v>
      </c>
      <c r="F16" s="240" t="s">
        <v>16</v>
      </c>
      <c r="G16" s="240" t="s">
        <v>16</v>
      </c>
      <c r="H16" s="240" t="s">
        <v>17</v>
      </c>
      <c r="I16" s="240" t="s">
        <v>16</v>
      </c>
      <c r="J16" s="240" t="s">
        <v>17</v>
      </c>
      <c r="K16" s="240" t="s">
        <v>16</v>
      </c>
      <c r="L16" s="240" t="s">
        <v>17</v>
      </c>
      <c r="M16" s="240"/>
      <c r="N16" s="240"/>
    </row>
    <row r="17" spans="2:14" ht="97.5" customHeight="1" thickBot="1">
      <c r="B17" s="249">
        <v>0.45833333333333331</v>
      </c>
      <c r="C17" s="93"/>
      <c r="D17" s="161"/>
      <c r="E17" s="160"/>
      <c r="F17" s="161"/>
      <c r="G17" s="171"/>
      <c r="H17" s="161"/>
      <c r="I17" s="160"/>
      <c r="J17" s="161"/>
      <c r="K17" s="160"/>
      <c r="L17" s="161"/>
      <c r="M17" s="128" t="s">
        <v>18</v>
      </c>
      <c r="N17" s="58"/>
    </row>
    <row r="18" spans="2:14" ht="97.5" customHeight="1" thickBot="1">
      <c r="B18" s="250">
        <v>0.5</v>
      </c>
      <c r="C18" s="95" t="s">
        <v>20</v>
      </c>
      <c r="D18" s="161"/>
      <c r="E18" s="160"/>
      <c r="F18" s="165" t="s">
        <v>20</v>
      </c>
      <c r="G18" s="171" t="s">
        <v>19</v>
      </c>
      <c r="H18" s="172"/>
      <c r="I18" s="178" t="s">
        <v>26</v>
      </c>
      <c r="J18" s="172"/>
      <c r="K18" s="171"/>
      <c r="L18" s="172"/>
      <c r="M18" s="128" t="s">
        <v>18</v>
      </c>
      <c r="N18" s="62"/>
    </row>
    <row r="19" spans="2:14" ht="97.5" customHeight="1" thickBot="1">
      <c r="B19" s="251">
        <v>0.54166666666666663</v>
      </c>
      <c r="C19" s="95" t="s">
        <v>20</v>
      </c>
      <c r="D19" s="161"/>
      <c r="E19" s="160"/>
      <c r="F19" s="165" t="s">
        <v>20</v>
      </c>
      <c r="G19" s="173" t="s">
        <v>20</v>
      </c>
      <c r="H19" s="172"/>
      <c r="I19" s="173" t="s">
        <v>20</v>
      </c>
      <c r="J19" s="172"/>
      <c r="K19" s="171"/>
      <c r="L19" s="172"/>
      <c r="M19" s="64" t="s">
        <v>20</v>
      </c>
      <c r="N19" s="62"/>
    </row>
    <row r="20" spans="2:14" ht="97.5" customHeight="1" thickBot="1">
      <c r="B20" s="252">
        <v>0.58333333333333337</v>
      </c>
      <c r="C20" s="167" t="s">
        <v>65</v>
      </c>
      <c r="D20" s="161"/>
      <c r="E20" s="160"/>
      <c r="F20" s="165" t="s">
        <v>20</v>
      </c>
      <c r="G20" s="171" t="s">
        <v>21</v>
      </c>
      <c r="H20" s="172"/>
      <c r="I20" s="171" t="s">
        <v>22</v>
      </c>
      <c r="J20" s="172"/>
      <c r="K20" s="171"/>
      <c r="L20" s="172"/>
      <c r="M20" s="129" t="s">
        <v>56</v>
      </c>
      <c r="N20" s="65"/>
    </row>
    <row r="21" spans="2:14" ht="97.5" customHeight="1" thickBot="1">
      <c r="B21" s="251">
        <v>0.625</v>
      </c>
      <c r="C21" s="95" t="s">
        <v>20</v>
      </c>
      <c r="D21" s="161"/>
      <c r="E21" s="160"/>
      <c r="F21" s="165" t="s">
        <v>20</v>
      </c>
      <c r="G21" s="160"/>
      <c r="H21" s="174"/>
      <c r="I21" s="171" t="s">
        <v>21</v>
      </c>
      <c r="J21" s="174"/>
      <c r="K21" s="171"/>
      <c r="L21" s="174"/>
      <c r="M21" s="215" t="s">
        <v>47</v>
      </c>
      <c r="N21" s="62"/>
    </row>
    <row r="22" spans="2:14" ht="97.5" customHeight="1" thickBot="1">
      <c r="B22" s="252">
        <v>0.66666666666666663</v>
      </c>
      <c r="C22" s="103" t="s">
        <v>23</v>
      </c>
      <c r="D22" s="161"/>
      <c r="E22" s="160"/>
      <c r="F22" s="166" t="s">
        <v>23</v>
      </c>
      <c r="G22" s="175" t="s">
        <v>23</v>
      </c>
      <c r="H22" s="174"/>
      <c r="I22" s="176" t="s">
        <v>58</v>
      </c>
      <c r="J22" s="174"/>
      <c r="K22" s="160"/>
      <c r="L22" s="174"/>
      <c r="M22" s="127"/>
      <c r="N22" s="62"/>
    </row>
    <row r="23" spans="2:14" ht="97.5" customHeight="1" thickBot="1">
      <c r="B23" s="251">
        <v>0.70833333333333337</v>
      </c>
      <c r="C23" s="103" t="s">
        <v>24</v>
      </c>
      <c r="D23" s="161"/>
      <c r="E23" s="160"/>
      <c r="F23" s="166" t="s">
        <v>24</v>
      </c>
      <c r="G23" s="175" t="s">
        <v>24</v>
      </c>
      <c r="H23" s="174"/>
      <c r="I23" s="175" t="s">
        <v>23</v>
      </c>
      <c r="J23" s="174"/>
      <c r="K23" s="160"/>
      <c r="L23" s="174"/>
      <c r="M23" s="127"/>
      <c r="N23" s="93"/>
    </row>
    <row r="24" spans="2:14" ht="97.5" customHeight="1" thickBot="1">
      <c r="B24" s="252">
        <v>0.75</v>
      </c>
      <c r="C24" s="92" t="s">
        <v>18</v>
      </c>
      <c r="D24" s="161"/>
      <c r="E24" s="160"/>
      <c r="F24" s="167" t="s">
        <v>18</v>
      </c>
      <c r="G24" s="176" t="s">
        <v>18</v>
      </c>
      <c r="H24" s="174"/>
      <c r="I24" s="176" t="s">
        <v>18</v>
      </c>
      <c r="J24" s="174"/>
      <c r="K24" s="160"/>
      <c r="L24" s="174"/>
      <c r="M24" s="127"/>
      <c r="N24" s="93"/>
    </row>
    <row r="25" spans="2:14" ht="97.5" customHeight="1" thickBot="1">
      <c r="B25" s="251">
        <v>0.79166666666666663</v>
      </c>
      <c r="C25" s="92" t="s">
        <v>64</v>
      </c>
      <c r="D25" s="161"/>
      <c r="E25" s="168" t="s">
        <v>51</v>
      </c>
      <c r="F25" s="167" t="s">
        <v>65</v>
      </c>
      <c r="G25" s="97"/>
      <c r="H25" s="174"/>
      <c r="I25" s="173" t="s">
        <v>20</v>
      </c>
      <c r="J25" s="174"/>
      <c r="K25" s="178" t="s">
        <v>26</v>
      </c>
      <c r="L25" s="174"/>
      <c r="M25" s="127"/>
      <c r="N25" s="93"/>
    </row>
    <row r="26" spans="2:14" ht="97.5" customHeight="1" thickBot="1">
      <c r="B26" s="248">
        <v>0.83333333333333337</v>
      </c>
      <c r="C26" s="214" t="s">
        <v>47</v>
      </c>
      <c r="D26" s="161"/>
      <c r="E26" s="160" t="s">
        <v>19</v>
      </c>
      <c r="F26" s="167" t="s">
        <v>47</v>
      </c>
      <c r="G26" s="178" t="s">
        <v>21</v>
      </c>
      <c r="H26" s="161"/>
      <c r="I26" s="178" t="s">
        <v>26</v>
      </c>
      <c r="J26" s="161"/>
      <c r="K26" s="137" t="s">
        <v>45</v>
      </c>
      <c r="L26" s="161"/>
      <c r="M26" s="127"/>
      <c r="N26" s="93"/>
    </row>
    <row r="27" spans="2:14" ht="97.5" customHeight="1" thickBot="1">
      <c r="B27" s="88" t="s">
        <v>9</v>
      </c>
      <c r="C27" s="119" t="s">
        <v>10</v>
      </c>
      <c r="D27" s="244">
        <f>D15+7</f>
        <v>43752</v>
      </c>
      <c r="E27" s="119" t="s">
        <v>11</v>
      </c>
      <c r="F27" s="244">
        <f>F15+7</f>
        <v>43753</v>
      </c>
      <c r="G27" s="119" t="s">
        <v>12</v>
      </c>
      <c r="H27" s="244">
        <f>H15+7</f>
        <v>43754</v>
      </c>
      <c r="I27" s="119" t="s">
        <v>13</v>
      </c>
      <c r="J27" s="244">
        <f>J15+7</f>
        <v>43755</v>
      </c>
      <c r="K27" s="119" t="s">
        <v>14</v>
      </c>
      <c r="L27" s="244">
        <f>L15+7</f>
        <v>43756</v>
      </c>
      <c r="M27" s="119" t="s">
        <v>15</v>
      </c>
      <c r="N27" s="244">
        <f>N15+7</f>
        <v>43757</v>
      </c>
    </row>
    <row r="28" spans="2:14" ht="97.5" customHeight="1" thickBot="1">
      <c r="B28" s="98"/>
      <c r="C28" s="240" t="s">
        <v>16</v>
      </c>
      <c r="D28" s="241"/>
      <c r="E28" s="240" t="s">
        <v>16</v>
      </c>
      <c r="F28" s="240" t="s">
        <v>16</v>
      </c>
      <c r="G28" s="240" t="s">
        <v>16</v>
      </c>
      <c r="H28" s="240" t="s">
        <v>17</v>
      </c>
      <c r="I28" s="240" t="s">
        <v>16</v>
      </c>
      <c r="J28" s="240" t="s">
        <v>17</v>
      </c>
      <c r="K28" s="240" t="s">
        <v>16</v>
      </c>
      <c r="L28" s="240" t="s">
        <v>17</v>
      </c>
      <c r="M28" s="240" t="s">
        <v>16</v>
      </c>
      <c r="N28" s="240" t="s">
        <v>17</v>
      </c>
    </row>
    <row r="29" spans="2:14" ht="97.5" customHeight="1" thickBot="1">
      <c r="B29" s="249">
        <v>0.45833333333333331</v>
      </c>
      <c r="C29" s="93"/>
      <c r="D29" s="161"/>
      <c r="E29" s="160"/>
      <c r="F29" s="161"/>
      <c r="G29" s="171"/>
      <c r="H29" s="161"/>
      <c r="I29" s="160"/>
      <c r="J29" s="161"/>
      <c r="K29" s="160"/>
      <c r="L29" s="161"/>
      <c r="M29" s="128" t="s">
        <v>18</v>
      </c>
      <c r="N29" s="58"/>
    </row>
    <row r="30" spans="2:14" ht="97.5" customHeight="1" thickBot="1">
      <c r="B30" s="250">
        <v>0.5</v>
      </c>
      <c r="C30" s="95" t="s">
        <v>20</v>
      </c>
      <c r="D30" s="161"/>
      <c r="E30" s="160"/>
      <c r="F30" s="165" t="s">
        <v>20</v>
      </c>
      <c r="G30" s="171" t="s">
        <v>19</v>
      </c>
      <c r="H30" s="172"/>
      <c r="I30" s="178" t="s">
        <v>26</v>
      </c>
      <c r="J30" s="172"/>
      <c r="K30" s="171"/>
      <c r="L30" s="172"/>
      <c r="M30" s="128" t="s">
        <v>65</v>
      </c>
      <c r="N30" s="62"/>
    </row>
    <row r="31" spans="2:14" ht="97.5" customHeight="1" thickBot="1">
      <c r="B31" s="251">
        <v>0.54166666666666663</v>
      </c>
      <c r="C31" s="95" t="s">
        <v>20</v>
      </c>
      <c r="D31" s="161"/>
      <c r="E31" s="160"/>
      <c r="F31" s="165" t="s">
        <v>20</v>
      </c>
      <c r="G31" s="173" t="s">
        <v>20</v>
      </c>
      <c r="H31" s="172"/>
      <c r="I31" s="173" t="s">
        <v>20</v>
      </c>
      <c r="J31" s="172"/>
      <c r="K31" s="171"/>
      <c r="L31" s="172"/>
      <c r="M31" s="167" t="s">
        <v>65</v>
      </c>
      <c r="N31" s="62"/>
    </row>
    <row r="32" spans="2:14" ht="97.5" customHeight="1" thickBot="1">
      <c r="B32" s="252">
        <v>0.58333333333333337</v>
      </c>
      <c r="C32" s="95" t="s">
        <v>20</v>
      </c>
      <c r="D32" s="161"/>
      <c r="E32" s="160"/>
      <c r="F32" s="165" t="s">
        <v>20</v>
      </c>
      <c r="G32" s="171" t="s">
        <v>21</v>
      </c>
      <c r="H32" s="172"/>
      <c r="I32" s="171" t="s">
        <v>22</v>
      </c>
      <c r="J32" s="172"/>
      <c r="K32" s="171"/>
      <c r="L32" s="172"/>
      <c r="M32" s="129" t="s">
        <v>56</v>
      </c>
      <c r="N32" s="65"/>
    </row>
    <row r="33" spans="2:15" ht="97.5" customHeight="1" thickBot="1">
      <c r="B33" s="251">
        <v>0.625</v>
      </c>
      <c r="C33" s="95" t="s">
        <v>20</v>
      </c>
      <c r="D33" s="161"/>
      <c r="E33" s="160"/>
      <c r="F33" s="165" t="s">
        <v>20</v>
      </c>
      <c r="G33" s="160"/>
      <c r="H33" s="174"/>
      <c r="I33" s="171" t="s">
        <v>21</v>
      </c>
      <c r="J33" s="174"/>
      <c r="K33" s="171"/>
      <c r="L33" s="174"/>
      <c r="M33" s="215" t="s">
        <v>47</v>
      </c>
      <c r="N33" s="62"/>
    </row>
    <row r="34" spans="2:15" ht="97.5" customHeight="1" thickBot="1">
      <c r="B34" s="252">
        <v>0.66666666666666663</v>
      </c>
      <c r="C34" s="103" t="s">
        <v>23</v>
      </c>
      <c r="D34" s="161"/>
      <c r="E34" s="160"/>
      <c r="F34" s="166" t="s">
        <v>23</v>
      </c>
      <c r="G34" s="175" t="s">
        <v>23</v>
      </c>
      <c r="H34" s="174"/>
      <c r="I34" s="176" t="s">
        <v>58</v>
      </c>
      <c r="J34" s="174"/>
      <c r="K34" s="160"/>
      <c r="L34" s="174"/>
      <c r="M34" s="127"/>
      <c r="N34" s="62"/>
    </row>
    <row r="35" spans="2:15" ht="97.5" customHeight="1" thickBot="1">
      <c r="B35" s="251">
        <v>0.70833333333333337</v>
      </c>
      <c r="C35" s="103" t="s">
        <v>24</v>
      </c>
      <c r="D35" s="161"/>
      <c r="E35" s="160"/>
      <c r="F35" s="166" t="s">
        <v>24</v>
      </c>
      <c r="G35" s="175" t="s">
        <v>24</v>
      </c>
      <c r="H35" s="174"/>
      <c r="I35" s="175" t="s">
        <v>23</v>
      </c>
      <c r="J35" s="174"/>
      <c r="K35" s="160"/>
      <c r="L35" s="174"/>
      <c r="M35" s="127"/>
      <c r="N35" s="93"/>
    </row>
    <row r="36" spans="2:15" ht="97.5" customHeight="1" thickBot="1">
      <c r="B36" s="252">
        <v>0.75</v>
      </c>
      <c r="C36" s="92" t="s">
        <v>18</v>
      </c>
      <c r="D36" s="161"/>
      <c r="E36" s="160"/>
      <c r="F36" s="167" t="s">
        <v>18</v>
      </c>
      <c r="G36" s="176" t="s">
        <v>18</v>
      </c>
      <c r="H36" s="174"/>
      <c r="I36" s="176" t="s">
        <v>18</v>
      </c>
      <c r="J36" s="174"/>
      <c r="K36" s="160"/>
      <c r="L36" s="174"/>
      <c r="M36" s="127"/>
      <c r="N36" s="93"/>
    </row>
    <row r="37" spans="2:15" ht="97.5" customHeight="1" thickBot="1">
      <c r="B37" s="251">
        <v>0.79166666666666663</v>
      </c>
      <c r="C37" s="92" t="s">
        <v>64</v>
      </c>
      <c r="D37" s="161"/>
      <c r="E37" s="168" t="s">
        <v>51</v>
      </c>
      <c r="F37" s="167" t="s">
        <v>18</v>
      </c>
      <c r="G37" s="97"/>
      <c r="H37" s="174"/>
      <c r="I37" s="173" t="s">
        <v>20</v>
      </c>
      <c r="J37" s="174"/>
      <c r="K37" s="178" t="s">
        <v>26</v>
      </c>
      <c r="L37" s="174"/>
      <c r="M37" s="127"/>
      <c r="N37" s="93"/>
    </row>
    <row r="38" spans="2:15" ht="97.5" customHeight="1" thickBot="1">
      <c r="B38" s="248">
        <v>0.83333333333333337</v>
      </c>
      <c r="C38" s="214" t="s">
        <v>47</v>
      </c>
      <c r="D38" s="161"/>
      <c r="E38" s="160" t="s">
        <v>19</v>
      </c>
      <c r="F38" s="167" t="s">
        <v>47</v>
      </c>
      <c r="G38" s="178" t="s">
        <v>21</v>
      </c>
      <c r="H38" s="161"/>
      <c r="I38" s="178" t="s">
        <v>26</v>
      </c>
      <c r="J38" s="161"/>
      <c r="K38" s="137" t="s">
        <v>45</v>
      </c>
      <c r="L38" s="161"/>
      <c r="M38" s="127"/>
      <c r="N38" s="93"/>
    </row>
    <row r="39" spans="2:15" ht="97.5" customHeight="1" thickBot="1">
      <c r="B39" s="88" t="s">
        <v>9</v>
      </c>
      <c r="C39" s="119" t="s">
        <v>10</v>
      </c>
      <c r="D39" s="244">
        <f>D27+7</f>
        <v>43759</v>
      </c>
      <c r="E39" s="119" t="s">
        <v>11</v>
      </c>
      <c r="F39" s="244">
        <f>F27+7</f>
        <v>43760</v>
      </c>
      <c r="G39" s="119" t="s">
        <v>12</v>
      </c>
      <c r="H39" s="244">
        <f>H27+7</f>
        <v>43761</v>
      </c>
      <c r="I39" s="119" t="s">
        <v>13</v>
      </c>
      <c r="J39" s="244">
        <f>J27+7</f>
        <v>43762</v>
      </c>
      <c r="K39" s="119" t="s">
        <v>14</v>
      </c>
      <c r="L39" s="244">
        <f>L27+7</f>
        <v>43763</v>
      </c>
      <c r="M39" s="119" t="s">
        <v>15</v>
      </c>
      <c r="N39" s="244">
        <f>N27+7</f>
        <v>43764</v>
      </c>
    </row>
    <row r="40" spans="2:15" ht="97.5" customHeight="1" thickBot="1">
      <c r="B40" s="98"/>
      <c r="C40" s="240" t="s">
        <v>16</v>
      </c>
      <c r="D40" s="241"/>
      <c r="E40" s="240" t="s">
        <v>16</v>
      </c>
      <c r="F40" s="240" t="s">
        <v>16</v>
      </c>
      <c r="G40" s="240" t="s">
        <v>16</v>
      </c>
      <c r="H40" s="240" t="s">
        <v>17</v>
      </c>
      <c r="I40" s="240" t="s">
        <v>16</v>
      </c>
      <c r="J40" s="240" t="s">
        <v>17</v>
      </c>
      <c r="K40" s="240" t="s">
        <v>16</v>
      </c>
      <c r="L40" s="240" t="s">
        <v>17</v>
      </c>
      <c r="M40" s="240" t="s">
        <v>16</v>
      </c>
      <c r="N40" s="240" t="s">
        <v>17</v>
      </c>
    </row>
    <row r="41" spans="2:15" ht="97.5" customHeight="1" thickBot="1">
      <c r="B41" s="249">
        <v>0.45833333333333331</v>
      </c>
      <c r="C41" s="93"/>
      <c r="D41" s="161"/>
      <c r="E41" s="93"/>
      <c r="F41" s="93"/>
      <c r="G41" s="171"/>
      <c r="H41" s="161"/>
      <c r="I41" s="160"/>
      <c r="J41" s="161"/>
      <c r="K41" s="157"/>
      <c r="L41" s="161"/>
      <c r="M41" s="137" t="s">
        <v>18</v>
      </c>
      <c r="N41" s="147"/>
      <c r="O41" s="179"/>
    </row>
    <row r="42" spans="2:15" ht="97.5" customHeight="1" thickBot="1">
      <c r="B42" s="250">
        <v>0.5</v>
      </c>
      <c r="C42" s="178" t="s">
        <v>66</v>
      </c>
      <c r="D42" s="161"/>
      <c r="E42" s="93"/>
      <c r="F42" s="93"/>
      <c r="G42" s="171" t="s">
        <v>19</v>
      </c>
      <c r="H42" s="172"/>
      <c r="I42" s="178" t="s">
        <v>26</v>
      </c>
      <c r="J42" s="172"/>
      <c r="K42" s="96"/>
      <c r="L42" s="172"/>
      <c r="M42" s="137" t="s">
        <v>18</v>
      </c>
      <c r="N42" s="136"/>
      <c r="O42" s="179"/>
    </row>
    <row r="43" spans="2:15" ht="97.5" customHeight="1" thickBot="1">
      <c r="B43" s="251">
        <v>0.54166666666666663</v>
      </c>
      <c r="C43" s="95" t="s">
        <v>20</v>
      </c>
      <c r="D43" s="161"/>
      <c r="E43" s="93"/>
      <c r="F43" s="93"/>
      <c r="G43" s="173" t="s">
        <v>20</v>
      </c>
      <c r="H43" s="172"/>
      <c r="I43" s="173" t="s">
        <v>20</v>
      </c>
      <c r="J43" s="172"/>
      <c r="K43" s="96"/>
      <c r="L43" s="172"/>
      <c r="M43" s="135" t="s">
        <v>20</v>
      </c>
      <c r="N43" s="136"/>
      <c r="O43" s="179"/>
    </row>
    <row r="44" spans="2:15" ht="97.5" customHeight="1" thickBot="1">
      <c r="B44" s="252">
        <v>0.58333333333333337</v>
      </c>
      <c r="C44" s="167" t="s">
        <v>65</v>
      </c>
      <c r="D44" s="161"/>
      <c r="E44" s="93"/>
      <c r="F44" s="93"/>
      <c r="G44" s="171" t="s">
        <v>21</v>
      </c>
      <c r="H44" s="172"/>
      <c r="I44" s="171" t="s">
        <v>22</v>
      </c>
      <c r="J44" s="172"/>
      <c r="K44" s="96"/>
      <c r="L44" s="172"/>
      <c r="M44" s="141" t="s">
        <v>56</v>
      </c>
      <c r="N44" s="146"/>
      <c r="O44" s="179"/>
    </row>
    <row r="45" spans="2:15" ht="97.5" customHeight="1" thickBot="1">
      <c r="B45" s="251">
        <v>0.625</v>
      </c>
      <c r="C45" s="95" t="s">
        <v>20</v>
      </c>
      <c r="D45" s="161"/>
      <c r="E45" s="93"/>
      <c r="F45" s="93"/>
      <c r="G45" s="160"/>
      <c r="H45" s="174"/>
      <c r="I45" s="171" t="s">
        <v>21</v>
      </c>
      <c r="J45" s="174"/>
      <c r="K45" s="96"/>
      <c r="L45" s="174"/>
      <c r="M45" s="215" t="s">
        <v>47</v>
      </c>
      <c r="N45" s="136"/>
      <c r="O45" s="179"/>
    </row>
    <row r="46" spans="2:15" ht="97.5" customHeight="1" thickBot="1">
      <c r="B46" s="252">
        <v>0.66666666666666663</v>
      </c>
      <c r="C46" s="103" t="s">
        <v>23</v>
      </c>
      <c r="D46" s="161"/>
      <c r="E46" s="93"/>
      <c r="F46" s="93"/>
      <c r="G46" s="175" t="s">
        <v>23</v>
      </c>
      <c r="H46" s="174"/>
      <c r="I46" s="176" t="s">
        <v>58</v>
      </c>
      <c r="J46" s="174"/>
      <c r="K46" s="157"/>
      <c r="L46" s="174"/>
      <c r="M46" s="140"/>
      <c r="N46" s="136"/>
      <c r="O46" s="179"/>
    </row>
    <row r="47" spans="2:15" ht="97.5" customHeight="1" thickBot="1">
      <c r="B47" s="251">
        <v>0.70833333333333337</v>
      </c>
      <c r="C47" s="103" t="s">
        <v>24</v>
      </c>
      <c r="D47" s="161"/>
      <c r="E47" s="93"/>
      <c r="F47" s="93"/>
      <c r="G47" s="175" t="s">
        <v>24</v>
      </c>
      <c r="H47" s="174"/>
      <c r="I47" s="175" t="s">
        <v>23</v>
      </c>
      <c r="J47" s="174"/>
      <c r="K47" s="157"/>
      <c r="L47" s="174"/>
      <c r="M47" s="140"/>
      <c r="N47" s="161"/>
      <c r="O47" s="179"/>
    </row>
    <row r="48" spans="2:15" ht="97.5" customHeight="1" thickBot="1">
      <c r="B48" s="252">
        <v>0.75</v>
      </c>
      <c r="C48" s="92" t="s">
        <v>18</v>
      </c>
      <c r="D48" s="161"/>
      <c r="E48" s="93"/>
      <c r="F48" s="93"/>
      <c r="G48" s="176" t="s">
        <v>18</v>
      </c>
      <c r="H48" s="174"/>
      <c r="I48" s="176" t="s">
        <v>18</v>
      </c>
      <c r="J48" s="174"/>
      <c r="K48" s="157"/>
      <c r="L48" s="174"/>
      <c r="M48" s="140"/>
      <c r="N48" s="161"/>
      <c r="O48" s="179"/>
    </row>
    <row r="49" spans="2:15" ht="97.5" customHeight="1" thickBot="1">
      <c r="B49" s="251">
        <v>0.79166666666666663</v>
      </c>
      <c r="C49" s="92" t="s">
        <v>64</v>
      </c>
      <c r="D49" s="161"/>
      <c r="E49" s="93"/>
      <c r="F49" s="93"/>
      <c r="G49" s="97"/>
      <c r="H49" s="174"/>
      <c r="I49" s="173" t="s">
        <v>20</v>
      </c>
      <c r="J49" s="174"/>
      <c r="K49" s="164" t="s">
        <v>26</v>
      </c>
      <c r="L49" s="174"/>
      <c r="M49" s="140"/>
      <c r="N49" s="161"/>
      <c r="O49" s="179"/>
    </row>
    <row r="50" spans="2:15" ht="97.5" customHeight="1" thickBot="1">
      <c r="B50" s="248">
        <v>0.83333333333333337</v>
      </c>
      <c r="C50" s="214" t="s">
        <v>47</v>
      </c>
      <c r="D50" s="161"/>
      <c r="E50" s="93"/>
      <c r="F50" s="93"/>
      <c r="G50" s="178" t="s">
        <v>21</v>
      </c>
      <c r="H50" s="161"/>
      <c r="I50" s="164" t="s">
        <v>26</v>
      </c>
      <c r="J50" s="93"/>
      <c r="K50" s="137" t="s">
        <v>45</v>
      </c>
      <c r="L50" s="161"/>
      <c r="M50" s="140"/>
      <c r="N50" s="161"/>
      <c r="O50" s="179"/>
    </row>
    <row r="51" spans="2:15" ht="97.5" customHeight="1" thickBot="1">
      <c r="B51" s="88" t="s">
        <v>9</v>
      </c>
      <c r="C51" s="119" t="s">
        <v>10</v>
      </c>
      <c r="D51" s="244">
        <f>D39+7</f>
        <v>43766</v>
      </c>
      <c r="E51" s="119" t="s">
        <v>11</v>
      </c>
      <c r="F51" s="244">
        <f>F39+7</f>
        <v>43767</v>
      </c>
      <c r="G51" s="119" t="s">
        <v>12</v>
      </c>
      <c r="H51" s="244">
        <f>H39+7</f>
        <v>43768</v>
      </c>
      <c r="I51" s="119" t="s">
        <v>13</v>
      </c>
      <c r="J51" s="244">
        <f>J39+7</f>
        <v>43769</v>
      </c>
      <c r="K51" s="115" t="s">
        <v>14</v>
      </c>
      <c r="L51" s="246">
        <f>L39+7</f>
        <v>43770</v>
      </c>
      <c r="M51" s="115" t="s">
        <v>15</v>
      </c>
      <c r="N51" s="246">
        <f>N39+7</f>
        <v>43771</v>
      </c>
    </row>
    <row r="52" spans="2:15" ht="97.5" customHeight="1" thickBot="1">
      <c r="B52" s="98"/>
      <c r="C52" s="240" t="s">
        <v>16</v>
      </c>
      <c r="D52" s="241"/>
      <c r="E52" s="241"/>
      <c r="F52" s="241"/>
      <c r="G52" s="241"/>
      <c r="H52" s="241"/>
      <c r="I52" s="241"/>
      <c r="J52" s="241"/>
      <c r="K52" s="240" t="s">
        <v>16</v>
      </c>
      <c r="L52" s="240" t="s">
        <v>17</v>
      </c>
      <c r="M52" s="240" t="s">
        <v>16</v>
      </c>
      <c r="N52" s="240" t="s">
        <v>17</v>
      </c>
    </row>
    <row r="53" spans="2:15" ht="97.5" customHeight="1" thickBot="1">
      <c r="B53" s="249">
        <v>0.45833333333333331</v>
      </c>
      <c r="C53" s="93"/>
      <c r="D53" s="161"/>
      <c r="E53" s="160"/>
      <c r="F53" s="161"/>
      <c r="G53" s="93"/>
      <c r="H53" s="93"/>
      <c r="I53" s="93"/>
      <c r="J53" s="180"/>
      <c r="K53" s="160"/>
      <c r="L53" s="161"/>
      <c r="M53" s="184"/>
      <c r="N53" s="93"/>
    </row>
    <row r="54" spans="2:15" ht="97.5" customHeight="1" thickBot="1">
      <c r="B54" s="250">
        <v>0.5</v>
      </c>
      <c r="C54" s="178" t="s">
        <v>66</v>
      </c>
      <c r="D54" s="161"/>
      <c r="E54" s="160"/>
      <c r="F54" s="165" t="s">
        <v>20</v>
      </c>
      <c r="G54" s="93"/>
      <c r="H54" s="93"/>
      <c r="I54" s="93"/>
      <c r="J54" s="180"/>
      <c r="K54" s="171"/>
      <c r="L54" s="172"/>
      <c r="M54" s="157"/>
      <c r="N54" s="93"/>
    </row>
    <row r="55" spans="2:15" ht="97.5" customHeight="1" thickBot="1">
      <c r="B55" s="251">
        <v>0.54166666666666663</v>
      </c>
      <c r="C55" s="95" t="s">
        <v>20</v>
      </c>
      <c r="D55" s="161"/>
      <c r="E55" s="160"/>
      <c r="F55" s="165" t="s">
        <v>20</v>
      </c>
      <c r="G55" s="93"/>
      <c r="H55" s="93"/>
      <c r="I55" s="93"/>
      <c r="J55" s="180"/>
      <c r="K55" s="171"/>
      <c r="L55" s="172"/>
      <c r="M55" s="157"/>
      <c r="N55" s="93"/>
    </row>
    <row r="56" spans="2:15" ht="97.5" customHeight="1" thickBot="1">
      <c r="B56" s="252">
        <v>0.58333333333333337</v>
      </c>
      <c r="C56" s="95" t="s">
        <v>20</v>
      </c>
      <c r="D56" s="161"/>
      <c r="E56" s="160"/>
      <c r="F56" s="165" t="s">
        <v>20</v>
      </c>
      <c r="G56" s="93"/>
      <c r="H56" s="93"/>
      <c r="I56" s="93"/>
      <c r="J56" s="180"/>
      <c r="K56" s="171"/>
      <c r="L56" s="172"/>
      <c r="M56" s="157"/>
      <c r="N56" s="93"/>
    </row>
    <row r="57" spans="2:15" ht="97.5" customHeight="1" thickBot="1">
      <c r="B57" s="251">
        <v>0.625</v>
      </c>
      <c r="C57" s="95" t="s">
        <v>20</v>
      </c>
      <c r="D57" s="161"/>
      <c r="E57" s="160"/>
      <c r="F57" s="165" t="s">
        <v>20</v>
      </c>
      <c r="G57" s="93"/>
      <c r="H57" s="93"/>
      <c r="I57" s="93"/>
      <c r="J57" s="180"/>
      <c r="K57" s="171"/>
      <c r="L57" s="174"/>
      <c r="M57" s="157"/>
      <c r="N57" s="93"/>
    </row>
    <row r="58" spans="2:15" ht="97.5" customHeight="1" thickBot="1">
      <c r="B58" s="252">
        <v>0.66666666666666663</v>
      </c>
      <c r="C58" s="103" t="s">
        <v>23</v>
      </c>
      <c r="D58" s="161"/>
      <c r="E58" s="160"/>
      <c r="F58" s="166" t="s">
        <v>23</v>
      </c>
      <c r="G58" s="93"/>
      <c r="H58" s="93"/>
      <c r="I58" s="93"/>
      <c r="J58" s="180"/>
      <c r="K58" s="160"/>
      <c r="L58" s="174"/>
      <c r="M58" s="157"/>
      <c r="N58" s="93"/>
    </row>
    <row r="59" spans="2:15" ht="97.5" customHeight="1" thickBot="1">
      <c r="B59" s="251">
        <v>0.70833333333333337</v>
      </c>
      <c r="C59" s="103" t="s">
        <v>24</v>
      </c>
      <c r="D59" s="161"/>
      <c r="E59" s="160"/>
      <c r="F59" s="166" t="s">
        <v>24</v>
      </c>
      <c r="G59" s="93"/>
      <c r="H59" s="93"/>
      <c r="I59" s="93"/>
      <c r="J59" s="180"/>
      <c r="K59" s="160"/>
      <c r="L59" s="174"/>
      <c r="M59" s="157"/>
      <c r="N59" s="93"/>
    </row>
    <row r="60" spans="2:15" ht="97.5" customHeight="1" thickBot="1">
      <c r="B60" s="252">
        <v>0.75</v>
      </c>
      <c r="C60" s="92" t="s">
        <v>18</v>
      </c>
      <c r="D60" s="161"/>
      <c r="E60" s="160"/>
      <c r="F60" s="167" t="s">
        <v>18</v>
      </c>
      <c r="G60" s="93"/>
      <c r="H60" s="93"/>
      <c r="I60" s="93"/>
      <c r="J60" s="180"/>
      <c r="K60" s="160"/>
      <c r="L60" s="174"/>
      <c r="M60" s="157"/>
      <c r="N60" s="93"/>
    </row>
    <row r="61" spans="2:15" ht="97.5" customHeight="1" thickBot="1">
      <c r="B61" s="251">
        <v>0.79166666666666663</v>
      </c>
      <c r="C61" s="92" t="s">
        <v>64</v>
      </c>
      <c r="D61" s="161"/>
      <c r="E61" s="168" t="s">
        <v>51</v>
      </c>
      <c r="F61" s="167" t="s">
        <v>65</v>
      </c>
      <c r="G61" s="93"/>
      <c r="H61" s="93"/>
      <c r="I61" s="93"/>
      <c r="J61" s="180"/>
      <c r="K61" s="178" t="s">
        <v>26</v>
      </c>
      <c r="L61" s="174"/>
      <c r="M61" s="157"/>
      <c r="N61" s="93"/>
    </row>
    <row r="62" spans="2:15" ht="97.5" customHeight="1" thickBot="1">
      <c r="B62" s="248">
        <v>0.83333333333333337</v>
      </c>
      <c r="C62" s="214" t="s">
        <v>47</v>
      </c>
      <c r="D62" s="161"/>
      <c r="E62" s="160" t="s">
        <v>19</v>
      </c>
      <c r="F62" s="167" t="s">
        <v>47</v>
      </c>
      <c r="G62" s="93"/>
      <c r="H62" s="93"/>
      <c r="I62" s="93"/>
      <c r="J62" s="180"/>
      <c r="K62" s="137" t="s">
        <v>45</v>
      </c>
      <c r="L62" s="161"/>
      <c r="M62" s="157"/>
      <c r="N62" s="93"/>
    </row>
    <row r="63" spans="2:15" ht="30" customHeight="1" thickBot="1">
      <c r="C63" s="201"/>
      <c r="D63" s="202"/>
      <c r="E63" s="179"/>
    </row>
    <row r="64" spans="2:15" ht="177" customHeight="1" thickBot="1">
      <c r="B64" s="282" t="s">
        <v>27</v>
      </c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83"/>
    </row>
    <row r="65" spans="2:14" ht="177" customHeight="1" thickBot="1">
      <c r="B65" s="101" t="s">
        <v>20</v>
      </c>
      <c r="C65" s="282" t="s">
        <v>28</v>
      </c>
      <c r="D65" s="283"/>
      <c r="E65" s="211" t="s">
        <v>46</v>
      </c>
      <c r="F65" s="212" t="s">
        <v>29</v>
      </c>
      <c r="G65" s="273" t="s">
        <v>49</v>
      </c>
      <c r="H65" s="274"/>
      <c r="I65" s="275"/>
      <c r="J65" s="212" t="s">
        <v>30</v>
      </c>
      <c r="K65" s="102"/>
      <c r="L65" s="102"/>
      <c r="M65" s="102"/>
      <c r="N65" s="102"/>
    </row>
  </sheetData>
  <mergeCells count="9">
    <mergeCell ref="C65:D65"/>
    <mergeCell ref="G65:I65"/>
    <mergeCell ref="B1:E1"/>
    <mergeCell ref="F1:G1"/>
    <mergeCell ref="B2:C2"/>
    <mergeCell ref="D2:E2"/>
    <mergeCell ref="B64:N64"/>
    <mergeCell ref="I1:J1"/>
    <mergeCell ref="K1:L1"/>
  </mergeCells>
  <phoneticPr fontId="42"/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51:N52 C27:N28 C39:N40 C15:N16 C3:N4" xr:uid="{00000000-0002-0000-0600-000000000000}"/>
    <dataValidation allowBlank="1" showInputMessage="1" showErrorMessage="1" prompt="Time is automatically updated in this column under this heading" sqref="B27:B28 B15:B16 B3:B4 B39:B40 B51:B52" xr:uid="{00000000-0002-0000-06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600-000002000000}"/>
    <dataValidation allowBlank="1" showInputMessage="1" showErrorMessage="1" prompt="Enter Start Time in cell at right" sqref="B2" xr:uid="{00000000-0002-0000-0600-000003000000}"/>
    <dataValidation allowBlank="1" showInputMessage="1" showErrorMessage="1" prompt="Title of this worksheet is in this cell.  Enter semester name in cell at right" sqref="B1:E1" xr:uid="{00000000-0002-0000-0600-000004000000}"/>
    <dataValidation allowBlank="1" showInputMessage="1" showErrorMessage="1" prompt="Enter semester name in this cell" sqref="F1:G1" xr:uid="{00000000-0002-0000-0600-000005000000}"/>
  </dataValidations>
  <printOptions horizontalCentered="1"/>
  <pageMargins left="0.25" right="7.4652777777777804E-2" top="0.75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autoPageBreaks="0" fitToPage="1"/>
  </sheetPr>
  <dimension ref="A1:O65"/>
  <sheetViews>
    <sheetView showGridLines="0" showWhiteSpace="0" view="pageLayout" topLeftCell="A43" zoomScale="10" zoomScaleNormal="20" zoomScalePageLayoutView="10" workbookViewId="0">
      <selection activeCell="I54" sqref="I54"/>
    </sheetView>
  </sheetViews>
  <sheetFormatPr defaultColWidth="8.69921875" defaultRowHeight="30" customHeight="1" thickBottom="1"/>
  <cols>
    <col min="1" max="1" width="1.8984375" customWidth="1"/>
    <col min="2" max="14" width="56.296875" customWidth="1"/>
    <col min="15" max="15" width="8.8984375" customWidth="1"/>
  </cols>
  <sheetData>
    <row r="1" spans="1:14" ht="273.75" customHeight="1" thickBot="1">
      <c r="B1" s="284" t="s">
        <v>0</v>
      </c>
      <c r="C1" s="285"/>
      <c r="D1" s="285"/>
      <c r="E1" s="286"/>
      <c r="F1" s="297" t="s">
        <v>38</v>
      </c>
      <c r="G1" s="298"/>
      <c r="H1" s="80" t="s">
        <v>2</v>
      </c>
      <c r="I1" s="299" t="s">
        <v>3</v>
      </c>
      <c r="J1" s="300"/>
      <c r="K1" s="301" t="s">
        <v>4</v>
      </c>
      <c r="L1" s="302"/>
      <c r="M1" s="14"/>
    </row>
    <row r="2" spans="1:14" ht="172.5" customHeight="1" thickBot="1">
      <c r="A2" s="1"/>
      <c r="B2" s="296" t="s">
        <v>5</v>
      </c>
      <c r="C2" s="292"/>
      <c r="D2" s="293" t="s">
        <v>6</v>
      </c>
      <c r="E2" s="293"/>
      <c r="F2" s="74"/>
      <c r="G2" s="75"/>
      <c r="H2" s="21"/>
      <c r="I2" s="76" t="s">
        <v>7</v>
      </c>
      <c r="J2" s="77"/>
      <c r="K2" s="78" t="s">
        <v>8</v>
      </c>
      <c r="L2" s="79"/>
      <c r="M2" s="87">
        <v>43766</v>
      </c>
      <c r="N2" s="27"/>
    </row>
    <row r="3" spans="1:14" ht="97.5" customHeight="1" thickBot="1">
      <c r="B3" s="88" t="s">
        <v>9</v>
      </c>
      <c r="C3" s="123" t="s">
        <v>10</v>
      </c>
      <c r="D3" s="247">
        <f>M2</f>
        <v>43766</v>
      </c>
      <c r="E3" s="119" t="s">
        <v>11</v>
      </c>
      <c r="F3" s="244">
        <f>D3+1</f>
        <v>43767</v>
      </c>
      <c r="G3" s="119" t="s">
        <v>12</v>
      </c>
      <c r="H3" s="244">
        <f>D3+2</f>
        <v>43768</v>
      </c>
      <c r="I3" s="119" t="s">
        <v>13</v>
      </c>
      <c r="J3" s="244">
        <f>D3+3</f>
        <v>43769</v>
      </c>
      <c r="K3" s="119" t="s">
        <v>14</v>
      </c>
      <c r="L3" s="244">
        <f>D3+4</f>
        <v>43770</v>
      </c>
      <c r="M3" s="119" t="s">
        <v>15</v>
      </c>
      <c r="N3" s="244">
        <f>D3+5</f>
        <v>43771</v>
      </c>
    </row>
    <row r="4" spans="1:14" ht="97.5" customHeight="1" thickBot="1">
      <c r="B4" s="98"/>
      <c r="C4" s="240" t="s">
        <v>16</v>
      </c>
      <c r="D4" s="241"/>
      <c r="E4" s="240"/>
      <c r="F4" s="240"/>
      <c r="G4" s="240"/>
      <c r="H4" s="240"/>
      <c r="I4" s="240"/>
      <c r="J4" s="240"/>
      <c r="K4" s="240" t="s">
        <v>16</v>
      </c>
      <c r="L4" s="240" t="s">
        <v>17</v>
      </c>
      <c r="M4" s="240" t="s">
        <v>16</v>
      </c>
      <c r="N4" s="240" t="s">
        <v>17</v>
      </c>
    </row>
    <row r="5" spans="1:14" ht="97.5" customHeight="1" thickBot="1">
      <c r="B5" s="249">
        <v>0.45833333333333331</v>
      </c>
      <c r="C5" s="93"/>
      <c r="D5" s="93"/>
      <c r="E5" s="93"/>
      <c r="F5" s="93"/>
      <c r="G5" s="93"/>
      <c r="H5" s="93"/>
      <c r="I5" s="93"/>
      <c r="J5" s="180"/>
      <c r="K5" s="160"/>
      <c r="L5" s="161"/>
      <c r="M5" s="128" t="s">
        <v>18</v>
      </c>
      <c r="N5" s="58"/>
    </row>
    <row r="6" spans="1:14" ht="97.5" customHeight="1" thickBot="1">
      <c r="B6" s="250">
        <v>0.5</v>
      </c>
      <c r="C6" s="93"/>
      <c r="D6" s="93"/>
      <c r="E6" s="93"/>
      <c r="F6" s="93"/>
      <c r="G6" s="93"/>
      <c r="H6" s="93"/>
      <c r="I6" s="93"/>
      <c r="J6" s="180"/>
      <c r="K6" s="171"/>
      <c r="L6" s="172"/>
      <c r="M6" s="128" t="s">
        <v>18</v>
      </c>
      <c r="N6" s="62"/>
    </row>
    <row r="7" spans="1:14" ht="97.5" customHeight="1" thickBot="1">
      <c r="B7" s="251">
        <v>0.54166666666666663</v>
      </c>
      <c r="C7" s="93"/>
      <c r="D7" s="93"/>
      <c r="E7" s="93"/>
      <c r="F7" s="93"/>
      <c r="G7" s="93"/>
      <c r="H7" s="93"/>
      <c r="I7" s="93"/>
      <c r="J7" s="180"/>
      <c r="K7" s="173" t="s">
        <v>20</v>
      </c>
      <c r="L7" s="172"/>
      <c r="M7" s="64" t="s">
        <v>20</v>
      </c>
      <c r="N7" s="62"/>
    </row>
    <row r="8" spans="1:14" ht="97.5" customHeight="1" thickBot="1">
      <c r="B8" s="252">
        <v>0.58333333333333337</v>
      </c>
      <c r="C8" s="93"/>
      <c r="D8" s="93"/>
      <c r="E8" s="93"/>
      <c r="F8" s="93"/>
      <c r="G8" s="93"/>
      <c r="H8" s="93"/>
      <c r="I8" s="93"/>
      <c r="J8" s="180"/>
      <c r="K8" s="173" t="s">
        <v>20</v>
      </c>
      <c r="L8" s="172"/>
      <c r="M8" s="129" t="s">
        <v>56</v>
      </c>
      <c r="N8" s="65"/>
    </row>
    <row r="9" spans="1:14" ht="97.5" customHeight="1" thickBot="1">
      <c r="B9" s="251">
        <v>0.625</v>
      </c>
      <c r="C9" s="93"/>
      <c r="D9" s="93"/>
      <c r="E9" s="93"/>
      <c r="F9" s="93"/>
      <c r="G9" s="93"/>
      <c r="H9" s="93"/>
      <c r="I9" s="93"/>
      <c r="J9" s="180"/>
      <c r="K9" s="171"/>
      <c r="L9" s="174"/>
      <c r="M9" s="215" t="s">
        <v>47</v>
      </c>
      <c r="N9" s="62"/>
    </row>
    <row r="10" spans="1:14" ht="97.5" customHeight="1" thickBot="1">
      <c r="B10" s="252">
        <v>0.66666666666666663</v>
      </c>
      <c r="C10" s="93"/>
      <c r="D10" s="93"/>
      <c r="E10" s="93"/>
      <c r="F10" s="93"/>
      <c r="G10" s="93"/>
      <c r="H10" s="93"/>
      <c r="I10" s="93"/>
      <c r="J10" s="180"/>
      <c r="K10" s="160"/>
      <c r="L10" s="174"/>
      <c r="M10" s="127"/>
      <c r="N10" s="62"/>
    </row>
    <row r="11" spans="1:14" ht="97.5" customHeight="1" thickBot="1">
      <c r="B11" s="251">
        <v>0.70833333333333337</v>
      </c>
      <c r="C11" s="93"/>
      <c r="D11" s="93"/>
      <c r="E11" s="93"/>
      <c r="F11" s="93"/>
      <c r="G11" s="93"/>
      <c r="H11" s="93"/>
      <c r="I11" s="93"/>
      <c r="J11" s="180"/>
      <c r="K11" s="160"/>
      <c r="L11" s="174"/>
      <c r="M11" s="127"/>
      <c r="N11" s="93"/>
    </row>
    <row r="12" spans="1:14" ht="97.5" customHeight="1" thickBot="1">
      <c r="B12" s="252">
        <v>0.75</v>
      </c>
      <c r="C12" s="93"/>
      <c r="D12" s="93"/>
      <c r="E12" s="93"/>
      <c r="F12" s="93"/>
      <c r="G12" s="93"/>
      <c r="H12" s="93"/>
      <c r="I12" s="93"/>
      <c r="J12" s="180"/>
      <c r="K12" s="160"/>
      <c r="L12" s="174"/>
      <c r="M12" s="127"/>
      <c r="N12" s="93"/>
    </row>
    <row r="13" spans="1:14" ht="97.5" customHeight="1" thickBot="1">
      <c r="B13" s="251">
        <v>0.79166666666666663</v>
      </c>
      <c r="C13" s="93"/>
      <c r="D13" s="93"/>
      <c r="E13" s="93"/>
      <c r="F13" s="93"/>
      <c r="G13" s="93"/>
      <c r="H13" s="93"/>
      <c r="I13" s="93"/>
      <c r="J13" s="180"/>
      <c r="K13" s="178" t="s">
        <v>26</v>
      </c>
      <c r="L13" s="174"/>
      <c r="M13" s="127"/>
      <c r="N13" s="93"/>
    </row>
    <row r="14" spans="1:14" ht="97.5" customHeight="1" thickBot="1">
      <c r="B14" s="248">
        <v>0.83333333333333337</v>
      </c>
      <c r="C14" s="93"/>
      <c r="D14" s="93"/>
      <c r="E14" s="93"/>
      <c r="F14" s="93"/>
      <c r="G14" s="93"/>
      <c r="H14" s="93"/>
      <c r="I14" s="93"/>
      <c r="J14" s="180"/>
      <c r="K14" s="137" t="s">
        <v>45</v>
      </c>
      <c r="L14" s="161"/>
      <c r="M14" s="127"/>
      <c r="N14" s="93"/>
    </row>
    <row r="15" spans="1:14" ht="97.5" customHeight="1" thickBot="1">
      <c r="B15" s="88" t="s">
        <v>9</v>
      </c>
      <c r="C15" s="119" t="s">
        <v>10</v>
      </c>
      <c r="D15" s="244">
        <f>D3+7</f>
        <v>43773</v>
      </c>
      <c r="E15" s="119" t="s">
        <v>11</v>
      </c>
      <c r="F15" s="244">
        <f>F3+7</f>
        <v>43774</v>
      </c>
      <c r="G15" s="119" t="s">
        <v>12</v>
      </c>
      <c r="H15" s="244">
        <f>H3+7</f>
        <v>43775</v>
      </c>
      <c r="I15" s="119" t="s">
        <v>13</v>
      </c>
      <c r="J15" s="244">
        <f>J3+7</f>
        <v>43776</v>
      </c>
      <c r="K15" s="119" t="s">
        <v>14</v>
      </c>
      <c r="L15" s="244">
        <f>L3+7</f>
        <v>43777</v>
      </c>
      <c r="M15" s="119" t="s">
        <v>15</v>
      </c>
      <c r="N15" s="244">
        <f>N3+7</f>
        <v>43778</v>
      </c>
    </row>
    <row r="16" spans="1:14" ht="97.5" customHeight="1" thickBot="1">
      <c r="B16" s="98"/>
      <c r="C16" s="240" t="s">
        <v>16</v>
      </c>
      <c r="D16" s="241"/>
      <c r="E16" s="240" t="s">
        <v>16</v>
      </c>
      <c r="F16" s="240" t="s">
        <v>16</v>
      </c>
      <c r="G16" s="240" t="s">
        <v>16</v>
      </c>
      <c r="H16" s="240" t="s">
        <v>17</v>
      </c>
      <c r="I16" s="240" t="s">
        <v>16</v>
      </c>
      <c r="J16" s="240" t="s">
        <v>17</v>
      </c>
      <c r="K16" s="240" t="s">
        <v>16</v>
      </c>
      <c r="L16" s="240" t="s">
        <v>17</v>
      </c>
      <c r="M16" s="240" t="s">
        <v>16</v>
      </c>
      <c r="N16" s="240" t="s">
        <v>17</v>
      </c>
    </row>
    <row r="17" spans="2:15" ht="97.5" customHeight="1" thickBot="1">
      <c r="B17" s="249">
        <v>0.45833333333333331</v>
      </c>
      <c r="C17" s="93"/>
      <c r="D17" s="161"/>
      <c r="E17" s="160"/>
      <c r="F17" s="161"/>
      <c r="G17" s="171"/>
      <c r="H17" s="161"/>
      <c r="I17" s="160"/>
      <c r="J17" s="161"/>
      <c r="K17" s="160"/>
      <c r="L17" s="161"/>
      <c r="M17" s="137" t="s">
        <v>18</v>
      </c>
      <c r="N17" s="147"/>
      <c r="O17" s="179"/>
    </row>
    <row r="18" spans="2:15" ht="97.5" customHeight="1" thickBot="1">
      <c r="B18" s="250">
        <v>0.5</v>
      </c>
      <c r="C18" s="95" t="s">
        <v>20</v>
      </c>
      <c r="D18" s="161"/>
      <c r="E18" s="160"/>
      <c r="F18" s="165" t="s">
        <v>20</v>
      </c>
      <c r="G18" s="171" t="s">
        <v>19</v>
      </c>
      <c r="H18" s="172"/>
      <c r="I18" s="178" t="s">
        <v>26</v>
      </c>
      <c r="J18" s="172"/>
      <c r="K18" s="171"/>
      <c r="L18" s="172"/>
      <c r="M18" s="137" t="s">
        <v>18</v>
      </c>
      <c r="N18" s="136"/>
      <c r="O18" s="179"/>
    </row>
    <row r="19" spans="2:15" ht="97.5" customHeight="1" thickBot="1">
      <c r="B19" s="251">
        <v>0.54166666666666663</v>
      </c>
      <c r="C19" s="95" t="s">
        <v>20</v>
      </c>
      <c r="D19" s="161"/>
      <c r="E19" s="160"/>
      <c r="F19" s="165" t="s">
        <v>20</v>
      </c>
      <c r="G19" s="173" t="s">
        <v>20</v>
      </c>
      <c r="H19" s="172"/>
      <c r="I19" s="173" t="s">
        <v>20</v>
      </c>
      <c r="J19" s="172"/>
      <c r="K19" s="173" t="s">
        <v>20</v>
      </c>
      <c r="L19" s="172"/>
      <c r="M19" s="135" t="s">
        <v>20</v>
      </c>
      <c r="N19" s="136"/>
      <c r="O19" s="179"/>
    </row>
    <row r="20" spans="2:15" ht="97.5" customHeight="1" thickBot="1">
      <c r="B20" s="252">
        <v>0.58333333333333337</v>
      </c>
      <c r="C20" s="95" t="s">
        <v>20</v>
      </c>
      <c r="D20" s="161"/>
      <c r="E20" s="160"/>
      <c r="F20" s="165" t="s">
        <v>20</v>
      </c>
      <c r="G20" s="171" t="s">
        <v>21</v>
      </c>
      <c r="H20" s="172"/>
      <c r="I20" s="171" t="s">
        <v>22</v>
      </c>
      <c r="J20" s="172"/>
      <c r="K20" s="173" t="s">
        <v>20</v>
      </c>
      <c r="L20" s="172"/>
      <c r="M20" s="141" t="s">
        <v>56</v>
      </c>
      <c r="N20" s="146"/>
      <c r="O20" s="179"/>
    </row>
    <row r="21" spans="2:15" ht="97.5" customHeight="1" thickBot="1">
      <c r="B21" s="251">
        <v>0.625</v>
      </c>
      <c r="C21" s="95" t="s">
        <v>20</v>
      </c>
      <c r="D21" s="161"/>
      <c r="E21" s="160"/>
      <c r="F21" s="165" t="s">
        <v>20</v>
      </c>
      <c r="G21" s="160"/>
      <c r="H21" s="174"/>
      <c r="I21" s="171" t="s">
        <v>21</v>
      </c>
      <c r="J21" s="174"/>
      <c r="K21" s="171"/>
      <c r="L21" s="174"/>
      <c r="M21" s="215" t="s">
        <v>47</v>
      </c>
      <c r="N21" s="136"/>
      <c r="O21" s="179"/>
    </row>
    <row r="22" spans="2:15" ht="97.5" customHeight="1" thickBot="1">
      <c r="B22" s="252">
        <v>0.66666666666666663</v>
      </c>
      <c r="C22" s="103" t="s">
        <v>23</v>
      </c>
      <c r="D22" s="161"/>
      <c r="E22" s="160"/>
      <c r="F22" s="166" t="s">
        <v>23</v>
      </c>
      <c r="G22" s="175" t="s">
        <v>23</v>
      </c>
      <c r="H22" s="174"/>
      <c r="I22" s="176" t="s">
        <v>58</v>
      </c>
      <c r="J22" s="174"/>
      <c r="K22" s="160"/>
      <c r="L22" s="174"/>
      <c r="M22" s="140"/>
      <c r="N22" s="136"/>
      <c r="O22" s="179"/>
    </row>
    <row r="23" spans="2:15" ht="97.5" customHeight="1" thickBot="1">
      <c r="B23" s="251">
        <v>0.70833333333333337</v>
      </c>
      <c r="C23" s="103" t="s">
        <v>24</v>
      </c>
      <c r="D23" s="161"/>
      <c r="E23" s="160"/>
      <c r="F23" s="166" t="s">
        <v>24</v>
      </c>
      <c r="G23" s="175" t="s">
        <v>24</v>
      </c>
      <c r="H23" s="174"/>
      <c r="I23" s="175" t="s">
        <v>24</v>
      </c>
      <c r="J23" s="174"/>
      <c r="K23" s="160"/>
      <c r="L23" s="174"/>
      <c r="M23" s="140"/>
      <c r="N23" s="161"/>
      <c r="O23" s="179"/>
    </row>
    <row r="24" spans="2:15" ht="97.5" customHeight="1" thickBot="1">
      <c r="B24" s="252">
        <v>0.75</v>
      </c>
      <c r="C24" s="92" t="s">
        <v>18</v>
      </c>
      <c r="D24" s="161"/>
      <c r="E24" s="160"/>
      <c r="F24" s="167" t="s">
        <v>18</v>
      </c>
      <c r="G24" s="176" t="s">
        <v>18</v>
      </c>
      <c r="H24" s="174"/>
      <c r="I24" s="176" t="s">
        <v>18</v>
      </c>
      <c r="J24" s="174"/>
      <c r="K24" s="160"/>
      <c r="L24" s="174"/>
      <c r="M24" s="140"/>
      <c r="N24" s="161"/>
      <c r="O24" s="179"/>
    </row>
    <row r="25" spans="2:15" ht="97.5" customHeight="1" thickBot="1">
      <c r="B25" s="251">
        <v>0.79166666666666663</v>
      </c>
      <c r="C25" s="92" t="s">
        <v>57</v>
      </c>
      <c r="D25" s="161"/>
      <c r="E25" s="168" t="s">
        <v>51</v>
      </c>
      <c r="F25" s="167" t="s">
        <v>18</v>
      </c>
      <c r="G25" s="97"/>
      <c r="H25" s="174"/>
      <c r="I25" s="215" t="s">
        <v>45</v>
      </c>
      <c r="J25" s="174"/>
      <c r="K25" s="178" t="s">
        <v>26</v>
      </c>
      <c r="L25" s="174"/>
      <c r="M25" s="140"/>
      <c r="N25" s="161"/>
      <c r="O25" s="179"/>
    </row>
    <row r="26" spans="2:15" ht="97.5" customHeight="1" thickBot="1">
      <c r="B26" s="248">
        <v>0.83333333333333337</v>
      </c>
      <c r="C26" s="214" t="s">
        <v>47</v>
      </c>
      <c r="D26" s="161"/>
      <c r="E26" s="160" t="s">
        <v>19</v>
      </c>
      <c r="F26" s="167" t="s">
        <v>47</v>
      </c>
      <c r="G26" s="178" t="s">
        <v>21</v>
      </c>
      <c r="H26" s="161"/>
      <c r="I26" s="178" t="s">
        <v>26</v>
      </c>
      <c r="J26" s="161"/>
      <c r="K26" s="137" t="s">
        <v>45</v>
      </c>
      <c r="L26" s="161"/>
      <c r="M26" s="140"/>
      <c r="N26" s="161"/>
      <c r="O26" s="179"/>
    </row>
    <row r="27" spans="2:15" ht="97.5" customHeight="1" thickBot="1">
      <c r="B27" s="88" t="s">
        <v>9</v>
      </c>
      <c r="C27" s="119" t="s">
        <v>10</v>
      </c>
      <c r="D27" s="244">
        <f>D15+7</f>
        <v>43780</v>
      </c>
      <c r="E27" s="119" t="s">
        <v>11</v>
      </c>
      <c r="F27" s="244">
        <f>F15+7</f>
        <v>43781</v>
      </c>
      <c r="G27" s="119" t="s">
        <v>12</v>
      </c>
      <c r="H27" s="244">
        <f>H15+7</f>
        <v>43782</v>
      </c>
      <c r="I27" s="119" t="s">
        <v>13</v>
      </c>
      <c r="J27" s="244">
        <f>J15+7</f>
        <v>43783</v>
      </c>
      <c r="K27" s="119" t="s">
        <v>14</v>
      </c>
      <c r="L27" s="244">
        <f>L15+7</f>
        <v>43784</v>
      </c>
      <c r="M27" s="119" t="s">
        <v>15</v>
      </c>
      <c r="N27" s="244">
        <f>N15+7</f>
        <v>43785</v>
      </c>
    </row>
    <row r="28" spans="2:15" ht="97.5" customHeight="1" thickBot="1">
      <c r="B28" s="98"/>
      <c r="C28" s="240" t="s">
        <v>16</v>
      </c>
      <c r="D28" s="241"/>
      <c r="E28" s="240" t="s">
        <v>16</v>
      </c>
      <c r="F28" s="240" t="s">
        <v>16</v>
      </c>
      <c r="G28" s="240" t="s">
        <v>16</v>
      </c>
      <c r="H28" s="240" t="s">
        <v>17</v>
      </c>
      <c r="I28" s="240" t="s">
        <v>16</v>
      </c>
      <c r="J28" s="240" t="s">
        <v>17</v>
      </c>
      <c r="K28" s="240" t="s">
        <v>16</v>
      </c>
      <c r="L28" s="240" t="s">
        <v>17</v>
      </c>
      <c r="M28" s="240" t="s">
        <v>16</v>
      </c>
      <c r="N28" s="240" t="s">
        <v>17</v>
      </c>
    </row>
    <row r="29" spans="2:15" ht="97.5" customHeight="1" thickBot="1">
      <c r="B29" s="249">
        <v>0.45833333333333331</v>
      </c>
      <c r="C29" s="93"/>
      <c r="D29" s="161"/>
      <c r="E29" s="160"/>
      <c r="F29" s="161"/>
      <c r="G29" s="171"/>
      <c r="H29" s="161"/>
      <c r="I29" s="160"/>
      <c r="J29" s="161"/>
      <c r="K29" s="160"/>
      <c r="L29" s="161"/>
      <c r="M29" s="128" t="s">
        <v>18</v>
      </c>
      <c r="N29" s="58"/>
    </row>
    <row r="30" spans="2:15" ht="97.5" customHeight="1" thickBot="1">
      <c r="B30" s="250">
        <v>0.5</v>
      </c>
      <c r="C30" s="95" t="s">
        <v>20</v>
      </c>
      <c r="D30" s="161"/>
      <c r="E30" s="160"/>
      <c r="F30" s="165" t="s">
        <v>20</v>
      </c>
      <c r="G30" s="171" t="s">
        <v>19</v>
      </c>
      <c r="H30" s="172"/>
      <c r="I30" s="178" t="s">
        <v>26</v>
      </c>
      <c r="J30" s="172"/>
      <c r="K30" s="171"/>
      <c r="L30" s="172"/>
      <c r="M30" s="128" t="s">
        <v>18</v>
      </c>
      <c r="N30" s="62"/>
    </row>
    <row r="31" spans="2:15" ht="97.5" customHeight="1" thickBot="1">
      <c r="B31" s="251">
        <v>0.54166666666666663</v>
      </c>
      <c r="C31" s="95" t="s">
        <v>20</v>
      </c>
      <c r="D31" s="161"/>
      <c r="E31" s="160"/>
      <c r="F31" s="165" t="s">
        <v>20</v>
      </c>
      <c r="G31" s="173" t="s">
        <v>20</v>
      </c>
      <c r="H31" s="172"/>
      <c r="I31" s="173" t="s">
        <v>20</v>
      </c>
      <c r="J31" s="172"/>
      <c r="K31" s="173" t="s">
        <v>20</v>
      </c>
      <c r="L31" s="172"/>
      <c r="M31" s="64" t="s">
        <v>20</v>
      </c>
      <c r="N31" s="62"/>
    </row>
    <row r="32" spans="2:15" ht="97.5" customHeight="1" thickBot="1">
      <c r="B32" s="252">
        <v>0.58333333333333337</v>
      </c>
      <c r="C32" s="95" t="s">
        <v>20</v>
      </c>
      <c r="D32" s="161"/>
      <c r="E32" s="160"/>
      <c r="F32" s="165" t="s">
        <v>20</v>
      </c>
      <c r="G32" s="171" t="s">
        <v>21</v>
      </c>
      <c r="H32" s="172"/>
      <c r="I32" s="171" t="s">
        <v>22</v>
      </c>
      <c r="J32" s="172"/>
      <c r="K32" s="173" t="s">
        <v>20</v>
      </c>
      <c r="L32" s="172"/>
      <c r="M32" s="129" t="s">
        <v>56</v>
      </c>
      <c r="N32" s="65"/>
    </row>
    <row r="33" spans="2:14" ht="97.5" customHeight="1" thickBot="1">
      <c r="B33" s="251">
        <v>0.625</v>
      </c>
      <c r="C33" s="95" t="s">
        <v>20</v>
      </c>
      <c r="D33" s="161"/>
      <c r="E33" s="160"/>
      <c r="F33" s="165" t="s">
        <v>20</v>
      </c>
      <c r="G33" s="160"/>
      <c r="H33" s="174"/>
      <c r="I33" s="171" t="s">
        <v>21</v>
      </c>
      <c r="J33" s="174"/>
      <c r="K33" s="171"/>
      <c r="L33" s="174"/>
      <c r="M33" s="215" t="s">
        <v>47</v>
      </c>
      <c r="N33" s="62"/>
    </row>
    <row r="34" spans="2:14" ht="97.5" customHeight="1" thickBot="1">
      <c r="B34" s="252">
        <v>0.66666666666666663</v>
      </c>
      <c r="C34" s="103" t="s">
        <v>23</v>
      </c>
      <c r="D34" s="161"/>
      <c r="E34" s="160"/>
      <c r="F34" s="166" t="s">
        <v>23</v>
      </c>
      <c r="G34" s="175" t="s">
        <v>23</v>
      </c>
      <c r="H34" s="174"/>
      <c r="I34" s="176" t="s">
        <v>58</v>
      </c>
      <c r="J34" s="174"/>
      <c r="K34" s="160"/>
      <c r="L34" s="174"/>
      <c r="M34" s="127"/>
      <c r="N34" s="62"/>
    </row>
    <row r="35" spans="2:14" ht="97.5" customHeight="1" thickBot="1">
      <c r="B35" s="251">
        <v>0.70833333333333337</v>
      </c>
      <c r="C35" s="103" t="s">
        <v>24</v>
      </c>
      <c r="D35" s="161"/>
      <c r="E35" s="160"/>
      <c r="F35" s="166" t="s">
        <v>24</v>
      </c>
      <c r="G35" s="175" t="s">
        <v>24</v>
      </c>
      <c r="H35" s="174"/>
      <c r="I35" s="175" t="s">
        <v>24</v>
      </c>
      <c r="J35" s="174"/>
      <c r="K35" s="160"/>
      <c r="L35" s="174"/>
      <c r="M35" s="127"/>
      <c r="N35" s="93"/>
    </row>
    <row r="36" spans="2:14" ht="97.5" customHeight="1" thickBot="1">
      <c r="B36" s="252">
        <v>0.75</v>
      </c>
      <c r="C36" s="92" t="s">
        <v>18</v>
      </c>
      <c r="D36" s="161"/>
      <c r="E36" s="160"/>
      <c r="F36" s="167" t="s">
        <v>18</v>
      </c>
      <c r="G36" s="176" t="s">
        <v>18</v>
      </c>
      <c r="H36" s="174"/>
      <c r="I36" s="176" t="s">
        <v>18</v>
      </c>
      <c r="J36" s="174"/>
      <c r="K36" s="160"/>
      <c r="L36" s="174"/>
      <c r="M36" s="127"/>
      <c r="N36" s="93"/>
    </row>
    <row r="37" spans="2:14" ht="97.5" customHeight="1" thickBot="1">
      <c r="B37" s="251">
        <v>0.79166666666666663</v>
      </c>
      <c r="C37" s="92" t="s">
        <v>57</v>
      </c>
      <c r="D37" s="161"/>
      <c r="E37" s="168" t="s">
        <v>51</v>
      </c>
      <c r="F37" s="167" t="s">
        <v>18</v>
      </c>
      <c r="G37" s="97"/>
      <c r="H37" s="174"/>
      <c r="I37" s="215" t="s">
        <v>45</v>
      </c>
      <c r="J37" s="174"/>
      <c r="K37" s="178" t="s">
        <v>26</v>
      </c>
      <c r="L37" s="174"/>
      <c r="M37" s="127"/>
      <c r="N37" s="93"/>
    </row>
    <row r="38" spans="2:14" ht="97.5" customHeight="1" thickBot="1">
      <c r="B38" s="248">
        <v>0.83333333333333337</v>
      </c>
      <c r="C38" s="214" t="s">
        <v>47</v>
      </c>
      <c r="D38" s="161"/>
      <c r="E38" s="160" t="s">
        <v>19</v>
      </c>
      <c r="F38" s="167" t="s">
        <v>47</v>
      </c>
      <c r="G38" s="178" t="s">
        <v>21</v>
      </c>
      <c r="H38" s="161"/>
      <c r="I38" s="178" t="s">
        <v>26</v>
      </c>
      <c r="J38" s="161"/>
      <c r="K38" s="137" t="s">
        <v>45</v>
      </c>
      <c r="L38" s="161"/>
      <c r="M38" s="127"/>
      <c r="N38" s="93"/>
    </row>
    <row r="39" spans="2:14" ht="97.5" customHeight="1" thickBot="1">
      <c r="B39" s="88" t="s">
        <v>9</v>
      </c>
      <c r="C39" s="119" t="s">
        <v>10</v>
      </c>
      <c r="D39" s="244">
        <f>D27+7</f>
        <v>43787</v>
      </c>
      <c r="E39" s="119" t="s">
        <v>11</v>
      </c>
      <c r="F39" s="244">
        <f>F27+7</f>
        <v>43788</v>
      </c>
      <c r="G39" s="119" t="s">
        <v>12</v>
      </c>
      <c r="H39" s="244">
        <f>H27+7</f>
        <v>43789</v>
      </c>
      <c r="I39" s="119" t="s">
        <v>13</v>
      </c>
      <c r="J39" s="244">
        <f>J27+7</f>
        <v>43790</v>
      </c>
      <c r="K39" s="121" t="s">
        <v>14</v>
      </c>
      <c r="L39" s="245">
        <f>L27+7</f>
        <v>43791</v>
      </c>
      <c r="M39" s="121" t="s">
        <v>15</v>
      </c>
      <c r="N39" s="245">
        <f>N27+7</f>
        <v>43792</v>
      </c>
    </row>
    <row r="40" spans="2:14" ht="97.5" customHeight="1" thickBot="1">
      <c r="B40" s="98"/>
      <c r="C40" s="240" t="s">
        <v>16</v>
      </c>
      <c r="D40" s="241"/>
      <c r="E40" s="240" t="s">
        <v>16</v>
      </c>
      <c r="F40" s="240" t="s">
        <v>16</v>
      </c>
      <c r="G40" s="240" t="s">
        <v>16</v>
      </c>
      <c r="H40" s="240" t="s">
        <v>17</v>
      </c>
      <c r="I40" s="240" t="s">
        <v>16</v>
      </c>
      <c r="J40" s="240" t="s">
        <v>17</v>
      </c>
      <c r="K40" s="240"/>
      <c r="L40" s="240"/>
      <c r="M40" s="240"/>
      <c r="N40" s="240"/>
    </row>
    <row r="41" spans="2:14" ht="97.5" customHeight="1" thickBot="1">
      <c r="B41" s="249">
        <v>0.45833333333333331</v>
      </c>
      <c r="C41" s="93"/>
      <c r="D41" s="161"/>
      <c r="E41" s="160"/>
      <c r="F41" s="161"/>
      <c r="G41" s="171"/>
      <c r="H41" s="161"/>
      <c r="I41" s="160"/>
      <c r="J41" s="161"/>
      <c r="K41" s="157"/>
      <c r="L41" s="93"/>
      <c r="M41" s="93"/>
      <c r="N41" s="93"/>
    </row>
    <row r="42" spans="2:14" ht="97.5" customHeight="1" thickBot="1">
      <c r="B42" s="250">
        <v>0.5</v>
      </c>
      <c r="C42" s="95" t="s">
        <v>20</v>
      </c>
      <c r="D42" s="161"/>
      <c r="E42" s="160"/>
      <c r="F42" s="165" t="s">
        <v>20</v>
      </c>
      <c r="G42" s="171" t="s">
        <v>19</v>
      </c>
      <c r="H42" s="172"/>
      <c r="I42" s="178" t="s">
        <v>26</v>
      </c>
      <c r="J42" s="172"/>
      <c r="K42" s="157"/>
      <c r="L42" s="93"/>
      <c r="M42" s="93"/>
      <c r="N42" s="93"/>
    </row>
    <row r="43" spans="2:14" ht="97.5" customHeight="1" thickBot="1">
      <c r="B43" s="251">
        <v>0.54166666666666663</v>
      </c>
      <c r="C43" s="95" t="s">
        <v>20</v>
      </c>
      <c r="D43" s="161"/>
      <c r="E43" s="160"/>
      <c r="F43" s="165" t="s">
        <v>20</v>
      </c>
      <c r="G43" s="173" t="s">
        <v>20</v>
      </c>
      <c r="H43" s="172"/>
      <c r="I43" s="173" t="s">
        <v>20</v>
      </c>
      <c r="J43" s="172"/>
      <c r="K43" s="157"/>
      <c r="L43" s="93"/>
      <c r="M43" s="93"/>
      <c r="N43" s="93"/>
    </row>
    <row r="44" spans="2:14" ht="97.5" customHeight="1" thickBot="1">
      <c r="B44" s="252">
        <v>0.58333333333333337</v>
      </c>
      <c r="C44" s="95" t="s">
        <v>20</v>
      </c>
      <c r="D44" s="161"/>
      <c r="E44" s="160"/>
      <c r="F44" s="165" t="s">
        <v>20</v>
      </c>
      <c r="G44" s="171" t="s">
        <v>21</v>
      </c>
      <c r="H44" s="172"/>
      <c r="I44" s="171" t="s">
        <v>22</v>
      </c>
      <c r="J44" s="172"/>
      <c r="K44" s="157"/>
      <c r="L44" s="93"/>
      <c r="M44" s="93"/>
      <c r="N44" s="93"/>
    </row>
    <row r="45" spans="2:14" ht="97.5" customHeight="1" thickBot="1">
      <c r="B45" s="251">
        <v>0.625</v>
      </c>
      <c r="C45" s="95" t="s">
        <v>20</v>
      </c>
      <c r="D45" s="161"/>
      <c r="E45" s="160"/>
      <c r="F45" s="165" t="s">
        <v>20</v>
      </c>
      <c r="G45" s="160"/>
      <c r="H45" s="174"/>
      <c r="I45" s="171" t="s">
        <v>21</v>
      </c>
      <c r="J45" s="174"/>
      <c r="K45" s="157"/>
      <c r="L45" s="93"/>
      <c r="M45" s="93"/>
      <c r="N45" s="93"/>
    </row>
    <row r="46" spans="2:14" ht="97.5" customHeight="1" thickBot="1">
      <c r="B46" s="252">
        <v>0.66666666666666663</v>
      </c>
      <c r="C46" s="103" t="s">
        <v>23</v>
      </c>
      <c r="D46" s="161"/>
      <c r="E46" s="160"/>
      <c r="F46" s="166" t="s">
        <v>23</v>
      </c>
      <c r="G46" s="175" t="s">
        <v>23</v>
      </c>
      <c r="H46" s="174"/>
      <c r="I46" s="176" t="s">
        <v>58</v>
      </c>
      <c r="J46" s="174"/>
      <c r="K46" s="157"/>
      <c r="L46" s="93"/>
      <c r="M46" s="93"/>
      <c r="N46" s="93"/>
    </row>
    <row r="47" spans="2:14" ht="97.5" customHeight="1" thickBot="1">
      <c r="B47" s="251">
        <v>0.70833333333333337</v>
      </c>
      <c r="C47" s="103" t="s">
        <v>24</v>
      </c>
      <c r="D47" s="161"/>
      <c r="E47" s="160"/>
      <c r="F47" s="166" t="s">
        <v>24</v>
      </c>
      <c r="G47" s="175" t="s">
        <v>24</v>
      </c>
      <c r="H47" s="174"/>
      <c r="I47" s="175" t="s">
        <v>24</v>
      </c>
      <c r="J47" s="174"/>
      <c r="K47" s="157"/>
      <c r="L47" s="93"/>
      <c r="M47" s="93"/>
      <c r="N47" s="93"/>
    </row>
    <row r="48" spans="2:14" ht="97.5" customHeight="1" thickBot="1">
      <c r="B48" s="252">
        <v>0.75</v>
      </c>
      <c r="C48" s="92" t="s">
        <v>18</v>
      </c>
      <c r="D48" s="161"/>
      <c r="E48" s="160"/>
      <c r="F48" s="167" t="s">
        <v>18</v>
      </c>
      <c r="G48" s="176" t="s">
        <v>18</v>
      </c>
      <c r="H48" s="174"/>
      <c r="I48" s="176" t="s">
        <v>18</v>
      </c>
      <c r="J48" s="174"/>
      <c r="K48" s="157"/>
      <c r="L48" s="93"/>
      <c r="M48" s="93"/>
      <c r="N48" s="93"/>
    </row>
    <row r="49" spans="2:15" ht="97.5" customHeight="1" thickBot="1">
      <c r="B49" s="251">
        <v>0.79166666666666663</v>
      </c>
      <c r="C49" s="92" t="s">
        <v>57</v>
      </c>
      <c r="D49" s="161"/>
      <c r="E49" s="168" t="s">
        <v>51</v>
      </c>
      <c r="F49" s="167" t="s">
        <v>18</v>
      </c>
      <c r="G49" s="97"/>
      <c r="H49" s="174"/>
      <c r="I49" s="215" t="s">
        <v>45</v>
      </c>
      <c r="J49" s="174"/>
      <c r="K49" s="157"/>
      <c r="L49" s="93"/>
      <c r="M49" s="93"/>
      <c r="N49" s="93"/>
    </row>
    <row r="50" spans="2:15" ht="97.5" customHeight="1" thickBot="1">
      <c r="B50" s="248">
        <v>0.83333333333333337</v>
      </c>
      <c r="C50" s="214" t="s">
        <v>47</v>
      </c>
      <c r="D50" s="161"/>
      <c r="E50" s="160" t="s">
        <v>19</v>
      </c>
      <c r="F50" s="167" t="s">
        <v>47</v>
      </c>
      <c r="G50" s="178" t="s">
        <v>21</v>
      </c>
      <c r="H50" s="161"/>
      <c r="I50" s="178" t="s">
        <v>26</v>
      </c>
      <c r="J50" s="161"/>
      <c r="K50" s="157"/>
      <c r="L50" s="93"/>
      <c r="M50" s="93"/>
      <c r="N50" s="93"/>
    </row>
    <row r="51" spans="2:15" ht="97.5" customHeight="1" thickBot="1">
      <c r="B51" s="88" t="s">
        <v>9</v>
      </c>
      <c r="C51" s="119" t="s">
        <v>10</v>
      </c>
      <c r="D51" s="244">
        <f>D39+7</f>
        <v>43794</v>
      </c>
      <c r="E51" s="119" t="s">
        <v>11</v>
      </c>
      <c r="F51" s="244">
        <f>F39+7</f>
        <v>43795</v>
      </c>
      <c r="G51" s="119" t="s">
        <v>12</v>
      </c>
      <c r="H51" s="244">
        <f>H39+7</f>
        <v>43796</v>
      </c>
      <c r="I51" s="119" t="s">
        <v>13</v>
      </c>
      <c r="J51" s="244">
        <f>J39+7</f>
        <v>43797</v>
      </c>
      <c r="K51" s="119" t="s">
        <v>14</v>
      </c>
      <c r="L51" s="244">
        <f>L39+7</f>
        <v>43798</v>
      </c>
      <c r="M51" s="119" t="s">
        <v>15</v>
      </c>
      <c r="N51" s="244">
        <f>N39+7</f>
        <v>43799</v>
      </c>
    </row>
    <row r="52" spans="2:15" ht="97.5" customHeight="1" thickBot="1">
      <c r="B52" s="98"/>
      <c r="C52" s="240" t="s">
        <v>16</v>
      </c>
      <c r="D52" s="241"/>
      <c r="E52" s="240" t="s">
        <v>16</v>
      </c>
      <c r="F52" s="240" t="s">
        <v>16</v>
      </c>
      <c r="G52" s="240" t="s">
        <v>16</v>
      </c>
      <c r="H52" s="240" t="s">
        <v>17</v>
      </c>
      <c r="I52" s="240" t="s">
        <v>16</v>
      </c>
      <c r="J52" s="240" t="s">
        <v>17</v>
      </c>
      <c r="K52" s="240" t="s">
        <v>16</v>
      </c>
      <c r="L52" s="240" t="s">
        <v>17</v>
      </c>
      <c r="M52" s="240" t="s">
        <v>16</v>
      </c>
      <c r="N52" s="240" t="s">
        <v>17</v>
      </c>
    </row>
    <row r="53" spans="2:15" ht="97.5" customHeight="1" thickBot="1">
      <c r="B53" s="249">
        <v>0.45833333333333331</v>
      </c>
      <c r="C53" s="93"/>
      <c r="D53" s="161"/>
      <c r="E53" s="160"/>
      <c r="F53" s="161"/>
      <c r="G53" s="171"/>
      <c r="H53" s="161"/>
      <c r="I53" s="160"/>
      <c r="J53" s="161"/>
      <c r="K53" s="160"/>
      <c r="L53" s="161"/>
      <c r="M53" s="137" t="s">
        <v>18</v>
      </c>
      <c r="N53" s="147"/>
      <c r="O53" s="179"/>
    </row>
    <row r="54" spans="2:15" ht="97.5" customHeight="1" thickBot="1">
      <c r="B54" s="250">
        <v>0.5</v>
      </c>
      <c r="C54" s="95" t="s">
        <v>20</v>
      </c>
      <c r="D54" s="161"/>
      <c r="E54" s="160"/>
      <c r="F54" s="165" t="s">
        <v>20</v>
      </c>
      <c r="G54" s="171" t="s">
        <v>19</v>
      </c>
      <c r="H54" s="172"/>
      <c r="I54" s="178" t="s">
        <v>26</v>
      </c>
      <c r="J54" s="172"/>
      <c r="K54" s="171"/>
      <c r="L54" s="172"/>
      <c r="M54" s="137" t="s">
        <v>18</v>
      </c>
      <c r="N54" s="136"/>
      <c r="O54" s="179"/>
    </row>
    <row r="55" spans="2:15" ht="97.5" customHeight="1" thickBot="1">
      <c r="B55" s="251">
        <v>0.54166666666666663</v>
      </c>
      <c r="C55" s="95" t="s">
        <v>20</v>
      </c>
      <c r="D55" s="161"/>
      <c r="E55" s="160"/>
      <c r="F55" s="165" t="s">
        <v>20</v>
      </c>
      <c r="G55" s="173" t="s">
        <v>20</v>
      </c>
      <c r="H55" s="172"/>
      <c r="I55" s="173" t="s">
        <v>20</v>
      </c>
      <c r="J55" s="172"/>
      <c r="K55" s="173" t="s">
        <v>20</v>
      </c>
      <c r="L55" s="172"/>
      <c r="M55" s="135" t="s">
        <v>20</v>
      </c>
      <c r="N55" s="136"/>
      <c r="O55" s="179"/>
    </row>
    <row r="56" spans="2:15" ht="97.5" customHeight="1" thickBot="1">
      <c r="B56" s="252">
        <v>0.58333333333333337</v>
      </c>
      <c r="C56" s="95" t="s">
        <v>20</v>
      </c>
      <c r="D56" s="161"/>
      <c r="E56" s="160"/>
      <c r="F56" s="165" t="s">
        <v>20</v>
      </c>
      <c r="G56" s="171" t="s">
        <v>21</v>
      </c>
      <c r="H56" s="172"/>
      <c r="I56" s="171" t="s">
        <v>22</v>
      </c>
      <c r="J56" s="172"/>
      <c r="K56" s="173" t="s">
        <v>20</v>
      </c>
      <c r="L56" s="172"/>
      <c r="M56" s="141" t="s">
        <v>56</v>
      </c>
      <c r="N56" s="146"/>
      <c r="O56" s="179"/>
    </row>
    <row r="57" spans="2:15" ht="97.5" customHeight="1" thickBot="1">
      <c r="B57" s="251">
        <v>0.625</v>
      </c>
      <c r="C57" s="95" t="s">
        <v>20</v>
      </c>
      <c r="D57" s="161"/>
      <c r="E57" s="160"/>
      <c r="F57" s="165" t="s">
        <v>20</v>
      </c>
      <c r="G57" s="160"/>
      <c r="H57" s="174"/>
      <c r="I57" s="171" t="s">
        <v>21</v>
      </c>
      <c r="J57" s="174"/>
      <c r="K57" s="171"/>
      <c r="L57" s="174"/>
      <c r="M57" s="215" t="s">
        <v>47</v>
      </c>
      <c r="N57" s="136"/>
      <c r="O57" s="179"/>
    </row>
    <row r="58" spans="2:15" ht="97.5" customHeight="1" thickBot="1">
      <c r="B58" s="252">
        <v>0.66666666666666663</v>
      </c>
      <c r="C58" s="103" t="s">
        <v>23</v>
      </c>
      <c r="D58" s="161"/>
      <c r="E58" s="160"/>
      <c r="F58" s="166" t="s">
        <v>23</v>
      </c>
      <c r="G58" s="175" t="s">
        <v>23</v>
      </c>
      <c r="H58" s="174"/>
      <c r="I58" s="176" t="s">
        <v>58</v>
      </c>
      <c r="J58" s="174"/>
      <c r="K58" s="160"/>
      <c r="L58" s="174"/>
      <c r="M58" s="140"/>
      <c r="N58" s="136"/>
      <c r="O58" s="179"/>
    </row>
    <row r="59" spans="2:15" ht="97.5" customHeight="1" thickBot="1">
      <c r="B59" s="251">
        <v>0.70833333333333337</v>
      </c>
      <c r="C59" s="103" t="s">
        <v>24</v>
      </c>
      <c r="D59" s="161"/>
      <c r="E59" s="160"/>
      <c r="F59" s="166" t="s">
        <v>24</v>
      </c>
      <c r="G59" s="175" t="s">
        <v>24</v>
      </c>
      <c r="H59" s="174"/>
      <c r="I59" s="175" t="s">
        <v>24</v>
      </c>
      <c r="J59" s="174"/>
      <c r="K59" s="160"/>
      <c r="L59" s="174"/>
      <c r="M59" s="140"/>
      <c r="N59" s="161"/>
      <c r="O59" s="179"/>
    </row>
    <row r="60" spans="2:15" ht="97.5" customHeight="1" thickBot="1">
      <c r="B60" s="252">
        <v>0.75</v>
      </c>
      <c r="C60" s="92" t="s">
        <v>18</v>
      </c>
      <c r="D60" s="161"/>
      <c r="E60" s="160"/>
      <c r="F60" s="167" t="s">
        <v>18</v>
      </c>
      <c r="G60" s="176" t="s">
        <v>18</v>
      </c>
      <c r="H60" s="174"/>
      <c r="I60" s="176" t="s">
        <v>18</v>
      </c>
      <c r="J60" s="174"/>
      <c r="K60" s="160"/>
      <c r="L60" s="174"/>
      <c r="M60" s="140"/>
      <c r="N60" s="161"/>
      <c r="O60" s="179"/>
    </row>
    <row r="61" spans="2:15" ht="97.5" customHeight="1" thickBot="1">
      <c r="B61" s="251">
        <v>0.79166666666666663</v>
      </c>
      <c r="C61" s="92" t="s">
        <v>57</v>
      </c>
      <c r="D61" s="161"/>
      <c r="E61" s="168" t="s">
        <v>51</v>
      </c>
      <c r="F61" s="167" t="s">
        <v>18</v>
      </c>
      <c r="G61" s="97"/>
      <c r="H61" s="174"/>
      <c r="I61" s="174"/>
      <c r="J61" s="174"/>
      <c r="K61" s="178" t="s">
        <v>26</v>
      </c>
      <c r="L61" s="174"/>
      <c r="M61" s="140"/>
      <c r="N61" s="161"/>
      <c r="O61" s="179"/>
    </row>
    <row r="62" spans="2:15" ht="82.5" customHeight="1" thickBot="1">
      <c r="B62" s="248">
        <v>0.83333333333333337</v>
      </c>
      <c r="C62" s="220" t="s">
        <v>47</v>
      </c>
      <c r="D62" s="161"/>
      <c r="E62" s="160" t="s">
        <v>19</v>
      </c>
      <c r="F62" s="167" t="s">
        <v>47</v>
      </c>
      <c r="G62" s="178" t="s">
        <v>21</v>
      </c>
      <c r="H62" s="161"/>
      <c r="I62" s="178" t="s">
        <v>26</v>
      </c>
      <c r="J62" s="161"/>
      <c r="K62" s="137" t="s">
        <v>45</v>
      </c>
      <c r="L62" s="161"/>
      <c r="M62" s="140"/>
      <c r="N62" s="161"/>
      <c r="O62" s="179"/>
    </row>
    <row r="64" spans="2:15" ht="177" customHeight="1" thickBot="1">
      <c r="B64" s="282" t="s">
        <v>27</v>
      </c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83"/>
    </row>
    <row r="65" spans="2:14" ht="177" customHeight="1" thickBot="1">
      <c r="B65" s="101" t="s">
        <v>20</v>
      </c>
      <c r="C65" s="282" t="s">
        <v>28</v>
      </c>
      <c r="D65" s="283"/>
      <c r="E65" s="211" t="s">
        <v>46</v>
      </c>
      <c r="F65" s="212" t="s">
        <v>29</v>
      </c>
      <c r="G65" s="273" t="s">
        <v>49</v>
      </c>
      <c r="H65" s="274"/>
      <c r="I65" s="275"/>
      <c r="J65" s="212" t="s">
        <v>30</v>
      </c>
      <c r="K65" s="102"/>
      <c r="L65" s="102"/>
      <c r="M65" s="102"/>
      <c r="N65" s="102"/>
    </row>
  </sheetData>
  <mergeCells count="9">
    <mergeCell ref="C65:D65"/>
    <mergeCell ref="G65:I65"/>
    <mergeCell ref="B1:E1"/>
    <mergeCell ref="F1:G1"/>
    <mergeCell ref="B2:C2"/>
    <mergeCell ref="D2:E2"/>
    <mergeCell ref="B64:N64"/>
    <mergeCell ref="I1:J1"/>
    <mergeCell ref="K1:L1"/>
  </mergeCells>
  <phoneticPr fontId="42"/>
  <dataValidations count="6">
    <dataValidation allowBlank="1" showInputMessage="1" showErrorMessage="1" prompt="Enter semester name in this cell" sqref="F1:G1" xr:uid="{00000000-0002-0000-0700-000000000000}"/>
    <dataValidation allowBlank="1" showInputMessage="1" showErrorMessage="1" prompt="Title of this worksheet is in this cell.  Enter semester name in cell at right" sqref="B1:E1" xr:uid="{00000000-0002-0000-0700-000001000000}"/>
    <dataValidation allowBlank="1" showInputMessage="1" showErrorMessage="1" prompt="Enter Start Time in cell at right" sqref="B2" xr:uid="{00000000-0002-0000-07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700-000003000000}"/>
    <dataValidation allowBlank="1" showInputMessage="1" showErrorMessage="1" prompt="Time is automatically updated in this column under this heading" sqref="B27:B28 B15:B16 B3:B4 B39:B40 B51:B52" xr:uid="{00000000-0002-0000-07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3:N4 C27:N28 C39:N40 C15:N16 C51:N52" xr:uid="{00000000-0002-0000-0700-000005000000}"/>
  </dataValidations>
  <printOptions horizontalCentered="1"/>
  <pageMargins left="0.25" right="7.4652777777777804E-2" top="0.75" bottom="0" header="0" footer="0"/>
  <pageSetup paperSize="9" scale="10" orientation="portrait" r:id="rId1"/>
  <headerFooter differentFirst="1">
    <oddFooter>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autoPageBreaks="0" fitToPage="1"/>
  </sheetPr>
  <dimension ref="A1:N65"/>
  <sheetViews>
    <sheetView showGridLines="0" view="pageLayout" topLeftCell="A4" zoomScale="10" zoomScaleNormal="20" zoomScalePageLayoutView="10" workbookViewId="0">
      <selection activeCell="I30" sqref="I30"/>
    </sheetView>
  </sheetViews>
  <sheetFormatPr defaultColWidth="8.69921875" defaultRowHeight="30" customHeight="1" thickBottom="1"/>
  <cols>
    <col min="1" max="1" width="1.8984375" customWidth="1"/>
    <col min="2" max="14" width="56.296875" customWidth="1"/>
    <col min="15" max="15" width="8.8984375" customWidth="1"/>
  </cols>
  <sheetData>
    <row r="1" spans="1:14" ht="273.75" customHeight="1" thickBot="1">
      <c r="B1" s="284" t="s">
        <v>0</v>
      </c>
      <c r="C1" s="285"/>
      <c r="D1" s="285"/>
      <c r="E1" s="286"/>
      <c r="F1" s="297" t="s">
        <v>39</v>
      </c>
      <c r="G1" s="298"/>
      <c r="H1" s="80" t="s">
        <v>2</v>
      </c>
      <c r="I1" s="299" t="s">
        <v>3</v>
      </c>
      <c r="J1" s="300"/>
      <c r="K1" s="301" t="s">
        <v>4</v>
      </c>
      <c r="L1" s="302"/>
      <c r="M1" s="14"/>
    </row>
    <row r="2" spans="1:14" ht="172.5" customHeight="1" thickBot="1">
      <c r="A2" s="1"/>
      <c r="B2" s="296" t="s">
        <v>5</v>
      </c>
      <c r="C2" s="292"/>
      <c r="D2" s="293" t="s">
        <v>6</v>
      </c>
      <c r="E2" s="293"/>
      <c r="F2" s="74"/>
      <c r="G2" s="75"/>
      <c r="H2" s="21"/>
      <c r="I2" s="76" t="s">
        <v>7</v>
      </c>
      <c r="J2" s="77"/>
      <c r="K2" s="78" t="s">
        <v>8</v>
      </c>
      <c r="L2" s="79"/>
      <c r="M2" s="87">
        <v>43801</v>
      </c>
      <c r="N2" s="27"/>
    </row>
    <row r="3" spans="1:14" ht="97.5" customHeight="1" thickBot="1">
      <c r="B3" s="88" t="s">
        <v>9</v>
      </c>
      <c r="C3" s="257" t="s">
        <v>10</v>
      </c>
      <c r="D3" s="258">
        <f>M2</f>
        <v>43801</v>
      </c>
      <c r="E3" s="259" t="s">
        <v>11</v>
      </c>
      <c r="F3" s="260">
        <f>D3+1</f>
        <v>43802</v>
      </c>
      <c r="G3" s="259" t="s">
        <v>12</v>
      </c>
      <c r="H3" s="260">
        <f>D3+2</f>
        <v>43803</v>
      </c>
      <c r="I3" s="259" t="s">
        <v>13</v>
      </c>
      <c r="J3" s="260">
        <f>D3+3</f>
        <v>43804</v>
      </c>
      <c r="K3" s="259" t="s">
        <v>14</v>
      </c>
      <c r="L3" s="260">
        <f>D3+4</f>
        <v>43805</v>
      </c>
      <c r="M3" s="259" t="s">
        <v>15</v>
      </c>
      <c r="N3" s="260">
        <f>D3+5</f>
        <v>43806</v>
      </c>
    </row>
    <row r="4" spans="1:14" ht="97.5" customHeight="1" thickBot="1">
      <c r="B4" s="98"/>
      <c r="C4" s="240" t="s">
        <v>16</v>
      </c>
      <c r="D4" s="241"/>
      <c r="E4" s="240" t="s">
        <v>16</v>
      </c>
      <c r="F4" s="240" t="s">
        <v>16</v>
      </c>
      <c r="G4" s="240" t="s">
        <v>16</v>
      </c>
      <c r="H4" s="240" t="s">
        <v>17</v>
      </c>
      <c r="I4" s="240" t="s">
        <v>16</v>
      </c>
      <c r="J4" s="240" t="s">
        <v>17</v>
      </c>
      <c r="K4" s="240" t="s">
        <v>16</v>
      </c>
      <c r="L4" s="240" t="s">
        <v>17</v>
      </c>
      <c r="M4" s="240" t="s">
        <v>16</v>
      </c>
      <c r="N4" s="240" t="s">
        <v>17</v>
      </c>
    </row>
    <row r="5" spans="1:14" ht="97.5" customHeight="1" thickBot="1">
      <c r="B5" s="249">
        <v>0.45833333333333331</v>
      </c>
      <c r="C5" s="93"/>
      <c r="D5" s="93"/>
      <c r="E5" s="93"/>
      <c r="F5" s="93"/>
      <c r="G5" s="94"/>
      <c r="H5" s="93"/>
      <c r="I5" s="93"/>
      <c r="J5" s="93"/>
      <c r="K5" s="93"/>
      <c r="L5" s="93"/>
      <c r="M5" s="59" t="s">
        <v>18</v>
      </c>
      <c r="N5" s="58"/>
    </row>
    <row r="6" spans="1:14" ht="97.5" customHeight="1" thickBot="1">
      <c r="B6" s="250">
        <v>0.5</v>
      </c>
      <c r="C6" s="95" t="s">
        <v>20</v>
      </c>
      <c r="D6" s="93"/>
      <c r="E6" s="93"/>
      <c r="F6" s="95" t="s">
        <v>20</v>
      </c>
      <c r="G6" s="96" t="s">
        <v>19</v>
      </c>
      <c r="H6" s="94"/>
      <c r="I6" s="178" t="s">
        <v>26</v>
      </c>
      <c r="J6" s="94"/>
      <c r="K6" s="94"/>
      <c r="L6" s="94"/>
      <c r="M6" s="59" t="s">
        <v>18</v>
      </c>
      <c r="N6" s="62"/>
    </row>
    <row r="7" spans="1:14" ht="97.5" customHeight="1" thickBot="1">
      <c r="B7" s="251">
        <v>0.54166666666666663</v>
      </c>
      <c r="C7" s="95" t="s">
        <v>20</v>
      </c>
      <c r="D7" s="93"/>
      <c r="E7" s="93"/>
      <c r="F7" s="95" t="s">
        <v>20</v>
      </c>
      <c r="G7" s="95" t="s">
        <v>20</v>
      </c>
      <c r="H7" s="94"/>
      <c r="I7" s="95" t="s">
        <v>20</v>
      </c>
      <c r="J7" s="94"/>
      <c r="K7" s="95" t="s">
        <v>20</v>
      </c>
      <c r="L7" s="94"/>
      <c r="M7" s="64" t="s">
        <v>20</v>
      </c>
      <c r="N7" s="62"/>
    </row>
    <row r="8" spans="1:14" ht="97.5" customHeight="1" thickBot="1">
      <c r="B8" s="252">
        <v>0.58333333333333337</v>
      </c>
      <c r="C8" s="95" t="s">
        <v>20</v>
      </c>
      <c r="D8" s="93"/>
      <c r="E8" s="93"/>
      <c r="F8" s="95" t="s">
        <v>20</v>
      </c>
      <c r="G8" s="94" t="s">
        <v>21</v>
      </c>
      <c r="H8" s="94"/>
      <c r="I8" s="94" t="s">
        <v>22</v>
      </c>
      <c r="J8" s="94"/>
      <c r="K8" s="95" t="s">
        <v>20</v>
      </c>
      <c r="L8" s="94"/>
      <c r="M8" s="62" t="s">
        <v>56</v>
      </c>
      <c r="N8" s="65"/>
    </row>
    <row r="9" spans="1:14" ht="97.5" customHeight="1" thickBot="1">
      <c r="B9" s="251">
        <v>0.625</v>
      </c>
      <c r="C9" s="95" t="s">
        <v>20</v>
      </c>
      <c r="D9" s="93"/>
      <c r="E9" s="93"/>
      <c r="F9" s="95" t="s">
        <v>20</v>
      </c>
      <c r="G9" s="93"/>
      <c r="H9" s="97"/>
      <c r="I9" s="94" t="s">
        <v>21</v>
      </c>
      <c r="J9" s="97"/>
      <c r="K9" s="94"/>
      <c r="L9" s="97"/>
      <c r="M9" s="215" t="s">
        <v>47</v>
      </c>
      <c r="N9" s="62"/>
    </row>
    <row r="10" spans="1:14" ht="97.5" customHeight="1" thickBot="1">
      <c r="B10" s="252">
        <v>0.66666666666666663</v>
      </c>
      <c r="C10" s="103" t="s">
        <v>23</v>
      </c>
      <c r="D10" s="93"/>
      <c r="E10" s="93"/>
      <c r="F10" s="104" t="s">
        <v>23</v>
      </c>
      <c r="G10" s="103" t="s">
        <v>23</v>
      </c>
      <c r="H10" s="97"/>
      <c r="I10" s="176" t="s">
        <v>58</v>
      </c>
      <c r="J10" s="97"/>
      <c r="K10" s="93"/>
      <c r="L10" s="97"/>
      <c r="M10" s="58"/>
      <c r="N10" s="62"/>
    </row>
    <row r="11" spans="1:14" ht="97.5" customHeight="1" thickBot="1">
      <c r="B11" s="251">
        <v>0.70833333333333337</v>
      </c>
      <c r="C11" s="103" t="s">
        <v>24</v>
      </c>
      <c r="D11" s="93"/>
      <c r="E11" s="93"/>
      <c r="F11" s="104" t="s">
        <v>24</v>
      </c>
      <c r="G11" s="103" t="s">
        <v>24</v>
      </c>
      <c r="H11" s="97"/>
      <c r="I11" s="92" t="s">
        <v>18</v>
      </c>
      <c r="J11" s="97"/>
      <c r="K11" s="93"/>
      <c r="L11" s="97"/>
      <c r="M11" s="58"/>
      <c r="N11" s="93"/>
    </row>
    <row r="12" spans="1:14" ht="97.5" customHeight="1" thickBot="1">
      <c r="B12" s="252">
        <v>0.75</v>
      </c>
      <c r="C12" s="92" t="s">
        <v>18</v>
      </c>
      <c r="D12" s="93"/>
      <c r="E12" s="93"/>
      <c r="F12" s="92" t="s">
        <v>18</v>
      </c>
      <c r="G12" s="92" t="s">
        <v>18</v>
      </c>
      <c r="H12" s="97"/>
      <c r="I12" s="92" t="s">
        <v>18</v>
      </c>
      <c r="J12" s="97"/>
      <c r="K12" s="93"/>
      <c r="L12" s="97"/>
      <c r="M12" s="58"/>
      <c r="N12" s="93"/>
    </row>
    <row r="13" spans="1:14" ht="97.5" customHeight="1" thickBot="1">
      <c r="B13" s="251">
        <v>0.79166666666666663</v>
      </c>
      <c r="C13" s="92" t="s">
        <v>57</v>
      </c>
      <c r="D13" s="93"/>
      <c r="E13" s="168" t="s">
        <v>51</v>
      </c>
      <c r="F13" s="92" t="s">
        <v>18</v>
      </c>
      <c r="G13" s="97"/>
      <c r="H13" s="97"/>
      <c r="I13" s="215" t="s">
        <v>45</v>
      </c>
      <c r="J13" s="97"/>
      <c r="K13" s="97" t="s">
        <v>26</v>
      </c>
      <c r="L13" s="97"/>
      <c r="M13" s="58"/>
      <c r="N13" s="93"/>
    </row>
    <row r="14" spans="1:14" ht="97.5" customHeight="1" thickBot="1">
      <c r="B14" s="248">
        <v>0.83333333333333337</v>
      </c>
      <c r="C14" s="214" t="s">
        <v>47</v>
      </c>
      <c r="D14" s="93"/>
      <c r="E14" s="93" t="s">
        <v>19</v>
      </c>
      <c r="F14" s="92" t="s">
        <v>47</v>
      </c>
      <c r="G14" s="97" t="s">
        <v>21</v>
      </c>
      <c r="H14" s="93"/>
      <c r="I14" s="97" t="s">
        <v>26</v>
      </c>
      <c r="J14" s="93"/>
      <c r="K14" s="137" t="s">
        <v>45</v>
      </c>
      <c r="L14" s="93"/>
      <c r="M14" s="58"/>
      <c r="N14" s="93"/>
    </row>
    <row r="15" spans="1:14" ht="97.5" customHeight="1" thickBot="1">
      <c r="B15" s="88" t="s">
        <v>9</v>
      </c>
      <c r="C15" s="119" t="s">
        <v>10</v>
      </c>
      <c r="D15" s="244">
        <f>D3+7</f>
        <v>43808</v>
      </c>
      <c r="E15" s="119" t="s">
        <v>11</v>
      </c>
      <c r="F15" s="244">
        <f>F3+7</f>
        <v>43809</v>
      </c>
      <c r="G15" s="119" t="s">
        <v>12</v>
      </c>
      <c r="H15" s="244">
        <f>H3+7</f>
        <v>43810</v>
      </c>
      <c r="I15" s="119" t="s">
        <v>13</v>
      </c>
      <c r="J15" s="244">
        <f>J3+7</f>
        <v>43811</v>
      </c>
      <c r="K15" s="119" t="s">
        <v>14</v>
      </c>
      <c r="L15" s="244">
        <f>L3+7</f>
        <v>43812</v>
      </c>
      <c r="M15" s="119" t="s">
        <v>15</v>
      </c>
      <c r="N15" s="244">
        <f>N3+7</f>
        <v>43813</v>
      </c>
    </row>
    <row r="16" spans="1:14" ht="97.5" customHeight="1" thickBot="1">
      <c r="B16" s="98"/>
      <c r="C16" s="240" t="s">
        <v>16</v>
      </c>
      <c r="D16" s="241"/>
      <c r="E16" s="240" t="s">
        <v>16</v>
      </c>
      <c r="F16" s="240" t="s">
        <v>16</v>
      </c>
      <c r="G16" s="240" t="s">
        <v>16</v>
      </c>
      <c r="H16" s="240" t="s">
        <v>17</v>
      </c>
      <c r="I16" s="240" t="s">
        <v>16</v>
      </c>
      <c r="J16" s="240" t="s">
        <v>17</v>
      </c>
      <c r="K16" s="240" t="s">
        <v>16</v>
      </c>
      <c r="L16" s="240" t="s">
        <v>17</v>
      </c>
      <c r="M16" s="240" t="s">
        <v>16</v>
      </c>
      <c r="N16" s="240" t="s">
        <v>17</v>
      </c>
    </row>
    <row r="17" spans="2:14" ht="97.5" customHeight="1" thickBot="1">
      <c r="B17" s="249">
        <v>0.45833333333333331</v>
      </c>
      <c r="C17" s="93"/>
      <c r="D17" s="93"/>
      <c r="E17" s="93"/>
      <c r="F17" s="93"/>
      <c r="G17" s="94"/>
      <c r="H17" s="93"/>
      <c r="I17" s="93"/>
      <c r="J17" s="93"/>
      <c r="K17" s="93"/>
      <c r="L17" s="93"/>
      <c r="M17" s="59" t="s">
        <v>18</v>
      </c>
      <c r="N17" s="58"/>
    </row>
    <row r="18" spans="2:14" ht="97.5" customHeight="1" thickBot="1">
      <c r="B18" s="250">
        <v>0.5</v>
      </c>
      <c r="C18" s="95" t="s">
        <v>20</v>
      </c>
      <c r="D18" s="93"/>
      <c r="E18" s="93"/>
      <c r="F18" s="95" t="s">
        <v>20</v>
      </c>
      <c r="G18" s="96" t="s">
        <v>19</v>
      </c>
      <c r="H18" s="94"/>
      <c r="I18" s="178" t="s">
        <v>26</v>
      </c>
      <c r="J18" s="94"/>
      <c r="K18" s="94"/>
      <c r="L18" s="94"/>
      <c r="M18" s="59" t="s">
        <v>18</v>
      </c>
      <c r="N18" s="62"/>
    </row>
    <row r="19" spans="2:14" ht="97.5" customHeight="1" thickBot="1">
      <c r="B19" s="251">
        <v>0.54166666666666663</v>
      </c>
      <c r="C19" s="95" t="s">
        <v>20</v>
      </c>
      <c r="D19" s="93"/>
      <c r="E19" s="93"/>
      <c r="F19" s="95" t="s">
        <v>20</v>
      </c>
      <c r="G19" s="95" t="s">
        <v>20</v>
      </c>
      <c r="H19" s="94"/>
      <c r="I19" s="95" t="s">
        <v>20</v>
      </c>
      <c r="J19" s="94"/>
      <c r="K19" s="95" t="s">
        <v>20</v>
      </c>
      <c r="L19" s="94"/>
      <c r="M19" s="64" t="s">
        <v>20</v>
      </c>
      <c r="N19" s="62"/>
    </row>
    <row r="20" spans="2:14" ht="97.5" customHeight="1" thickBot="1">
      <c r="B20" s="252">
        <v>0.58333333333333337</v>
      </c>
      <c r="C20" s="95" t="s">
        <v>20</v>
      </c>
      <c r="D20" s="93"/>
      <c r="E20" s="93"/>
      <c r="F20" s="95" t="s">
        <v>20</v>
      </c>
      <c r="G20" s="94" t="s">
        <v>21</v>
      </c>
      <c r="H20" s="94"/>
      <c r="I20" s="94" t="s">
        <v>22</v>
      </c>
      <c r="J20" s="94"/>
      <c r="K20" s="95" t="s">
        <v>20</v>
      </c>
      <c r="L20" s="94"/>
      <c r="M20" s="62" t="s">
        <v>56</v>
      </c>
      <c r="N20" s="65"/>
    </row>
    <row r="21" spans="2:14" ht="97.5" customHeight="1" thickBot="1">
      <c r="B21" s="251">
        <v>0.625</v>
      </c>
      <c r="C21" s="95" t="s">
        <v>20</v>
      </c>
      <c r="D21" s="93"/>
      <c r="E21" s="93"/>
      <c r="F21" s="95" t="s">
        <v>20</v>
      </c>
      <c r="G21" s="93"/>
      <c r="H21" s="97"/>
      <c r="I21" s="94" t="s">
        <v>21</v>
      </c>
      <c r="J21" s="97"/>
      <c r="K21" s="94"/>
      <c r="L21" s="97"/>
      <c r="M21" s="215" t="s">
        <v>47</v>
      </c>
      <c r="N21" s="62"/>
    </row>
    <row r="22" spans="2:14" ht="97.5" customHeight="1" thickBot="1">
      <c r="B22" s="252">
        <v>0.66666666666666663</v>
      </c>
      <c r="C22" s="103" t="s">
        <v>23</v>
      </c>
      <c r="D22" s="93"/>
      <c r="E22" s="93"/>
      <c r="F22" s="104" t="s">
        <v>23</v>
      </c>
      <c r="G22" s="103" t="s">
        <v>23</v>
      </c>
      <c r="H22" s="97"/>
      <c r="I22" s="176" t="s">
        <v>58</v>
      </c>
      <c r="J22" s="97"/>
      <c r="K22" s="93"/>
      <c r="L22" s="97"/>
      <c r="M22" s="58"/>
      <c r="N22" s="62"/>
    </row>
    <row r="23" spans="2:14" ht="97.5" customHeight="1" thickBot="1">
      <c r="B23" s="251">
        <v>0.70833333333333337</v>
      </c>
      <c r="C23" s="103" t="s">
        <v>24</v>
      </c>
      <c r="D23" s="93"/>
      <c r="E23" s="93"/>
      <c r="F23" s="104" t="s">
        <v>24</v>
      </c>
      <c r="G23" s="103" t="s">
        <v>24</v>
      </c>
      <c r="H23" s="97"/>
      <c r="I23" s="92" t="s">
        <v>18</v>
      </c>
      <c r="J23" s="97"/>
      <c r="K23" s="93"/>
      <c r="L23" s="97"/>
      <c r="M23" s="58"/>
      <c r="N23" s="93"/>
    </row>
    <row r="24" spans="2:14" ht="97.5" customHeight="1" thickBot="1">
      <c r="B24" s="252">
        <v>0.75</v>
      </c>
      <c r="C24" s="92" t="s">
        <v>18</v>
      </c>
      <c r="D24" s="93"/>
      <c r="E24" s="93"/>
      <c r="F24" s="92" t="s">
        <v>18</v>
      </c>
      <c r="G24" s="92" t="s">
        <v>18</v>
      </c>
      <c r="H24" s="97"/>
      <c r="I24" s="92" t="s">
        <v>18</v>
      </c>
      <c r="J24" s="97"/>
      <c r="K24" s="93"/>
      <c r="L24" s="97"/>
      <c r="M24" s="58"/>
      <c r="N24" s="93"/>
    </row>
    <row r="25" spans="2:14" ht="97.5" customHeight="1" thickBot="1">
      <c r="B25" s="251">
        <v>0.79166666666666663</v>
      </c>
      <c r="C25" s="92" t="s">
        <v>57</v>
      </c>
      <c r="D25" s="93"/>
      <c r="E25" s="168" t="s">
        <v>51</v>
      </c>
      <c r="F25" s="92" t="s">
        <v>18</v>
      </c>
      <c r="G25" s="97"/>
      <c r="H25" s="97"/>
      <c r="I25" s="215" t="s">
        <v>45</v>
      </c>
      <c r="J25" s="97"/>
      <c r="K25" s="97" t="s">
        <v>26</v>
      </c>
      <c r="L25" s="97"/>
      <c r="M25" s="58"/>
      <c r="N25" s="93"/>
    </row>
    <row r="26" spans="2:14" ht="97.5" customHeight="1" thickBot="1">
      <c r="B26" s="248">
        <v>0.83333333333333337</v>
      </c>
      <c r="C26" s="214" t="s">
        <v>47</v>
      </c>
      <c r="D26" s="93"/>
      <c r="E26" s="93" t="s">
        <v>19</v>
      </c>
      <c r="F26" s="92" t="s">
        <v>47</v>
      </c>
      <c r="G26" s="97" t="s">
        <v>21</v>
      </c>
      <c r="H26" s="93"/>
      <c r="I26" s="97" t="s">
        <v>26</v>
      </c>
      <c r="J26" s="93"/>
      <c r="K26" s="137" t="s">
        <v>45</v>
      </c>
      <c r="L26" s="93"/>
      <c r="M26" s="58"/>
      <c r="N26" s="93"/>
    </row>
    <row r="27" spans="2:14" ht="97.5" customHeight="1" thickBot="1">
      <c r="B27" s="88" t="s">
        <v>9</v>
      </c>
      <c r="C27" s="119" t="s">
        <v>10</v>
      </c>
      <c r="D27" s="244">
        <f>D15+7</f>
        <v>43815</v>
      </c>
      <c r="E27" s="119" t="s">
        <v>11</v>
      </c>
      <c r="F27" s="244">
        <f>F15+7</f>
        <v>43816</v>
      </c>
      <c r="G27" s="119" t="s">
        <v>12</v>
      </c>
      <c r="H27" s="244">
        <f>H15+7</f>
        <v>43817</v>
      </c>
      <c r="I27" s="119" t="s">
        <v>13</v>
      </c>
      <c r="J27" s="244">
        <f>J15+7</f>
        <v>43818</v>
      </c>
      <c r="K27" s="119" t="s">
        <v>14</v>
      </c>
      <c r="L27" s="244">
        <f>L15+7</f>
        <v>43819</v>
      </c>
      <c r="M27" s="119" t="s">
        <v>15</v>
      </c>
      <c r="N27" s="244">
        <f>N15+7</f>
        <v>43820</v>
      </c>
    </row>
    <row r="28" spans="2:14" ht="97.5" customHeight="1" thickBot="1">
      <c r="B28" s="98"/>
      <c r="C28" s="240" t="s">
        <v>16</v>
      </c>
      <c r="D28" s="241"/>
      <c r="E28" s="240" t="s">
        <v>16</v>
      </c>
      <c r="F28" s="240" t="s">
        <v>16</v>
      </c>
      <c r="G28" s="240" t="s">
        <v>16</v>
      </c>
      <c r="H28" s="240" t="s">
        <v>17</v>
      </c>
      <c r="I28" s="240" t="s">
        <v>16</v>
      </c>
      <c r="J28" s="240" t="s">
        <v>17</v>
      </c>
      <c r="K28" s="240" t="s">
        <v>16</v>
      </c>
      <c r="L28" s="240" t="s">
        <v>17</v>
      </c>
      <c r="M28" s="240" t="s">
        <v>16</v>
      </c>
      <c r="N28" s="240" t="s">
        <v>17</v>
      </c>
    </row>
    <row r="29" spans="2:14" ht="97.5" customHeight="1" thickBot="1">
      <c r="B29" s="249">
        <v>0.45833333333333331</v>
      </c>
      <c r="C29" s="93"/>
      <c r="D29" s="93"/>
      <c r="E29" s="93"/>
      <c r="F29" s="93"/>
      <c r="G29" s="94"/>
      <c r="H29" s="93"/>
      <c r="I29" s="93"/>
      <c r="J29" s="93"/>
      <c r="K29" s="93"/>
      <c r="L29" s="93"/>
      <c r="M29" s="59" t="s">
        <v>18</v>
      </c>
      <c r="N29" s="58"/>
    </row>
    <row r="30" spans="2:14" ht="97.5" customHeight="1" thickBot="1">
      <c r="B30" s="250">
        <v>0.5</v>
      </c>
      <c r="C30" s="95" t="s">
        <v>20</v>
      </c>
      <c r="D30" s="93"/>
      <c r="E30" s="93"/>
      <c r="F30" s="95" t="s">
        <v>20</v>
      </c>
      <c r="G30" s="96" t="s">
        <v>19</v>
      </c>
      <c r="H30" s="94"/>
      <c r="I30" s="178" t="s">
        <v>26</v>
      </c>
      <c r="J30" s="94"/>
      <c r="K30" s="94"/>
      <c r="L30" s="94"/>
      <c r="M30" s="59" t="s">
        <v>18</v>
      </c>
      <c r="N30" s="62"/>
    </row>
    <row r="31" spans="2:14" ht="97.5" customHeight="1" thickBot="1">
      <c r="B31" s="251">
        <v>0.54166666666666663</v>
      </c>
      <c r="C31" s="95" t="s">
        <v>20</v>
      </c>
      <c r="D31" s="93"/>
      <c r="E31" s="93"/>
      <c r="F31" s="95" t="s">
        <v>20</v>
      </c>
      <c r="G31" s="95" t="s">
        <v>20</v>
      </c>
      <c r="H31" s="94"/>
      <c r="I31" s="95" t="s">
        <v>20</v>
      </c>
      <c r="J31" s="94"/>
      <c r="K31" s="95" t="s">
        <v>20</v>
      </c>
      <c r="L31" s="94"/>
      <c r="M31" s="64" t="s">
        <v>20</v>
      </c>
      <c r="N31" s="62"/>
    </row>
    <row r="32" spans="2:14" ht="97.5" customHeight="1" thickBot="1">
      <c r="B32" s="252">
        <v>0.58333333333333337</v>
      </c>
      <c r="C32" s="95" t="s">
        <v>20</v>
      </c>
      <c r="D32" s="93"/>
      <c r="E32" s="93"/>
      <c r="F32" s="95" t="s">
        <v>20</v>
      </c>
      <c r="G32" s="94" t="s">
        <v>21</v>
      </c>
      <c r="H32" s="94"/>
      <c r="I32" s="94" t="s">
        <v>22</v>
      </c>
      <c r="J32" s="94"/>
      <c r="K32" s="95" t="s">
        <v>20</v>
      </c>
      <c r="L32" s="94"/>
      <c r="M32" s="62" t="s">
        <v>56</v>
      </c>
      <c r="N32" s="65"/>
    </row>
    <row r="33" spans="2:14" ht="97.5" customHeight="1" thickBot="1">
      <c r="B33" s="251">
        <v>0.625</v>
      </c>
      <c r="C33" s="95" t="s">
        <v>20</v>
      </c>
      <c r="D33" s="93"/>
      <c r="E33" s="93"/>
      <c r="F33" s="95" t="s">
        <v>20</v>
      </c>
      <c r="G33" s="93"/>
      <c r="H33" s="97"/>
      <c r="I33" s="94" t="s">
        <v>21</v>
      </c>
      <c r="J33" s="97"/>
      <c r="K33" s="94"/>
      <c r="L33" s="97"/>
      <c r="M33" s="215" t="s">
        <v>47</v>
      </c>
      <c r="N33" s="62"/>
    </row>
    <row r="34" spans="2:14" ht="97.5" customHeight="1" thickBot="1">
      <c r="B34" s="252">
        <v>0.66666666666666663</v>
      </c>
      <c r="C34" s="103" t="s">
        <v>23</v>
      </c>
      <c r="D34" s="93"/>
      <c r="E34" s="93"/>
      <c r="F34" s="104" t="s">
        <v>23</v>
      </c>
      <c r="G34" s="103" t="s">
        <v>23</v>
      </c>
      <c r="H34" s="97"/>
      <c r="I34" s="176" t="s">
        <v>58</v>
      </c>
      <c r="J34" s="97"/>
      <c r="K34" s="93"/>
      <c r="L34" s="97"/>
      <c r="M34" s="58"/>
      <c r="N34" s="62"/>
    </row>
    <row r="35" spans="2:14" ht="97.5" customHeight="1" thickBot="1">
      <c r="B35" s="251">
        <v>0.70833333333333337</v>
      </c>
      <c r="C35" s="103" t="s">
        <v>24</v>
      </c>
      <c r="D35" s="93"/>
      <c r="E35" s="93"/>
      <c r="F35" s="104" t="s">
        <v>24</v>
      </c>
      <c r="G35" s="103" t="s">
        <v>24</v>
      </c>
      <c r="H35" s="97"/>
      <c r="I35" s="92" t="s">
        <v>18</v>
      </c>
      <c r="J35" s="97"/>
      <c r="K35" s="93"/>
      <c r="L35" s="97"/>
      <c r="M35" s="58"/>
      <c r="N35" s="93"/>
    </row>
    <row r="36" spans="2:14" ht="97.5" customHeight="1" thickBot="1">
      <c r="B36" s="252">
        <v>0.75</v>
      </c>
      <c r="C36" s="92" t="s">
        <v>18</v>
      </c>
      <c r="D36" s="93"/>
      <c r="E36" s="93"/>
      <c r="F36" s="92" t="s">
        <v>18</v>
      </c>
      <c r="G36" s="92" t="s">
        <v>18</v>
      </c>
      <c r="H36" s="97"/>
      <c r="I36" s="92" t="s">
        <v>18</v>
      </c>
      <c r="J36" s="97"/>
      <c r="K36" s="93"/>
      <c r="L36" s="97"/>
      <c r="M36" s="58"/>
      <c r="N36" s="93"/>
    </row>
    <row r="37" spans="2:14" ht="97.5" customHeight="1" thickBot="1">
      <c r="B37" s="251">
        <v>0.79166666666666663</v>
      </c>
      <c r="C37" s="92" t="s">
        <v>57</v>
      </c>
      <c r="D37" s="93"/>
      <c r="E37" s="168" t="s">
        <v>51</v>
      </c>
      <c r="F37" s="92" t="s">
        <v>18</v>
      </c>
      <c r="G37" s="97"/>
      <c r="H37" s="97"/>
      <c r="I37" s="215" t="s">
        <v>45</v>
      </c>
      <c r="J37" s="97"/>
      <c r="K37" s="97" t="s">
        <v>26</v>
      </c>
      <c r="L37" s="97"/>
      <c r="M37" s="58"/>
      <c r="N37" s="93"/>
    </row>
    <row r="38" spans="2:14" ht="97.5" customHeight="1" thickBot="1">
      <c r="B38" s="248">
        <v>0.83333333333333337</v>
      </c>
      <c r="C38" s="214" t="s">
        <v>47</v>
      </c>
      <c r="D38" s="93"/>
      <c r="E38" s="93" t="s">
        <v>19</v>
      </c>
      <c r="F38" s="92" t="s">
        <v>47</v>
      </c>
      <c r="G38" s="97" t="s">
        <v>21</v>
      </c>
      <c r="H38" s="93"/>
      <c r="I38" s="97" t="s">
        <v>26</v>
      </c>
      <c r="J38" s="93"/>
      <c r="K38" s="137" t="s">
        <v>45</v>
      </c>
      <c r="L38" s="93"/>
      <c r="M38" s="58"/>
      <c r="N38" s="93"/>
    </row>
    <row r="39" spans="2:14" ht="97.5" customHeight="1" thickBot="1">
      <c r="B39" s="88" t="s">
        <v>9</v>
      </c>
      <c r="C39" s="119" t="s">
        <v>10</v>
      </c>
      <c r="D39" s="244">
        <f>D27+7</f>
        <v>43822</v>
      </c>
      <c r="E39" s="119" t="s">
        <v>11</v>
      </c>
      <c r="F39" s="244">
        <f>F27+7</f>
        <v>43823</v>
      </c>
      <c r="G39" s="119" t="s">
        <v>12</v>
      </c>
      <c r="H39" s="244">
        <f>H27+7</f>
        <v>43824</v>
      </c>
      <c r="I39" s="119" t="s">
        <v>13</v>
      </c>
      <c r="J39" s="244">
        <f>J27+7</f>
        <v>43825</v>
      </c>
      <c r="K39" s="119" t="s">
        <v>14</v>
      </c>
      <c r="L39" s="244">
        <f>L27+7</f>
        <v>43826</v>
      </c>
      <c r="M39" s="119" t="s">
        <v>15</v>
      </c>
      <c r="N39" s="244">
        <f>N27+7</f>
        <v>43827</v>
      </c>
    </row>
    <row r="40" spans="2:14" ht="97.5" customHeight="1" thickBot="1">
      <c r="B40" s="98"/>
      <c r="C40" s="240" t="s">
        <v>16</v>
      </c>
      <c r="D40" s="241"/>
      <c r="E40" s="240" t="s">
        <v>16</v>
      </c>
      <c r="F40" s="240" t="s">
        <v>16</v>
      </c>
      <c r="G40" s="240" t="s">
        <v>16</v>
      </c>
      <c r="H40" s="240" t="s">
        <v>17</v>
      </c>
      <c r="I40" s="240" t="s">
        <v>16</v>
      </c>
      <c r="J40" s="240" t="s">
        <v>17</v>
      </c>
      <c r="K40" s="240" t="s">
        <v>16</v>
      </c>
      <c r="L40" s="240" t="s">
        <v>17</v>
      </c>
      <c r="M40" s="240" t="s">
        <v>16</v>
      </c>
      <c r="N40" s="240" t="s">
        <v>17</v>
      </c>
    </row>
    <row r="41" spans="2:14" ht="97.5" customHeight="1" thickBot="1">
      <c r="B41" s="249">
        <v>0.45833333333333331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</row>
    <row r="42" spans="2:14" ht="97.5" customHeight="1" thickBot="1">
      <c r="B42" s="250">
        <v>0.5</v>
      </c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</row>
    <row r="43" spans="2:14" ht="97.5" customHeight="1" thickBot="1">
      <c r="B43" s="251">
        <v>0.54166666666666663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</row>
    <row r="44" spans="2:14" ht="97.5" customHeight="1" thickBot="1">
      <c r="B44" s="252">
        <v>0.58333333333333337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</row>
    <row r="45" spans="2:14" ht="97.5" customHeight="1" thickBot="1">
      <c r="B45" s="251">
        <v>0.625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</row>
    <row r="46" spans="2:14" ht="97.5" customHeight="1" thickBot="1">
      <c r="B46" s="252">
        <v>0.66666666666666663</v>
      </c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</row>
    <row r="47" spans="2:14" ht="97.5" customHeight="1" thickBot="1">
      <c r="B47" s="251">
        <v>0.70833333333333337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</row>
    <row r="48" spans="2:14" ht="97.5" customHeight="1" thickBot="1">
      <c r="B48" s="252">
        <v>0.75</v>
      </c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</row>
    <row r="49" spans="2:14" ht="97.5" customHeight="1" thickBot="1">
      <c r="B49" s="251">
        <v>0.79166666666666663</v>
      </c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</row>
    <row r="50" spans="2:14" ht="97.5" customHeight="1" thickBot="1">
      <c r="B50" s="248">
        <v>0.83333333333333337</v>
      </c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</row>
    <row r="51" spans="2:14" ht="97.5" customHeight="1" thickBot="1">
      <c r="B51" s="88" t="s">
        <v>9</v>
      </c>
      <c r="C51" s="119" t="s">
        <v>10</v>
      </c>
      <c r="D51" s="244">
        <f>D39+7</f>
        <v>43829</v>
      </c>
      <c r="E51" s="119" t="s">
        <v>11</v>
      </c>
      <c r="F51" s="244">
        <f>F39+7</f>
        <v>43830</v>
      </c>
      <c r="G51" s="119" t="s">
        <v>12</v>
      </c>
      <c r="H51" s="244">
        <f>H39+7</f>
        <v>43831</v>
      </c>
      <c r="I51" s="119" t="s">
        <v>13</v>
      </c>
      <c r="J51" s="244">
        <f>J39+7</f>
        <v>43832</v>
      </c>
      <c r="K51" s="119" t="s">
        <v>14</v>
      </c>
      <c r="L51" s="244">
        <f>L39+7</f>
        <v>43833</v>
      </c>
      <c r="M51" s="119" t="s">
        <v>15</v>
      </c>
      <c r="N51" s="244">
        <f>N39+7</f>
        <v>43834</v>
      </c>
    </row>
    <row r="52" spans="2:14" ht="97.5" customHeight="1" thickBot="1">
      <c r="B52" s="98"/>
      <c r="C52" s="240" t="s">
        <v>16</v>
      </c>
      <c r="D52" s="241"/>
      <c r="E52" s="240" t="s">
        <v>16</v>
      </c>
      <c r="F52" s="240" t="s">
        <v>16</v>
      </c>
      <c r="G52" s="240" t="s">
        <v>16</v>
      </c>
      <c r="H52" s="240" t="s">
        <v>17</v>
      </c>
      <c r="I52" s="240" t="s">
        <v>16</v>
      </c>
      <c r="J52" s="240" t="s">
        <v>17</v>
      </c>
      <c r="K52" s="240" t="s">
        <v>16</v>
      </c>
      <c r="L52" s="240" t="s">
        <v>17</v>
      </c>
      <c r="M52" s="240" t="s">
        <v>16</v>
      </c>
      <c r="N52" s="240" t="s">
        <v>17</v>
      </c>
    </row>
    <row r="53" spans="2:14" ht="97.5" customHeight="1" thickBot="1">
      <c r="B53" s="249">
        <v>0.45833333333333331</v>
      </c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</row>
    <row r="54" spans="2:14" ht="97.5" customHeight="1" thickBot="1">
      <c r="B54" s="250">
        <v>0.5</v>
      </c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</row>
    <row r="55" spans="2:14" ht="97.5" customHeight="1" thickBot="1">
      <c r="B55" s="251">
        <v>0.54166666666666663</v>
      </c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</row>
    <row r="56" spans="2:14" ht="97.5" customHeight="1" thickBot="1">
      <c r="B56" s="252">
        <v>0.58333333333333337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</row>
    <row r="57" spans="2:14" ht="97.5" customHeight="1" thickBot="1">
      <c r="B57" s="251">
        <v>0.625</v>
      </c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</row>
    <row r="58" spans="2:14" ht="97.5" customHeight="1" thickBot="1">
      <c r="B58" s="252">
        <v>0.66666666666666663</v>
      </c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</row>
    <row r="59" spans="2:14" ht="97.5" customHeight="1" thickBot="1">
      <c r="B59" s="251">
        <v>0.70833333333333337</v>
      </c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</row>
    <row r="60" spans="2:14" ht="97.5" customHeight="1" thickBot="1">
      <c r="B60" s="252">
        <v>0.75</v>
      </c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</row>
    <row r="61" spans="2:14" ht="97.5" customHeight="1" thickBot="1">
      <c r="B61" s="251">
        <v>0.79166666666666663</v>
      </c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</row>
    <row r="62" spans="2:14" ht="97.5" customHeight="1" thickBot="1">
      <c r="B62" s="248">
        <v>0.83333333333333337</v>
      </c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</row>
    <row r="63" spans="2:14" ht="30" customHeight="1" thickBot="1"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</row>
    <row r="64" spans="2:14" ht="177" customHeight="1" thickBot="1">
      <c r="B64" s="282" t="s">
        <v>27</v>
      </c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83"/>
    </row>
    <row r="65" spans="2:14" ht="177" customHeight="1" thickBot="1">
      <c r="B65" s="101" t="s">
        <v>20</v>
      </c>
      <c r="C65" s="282" t="s">
        <v>28</v>
      </c>
      <c r="D65" s="283"/>
      <c r="E65" s="211" t="s">
        <v>46</v>
      </c>
      <c r="F65" s="212" t="s">
        <v>29</v>
      </c>
      <c r="G65" s="273" t="s">
        <v>49</v>
      </c>
      <c r="H65" s="274"/>
      <c r="I65" s="275"/>
      <c r="J65" s="212" t="s">
        <v>30</v>
      </c>
      <c r="K65" s="102"/>
      <c r="L65" s="102"/>
      <c r="M65" s="102"/>
      <c r="N65" s="102"/>
    </row>
  </sheetData>
  <mergeCells count="9">
    <mergeCell ref="C65:D65"/>
    <mergeCell ref="G65:I65"/>
    <mergeCell ref="B1:E1"/>
    <mergeCell ref="F1:G1"/>
    <mergeCell ref="B2:C2"/>
    <mergeCell ref="D2:E2"/>
    <mergeCell ref="B64:N64"/>
    <mergeCell ref="I1:J1"/>
    <mergeCell ref="K1:L1"/>
  </mergeCells>
  <phoneticPr fontId="42"/>
  <dataValidations count="6">
    <dataValidation allowBlank="1" showInputMessage="1" showErrorMessage="1" prompt="Enter schedule for this weekday in this column under this heading. Select a cell or cells for duration; unmerge/merge cells for classes spanning intervals, using Home tab options" sqref="C51:N52 C27:N28 C3:N4 C15:N16 C39:N40" xr:uid="{00000000-0002-0000-0800-000000000000}"/>
    <dataValidation allowBlank="1" showInputMessage="1" showErrorMessage="1" prompt="Time is automatically updated in this column under this heading" sqref="B27:B28 B15:B16 B3:B4 B39:B40 B51:B52" xr:uid="{00000000-0002-0000-0800-000001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800-000002000000}"/>
    <dataValidation allowBlank="1" showInputMessage="1" showErrorMessage="1" prompt="Enter Start Time in cell at right" sqref="B2" xr:uid="{00000000-0002-0000-0800-000003000000}"/>
    <dataValidation allowBlank="1" showInputMessage="1" showErrorMessage="1" prompt="Title of this worksheet is in this cell.  Enter semester name in cell at right" sqref="B1:E1" xr:uid="{00000000-0002-0000-0800-000004000000}"/>
    <dataValidation allowBlank="1" showInputMessage="1" showErrorMessage="1" prompt="Enter semester name in this cell" sqref="F1:G1" xr:uid="{00000000-0002-0000-0800-000005000000}"/>
  </dataValidations>
  <printOptions horizontalCentered="1" verticalCentered="1"/>
  <pageMargins left="0.25" right="7.4652777777777804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  <pageSetUpPr autoPageBreaks="0" fitToPage="1"/>
  </sheetPr>
  <dimension ref="A1:N62"/>
  <sheetViews>
    <sheetView showGridLines="0" showWhiteSpace="0" topLeftCell="B40" zoomScale="20" zoomScaleNormal="20" zoomScalePageLayoutView="10" workbookViewId="0">
      <selection activeCell="J56" sqref="J56"/>
    </sheetView>
  </sheetViews>
  <sheetFormatPr defaultColWidth="8.69921875" defaultRowHeight="30" customHeight="1" thickBottom="1"/>
  <cols>
    <col min="1" max="1" width="1.8984375" customWidth="1"/>
    <col min="2" max="2" width="11.296875" customWidth="1"/>
    <col min="3" max="14" width="32.69921875" customWidth="1"/>
    <col min="15" max="15" width="8.8984375" customWidth="1"/>
  </cols>
  <sheetData>
    <row r="1" spans="1:14" ht="161.25" customHeight="1" thickBot="1">
      <c r="B1" s="284" t="s">
        <v>0</v>
      </c>
      <c r="C1" s="285"/>
      <c r="D1" s="285"/>
      <c r="E1" s="286"/>
      <c r="F1" s="297" t="s">
        <v>37</v>
      </c>
      <c r="G1" s="298"/>
      <c r="H1" s="2" t="s">
        <v>2</v>
      </c>
      <c r="I1" s="15" t="s">
        <v>3</v>
      </c>
      <c r="J1" s="16"/>
      <c r="K1" s="17" t="s">
        <v>4</v>
      </c>
      <c r="L1" s="18"/>
      <c r="M1" s="14" t="s">
        <v>40</v>
      </c>
    </row>
    <row r="2" spans="1:14" ht="97.5" customHeight="1" thickBot="1">
      <c r="A2" s="1"/>
      <c r="B2" s="303" t="s">
        <v>5</v>
      </c>
      <c r="C2" s="304"/>
      <c r="D2" s="304" t="s">
        <v>6</v>
      </c>
      <c r="E2" s="304"/>
      <c r="F2" s="19"/>
      <c r="G2" s="20"/>
      <c r="H2" s="21"/>
      <c r="I2" s="22" t="s">
        <v>7</v>
      </c>
      <c r="J2" s="23"/>
      <c r="K2" s="24" t="s">
        <v>41</v>
      </c>
      <c r="L2" s="25"/>
      <c r="M2" s="26">
        <v>43739</v>
      </c>
      <c r="N2" s="27"/>
    </row>
    <row r="3" spans="1:14" ht="82.5" customHeight="1" thickBot="1">
      <c r="B3" s="31" t="s">
        <v>9</v>
      </c>
      <c r="C3" s="37" t="s">
        <v>10</v>
      </c>
      <c r="D3" s="38"/>
      <c r="E3" s="37" t="s">
        <v>11</v>
      </c>
      <c r="F3" s="38">
        <f>M2</f>
        <v>43739</v>
      </c>
      <c r="G3" s="37" t="s">
        <v>12</v>
      </c>
      <c r="H3" s="38">
        <f>F3+1</f>
        <v>43740</v>
      </c>
      <c r="I3" s="37" t="s">
        <v>13</v>
      </c>
      <c r="J3" s="38">
        <f>F3+2</f>
        <v>43741</v>
      </c>
      <c r="K3" s="37" t="s">
        <v>14</v>
      </c>
      <c r="L3" s="38">
        <f>F3+3</f>
        <v>43742</v>
      </c>
      <c r="M3" s="37" t="s">
        <v>15</v>
      </c>
      <c r="N3" s="38">
        <f>F3+4</f>
        <v>43743</v>
      </c>
    </row>
    <row r="4" spans="1:14" ht="82.5" customHeight="1" thickBot="1">
      <c r="B4" s="13"/>
      <c r="C4" s="28"/>
      <c r="D4" s="29"/>
      <c r="E4" s="30" t="s">
        <v>16</v>
      </c>
      <c r="F4" s="30" t="s">
        <v>16</v>
      </c>
      <c r="G4" s="30" t="s">
        <v>16</v>
      </c>
      <c r="H4" s="30" t="s">
        <v>17</v>
      </c>
      <c r="I4" s="30" t="s">
        <v>16</v>
      </c>
      <c r="J4" s="30" t="s">
        <v>17</v>
      </c>
      <c r="K4" s="30" t="s">
        <v>16</v>
      </c>
      <c r="L4" s="30" t="s">
        <v>17</v>
      </c>
      <c r="M4" s="30" t="s">
        <v>16</v>
      </c>
      <c r="N4" s="30" t="s">
        <v>17</v>
      </c>
    </row>
    <row r="5" spans="1:14" ht="82.5" customHeight="1" thickBot="1">
      <c r="B5" s="32">
        <v>0.45833333333333331</v>
      </c>
      <c r="C5" s="3"/>
      <c r="D5" s="3"/>
      <c r="E5" s="3"/>
      <c r="F5" s="3"/>
      <c r="G5" s="4"/>
      <c r="H5" s="3"/>
      <c r="I5" s="3"/>
      <c r="J5" s="3"/>
      <c r="K5" s="3"/>
      <c r="L5" s="3"/>
      <c r="M5" s="5" t="s">
        <v>18</v>
      </c>
      <c r="N5" s="3"/>
    </row>
    <row r="6" spans="1:14" ht="82.5" customHeight="1" thickBot="1">
      <c r="B6" s="33">
        <v>0.5</v>
      </c>
      <c r="C6" s="3"/>
      <c r="D6" s="3"/>
      <c r="E6" s="3"/>
      <c r="F6" s="8" t="s">
        <v>20</v>
      </c>
      <c r="G6" s="6" t="s">
        <v>19</v>
      </c>
      <c r="H6" s="4"/>
      <c r="I6" s="4"/>
      <c r="J6" s="4"/>
      <c r="K6" s="4"/>
      <c r="L6" s="4"/>
      <c r="M6" s="5" t="s">
        <v>18</v>
      </c>
      <c r="N6" s="7"/>
    </row>
    <row r="7" spans="1:14" ht="82.5" customHeight="1" thickBot="1">
      <c r="B7" s="34">
        <v>0.54166666666666663</v>
      </c>
      <c r="C7" s="3"/>
      <c r="D7" s="3"/>
      <c r="E7" s="3"/>
      <c r="F7" s="8" t="s">
        <v>20</v>
      </c>
      <c r="G7" s="8" t="s">
        <v>20</v>
      </c>
      <c r="H7" s="4"/>
      <c r="I7" s="8" t="s">
        <v>20</v>
      </c>
      <c r="J7" s="4"/>
      <c r="K7" s="8" t="s">
        <v>20</v>
      </c>
      <c r="L7" s="4"/>
      <c r="M7" s="5" t="s">
        <v>18</v>
      </c>
      <c r="N7" s="9"/>
    </row>
    <row r="8" spans="1:14" ht="82.5" customHeight="1" thickBot="1">
      <c r="B8" s="35">
        <v>0.58333333333333337</v>
      </c>
      <c r="C8" s="3"/>
      <c r="D8" s="3"/>
      <c r="E8" s="3"/>
      <c r="F8" s="8" t="s">
        <v>20</v>
      </c>
      <c r="G8" s="4" t="s">
        <v>21</v>
      </c>
      <c r="H8" s="4"/>
      <c r="I8" s="4" t="s">
        <v>22</v>
      </c>
      <c r="J8" s="4"/>
      <c r="K8" s="8" t="s">
        <v>20</v>
      </c>
      <c r="L8" s="4"/>
      <c r="M8" s="8" t="s">
        <v>20</v>
      </c>
      <c r="N8" s="10"/>
    </row>
    <row r="9" spans="1:14" ht="82.5" customHeight="1" thickBot="1">
      <c r="B9" s="34">
        <v>0.625</v>
      </c>
      <c r="C9" s="3"/>
      <c r="D9" s="3"/>
      <c r="E9" s="3"/>
      <c r="F9" s="8" t="s">
        <v>20</v>
      </c>
      <c r="G9" s="3"/>
      <c r="H9" s="9"/>
      <c r="I9" s="4" t="s">
        <v>21</v>
      </c>
      <c r="J9" s="9"/>
      <c r="K9" s="4"/>
      <c r="L9" s="9"/>
      <c r="M9" s="9" t="s">
        <v>56</v>
      </c>
      <c r="N9" s="9"/>
    </row>
    <row r="10" spans="1:14" ht="82.5" customHeight="1" thickBot="1">
      <c r="B10" s="35">
        <v>0.66666666666666663</v>
      </c>
      <c r="C10" s="3"/>
      <c r="D10" s="3"/>
      <c r="E10" s="3"/>
      <c r="F10" s="5" t="s">
        <v>18</v>
      </c>
      <c r="G10" s="5" t="s">
        <v>18</v>
      </c>
      <c r="H10" s="9"/>
      <c r="I10" s="5" t="s">
        <v>18</v>
      </c>
      <c r="J10" s="9"/>
      <c r="K10" s="3"/>
      <c r="L10" s="9"/>
      <c r="M10" s="9" t="s">
        <v>21</v>
      </c>
      <c r="N10" s="9"/>
    </row>
    <row r="11" spans="1:14" ht="82.5" customHeight="1" thickBot="1">
      <c r="B11" s="34">
        <v>0.70833333333333337</v>
      </c>
      <c r="C11" s="3"/>
      <c r="D11" s="3"/>
      <c r="E11" s="3"/>
      <c r="F11" s="5" t="s">
        <v>18</v>
      </c>
      <c r="G11" s="5" t="s">
        <v>18</v>
      </c>
      <c r="H11" s="9"/>
      <c r="I11" s="5" t="s">
        <v>18</v>
      </c>
      <c r="J11" s="9"/>
      <c r="K11" s="3"/>
      <c r="L11" s="9"/>
      <c r="M11" s="3"/>
      <c r="N11" s="3"/>
    </row>
    <row r="12" spans="1:14" ht="82.5" customHeight="1" thickBot="1">
      <c r="B12" s="35">
        <v>0.75</v>
      </c>
      <c r="C12" s="3"/>
      <c r="D12" s="3"/>
      <c r="E12" s="3"/>
      <c r="F12" s="5" t="s">
        <v>18</v>
      </c>
      <c r="G12" s="5" t="s">
        <v>18</v>
      </c>
      <c r="H12" s="9"/>
      <c r="I12" s="5" t="s">
        <v>18</v>
      </c>
      <c r="J12" s="9"/>
      <c r="K12" s="3"/>
      <c r="L12" s="9"/>
      <c r="M12" s="3"/>
      <c r="N12" s="3"/>
    </row>
    <row r="13" spans="1:14" ht="82.5" customHeight="1" thickBot="1">
      <c r="B13" s="34">
        <v>0.79166666666666663</v>
      </c>
      <c r="C13" s="3"/>
      <c r="D13" s="3"/>
      <c r="E13" s="11" t="s">
        <v>25</v>
      </c>
      <c r="F13" s="8" t="s">
        <v>20</v>
      </c>
      <c r="G13" s="8" t="s">
        <v>20</v>
      </c>
      <c r="H13" s="9"/>
      <c r="I13" s="8" t="s">
        <v>20</v>
      </c>
      <c r="J13" s="9"/>
      <c r="K13" s="9" t="s">
        <v>19</v>
      </c>
      <c r="L13" s="9"/>
      <c r="M13" s="3"/>
      <c r="N13" s="3"/>
    </row>
    <row r="14" spans="1:14" ht="82.5" customHeight="1" thickBot="1">
      <c r="B14" s="36">
        <v>0.83333333333333337</v>
      </c>
      <c r="C14" s="3"/>
      <c r="D14" s="3"/>
      <c r="E14" s="3" t="s">
        <v>19</v>
      </c>
      <c r="F14" s="8" t="s">
        <v>20</v>
      </c>
      <c r="G14" s="9" t="s">
        <v>21</v>
      </c>
      <c r="H14" s="3"/>
      <c r="I14" s="9" t="s">
        <v>26</v>
      </c>
      <c r="J14" s="3"/>
      <c r="K14" s="8" t="s">
        <v>20</v>
      </c>
      <c r="L14" s="3"/>
      <c r="M14" s="3"/>
      <c r="N14" s="3"/>
    </row>
    <row r="15" spans="1:14" ht="82.5" customHeight="1" thickBot="1">
      <c r="B15" s="31" t="s">
        <v>9</v>
      </c>
      <c r="C15" s="37" t="s">
        <v>10</v>
      </c>
      <c r="D15" s="38">
        <f>F3+6</f>
        <v>43745</v>
      </c>
      <c r="E15" s="37" t="s">
        <v>11</v>
      </c>
      <c r="F15" s="38">
        <f>F3+7</f>
        <v>43746</v>
      </c>
      <c r="G15" s="37" t="s">
        <v>12</v>
      </c>
      <c r="H15" s="38">
        <f>H3+7</f>
        <v>43747</v>
      </c>
      <c r="I15" s="37" t="s">
        <v>13</v>
      </c>
      <c r="J15" s="38">
        <f>J3+7</f>
        <v>43748</v>
      </c>
      <c r="K15" s="37" t="s">
        <v>14</v>
      </c>
      <c r="L15" s="38">
        <f>L3+7</f>
        <v>43749</v>
      </c>
      <c r="M15" s="37" t="s">
        <v>15</v>
      </c>
      <c r="N15" s="38">
        <f>N3+7</f>
        <v>43750</v>
      </c>
    </row>
    <row r="16" spans="1:14" ht="82.5" customHeight="1" thickBot="1">
      <c r="B16" s="13"/>
      <c r="C16" s="30" t="s">
        <v>16</v>
      </c>
      <c r="D16" s="29"/>
      <c r="E16" s="30" t="s">
        <v>16</v>
      </c>
      <c r="F16" s="30" t="s">
        <v>16</v>
      </c>
      <c r="G16" s="30" t="s">
        <v>16</v>
      </c>
      <c r="H16" s="30" t="s">
        <v>17</v>
      </c>
      <c r="I16" s="30" t="s">
        <v>16</v>
      </c>
      <c r="J16" s="30" t="s">
        <v>17</v>
      </c>
      <c r="K16" s="30" t="s">
        <v>16</v>
      </c>
      <c r="L16" s="30" t="s">
        <v>17</v>
      </c>
      <c r="M16" s="30"/>
      <c r="N16" s="30"/>
    </row>
    <row r="17" spans="2:14" ht="82.5" customHeight="1" thickBot="1">
      <c r="B17" s="32">
        <v>0.45833333333333331</v>
      </c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</row>
    <row r="18" spans="2:14" ht="82.5" customHeight="1" thickBot="1">
      <c r="B18" s="33">
        <v>0.5</v>
      </c>
      <c r="C18" s="8" t="s">
        <v>20</v>
      </c>
      <c r="D18" s="3"/>
      <c r="E18" s="3"/>
      <c r="F18" s="8" t="s">
        <v>20</v>
      </c>
      <c r="G18" s="6" t="s">
        <v>19</v>
      </c>
      <c r="H18" s="4"/>
      <c r="I18" s="4"/>
      <c r="J18" s="4"/>
      <c r="K18" s="4"/>
      <c r="L18" s="4"/>
      <c r="M18" s="3"/>
      <c r="N18" s="3"/>
    </row>
    <row r="19" spans="2:14" ht="82.5" customHeight="1" thickBot="1">
      <c r="B19" s="34">
        <v>0.54166666666666663</v>
      </c>
      <c r="C19" s="8" t="s">
        <v>20</v>
      </c>
      <c r="D19" s="3"/>
      <c r="E19" s="3"/>
      <c r="F19" s="8" t="s">
        <v>20</v>
      </c>
      <c r="G19" s="8" t="s">
        <v>20</v>
      </c>
      <c r="H19" s="4"/>
      <c r="I19" s="8" t="s">
        <v>20</v>
      </c>
      <c r="J19" s="4"/>
      <c r="K19" s="8" t="s">
        <v>20</v>
      </c>
      <c r="L19" s="4"/>
      <c r="M19" s="3"/>
      <c r="N19" s="3"/>
    </row>
    <row r="20" spans="2:14" ht="82.5" customHeight="1" thickBot="1">
      <c r="B20" s="35">
        <v>0.58333333333333337</v>
      </c>
      <c r="C20" s="8" t="s">
        <v>20</v>
      </c>
      <c r="D20" s="3"/>
      <c r="E20" s="3"/>
      <c r="F20" s="8" t="s">
        <v>20</v>
      </c>
      <c r="G20" s="4" t="s">
        <v>21</v>
      </c>
      <c r="H20" s="4"/>
      <c r="I20" s="4" t="s">
        <v>22</v>
      </c>
      <c r="J20" s="4"/>
      <c r="K20" s="8" t="s">
        <v>20</v>
      </c>
      <c r="L20" s="4"/>
      <c r="M20" s="3"/>
      <c r="N20" s="3"/>
    </row>
    <row r="21" spans="2:14" ht="82.5" customHeight="1" thickBot="1">
      <c r="B21" s="34">
        <v>0.625</v>
      </c>
      <c r="C21" s="8" t="s">
        <v>20</v>
      </c>
      <c r="D21" s="3"/>
      <c r="E21" s="3"/>
      <c r="F21" s="8" t="s">
        <v>20</v>
      </c>
      <c r="G21" s="3"/>
      <c r="H21" s="9"/>
      <c r="I21" s="4" t="s">
        <v>21</v>
      </c>
      <c r="J21" s="9"/>
      <c r="K21" s="4"/>
      <c r="L21" s="9"/>
      <c r="M21" s="3"/>
      <c r="N21" s="3"/>
    </row>
    <row r="22" spans="2:14" ht="82.5" customHeight="1" thickBot="1">
      <c r="B22" s="35">
        <v>0.66666666666666663</v>
      </c>
      <c r="C22" s="5" t="s">
        <v>18</v>
      </c>
      <c r="D22" s="3"/>
      <c r="E22" s="3"/>
      <c r="F22" s="5" t="s">
        <v>18</v>
      </c>
      <c r="G22" s="5" t="s">
        <v>18</v>
      </c>
      <c r="H22" s="9"/>
      <c r="I22" s="5" t="s">
        <v>18</v>
      </c>
      <c r="J22" s="9"/>
      <c r="K22" s="3"/>
      <c r="L22" s="9"/>
      <c r="M22" s="3"/>
      <c r="N22" s="3"/>
    </row>
    <row r="23" spans="2:14" ht="82.5" customHeight="1" thickBot="1">
      <c r="B23" s="34">
        <v>0.70833333333333337</v>
      </c>
      <c r="C23" s="5" t="s">
        <v>18</v>
      </c>
      <c r="D23" s="3"/>
      <c r="E23" s="3"/>
      <c r="F23" s="5" t="s">
        <v>18</v>
      </c>
      <c r="G23" s="5" t="s">
        <v>18</v>
      </c>
      <c r="H23" s="9"/>
      <c r="I23" s="5" t="s">
        <v>18</v>
      </c>
      <c r="J23" s="9"/>
      <c r="K23" s="3"/>
      <c r="L23" s="9"/>
      <c r="M23" s="3"/>
      <c r="N23" s="3"/>
    </row>
    <row r="24" spans="2:14" ht="82.5" customHeight="1" thickBot="1">
      <c r="B24" s="35">
        <v>0.75</v>
      </c>
      <c r="C24" s="5" t="s">
        <v>18</v>
      </c>
      <c r="D24" s="3"/>
      <c r="E24" s="3"/>
      <c r="F24" s="5" t="s">
        <v>18</v>
      </c>
      <c r="G24" s="5" t="s">
        <v>18</v>
      </c>
      <c r="H24" s="9"/>
      <c r="I24" s="5" t="s">
        <v>18</v>
      </c>
      <c r="J24" s="9"/>
      <c r="K24" s="3"/>
      <c r="L24" s="9"/>
      <c r="M24" s="3"/>
      <c r="N24" s="3"/>
    </row>
    <row r="25" spans="2:14" ht="82.5" customHeight="1" thickBot="1">
      <c r="B25" s="34">
        <v>0.79166666666666663</v>
      </c>
      <c r="C25" s="8" t="s">
        <v>20</v>
      </c>
      <c r="D25" s="3"/>
      <c r="E25" s="11" t="s">
        <v>25</v>
      </c>
      <c r="F25" s="8" t="s">
        <v>20</v>
      </c>
      <c r="G25" s="8" t="s">
        <v>20</v>
      </c>
      <c r="H25" s="9"/>
      <c r="I25" s="8" t="s">
        <v>20</v>
      </c>
      <c r="J25" s="9"/>
      <c r="K25" s="9" t="s">
        <v>19</v>
      </c>
      <c r="L25" s="9"/>
      <c r="M25" s="3"/>
      <c r="N25" s="3"/>
    </row>
    <row r="26" spans="2:14" ht="82.5" customHeight="1" thickBot="1">
      <c r="B26" s="36">
        <v>0.83333333333333337</v>
      </c>
      <c r="C26" s="8" t="s">
        <v>20</v>
      </c>
      <c r="D26" s="3"/>
      <c r="E26" s="3" t="s">
        <v>19</v>
      </c>
      <c r="F26" s="8" t="s">
        <v>20</v>
      </c>
      <c r="G26" s="9" t="s">
        <v>21</v>
      </c>
      <c r="H26" s="3"/>
      <c r="I26" s="9" t="s">
        <v>26</v>
      </c>
      <c r="J26" s="3"/>
      <c r="K26" s="8" t="s">
        <v>20</v>
      </c>
      <c r="L26" s="3"/>
      <c r="M26" s="3"/>
      <c r="N26" s="3"/>
    </row>
    <row r="27" spans="2:14" ht="82.5" customHeight="1" thickBot="1">
      <c r="B27" s="31" t="s">
        <v>9</v>
      </c>
      <c r="C27" s="37" t="s">
        <v>10</v>
      </c>
      <c r="D27" s="38">
        <f>D15+7</f>
        <v>43752</v>
      </c>
      <c r="E27" s="37" t="s">
        <v>11</v>
      </c>
      <c r="F27" s="38">
        <f>F15+7</f>
        <v>43753</v>
      </c>
      <c r="G27" s="37" t="s">
        <v>12</v>
      </c>
      <c r="H27" s="38">
        <f>H15+7</f>
        <v>43754</v>
      </c>
      <c r="I27" s="37" t="s">
        <v>13</v>
      </c>
      <c r="J27" s="38">
        <f>J15+7</f>
        <v>43755</v>
      </c>
      <c r="K27" s="37" t="s">
        <v>14</v>
      </c>
      <c r="L27" s="38">
        <f>L15+7</f>
        <v>43756</v>
      </c>
      <c r="M27" s="37" t="s">
        <v>15</v>
      </c>
      <c r="N27" s="38">
        <f>N15+7</f>
        <v>43757</v>
      </c>
    </row>
    <row r="28" spans="2:14" ht="82.5" customHeight="1" thickBot="1">
      <c r="B28" s="13"/>
      <c r="C28" s="30" t="s">
        <v>16</v>
      </c>
      <c r="D28" s="29"/>
      <c r="E28" s="30" t="s">
        <v>16</v>
      </c>
      <c r="F28" s="30" t="s">
        <v>16</v>
      </c>
      <c r="G28" s="30" t="s">
        <v>16</v>
      </c>
      <c r="H28" s="30" t="s">
        <v>17</v>
      </c>
      <c r="I28" s="30" t="s">
        <v>16</v>
      </c>
      <c r="J28" s="30" t="s">
        <v>17</v>
      </c>
      <c r="K28" s="30" t="s">
        <v>16</v>
      </c>
      <c r="L28" s="30" t="s">
        <v>17</v>
      </c>
      <c r="M28" s="30" t="s">
        <v>16</v>
      </c>
      <c r="N28" s="30" t="s">
        <v>17</v>
      </c>
    </row>
    <row r="29" spans="2:14" ht="82.5" customHeight="1" thickBot="1">
      <c r="B29" s="32">
        <v>0.45833333333333331</v>
      </c>
      <c r="C29" s="3"/>
      <c r="D29" s="3"/>
      <c r="E29" s="3"/>
      <c r="F29" s="3"/>
      <c r="G29" s="4"/>
      <c r="H29" s="3"/>
      <c r="I29" s="3"/>
      <c r="J29" s="3"/>
      <c r="K29" s="3"/>
      <c r="L29" s="3"/>
      <c r="M29" s="5" t="s">
        <v>18</v>
      </c>
      <c r="N29" s="3"/>
    </row>
    <row r="30" spans="2:14" ht="82.5" customHeight="1" thickBot="1">
      <c r="B30" s="33">
        <v>0.5</v>
      </c>
      <c r="C30" s="8" t="s">
        <v>20</v>
      </c>
      <c r="D30" s="3"/>
      <c r="E30" s="3"/>
      <c r="F30" s="8" t="s">
        <v>20</v>
      </c>
      <c r="G30" s="6" t="s">
        <v>19</v>
      </c>
      <c r="H30" s="4"/>
      <c r="I30" s="4"/>
      <c r="J30" s="4"/>
      <c r="K30" s="4"/>
      <c r="L30" s="4"/>
      <c r="M30" s="5" t="s">
        <v>18</v>
      </c>
      <c r="N30" s="7"/>
    </row>
    <row r="31" spans="2:14" ht="82.5" customHeight="1" thickBot="1">
      <c r="B31" s="34">
        <v>0.54166666666666663</v>
      </c>
      <c r="C31" s="8" t="s">
        <v>20</v>
      </c>
      <c r="D31" s="3"/>
      <c r="E31" s="3"/>
      <c r="F31" s="8" t="s">
        <v>20</v>
      </c>
      <c r="G31" s="8" t="s">
        <v>20</v>
      </c>
      <c r="H31" s="4"/>
      <c r="I31" s="8" t="s">
        <v>20</v>
      </c>
      <c r="J31" s="4"/>
      <c r="K31" s="8" t="s">
        <v>20</v>
      </c>
      <c r="L31" s="4"/>
      <c r="M31" s="5" t="s">
        <v>18</v>
      </c>
      <c r="N31" s="9"/>
    </row>
    <row r="32" spans="2:14" ht="82.5" customHeight="1" thickBot="1">
      <c r="B32" s="35">
        <v>0.58333333333333337</v>
      </c>
      <c r="C32" s="8" t="s">
        <v>20</v>
      </c>
      <c r="D32" s="3"/>
      <c r="E32" s="3"/>
      <c r="F32" s="8" t="s">
        <v>20</v>
      </c>
      <c r="G32" s="4" t="s">
        <v>21</v>
      </c>
      <c r="H32" s="4"/>
      <c r="I32" s="4" t="s">
        <v>22</v>
      </c>
      <c r="J32" s="4"/>
      <c r="K32" s="8" t="s">
        <v>20</v>
      </c>
      <c r="L32" s="4"/>
      <c r="M32" s="8" t="s">
        <v>20</v>
      </c>
      <c r="N32" s="10"/>
    </row>
    <row r="33" spans="2:14" ht="82.5" customHeight="1" thickBot="1">
      <c r="B33" s="34">
        <v>0.625</v>
      </c>
      <c r="C33" s="8" t="s">
        <v>20</v>
      </c>
      <c r="D33" s="3"/>
      <c r="E33" s="3"/>
      <c r="F33" s="8" t="s">
        <v>20</v>
      </c>
      <c r="G33" s="3"/>
      <c r="H33" s="9"/>
      <c r="I33" s="4" t="s">
        <v>21</v>
      </c>
      <c r="J33" s="9"/>
      <c r="K33" s="4"/>
      <c r="L33" s="9"/>
      <c r="M33" s="9" t="s">
        <v>56</v>
      </c>
      <c r="N33" s="9"/>
    </row>
    <row r="34" spans="2:14" ht="82.5" customHeight="1" thickBot="1">
      <c r="B34" s="35">
        <v>0.66666666666666663</v>
      </c>
      <c r="C34" s="5" t="s">
        <v>18</v>
      </c>
      <c r="D34" s="3"/>
      <c r="E34" s="3"/>
      <c r="F34" s="5" t="s">
        <v>18</v>
      </c>
      <c r="G34" s="5" t="s">
        <v>18</v>
      </c>
      <c r="H34" s="9"/>
      <c r="I34" s="5" t="s">
        <v>18</v>
      </c>
      <c r="J34" s="9"/>
      <c r="K34" s="3"/>
      <c r="L34" s="9"/>
      <c r="M34" s="9" t="s">
        <v>21</v>
      </c>
      <c r="N34" s="9"/>
    </row>
    <row r="35" spans="2:14" ht="82.5" customHeight="1" thickBot="1">
      <c r="B35" s="34">
        <v>0.70833333333333337</v>
      </c>
      <c r="C35" s="5" t="s">
        <v>18</v>
      </c>
      <c r="D35" s="3"/>
      <c r="E35" s="3"/>
      <c r="F35" s="5" t="s">
        <v>18</v>
      </c>
      <c r="G35" s="5" t="s">
        <v>18</v>
      </c>
      <c r="H35" s="9"/>
      <c r="I35" s="5" t="s">
        <v>18</v>
      </c>
      <c r="J35" s="9"/>
      <c r="K35" s="3"/>
      <c r="L35" s="9"/>
      <c r="M35" s="3"/>
      <c r="N35" s="3"/>
    </row>
    <row r="36" spans="2:14" ht="82.5" customHeight="1" thickBot="1">
      <c r="B36" s="35">
        <v>0.75</v>
      </c>
      <c r="C36" s="5" t="s">
        <v>18</v>
      </c>
      <c r="D36" s="3"/>
      <c r="E36" s="3"/>
      <c r="F36" s="5" t="s">
        <v>18</v>
      </c>
      <c r="G36" s="5" t="s">
        <v>18</v>
      </c>
      <c r="H36" s="9"/>
      <c r="I36" s="5" t="s">
        <v>18</v>
      </c>
      <c r="J36" s="9"/>
      <c r="K36" s="3"/>
      <c r="L36" s="9"/>
      <c r="M36" s="3"/>
      <c r="N36" s="3"/>
    </row>
    <row r="37" spans="2:14" ht="82.5" customHeight="1" thickBot="1">
      <c r="B37" s="34">
        <v>0.79166666666666663</v>
      </c>
      <c r="C37" s="8" t="s">
        <v>20</v>
      </c>
      <c r="D37" s="3"/>
      <c r="E37" s="11" t="s">
        <v>25</v>
      </c>
      <c r="F37" s="8" t="s">
        <v>20</v>
      </c>
      <c r="G37" s="8" t="s">
        <v>20</v>
      </c>
      <c r="H37" s="9"/>
      <c r="I37" s="8" t="s">
        <v>20</v>
      </c>
      <c r="J37" s="9"/>
      <c r="K37" s="9" t="s">
        <v>19</v>
      </c>
      <c r="L37" s="9"/>
      <c r="M37" s="3"/>
      <c r="N37" s="3"/>
    </row>
    <row r="38" spans="2:14" ht="82.5" customHeight="1" thickBot="1">
      <c r="B38" s="36">
        <v>0.83333333333333337</v>
      </c>
      <c r="C38" s="8" t="s">
        <v>20</v>
      </c>
      <c r="D38" s="3"/>
      <c r="E38" s="3" t="s">
        <v>19</v>
      </c>
      <c r="F38" s="8" t="s">
        <v>20</v>
      </c>
      <c r="G38" s="9" t="s">
        <v>21</v>
      </c>
      <c r="H38" s="3"/>
      <c r="I38" s="9" t="s">
        <v>26</v>
      </c>
      <c r="J38" s="3"/>
      <c r="K38" s="8" t="s">
        <v>20</v>
      </c>
      <c r="L38" s="3"/>
      <c r="M38" s="3"/>
      <c r="N38" s="3"/>
    </row>
    <row r="39" spans="2:14" ht="82.5" customHeight="1" thickBot="1">
      <c r="B39" s="31" t="s">
        <v>9</v>
      </c>
      <c r="C39" s="37" t="s">
        <v>10</v>
      </c>
      <c r="D39" s="38">
        <f>D27+7</f>
        <v>43759</v>
      </c>
      <c r="E39" s="37" t="s">
        <v>11</v>
      </c>
      <c r="F39" s="39">
        <f>F27+7</f>
        <v>43760</v>
      </c>
      <c r="G39" s="37" t="s">
        <v>12</v>
      </c>
      <c r="H39" s="39">
        <f>H27+7</f>
        <v>43761</v>
      </c>
      <c r="I39" s="37" t="s">
        <v>13</v>
      </c>
      <c r="J39" s="39">
        <f>J27+7</f>
        <v>43762</v>
      </c>
      <c r="K39" s="37" t="s">
        <v>14</v>
      </c>
      <c r="L39" s="39">
        <f>L27+7</f>
        <v>43763</v>
      </c>
      <c r="M39" s="37" t="s">
        <v>15</v>
      </c>
      <c r="N39" s="39">
        <f>N27+7</f>
        <v>43764</v>
      </c>
    </row>
    <row r="40" spans="2:14" ht="82.5" customHeight="1" thickBot="1">
      <c r="B40" s="13"/>
      <c r="C40" s="30" t="s">
        <v>16</v>
      </c>
      <c r="D40" s="29"/>
      <c r="E40" s="30" t="s">
        <v>16</v>
      </c>
      <c r="F40" s="30" t="s">
        <v>16</v>
      </c>
      <c r="G40" s="30" t="s">
        <v>16</v>
      </c>
      <c r="H40" s="30" t="s">
        <v>17</v>
      </c>
      <c r="I40" s="30" t="s">
        <v>16</v>
      </c>
      <c r="J40" s="30" t="s">
        <v>17</v>
      </c>
      <c r="K40" s="30" t="s">
        <v>16</v>
      </c>
      <c r="L40" s="30" t="s">
        <v>17</v>
      </c>
      <c r="M40" s="30" t="s">
        <v>16</v>
      </c>
      <c r="N40" s="30" t="s">
        <v>17</v>
      </c>
    </row>
    <row r="41" spans="2:14" ht="82.5" customHeight="1" thickBot="1">
      <c r="B41" s="32">
        <v>0.45833333333333331</v>
      </c>
      <c r="C41" s="3"/>
      <c r="D41" s="3"/>
      <c r="E41" s="3"/>
      <c r="F41" s="3"/>
      <c r="G41" s="4"/>
      <c r="H41" s="3"/>
      <c r="I41" s="3"/>
      <c r="J41" s="3"/>
      <c r="K41" s="3"/>
      <c r="L41" s="3"/>
      <c r="M41" s="5" t="s">
        <v>18</v>
      </c>
      <c r="N41" s="3"/>
    </row>
    <row r="42" spans="2:14" ht="82.5" customHeight="1" thickBot="1">
      <c r="B42" s="33">
        <v>0.5</v>
      </c>
      <c r="C42" s="8" t="s">
        <v>20</v>
      </c>
      <c r="D42" s="3"/>
      <c r="E42" s="3"/>
      <c r="F42" s="8" t="s">
        <v>20</v>
      </c>
      <c r="G42" s="6" t="s">
        <v>19</v>
      </c>
      <c r="H42" s="4"/>
      <c r="I42" s="4"/>
      <c r="J42" s="4"/>
      <c r="K42" s="4"/>
      <c r="L42" s="4"/>
      <c r="M42" s="5" t="s">
        <v>18</v>
      </c>
      <c r="N42" s="7"/>
    </row>
    <row r="43" spans="2:14" ht="82.5" customHeight="1" thickBot="1">
      <c r="B43" s="34">
        <v>0.54166666666666663</v>
      </c>
      <c r="C43" s="8" t="s">
        <v>20</v>
      </c>
      <c r="D43" s="3"/>
      <c r="E43" s="3"/>
      <c r="F43" s="8" t="s">
        <v>20</v>
      </c>
      <c r="G43" s="8" t="s">
        <v>20</v>
      </c>
      <c r="H43" s="4"/>
      <c r="I43" s="8" t="s">
        <v>20</v>
      </c>
      <c r="J43" s="4"/>
      <c r="K43" s="8" t="s">
        <v>20</v>
      </c>
      <c r="L43" s="4"/>
      <c r="M43" s="5" t="s">
        <v>18</v>
      </c>
      <c r="N43" s="9"/>
    </row>
    <row r="44" spans="2:14" ht="82.5" customHeight="1" thickBot="1">
      <c r="B44" s="35">
        <v>0.58333333333333337</v>
      </c>
      <c r="C44" s="8" t="s">
        <v>20</v>
      </c>
      <c r="D44" s="3"/>
      <c r="E44" s="3"/>
      <c r="F44" s="8" t="s">
        <v>20</v>
      </c>
      <c r="G44" s="4" t="s">
        <v>21</v>
      </c>
      <c r="H44" s="4"/>
      <c r="I44" s="4" t="s">
        <v>22</v>
      </c>
      <c r="J44" s="4"/>
      <c r="K44" s="8" t="s">
        <v>20</v>
      </c>
      <c r="L44" s="4"/>
      <c r="M44" s="8" t="s">
        <v>20</v>
      </c>
      <c r="N44" s="10"/>
    </row>
    <row r="45" spans="2:14" ht="82.5" customHeight="1" thickBot="1">
      <c r="B45" s="34">
        <v>0.625</v>
      </c>
      <c r="C45" s="8" t="s">
        <v>20</v>
      </c>
      <c r="D45" s="3"/>
      <c r="E45" s="3"/>
      <c r="F45" s="8" t="s">
        <v>20</v>
      </c>
      <c r="G45" s="3"/>
      <c r="H45" s="9"/>
      <c r="I45" s="4" t="s">
        <v>21</v>
      </c>
      <c r="J45" s="9"/>
      <c r="K45" s="4"/>
      <c r="L45" s="9"/>
      <c r="M45" s="9" t="s">
        <v>56</v>
      </c>
      <c r="N45" s="9"/>
    </row>
    <row r="46" spans="2:14" ht="82.5" customHeight="1" thickBot="1">
      <c r="B46" s="35">
        <v>0.66666666666666663</v>
      </c>
      <c r="C46" s="5" t="s">
        <v>18</v>
      </c>
      <c r="D46" s="3"/>
      <c r="E46" s="3"/>
      <c r="F46" s="5" t="s">
        <v>18</v>
      </c>
      <c r="G46" s="5" t="s">
        <v>18</v>
      </c>
      <c r="H46" s="9"/>
      <c r="I46" s="5" t="s">
        <v>18</v>
      </c>
      <c r="J46" s="9"/>
      <c r="K46" s="3"/>
      <c r="L46" s="9"/>
      <c r="M46" s="9" t="s">
        <v>21</v>
      </c>
      <c r="N46" s="9"/>
    </row>
    <row r="47" spans="2:14" ht="82.5" customHeight="1" thickBot="1">
      <c r="B47" s="34">
        <v>0.70833333333333337</v>
      </c>
      <c r="C47" s="5" t="s">
        <v>18</v>
      </c>
      <c r="D47" s="3"/>
      <c r="E47" s="3"/>
      <c r="F47" s="5" t="s">
        <v>18</v>
      </c>
      <c r="G47" s="5" t="s">
        <v>18</v>
      </c>
      <c r="H47" s="9"/>
      <c r="I47" s="5" t="s">
        <v>18</v>
      </c>
      <c r="J47" s="9"/>
      <c r="K47" s="3"/>
      <c r="L47" s="9"/>
      <c r="M47" s="3"/>
      <c r="N47" s="3"/>
    </row>
    <row r="48" spans="2:14" ht="82.5" customHeight="1" thickBot="1">
      <c r="B48" s="35">
        <v>0.75</v>
      </c>
      <c r="C48" s="5" t="s">
        <v>18</v>
      </c>
      <c r="D48" s="3"/>
      <c r="E48" s="3"/>
      <c r="F48" s="5" t="s">
        <v>18</v>
      </c>
      <c r="G48" s="5" t="s">
        <v>18</v>
      </c>
      <c r="H48" s="9"/>
      <c r="I48" s="5" t="s">
        <v>18</v>
      </c>
      <c r="J48" s="9"/>
      <c r="K48" s="3"/>
      <c r="L48" s="9"/>
      <c r="M48" s="3"/>
      <c r="N48" s="3"/>
    </row>
    <row r="49" spans="2:14" ht="82.5" customHeight="1" thickBot="1">
      <c r="B49" s="34">
        <v>0.79166666666666663</v>
      </c>
      <c r="C49" s="8" t="s">
        <v>20</v>
      </c>
      <c r="D49" s="3"/>
      <c r="E49" s="11" t="s">
        <v>25</v>
      </c>
      <c r="F49" s="8" t="s">
        <v>20</v>
      </c>
      <c r="G49" s="8" t="s">
        <v>20</v>
      </c>
      <c r="H49" s="9"/>
      <c r="I49" s="8" t="s">
        <v>20</v>
      </c>
      <c r="J49" s="9"/>
      <c r="K49" s="9" t="s">
        <v>19</v>
      </c>
      <c r="L49" s="9"/>
      <c r="M49" s="3"/>
      <c r="N49" s="3"/>
    </row>
    <row r="50" spans="2:14" ht="82.5" customHeight="1" thickBot="1">
      <c r="B50" s="36">
        <v>0.83333333333333337</v>
      </c>
      <c r="C50" s="8" t="s">
        <v>20</v>
      </c>
      <c r="D50" s="3"/>
      <c r="E50" s="3" t="s">
        <v>19</v>
      </c>
      <c r="F50" s="8" t="s">
        <v>20</v>
      </c>
      <c r="G50" s="9" t="s">
        <v>21</v>
      </c>
      <c r="H50" s="3"/>
      <c r="I50" s="9" t="s">
        <v>26</v>
      </c>
      <c r="J50" s="3"/>
      <c r="K50" s="8" t="s">
        <v>20</v>
      </c>
      <c r="L50" s="3"/>
      <c r="M50" s="3"/>
      <c r="N50" s="3"/>
    </row>
    <row r="51" spans="2:14" ht="82.5" customHeight="1" thickBot="1">
      <c r="B51" s="31" t="s">
        <v>9</v>
      </c>
      <c r="C51" s="37" t="s">
        <v>10</v>
      </c>
      <c r="D51" s="38">
        <f>D39+7</f>
        <v>43766</v>
      </c>
      <c r="E51" s="37" t="s">
        <v>11</v>
      </c>
      <c r="F51" s="39">
        <f>F39+7</f>
        <v>43767</v>
      </c>
      <c r="G51" s="37" t="s">
        <v>12</v>
      </c>
      <c r="H51" s="39">
        <f>H39+7</f>
        <v>43768</v>
      </c>
      <c r="I51" s="37" t="s">
        <v>13</v>
      </c>
      <c r="J51" s="39">
        <f>J39+7</f>
        <v>43769</v>
      </c>
      <c r="K51" s="40" t="s">
        <v>14</v>
      </c>
      <c r="L51" s="41">
        <f>L39+7</f>
        <v>43770</v>
      </c>
      <c r="M51" s="40" t="s">
        <v>15</v>
      </c>
      <c r="N51" s="41">
        <f>N39+7</f>
        <v>43771</v>
      </c>
    </row>
    <row r="52" spans="2:14" ht="82.5" customHeight="1" thickBot="1">
      <c r="B52" s="13"/>
      <c r="C52" s="30" t="s">
        <v>16</v>
      </c>
      <c r="D52" s="29"/>
      <c r="E52" s="29"/>
      <c r="F52" s="29"/>
      <c r="G52" s="29"/>
      <c r="H52" s="29"/>
      <c r="I52" s="29"/>
      <c r="J52" s="29"/>
      <c r="K52" s="30" t="s">
        <v>16</v>
      </c>
      <c r="L52" s="30" t="s">
        <v>17</v>
      </c>
      <c r="M52" s="30" t="s">
        <v>16</v>
      </c>
      <c r="N52" s="30" t="s">
        <v>17</v>
      </c>
    </row>
    <row r="53" spans="2:14" ht="82.5" customHeight="1" thickBot="1">
      <c r="B53" s="32">
        <v>0.45833333333333331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12"/>
      <c r="N53" s="3"/>
    </row>
    <row r="54" spans="2:14" ht="82.5" customHeight="1" thickBot="1">
      <c r="B54" s="33">
        <v>0.5</v>
      </c>
      <c r="C54" s="8" t="s">
        <v>20</v>
      </c>
      <c r="D54" s="3"/>
      <c r="E54" s="3"/>
      <c r="F54" s="3"/>
      <c r="G54" s="3"/>
      <c r="H54" s="3"/>
      <c r="I54" s="3"/>
      <c r="J54" s="3"/>
      <c r="K54" s="4"/>
      <c r="L54" s="4"/>
      <c r="M54" s="3"/>
      <c r="N54" s="3"/>
    </row>
    <row r="55" spans="2:14" ht="82.5" customHeight="1" thickBot="1">
      <c r="B55" s="34">
        <v>0.54166666666666663</v>
      </c>
      <c r="C55" s="8" t="s">
        <v>20</v>
      </c>
      <c r="D55" s="3"/>
      <c r="E55" s="3"/>
      <c r="F55" s="3"/>
      <c r="G55" s="3"/>
      <c r="H55" s="3"/>
      <c r="I55" s="3"/>
      <c r="J55" s="3"/>
      <c r="K55" s="8" t="s">
        <v>20</v>
      </c>
      <c r="L55" s="4"/>
      <c r="M55" s="3"/>
      <c r="N55" s="3"/>
    </row>
    <row r="56" spans="2:14" ht="82.5" customHeight="1" thickBot="1">
      <c r="B56" s="35">
        <v>0.58333333333333337</v>
      </c>
      <c r="C56" s="8" t="s">
        <v>20</v>
      </c>
      <c r="D56" s="3"/>
      <c r="E56" s="3"/>
      <c r="F56" s="3"/>
      <c r="G56" s="3"/>
      <c r="H56" s="3"/>
      <c r="I56" s="3"/>
      <c r="J56" s="3"/>
      <c r="K56" s="8" t="s">
        <v>20</v>
      </c>
      <c r="L56" s="4"/>
      <c r="M56" s="3"/>
      <c r="N56" s="3"/>
    </row>
    <row r="57" spans="2:14" ht="82.5" customHeight="1" thickBot="1">
      <c r="B57" s="34">
        <v>0.625</v>
      </c>
      <c r="C57" s="8" t="s">
        <v>20</v>
      </c>
      <c r="D57" s="3"/>
      <c r="E57" s="3"/>
      <c r="F57" s="3"/>
      <c r="G57" s="3"/>
      <c r="H57" s="3"/>
      <c r="I57" s="3"/>
      <c r="J57" s="3"/>
      <c r="K57" s="4"/>
      <c r="L57" s="9"/>
      <c r="M57" s="3"/>
      <c r="N57" s="3"/>
    </row>
    <row r="58" spans="2:14" ht="82.5" customHeight="1" thickBot="1">
      <c r="B58" s="35">
        <v>0.66666666666666663</v>
      </c>
      <c r="C58" s="5" t="s">
        <v>18</v>
      </c>
      <c r="D58" s="3"/>
      <c r="E58" s="3"/>
      <c r="F58" s="3"/>
      <c r="G58" s="3"/>
      <c r="H58" s="3"/>
      <c r="I58" s="3"/>
      <c r="J58" s="3"/>
      <c r="K58" s="3"/>
      <c r="L58" s="9"/>
      <c r="M58" s="3"/>
      <c r="N58" s="3"/>
    </row>
    <row r="59" spans="2:14" ht="82.5" customHeight="1" thickBot="1">
      <c r="B59" s="34">
        <v>0.70833333333333337</v>
      </c>
      <c r="C59" s="5" t="s">
        <v>18</v>
      </c>
      <c r="D59" s="3"/>
      <c r="E59" s="3"/>
      <c r="F59" s="3"/>
      <c r="G59" s="3"/>
      <c r="H59" s="3"/>
      <c r="I59" s="3"/>
      <c r="J59" s="3"/>
      <c r="K59" s="3"/>
      <c r="L59" s="9"/>
      <c r="M59" s="3"/>
      <c r="N59" s="3"/>
    </row>
    <row r="60" spans="2:14" ht="82.5" customHeight="1" thickBot="1">
      <c r="B60" s="35">
        <v>0.75</v>
      </c>
      <c r="C60" s="5" t="s">
        <v>18</v>
      </c>
      <c r="D60" s="3"/>
      <c r="E60" s="3"/>
      <c r="F60" s="3"/>
      <c r="G60" s="3"/>
      <c r="H60" s="3"/>
      <c r="I60" s="3"/>
      <c r="J60" s="3"/>
      <c r="K60" s="3"/>
      <c r="L60" s="9"/>
      <c r="M60" s="3"/>
      <c r="N60" s="3"/>
    </row>
    <row r="61" spans="2:14" ht="82.5" customHeight="1" thickBot="1">
      <c r="B61" s="34">
        <v>0.79166666666666663</v>
      </c>
      <c r="C61" s="8" t="s">
        <v>20</v>
      </c>
      <c r="D61" s="3"/>
      <c r="E61" s="3"/>
      <c r="F61" s="3"/>
      <c r="G61" s="3"/>
      <c r="H61" s="3"/>
      <c r="I61" s="3"/>
      <c r="J61" s="3"/>
      <c r="K61" s="9" t="s">
        <v>19</v>
      </c>
      <c r="L61" s="9"/>
      <c r="M61" s="3"/>
      <c r="N61" s="3"/>
    </row>
    <row r="62" spans="2:14" ht="82.5" customHeight="1" thickBot="1">
      <c r="B62" s="36">
        <v>0.83333333333333337</v>
      </c>
      <c r="C62" s="8" t="s">
        <v>20</v>
      </c>
      <c r="D62" s="3"/>
      <c r="E62" s="3"/>
      <c r="F62" s="3"/>
      <c r="G62" s="3"/>
      <c r="H62" s="3"/>
      <c r="I62" s="3"/>
      <c r="J62" s="3"/>
      <c r="K62" s="8" t="s">
        <v>20</v>
      </c>
      <c r="L62" s="3"/>
      <c r="M62" s="3"/>
      <c r="N62" s="3"/>
    </row>
  </sheetData>
  <mergeCells count="4">
    <mergeCell ref="B1:E1"/>
    <mergeCell ref="F1:G1"/>
    <mergeCell ref="B2:C2"/>
    <mergeCell ref="D2:E2"/>
  </mergeCells>
  <phoneticPr fontId="42"/>
  <dataValidations count="6">
    <dataValidation allowBlank="1" showInputMessage="1" showErrorMessage="1" prompt="Enter semester name in this cell" sqref="F1:G1" xr:uid="{00000000-0002-0000-0900-000000000000}"/>
    <dataValidation allowBlank="1" showInputMessage="1" showErrorMessage="1" prompt="Title of this worksheet is in this cell.  Enter semester name in cell at right" sqref="B1:E1" xr:uid="{00000000-0002-0000-0900-000001000000}"/>
    <dataValidation allowBlank="1" showInputMessage="1" showErrorMessage="1" prompt="Enter Start Time in cell at right" sqref="B2" xr:uid="{00000000-0002-0000-0900-000002000000}"/>
    <dataValidation allowBlank="1" showInputMessage="1" showErrorMessage="1" prompt="Create a Class Schedule in this worksheet. Enter Start Time in cell C2, Interval duration in cell E2, and weekly schedule starting in cells B3" sqref="A1" xr:uid="{00000000-0002-0000-0900-000003000000}"/>
    <dataValidation allowBlank="1" showInputMessage="1" showErrorMessage="1" prompt="Time is automatically updated in this column under this heading" sqref="B27:B28 B15:B16 B3:B4 B39:B40 B51:B52" xr:uid="{00000000-0002-0000-0900-000004000000}"/>
    <dataValidation allowBlank="1" showInputMessage="1" showErrorMessage="1" prompt="Enter schedule for this weekday in this column under this heading. Select a cell or cells for duration; unmerge/merge cells for classes spanning intervals, using Home tab options" sqref="C51:N52 C27:N28 C39:N40 C15:N16 C3:N4" xr:uid="{00000000-0002-0000-0900-000005000000}"/>
  </dataValidations>
  <printOptions horizontalCentered="1"/>
  <pageMargins left="0.25" right="7.4652777777777776E-2" top="0.75" bottom="0.75" header="0.3" footer="0.3"/>
  <pageSetup scale="13" orientation="portrait" r:id="rId1"/>
  <headerFooter differentFirst="1">
    <oddFooter>Page 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E65E-75A2-2943-8571-D25E7CAC0BEF}">
  <sheetPr>
    <tabColor theme="0" tint="-0.14999847407452621"/>
    <pageSetUpPr autoPageBreaks="0" fitToPage="1"/>
  </sheetPr>
  <dimension ref="A1:O64"/>
  <sheetViews>
    <sheetView showGridLines="0" topLeftCell="B22" zoomScale="20" zoomScaleNormal="20" zoomScaleSheetLayoutView="10" zoomScalePageLayoutView="10" workbookViewId="0">
      <selection activeCell="N40" sqref="N40"/>
    </sheetView>
  </sheetViews>
  <sheetFormatPr defaultColWidth="8.69921875" defaultRowHeight="30" customHeight="1" thickBottom="1"/>
  <cols>
    <col min="1" max="1" width="16.3984375" customWidth="1"/>
    <col min="2" max="14" width="55.8984375" style="42" customWidth="1"/>
    <col min="15" max="15" width="8.8984375" customWidth="1"/>
  </cols>
  <sheetData>
    <row r="1" spans="1:15" ht="273.75" customHeight="1" thickBot="1">
      <c r="B1" s="261" t="s">
        <v>0</v>
      </c>
      <c r="C1" s="262"/>
      <c r="D1" s="262"/>
      <c r="E1" s="263"/>
      <c r="F1" s="264" t="s">
        <v>1</v>
      </c>
      <c r="G1" s="265"/>
      <c r="H1" s="43" t="s">
        <v>2</v>
      </c>
      <c r="I1" s="44" t="s">
        <v>3</v>
      </c>
      <c r="J1" s="45"/>
      <c r="K1" s="46" t="s">
        <v>4</v>
      </c>
      <c r="L1" s="81"/>
      <c r="M1" s="83"/>
      <c r="N1" s="82"/>
    </row>
    <row r="2" spans="1:15" s="48" customFormat="1" ht="172.5" customHeight="1" thickBot="1">
      <c r="A2" s="47"/>
      <c r="B2" s="266" t="s">
        <v>5</v>
      </c>
      <c r="C2" s="267"/>
      <c r="D2" s="71" t="s">
        <v>6</v>
      </c>
      <c r="E2" s="71"/>
      <c r="F2" s="50"/>
      <c r="G2" s="51"/>
      <c r="H2" s="52"/>
      <c r="I2" s="72" t="s">
        <v>7</v>
      </c>
      <c r="J2" s="53"/>
      <c r="K2" s="73" t="s">
        <v>8</v>
      </c>
      <c r="L2" s="84"/>
      <c r="M2" s="105">
        <v>43556</v>
      </c>
      <c r="N2" s="85"/>
    </row>
    <row r="3" spans="1:15" s="49" customFormat="1" ht="105.75" customHeight="1" thickBot="1">
      <c r="B3" s="54" t="s">
        <v>9</v>
      </c>
      <c r="C3" s="108" t="s">
        <v>10</v>
      </c>
      <c r="D3" s="109">
        <f>M2</f>
        <v>43556</v>
      </c>
      <c r="E3" s="106" t="s">
        <v>11</v>
      </c>
      <c r="F3" s="107">
        <f>D3+1</f>
        <v>43557</v>
      </c>
      <c r="G3" s="111" t="s">
        <v>12</v>
      </c>
      <c r="H3" s="112">
        <f>D3+2</f>
        <v>43558</v>
      </c>
      <c r="I3" s="111" t="s">
        <v>13</v>
      </c>
      <c r="J3" s="112">
        <f>D3+3</f>
        <v>43559</v>
      </c>
      <c r="K3" s="111" t="s">
        <v>14</v>
      </c>
      <c r="L3" s="112">
        <f>D3+4</f>
        <v>43560</v>
      </c>
      <c r="M3" s="113" t="s">
        <v>15</v>
      </c>
      <c r="N3" s="112">
        <f>D3+5</f>
        <v>43561</v>
      </c>
    </row>
    <row r="4" spans="1:15" s="49" customFormat="1" ht="105.75" customHeight="1" thickBot="1">
      <c r="B4" s="55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 t="s">
        <v>16</v>
      </c>
      <c r="N4" s="203" t="s">
        <v>17</v>
      </c>
    </row>
    <row r="5" spans="1:15" s="49" customFormat="1" ht="105.75" customHeight="1" thickBot="1">
      <c r="B5" s="57">
        <v>0.45833333333333331</v>
      </c>
      <c r="C5" s="58"/>
      <c r="D5" s="126"/>
      <c r="E5" s="131"/>
      <c r="F5" s="132"/>
      <c r="G5" s="143"/>
      <c r="H5" s="132"/>
      <c r="I5" s="131"/>
      <c r="J5" s="132"/>
      <c r="K5" s="131"/>
      <c r="L5" s="132"/>
      <c r="M5" s="145" t="s">
        <v>18</v>
      </c>
      <c r="N5" s="132"/>
      <c r="O5" s="144"/>
    </row>
    <row r="6" spans="1:15" s="49" customFormat="1" ht="105.75" customHeight="1" thickBot="1">
      <c r="B6" s="60">
        <v>0.5</v>
      </c>
      <c r="C6" s="58"/>
      <c r="D6" s="126"/>
      <c r="E6" s="140"/>
      <c r="F6" s="147"/>
      <c r="G6" s="133" t="s">
        <v>19</v>
      </c>
      <c r="H6" s="134"/>
      <c r="I6" s="133"/>
      <c r="J6" s="134"/>
      <c r="K6" s="133"/>
      <c r="L6" s="134"/>
      <c r="M6" s="137" t="s">
        <v>18</v>
      </c>
      <c r="N6" s="136"/>
      <c r="O6" s="144"/>
    </row>
    <row r="7" spans="1:15" s="49" customFormat="1" ht="105.75" customHeight="1" thickBot="1">
      <c r="B7" s="61">
        <v>0.54166666666666663</v>
      </c>
      <c r="C7" s="58"/>
      <c r="D7" s="126"/>
      <c r="E7" s="140"/>
      <c r="F7" s="147"/>
      <c r="G7" s="135" t="s">
        <v>20</v>
      </c>
      <c r="H7" s="134"/>
      <c r="I7" s="135" t="s">
        <v>20</v>
      </c>
      <c r="J7" s="134"/>
      <c r="K7" s="135" t="s">
        <v>20</v>
      </c>
      <c r="L7" s="134"/>
      <c r="M7" s="135" t="s">
        <v>20</v>
      </c>
      <c r="N7" s="136"/>
      <c r="O7" s="144"/>
    </row>
    <row r="8" spans="1:15" s="49" customFormat="1" ht="105.75" customHeight="1" thickBot="1">
      <c r="B8" s="63">
        <v>0.58333333333333337</v>
      </c>
      <c r="C8" s="58"/>
      <c r="D8" s="126"/>
      <c r="E8" s="140"/>
      <c r="F8" s="147"/>
      <c r="G8" s="133" t="s">
        <v>21</v>
      </c>
      <c r="H8" s="134"/>
      <c r="I8" s="133" t="s">
        <v>22</v>
      </c>
      <c r="J8" s="134"/>
      <c r="K8" s="135" t="s">
        <v>20</v>
      </c>
      <c r="L8" s="134"/>
      <c r="M8" s="141" t="s">
        <v>56</v>
      </c>
      <c r="N8" s="146"/>
      <c r="O8" s="144"/>
    </row>
    <row r="9" spans="1:15" s="49" customFormat="1" ht="105.75" customHeight="1" thickBot="1">
      <c r="B9" s="61">
        <v>0.625</v>
      </c>
      <c r="C9" s="58"/>
      <c r="D9" s="126"/>
      <c r="E9" s="140"/>
      <c r="F9" s="147"/>
      <c r="G9" s="140"/>
      <c r="H9" s="136"/>
      <c r="I9" s="133" t="s">
        <v>21</v>
      </c>
      <c r="J9" s="136"/>
      <c r="K9" s="133"/>
      <c r="L9" s="136"/>
      <c r="M9" s="141" t="s">
        <v>21</v>
      </c>
      <c r="N9" s="136"/>
      <c r="O9" s="144"/>
    </row>
    <row r="10" spans="1:15" s="49" customFormat="1" ht="105.75" customHeight="1" thickBot="1">
      <c r="B10" s="63">
        <v>0.66666666666666663</v>
      </c>
      <c r="C10" s="58"/>
      <c r="D10" s="126"/>
      <c r="E10" s="140"/>
      <c r="F10" s="147"/>
      <c r="G10" s="137" t="s">
        <v>23</v>
      </c>
      <c r="H10" s="136"/>
      <c r="I10" s="137" t="s">
        <v>23</v>
      </c>
      <c r="J10" s="136"/>
      <c r="K10" s="140"/>
      <c r="L10" s="136"/>
      <c r="M10" s="140"/>
      <c r="N10" s="136"/>
      <c r="O10" s="144"/>
    </row>
    <row r="11" spans="1:15" s="49" customFormat="1" ht="105.75" customHeight="1" thickBot="1">
      <c r="B11" s="61">
        <v>0.70833333333333337</v>
      </c>
      <c r="C11" s="58"/>
      <c r="D11" s="126"/>
      <c r="E11" s="140"/>
      <c r="F11" s="147"/>
      <c r="G11" s="137" t="s">
        <v>24</v>
      </c>
      <c r="H11" s="136"/>
      <c r="I11" s="137" t="s">
        <v>24</v>
      </c>
      <c r="J11" s="136"/>
      <c r="K11" s="140"/>
      <c r="L11" s="136"/>
      <c r="M11" s="140"/>
      <c r="N11" s="147"/>
      <c r="O11" s="144"/>
    </row>
    <row r="12" spans="1:15" s="49" customFormat="1" ht="105.75" customHeight="1" thickBot="1">
      <c r="B12" s="63">
        <v>0.75</v>
      </c>
      <c r="C12" s="58"/>
      <c r="D12" s="126"/>
      <c r="E12" s="140"/>
      <c r="F12" s="147"/>
      <c r="G12" s="137" t="s">
        <v>18</v>
      </c>
      <c r="H12" s="136"/>
      <c r="I12" s="137" t="s">
        <v>18</v>
      </c>
      <c r="J12" s="136"/>
      <c r="K12" s="140"/>
      <c r="L12" s="136"/>
      <c r="M12" s="140"/>
      <c r="N12" s="147"/>
      <c r="O12" s="144"/>
    </row>
    <row r="13" spans="1:15" s="49" customFormat="1" ht="105.75" customHeight="1" thickBot="1">
      <c r="B13" s="61">
        <v>0.79166666666666663</v>
      </c>
      <c r="C13" s="58"/>
      <c r="D13" s="126"/>
      <c r="E13" s="141" t="s">
        <v>25</v>
      </c>
      <c r="F13" s="147"/>
      <c r="G13" s="135" t="s">
        <v>20</v>
      </c>
      <c r="H13" s="136"/>
      <c r="I13" s="135" t="s">
        <v>20</v>
      </c>
      <c r="J13" s="136"/>
      <c r="K13" s="141" t="s">
        <v>19</v>
      </c>
      <c r="L13" s="136"/>
      <c r="M13" s="140"/>
      <c r="N13" s="147"/>
      <c r="O13" s="144"/>
    </row>
    <row r="14" spans="1:15" s="49" customFormat="1" ht="105.75" customHeight="1" thickBot="1">
      <c r="B14" s="66">
        <v>0.83333333333333337</v>
      </c>
      <c r="C14" s="58"/>
      <c r="D14" s="126"/>
      <c r="E14" s="138" t="s">
        <v>19</v>
      </c>
      <c r="F14" s="139"/>
      <c r="G14" s="138" t="s">
        <v>21</v>
      </c>
      <c r="H14" s="139"/>
      <c r="I14" s="138" t="s">
        <v>26</v>
      </c>
      <c r="J14" s="139"/>
      <c r="K14" s="142" t="s">
        <v>20</v>
      </c>
      <c r="L14" s="139"/>
      <c r="M14" s="148"/>
      <c r="N14" s="139"/>
      <c r="O14" s="144"/>
    </row>
    <row r="15" spans="1:15" s="49" customFormat="1" ht="105.75" customHeight="1" thickBot="1">
      <c r="B15" s="54" t="s">
        <v>9</v>
      </c>
      <c r="C15" s="124" t="s">
        <v>10</v>
      </c>
      <c r="D15" s="125">
        <f>H3+5</f>
        <v>43563</v>
      </c>
      <c r="E15" s="113" t="s">
        <v>11</v>
      </c>
      <c r="F15" s="120">
        <f>H3+6</f>
        <v>43564</v>
      </c>
      <c r="G15" s="111" t="s">
        <v>12</v>
      </c>
      <c r="H15" s="112">
        <f>H3+7</f>
        <v>43565</v>
      </c>
      <c r="I15" s="111" t="s">
        <v>13</v>
      </c>
      <c r="J15" s="114">
        <f>H3+8</f>
        <v>43566</v>
      </c>
      <c r="K15" s="111" t="s">
        <v>14</v>
      </c>
      <c r="L15" s="114">
        <f>H3+9</f>
        <v>43567</v>
      </c>
      <c r="M15" s="113" t="s">
        <v>15</v>
      </c>
      <c r="N15" s="130">
        <f>H3+10</f>
        <v>43568</v>
      </c>
    </row>
    <row r="16" spans="1:15" s="49" customFormat="1" ht="105.75" customHeight="1" thickBot="1">
      <c r="B16" s="55"/>
      <c r="C16" s="203"/>
      <c r="D16" s="203"/>
      <c r="E16" s="203" t="s">
        <v>16</v>
      </c>
      <c r="F16" s="203"/>
      <c r="G16" s="203" t="s">
        <v>16</v>
      </c>
      <c r="H16" s="203" t="s">
        <v>17</v>
      </c>
      <c r="I16" s="203" t="s">
        <v>16</v>
      </c>
      <c r="J16" s="203" t="s">
        <v>17</v>
      </c>
      <c r="K16" s="203" t="s">
        <v>16</v>
      </c>
      <c r="L16" s="203" t="s">
        <v>17</v>
      </c>
      <c r="M16" s="203" t="s">
        <v>16</v>
      </c>
      <c r="N16" s="203" t="s">
        <v>17</v>
      </c>
    </row>
    <row r="17" spans="2:15" s="49" customFormat="1" ht="105.75" customHeight="1" thickBot="1">
      <c r="B17" s="57">
        <v>0.45833333333333331</v>
      </c>
      <c r="C17" s="58"/>
      <c r="D17" s="126"/>
      <c r="E17" s="131"/>
      <c r="F17" s="132"/>
      <c r="G17" s="143"/>
      <c r="H17" s="132"/>
      <c r="I17" s="131"/>
      <c r="J17" s="132"/>
      <c r="K17" s="131"/>
      <c r="L17" s="132"/>
      <c r="M17" s="145" t="s">
        <v>18</v>
      </c>
      <c r="N17" s="132"/>
      <c r="O17" s="144"/>
    </row>
    <row r="18" spans="2:15" s="49" customFormat="1" ht="105.75" customHeight="1" thickBot="1">
      <c r="B18" s="60">
        <v>0.5</v>
      </c>
      <c r="C18" s="58"/>
      <c r="D18" s="126"/>
      <c r="E18" s="140"/>
      <c r="F18" s="147"/>
      <c r="G18" s="133" t="s">
        <v>19</v>
      </c>
      <c r="H18" s="134"/>
      <c r="I18" s="133"/>
      <c r="J18" s="134"/>
      <c r="K18" s="133"/>
      <c r="L18" s="134"/>
      <c r="M18" s="137" t="s">
        <v>18</v>
      </c>
      <c r="N18" s="136"/>
      <c r="O18" s="144"/>
    </row>
    <row r="19" spans="2:15" s="49" customFormat="1" ht="105.75" customHeight="1" thickBot="1">
      <c r="B19" s="61">
        <v>0.54166666666666663</v>
      </c>
      <c r="C19" s="58"/>
      <c r="D19" s="126"/>
      <c r="E19" s="140"/>
      <c r="F19" s="147"/>
      <c r="G19" s="135" t="s">
        <v>20</v>
      </c>
      <c r="H19" s="134"/>
      <c r="I19" s="135" t="s">
        <v>20</v>
      </c>
      <c r="J19" s="134"/>
      <c r="K19" s="135" t="s">
        <v>20</v>
      </c>
      <c r="L19" s="134"/>
      <c r="M19" s="135" t="s">
        <v>20</v>
      </c>
      <c r="N19" s="136"/>
      <c r="O19" s="144"/>
    </row>
    <row r="20" spans="2:15" s="49" customFormat="1" ht="105.75" customHeight="1" thickBot="1">
      <c r="B20" s="63">
        <v>0.58333333333333337</v>
      </c>
      <c r="C20" s="58"/>
      <c r="D20" s="126"/>
      <c r="E20" s="140"/>
      <c r="F20" s="147"/>
      <c r="G20" s="133" t="s">
        <v>21</v>
      </c>
      <c r="H20" s="134"/>
      <c r="I20" s="133" t="s">
        <v>22</v>
      </c>
      <c r="J20" s="134"/>
      <c r="K20" s="135" t="s">
        <v>20</v>
      </c>
      <c r="L20" s="134"/>
      <c r="M20" s="141" t="s">
        <v>56</v>
      </c>
      <c r="N20" s="146"/>
      <c r="O20" s="144"/>
    </row>
    <row r="21" spans="2:15" s="49" customFormat="1" ht="105.75" customHeight="1" thickBot="1">
      <c r="B21" s="61">
        <v>0.625</v>
      </c>
      <c r="C21" s="58"/>
      <c r="D21" s="126"/>
      <c r="E21" s="140"/>
      <c r="F21" s="147"/>
      <c r="G21" s="140"/>
      <c r="H21" s="136"/>
      <c r="I21" s="133" t="s">
        <v>21</v>
      </c>
      <c r="J21" s="136"/>
      <c r="K21" s="133"/>
      <c r="L21" s="136"/>
      <c r="M21" s="141" t="s">
        <v>21</v>
      </c>
      <c r="N21" s="136"/>
      <c r="O21" s="144"/>
    </row>
    <row r="22" spans="2:15" s="49" customFormat="1" ht="105.75" customHeight="1" thickBot="1">
      <c r="B22" s="63">
        <v>0.66666666666666663</v>
      </c>
      <c r="C22" s="58"/>
      <c r="D22" s="126"/>
      <c r="E22" s="140"/>
      <c r="F22" s="147"/>
      <c r="G22" s="137" t="s">
        <v>23</v>
      </c>
      <c r="H22" s="136"/>
      <c r="I22" s="137" t="s">
        <v>23</v>
      </c>
      <c r="J22" s="136"/>
      <c r="K22" s="140"/>
      <c r="L22" s="136"/>
      <c r="M22" s="140"/>
      <c r="N22" s="136"/>
      <c r="O22" s="144"/>
    </row>
    <row r="23" spans="2:15" s="49" customFormat="1" ht="105.75" customHeight="1" thickBot="1">
      <c r="B23" s="61">
        <v>0.70833333333333337</v>
      </c>
      <c r="C23" s="58"/>
      <c r="D23" s="126"/>
      <c r="E23" s="140"/>
      <c r="F23" s="147"/>
      <c r="G23" s="137" t="s">
        <v>24</v>
      </c>
      <c r="H23" s="136"/>
      <c r="I23" s="137" t="s">
        <v>24</v>
      </c>
      <c r="J23" s="136"/>
      <c r="K23" s="140"/>
      <c r="L23" s="136"/>
      <c r="M23" s="140"/>
      <c r="N23" s="147"/>
      <c r="O23" s="144"/>
    </row>
    <row r="24" spans="2:15" s="49" customFormat="1" ht="105.75" customHeight="1" thickBot="1">
      <c r="B24" s="63">
        <v>0.75</v>
      </c>
      <c r="C24" s="58"/>
      <c r="D24" s="126"/>
      <c r="E24" s="140"/>
      <c r="F24" s="147"/>
      <c r="G24" s="137" t="s">
        <v>18</v>
      </c>
      <c r="H24" s="136"/>
      <c r="I24" s="137" t="s">
        <v>18</v>
      </c>
      <c r="J24" s="136"/>
      <c r="K24" s="140"/>
      <c r="L24" s="136"/>
      <c r="M24" s="140"/>
      <c r="N24" s="147"/>
      <c r="O24" s="144"/>
    </row>
    <row r="25" spans="2:15" s="49" customFormat="1" ht="105.75" customHeight="1" thickBot="1">
      <c r="B25" s="61">
        <v>0.79166666666666663</v>
      </c>
      <c r="C25" s="58"/>
      <c r="D25" s="126"/>
      <c r="E25" s="141" t="s">
        <v>25</v>
      </c>
      <c r="F25" s="147"/>
      <c r="G25" s="135" t="s">
        <v>20</v>
      </c>
      <c r="H25" s="136"/>
      <c r="I25" s="135" t="s">
        <v>20</v>
      </c>
      <c r="J25" s="136"/>
      <c r="K25" s="141" t="s">
        <v>19</v>
      </c>
      <c r="L25" s="136"/>
      <c r="M25" s="140"/>
      <c r="N25" s="147"/>
      <c r="O25" s="144"/>
    </row>
    <row r="26" spans="2:15" s="49" customFormat="1" ht="105.75" customHeight="1" thickBot="1">
      <c r="B26" s="66">
        <v>0.83333333333333337</v>
      </c>
      <c r="C26" s="58"/>
      <c r="D26" s="126"/>
      <c r="E26" s="138" t="s">
        <v>19</v>
      </c>
      <c r="F26" s="139"/>
      <c r="G26" s="138" t="s">
        <v>21</v>
      </c>
      <c r="H26" s="139"/>
      <c r="I26" s="138" t="s">
        <v>26</v>
      </c>
      <c r="J26" s="139"/>
      <c r="K26" s="142" t="s">
        <v>20</v>
      </c>
      <c r="L26" s="139"/>
      <c r="M26" s="148"/>
      <c r="N26" s="139"/>
      <c r="O26" s="144"/>
    </row>
    <row r="27" spans="2:15" s="49" customFormat="1" ht="105.75" customHeight="1" thickBot="1">
      <c r="B27" s="54" t="s">
        <v>9</v>
      </c>
      <c r="C27" s="124" t="s">
        <v>10</v>
      </c>
      <c r="D27" s="125">
        <f>D15+7</f>
        <v>43570</v>
      </c>
      <c r="E27" s="113" t="s">
        <v>11</v>
      </c>
      <c r="F27" s="120">
        <f>F15+7</f>
        <v>43571</v>
      </c>
      <c r="G27" s="113" t="s">
        <v>12</v>
      </c>
      <c r="H27" s="120">
        <f>H15+7</f>
        <v>43572</v>
      </c>
      <c r="I27" s="113" t="s">
        <v>13</v>
      </c>
      <c r="J27" s="130">
        <f>J15+7</f>
        <v>43573</v>
      </c>
      <c r="K27" s="113" t="s">
        <v>14</v>
      </c>
      <c r="L27" s="130">
        <f>L15+7</f>
        <v>43574</v>
      </c>
      <c r="M27" s="113" t="s">
        <v>15</v>
      </c>
      <c r="N27" s="130">
        <f>N15+7</f>
        <v>43575</v>
      </c>
    </row>
    <row r="28" spans="2:15" s="49" customFormat="1" ht="105.75" customHeight="1" thickBot="1">
      <c r="B28" s="55"/>
      <c r="C28" s="203"/>
      <c r="D28" s="203"/>
      <c r="E28" s="203" t="s">
        <v>16</v>
      </c>
      <c r="F28" s="203"/>
      <c r="G28" s="203" t="s">
        <v>16</v>
      </c>
      <c r="H28" s="203" t="s">
        <v>17</v>
      </c>
      <c r="I28" s="203" t="s">
        <v>16</v>
      </c>
      <c r="J28" s="203" t="s">
        <v>17</v>
      </c>
      <c r="K28" s="203" t="s">
        <v>16</v>
      </c>
      <c r="L28" s="203" t="s">
        <v>17</v>
      </c>
      <c r="M28" s="204" t="s">
        <v>16</v>
      </c>
      <c r="N28" s="205" t="s">
        <v>17</v>
      </c>
      <c r="O28" s="144"/>
    </row>
    <row r="29" spans="2:15" s="49" customFormat="1" ht="105.75" customHeight="1" thickBot="1">
      <c r="B29" s="57">
        <v>0.45833333333333331</v>
      </c>
      <c r="C29" s="58"/>
      <c r="D29" s="126"/>
      <c r="E29" s="131"/>
      <c r="F29" s="132"/>
      <c r="G29" s="143"/>
      <c r="H29" s="132"/>
      <c r="I29" s="131"/>
      <c r="J29" s="132"/>
      <c r="K29" s="131"/>
      <c r="L29" s="149"/>
      <c r="M29" s="137" t="s">
        <v>18</v>
      </c>
      <c r="N29" s="147"/>
      <c r="O29" s="144"/>
    </row>
    <row r="30" spans="2:15" s="49" customFormat="1" ht="105.75" customHeight="1" thickBot="1">
      <c r="B30" s="60">
        <v>0.5</v>
      </c>
      <c r="C30" s="58"/>
      <c r="D30" s="126"/>
      <c r="E30" s="140"/>
      <c r="F30" s="147"/>
      <c r="G30" s="133" t="s">
        <v>19</v>
      </c>
      <c r="H30" s="134"/>
      <c r="I30" s="133"/>
      <c r="J30" s="134"/>
      <c r="K30" s="133"/>
      <c r="L30" s="150"/>
      <c r="M30" s="137" t="s">
        <v>18</v>
      </c>
      <c r="N30" s="136"/>
      <c r="O30" s="144"/>
    </row>
    <row r="31" spans="2:15" s="49" customFormat="1" ht="105.75" customHeight="1" thickBot="1">
      <c r="B31" s="61">
        <v>0.54166666666666663</v>
      </c>
      <c r="C31" s="58"/>
      <c r="D31" s="126"/>
      <c r="E31" s="140"/>
      <c r="F31" s="147"/>
      <c r="G31" s="135" t="s">
        <v>20</v>
      </c>
      <c r="H31" s="134"/>
      <c r="I31" s="135" t="s">
        <v>20</v>
      </c>
      <c r="J31" s="134"/>
      <c r="K31" s="135" t="s">
        <v>20</v>
      </c>
      <c r="L31" s="150"/>
      <c r="M31" s="135" t="s">
        <v>20</v>
      </c>
      <c r="N31" s="136"/>
      <c r="O31" s="144"/>
    </row>
    <row r="32" spans="2:15" s="49" customFormat="1" ht="105.75" customHeight="1" thickBot="1">
      <c r="B32" s="63">
        <v>0.58333333333333337</v>
      </c>
      <c r="C32" s="58"/>
      <c r="D32" s="126"/>
      <c r="E32" s="140"/>
      <c r="F32" s="147"/>
      <c r="G32" s="133" t="s">
        <v>21</v>
      </c>
      <c r="H32" s="134"/>
      <c r="I32" s="133" t="s">
        <v>22</v>
      </c>
      <c r="J32" s="134"/>
      <c r="K32" s="135" t="s">
        <v>20</v>
      </c>
      <c r="L32" s="150"/>
      <c r="M32" s="141" t="s">
        <v>56</v>
      </c>
      <c r="N32" s="146"/>
      <c r="O32" s="144"/>
    </row>
    <row r="33" spans="2:15" s="49" customFormat="1" ht="105.75" customHeight="1" thickBot="1">
      <c r="B33" s="61">
        <v>0.625</v>
      </c>
      <c r="C33" s="58"/>
      <c r="D33" s="126"/>
      <c r="E33" s="140"/>
      <c r="F33" s="147"/>
      <c r="G33" s="140"/>
      <c r="H33" s="136"/>
      <c r="I33" s="133" t="s">
        <v>21</v>
      </c>
      <c r="J33" s="136"/>
      <c r="K33" s="133"/>
      <c r="L33" s="151"/>
      <c r="M33" s="141" t="s">
        <v>21</v>
      </c>
      <c r="N33" s="136"/>
      <c r="O33" s="144"/>
    </row>
    <row r="34" spans="2:15" s="49" customFormat="1" ht="105.75" customHeight="1" thickBot="1">
      <c r="B34" s="63">
        <v>0.66666666666666663</v>
      </c>
      <c r="C34" s="58"/>
      <c r="D34" s="126"/>
      <c r="E34" s="140"/>
      <c r="F34" s="147"/>
      <c r="G34" s="137" t="s">
        <v>23</v>
      </c>
      <c r="H34" s="136"/>
      <c r="I34" s="137" t="s">
        <v>23</v>
      </c>
      <c r="J34" s="136"/>
      <c r="K34" s="140"/>
      <c r="L34" s="151"/>
      <c r="M34" s="140"/>
      <c r="N34" s="136"/>
      <c r="O34" s="144"/>
    </row>
    <row r="35" spans="2:15" s="49" customFormat="1" ht="105.75" customHeight="1" thickBot="1">
      <c r="B35" s="61">
        <v>0.70833333333333337</v>
      </c>
      <c r="C35" s="58"/>
      <c r="D35" s="126"/>
      <c r="E35" s="140"/>
      <c r="F35" s="147"/>
      <c r="G35" s="137" t="s">
        <v>24</v>
      </c>
      <c r="H35" s="136"/>
      <c r="I35" s="137" t="s">
        <v>24</v>
      </c>
      <c r="J35" s="136"/>
      <c r="K35" s="140"/>
      <c r="L35" s="151"/>
      <c r="M35" s="140"/>
      <c r="N35" s="147"/>
      <c r="O35" s="144"/>
    </row>
    <row r="36" spans="2:15" s="49" customFormat="1" ht="105.75" customHeight="1" thickBot="1">
      <c r="B36" s="63">
        <v>0.75</v>
      </c>
      <c r="C36" s="58"/>
      <c r="D36" s="126"/>
      <c r="E36" s="140"/>
      <c r="F36" s="147"/>
      <c r="G36" s="137" t="s">
        <v>18</v>
      </c>
      <c r="H36" s="136"/>
      <c r="I36" s="137" t="s">
        <v>18</v>
      </c>
      <c r="J36" s="136"/>
      <c r="K36" s="140"/>
      <c r="L36" s="151"/>
      <c r="M36" s="140"/>
      <c r="N36" s="147"/>
      <c r="O36" s="144"/>
    </row>
    <row r="37" spans="2:15" s="49" customFormat="1" ht="105.75" customHeight="1" thickBot="1">
      <c r="B37" s="61">
        <v>0.79166666666666663</v>
      </c>
      <c r="C37" s="58"/>
      <c r="D37" s="126"/>
      <c r="E37" s="141" t="s">
        <v>25</v>
      </c>
      <c r="F37" s="147"/>
      <c r="G37" s="135" t="s">
        <v>20</v>
      </c>
      <c r="H37" s="136"/>
      <c r="I37" s="135" t="s">
        <v>20</v>
      </c>
      <c r="J37" s="136"/>
      <c r="K37" s="141" t="s">
        <v>19</v>
      </c>
      <c r="L37" s="151"/>
      <c r="M37" s="140"/>
      <c r="N37" s="147"/>
      <c r="O37" s="144"/>
    </row>
    <row r="38" spans="2:15" s="49" customFormat="1" ht="105.75" customHeight="1" thickBot="1">
      <c r="B38" s="66">
        <v>0.83333333333333337</v>
      </c>
      <c r="C38" s="58"/>
      <c r="D38" s="126"/>
      <c r="E38" s="138" t="s">
        <v>19</v>
      </c>
      <c r="F38" s="139"/>
      <c r="G38" s="138" t="s">
        <v>21</v>
      </c>
      <c r="H38" s="139"/>
      <c r="I38" s="138" t="s">
        <v>26</v>
      </c>
      <c r="J38" s="139"/>
      <c r="K38" s="142" t="s">
        <v>20</v>
      </c>
      <c r="L38" s="152"/>
      <c r="M38" s="148"/>
      <c r="N38" s="139"/>
      <c r="O38" s="144"/>
    </row>
    <row r="39" spans="2:15" s="49" customFormat="1" ht="105.75" customHeight="1" thickBot="1">
      <c r="B39" s="54" t="s">
        <v>9</v>
      </c>
      <c r="C39" s="124" t="s">
        <v>10</v>
      </c>
      <c r="D39" s="125">
        <f>D27+7</f>
        <v>43577</v>
      </c>
      <c r="E39" s="113" t="s">
        <v>11</v>
      </c>
      <c r="F39" s="120">
        <f>F27+7</f>
        <v>43578</v>
      </c>
      <c r="G39" s="113" t="s">
        <v>12</v>
      </c>
      <c r="H39" s="120">
        <f>H27+7</f>
        <v>43579</v>
      </c>
      <c r="I39" s="113" t="s">
        <v>13</v>
      </c>
      <c r="J39" s="130">
        <f>J27+7</f>
        <v>43580</v>
      </c>
      <c r="K39" s="113" t="s">
        <v>14</v>
      </c>
      <c r="L39" s="130">
        <f>L27+7</f>
        <v>43581</v>
      </c>
      <c r="M39" s="113" t="s">
        <v>15</v>
      </c>
      <c r="N39" s="130">
        <f>N27+7</f>
        <v>43582</v>
      </c>
    </row>
    <row r="40" spans="2:15" s="49" customFormat="1" ht="105.75" customHeight="1" thickBot="1">
      <c r="B40" s="55"/>
      <c r="C40" s="203"/>
      <c r="D40" s="203"/>
      <c r="E40" s="203" t="s">
        <v>16</v>
      </c>
      <c r="F40" s="203"/>
      <c r="G40" s="203" t="s">
        <v>16</v>
      </c>
      <c r="H40" s="203" t="s">
        <v>17</v>
      </c>
      <c r="I40" s="203" t="s">
        <v>16</v>
      </c>
      <c r="J40" s="203" t="s">
        <v>17</v>
      </c>
      <c r="K40" s="203" t="s">
        <v>16</v>
      </c>
      <c r="L40" s="203" t="s">
        <v>17</v>
      </c>
      <c r="M40" s="203" t="s">
        <v>16</v>
      </c>
      <c r="N40" s="203" t="s">
        <v>16</v>
      </c>
    </row>
    <row r="41" spans="2:15" s="49" customFormat="1" ht="105.75" customHeight="1" thickBot="1">
      <c r="B41" s="57">
        <v>0.45833333333333331</v>
      </c>
      <c r="C41" s="58"/>
      <c r="D41" s="126"/>
      <c r="E41" s="131"/>
      <c r="F41" s="132"/>
      <c r="G41" s="143"/>
      <c r="H41" s="132"/>
      <c r="I41" s="131"/>
      <c r="J41" s="132"/>
      <c r="K41" s="131"/>
      <c r="L41" s="132"/>
      <c r="M41" s="145" t="s">
        <v>18</v>
      </c>
      <c r="N41" s="132"/>
      <c r="O41" s="144"/>
    </row>
    <row r="42" spans="2:15" s="49" customFormat="1" ht="105.75" customHeight="1" thickBot="1">
      <c r="B42" s="60">
        <v>0.5</v>
      </c>
      <c r="C42" s="58"/>
      <c r="D42" s="126"/>
      <c r="E42" s="140"/>
      <c r="F42" s="147"/>
      <c r="G42" s="133" t="s">
        <v>19</v>
      </c>
      <c r="H42" s="134"/>
      <c r="I42" s="133"/>
      <c r="J42" s="134"/>
      <c r="K42" s="133"/>
      <c r="L42" s="134"/>
      <c r="M42" s="137" t="s">
        <v>18</v>
      </c>
      <c r="N42" s="136"/>
      <c r="O42" s="144"/>
    </row>
    <row r="43" spans="2:15" s="49" customFormat="1" ht="105.75" customHeight="1" thickBot="1">
      <c r="B43" s="61">
        <v>0.54166666666666663</v>
      </c>
      <c r="C43" s="58"/>
      <c r="D43" s="126"/>
      <c r="E43" s="140"/>
      <c r="F43" s="147"/>
      <c r="G43" s="135" t="s">
        <v>20</v>
      </c>
      <c r="H43" s="134"/>
      <c r="I43" s="135" t="s">
        <v>20</v>
      </c>
      <c r="J43" s="134"/>
      <c r="K43" s="135" t="s">
        <v>20</v>
      </c>
      <c r="L43" s="134"/>
      <c r="M43" s="135" t="s">
        <v>20</v>
      </c>
      <c r="N43" s="136"/>
      <c r="O43" s="144"/>
    </row>
    <row r="44" spans="2:15" s="49" customFormat="1" ht="105.75" customHeight="1" thickBot="1">
      <c r="B44" s="63">
        <v>0.58333333333333337</v>
      </c>
      <c r="C44" s="58"/>
      <c r="D44" s="126"/>
      <c r="E44" s="140"/>
      <c r="F44" s="147"/>
      <c r="G44" s="133" t="s">
        <v>21</v>
      </c>
      <c r="H44" s="134"/>
      <c r="I44" s="133" t="s">
        <v>22</v>
      </c>
      <c r="J44" s="134"/>
      <c r="K44" s="135" t="s">
        <v>20</v>
      </c>
      <c r="L44" s="134"/>
      <c r="M44" s="141" t="s">
        <v>56</v>
      </c>
      <c r="N44" s="146" t="s">
        <v>42</v>
      </c>
      <c r="O44" s="144"/>
    </row>
    <row r="45" spans="2:15" s="49" customFormat="1" ht="105.75" customHeight="1" thickBot="1">
      <c r="B45" s="61">
        <v>0.625</v>
      </c>
      <c r="C45" s="58"/>
      <c r="D45" s="126"/>
      <c r="E45" s="140"/>
      <c r="F45" s="147"/>
      <c r="G45" s="140"/>
      <c r="H45" s="136"/>
      <c r="I45" s="133" t="s">
        <v>21</v>
      </c>
      <c r="J45" s="136"/>
      <c r="K45" s="133"/>
      <c r="L45" s="136"/>
      <c r="M45" s="141" t="s">
        <v>21</v>
      </c>
      <c r="N45" s="146" t="s">
        <v>42</v>
      </c>
      <c r="O45" s="144"/>
    </row>
    <row r="46" spans="2:15" s="49" customFormat="1" ht="105.75" customHeight="1" thickBot="1">
      <c r="B46" s="63">
        <v>0.66666666666666663</v>
      </c>
      <c r="C46" s="58"/>
      <c r="D46" s="126"/>
      <c r="E46" s="140"/>
      <c r="F46" s="147"/>
      <c r="G46" s="137" t="s">
        <v>23</v>
      </c>
      <c r="H46" s="136"/>
      <c r="I46" s="137" t="s">
        <v>23</v>
      </c>
      <c r="J46" s="136"/>
      <c r="K46" s="140"/>
      <c r="L46" s="136"/>
      <c r="M46" s="140"/>
      <c r="N46" s="136"/>
      <c r="O46" s="144"/>
    </row>
    <row r="47" spans="2:15" s="49" customFormat="1" ht="105.75" customHeight="1" thickBot="1">
      <c r="B47" s="61">
        <v>0.70833333333333337</v>
      </c>
      <c r="C47" s="58"/>
      <c r="D47" s="126"/>
      <c r="E47" s="140"/>
      <c r="F47" s="147"/>
      <c r="G47" s="137" t="s">
        <v>24</v>
      </c>
      <c r="H47" s="136"/>
      <c r="I47" s="137" t="s">
        <v>24</v>
      </c>
      <c r="J47" s="136"/>
      <c r="K47" s="140"/>
      <c r="L47" s="136"/>
      <c r="M47" s="140"/>
      <c r="N47" s="147"/>
      <c r="O47" s="144"/>
    </row>
    <row r="48" spans="2:15" s="49" customFormat="1" ht="105.75" customHeight="1" thickBot="1">
      <c r="B48" s="63">
        <v>0.75</v>
      </c>
      <c r="C48" s="58"/>
      <c r="D48" s="126"/>
      <c r="E48" s="140"/>
      <c r="F48" s="147"/>
      <c r="G48" s="137" t="s">
        <v>18</v>
      </c>
      <c r="H48" s="136"/>
      <c r="I48" s="137" t="s">
        <v>18</v>
      </c>
      <c r="J48" s="136"/>
      <c r="K48" s="140"/>
      <c r="L48" s="136"/>
      <c r="M48" s="140"/>
      <c r="N48" s="147"/>
      <c r="O48" s="144"/>
    </row>
    <row r="49" spans="2:15" s="49" customFormat="1" ht="105.75" customHeight="1" thickBot="1">
      <c r="B49" s="61">
        <v>0.79166666666666663</v>
      </c>
      <c r="C49" s="58"/>
      <c r="D49" s="126"/>
      <c r="E49" s="141" t="s">
        <v>25</v>
      </c>
      <c r="F49" s="147"/>
      <c r="G49" s="135" t="s">
        <v>20</v>
      </c>
      <c r="H49" s="136"/>
      <c r="I49" s="135" t="s">
        <v>20</v>
      </c>
      <c r="J49" s="136"/>
      <c r="K49" s="141" t="s">
        <v>19</v>
      </c>
      <c r="L49" s="136"/>
      <c r="M49" s="140"/>
      <c r="N49" s="147"/>
      <c r="O49" s="144"/>
    </row>
    <row r="50" spans="2:15" s="49" customFormat="1" ht="105.75" customHeight="1" thickBot="1">
      <c r="B50" s="66">
        <v>0.83333333333333337</v>
      </c>
      <c r="C50" s="58"/>
      <c r="D50" s="126"/>
      <c r="E50" s="138" t="s">
        <v>19</v>
      </c>
      <c r="F50" s="139"/>
      <c r="G50" s="138" t="s">
        <v>21</v>
      </c>
      <c r="H50" s="139"/>
      <c r="I50" s="138" t="s">
        <v>26</v>
      </c>
      <c r="J50" s="139"/>
      <c r="K50" s="142" t="s">
        <v>20</v>
      </c>
      <c r="L50" s="139"/>
      <c r="M50" s="148"/>
      <c r="N50" s="139"/>
      <c r="O50" s="144"/>
    </row>
    <row r="51" spans="2:15" s="49" customFormat="1" ht="105.75" customHeight="1" thickBot="1">
      <c r="B51" s="54" t="s">
        <v>9</v>
      </c>
      <c r="C51" s="124" t="s">
        <v>10</v>
      </c>
      <c r="D51" s="125">
        <f>D39+7</f>
        <v>43584</v>
      </c>
      <c r="E51" s="153" t="s">
        <v>11</v>
      </c>
      <c r="F51" s="122">
        <f>F39+7</f>
        <v>43585</v>
      </c>
      <c r="G51" s="153" t="s">
        <v>12</v>
      </c>
      <c r="H51" s="122">
        <f>H39+7</f>
        <v>43586</v>
      </c>
      <c r="I51" s="153" t="s">
        <v>13</v>
      </c>
      <c r="J51" s="209">
        <f>J39+7</f>
        <v>43587</v>
      </c>
      <c r="K51" s="153" t="s">
        <v>14</v>
      </c>
      <c r="L51" s="209">
        <f>L39+7</f>
        <v>43588</v>
      </c>
      <c r="M51" s="154" t="s">
        <v>15</v>
      </c>
      <c r="N51" s="155">
        <f>N39+7</f>
        <v>43589</v>
      </c>
    </row>
    <row r="52" spans="2:15" s="49" customFormat="1" ht="105.75" customHeight="1" thickBot="1">
      <c r="B52" s="55"/>
      <c r="C52" s="203"/>
      <c r="D52" s="203"/>
      <c r="E52" s="203" t="s">
        <v>16</v>
      </c>
      <c r="F52" s="203"/>
      <c r="G52" s="203" t="s">
        <v>16</v>
      </c>
      <c r="H52" s="203" t="s">
        <v>17</v>
      </c>
      <c r="I52" s="203" t="s">
        <v>16</v>
      </c>
      <c r="J52" s="203" t="s">
        <v>17</v>
      </c>
      <c r="K52" s="203" t="s">
        <v>16</v>
      </c>
      <c r="L52" s="203" t="s">
        <v>17</v>
      </c>
      <c r="M52" s="203" t="s">
        <v>16</v>
      </c>
      <c r="N52" s="203" t="s">
        <v>17</v>
      </c>
    </row>
    <row r="53" spans="2:15" s="49" customFormat="1" ht="105.75" customHeight="1" thickBot="1">
      <c r="B53" s="57">
        <v>0.45833333333333331</v>
      </c>
      <c r="C53" s="58"/>
      <c r="D53" s="58"/>
      <c r="E53" s="58"/>
      <c r="F53" s="126"/>
      <c r="G53" s="143"/>
      <c r="H53" s="132"/>
      <c r="I53" s="131"/>
      <c r="J53" s="132"/>
      <c r="K53" s="131"/>
      <c r="L53" s="132"/>
      <c r="M53" s="145" t="s">
        <v>18</v>
      </c>
      <c r="N53" s="132"/>
      <c r="O53" s="144"/>
    </row>
    <row r="54" spans="2:15" s="49" customFormat="1" ht="105.75" customHeight="1" thickBot="1">
      <c r="B54" s="60">
        <v>0.5</v>
      </c>
      <c r="C54" s="58"/>
      <c r="D54" s="58"/>
      <c r="E54" s="58"/>
      <c r="F54" s="126"/>
      <c r="G54" s="133" t="s">
        <v>19</v>
      </c>
      <c r="H54" s="134"/>
      <c r="I54" s="133"/>
      <c r="J54" s="134"/>
      <c r="K54" s="133"/>
      <c r="L54" s="134"/>
      <c r="M54" s="137" t="s">
        <v>18</v>
      </c>
      <c r="N54" s="136"/>
      <c r="O54" s="144"/>
    </row>
    <row r="55" spans="2:15" s="49" customFormat="1" ht="105.75" customHeight="1" thickBot="1">
      <c r="B55" s="61">
        <v>0.54166666666666663</v>
      </c>
      <c r="C55" s="58"/>
      <c r="D55" s="58"/>
      <c r="E55" s="58"/>
      <c r="F55" s="126"/>
      <c r="G55" s="135" t="s">
        <v>20</v>
      </c>
      <c r="H55" s="134"/>
      <c r="I55" s="135" t="s">
        <v>20</v>
      </c>
      <c r="J55" s="134"/>
      <c r="K55" s="135" t="s">
        <v>20</v>
      </c>
      <c r="L55" s="134"/>
      <c r="M55" s="135" t="s">
        <v>20</v>
      </c>
      <c r="N55" s="136"/>
      <c r="O55" s="144"/>
    </row>
    <row r="56" spans="2:15" s="49" customFormat="1" ht="105.75" customHeight="1" thickBot="1">
      <c r="B56" s="63">
        <v>0.58333333333333337</v>
      </c>
      <c r="C56" s="58"/>
      <c r="D56" s="58"/>
      <c r="E56" s="58"/>
      <c r="F56" s="126"/>
      <c r="G56" s="133" t="s">
        <v>21</v>
      </c>
      <c r="H56" s="134"/>
      <c r="I56" s="133" t="s">
        <v>22</v>
      </c>
      <c r="J56" s="134"/>
      <c r="K56" s="135" t="s">
        <v>20</v>
      </c>
      <c r="L56" s="134"/>
      <c r="M56" s="141" t="s">
        <v>56</v>
      </c>
      <c r="N56" s="146"/>
      <c r="O56" s="144"/>
    </row>
    <row r="57" spans="2:15" s="49" customFormat="1" ht="105.75" customHeight="1" thickBot="1">
      <c r="B57" s="61">
        <v>0.625</v>
      </c>
      <c r="C57" s="58"/>
      <c r="D57" s="58"/>
      <c r="E57" s="58"/>
      <c r="F57" s="126"/>
      <c r="G57" s="140"/>
      <c r="H57" s="136"/>
      <c r="I57" s="133" t="s">
        <v>21</v>
      </c>
      <c r="J57" s="136"/>
      <c r="K57" s="133"/>
      <c r="L57" s="136"/>
      <c r="M57" s="141" t="s">
        <v>21</v>
      </c>
      <c r="N57" s="136"/>
      <c r="O57" s="144"/>
    </row>
    <row r="58" spans="2:15" s="49" customFormat="1" ht="105.75" customHeight="1" thickBot="1">
      <c r="B58" s="63">
        <v>0.66666666666666663</v>
      </c>
      <c r="C58" s="58"/>
      <c r="D58" s="58"/>
      <c r="E58" s="58"/>
      <c r="F58" s="126"/>
      <c r="G58" s="137" t="s">
        <v>23</v>
      </c>
      <c r="H58" s="136"/>
      <c r="I58" s="137" t="s">
        <v>23</v>
      </c>
      <c r="J58" s="136"/>
      <c r="K58" s="140"/>
      <c r="L58" s="136"/>
      <c r="M58" s="140"/>
      <c r="N58" s="136"/>
      <c r="O58" s="144"/>
    </row>
    <row r="59" spans="2:15" s="49" customFormat="1" ht="105.75" customHeight="1" thickBot="1">
      <c r="B59" s="61">
        <v>0.70833333333333337</v>
      </c>
      <c r="C59" s="58"/>
      <c r="D59" s="58"/>
      <c r="E59" s="58"/>
      <c r="F59" s="126"/>
      <c r="G59" s="137" t="s">
        <v>24</v>
      </c>
      <c r="H59" s="136"/>
      <c r="I59" s="137" t="s">
        <v>24</v>
      </c>
      <c r="J59" s="136"/>
      <c r="K59" s="140"/>
      <c r="L59" s="136"/>
      <c r="M59" s="140"/>
      <c r="N59" s="147"/>
      <c r="O59" s="144"/>
    </row>
    <row r="60" spans="2:15" s="49" customFormat="1" ht="105.75" customHeight="1" thickBot="1">
      <c r="B60" s="63">
        <v>0.75</v>
      </c>
      <c r="C60" s="58"/>
      <c r="D60" s="58"/>
      <c r="E60" s="58"/>
      <c r="F60" s="126"/>
      <c r="G60" s="137" t="s">
        <v>18</v>
      </c>
      <c r="H60" s="136"/>
      <c r="I60" s="137" t="s">
        <v>18</v>
      </c>
      <c r="J60" s="136"/>
      <c r="K60" s="140"/>
      <c r="L60" s="136"/>
      <c r="M60" s="140"/>
      <c r="N60" s="147"/>
      <c r="O60" s="144"/>
    </row>
    <row r="61" spans="2:15" s="49" customFormat="1" ht="105.75" customHeight="1" thickBot="1">
      <c r="B61" s="61">
        <v>0.79166666666666663</v>
      </c>
      <c r="C61" s="58"/>
      <c r="D61" s="58"/>
      <c r="E61" s="58"/>
      <c r="F61" s="126"/>
      <c r="G61" s="135" t="s">
        <v>20</v>
      </c>
      <c r="H61" s="136"/>
      <c r="I61" s="135" t="s">
        <v>20</v>
      </c>
      <c r="J61" s="136"/>
      <c r="K61" s="141" t="s">
        <v>19</v>
      </c>
      <c r="L61" s="136"/>
      <c r="M61" s="140"/>
      <c r="N61" s="147"/>
      <c r="O61" s="144"/>
    </row>
    <row r="62" spans="2:15" s="49" customFormat="1" ht="105.75" customHeight="1" thickBot="1">
      <c r="B62" s="66">
        <v>0.83333333333333337</v>
      </c>
      <c r="C62" s="58"/>
      <c r="D62" s="58"/>
      <c r="E62" s="58"/>
      <c r="F62" s="126"/>
      <c r="G62" s="138" t="s">
        <v>21</v>
      </c>
      <c r="H62" s="139"/>
      <c r="I62" s="138" t="s">
        <v>26</v>
      </c>
      <c r="J62" s="139"/>
      <c r="K62" s="142" t="s">
        <v>20</v>
      </c>
      <c r="L62" s="139"/>
      <c r="M62" s="148"/>
      <c r="N62" s="139"/>
      <c r="O62" s="144"/>
    </row>
    <row r="63" spans="2:15" ht="120.75" customHeight="1" thickBot="1">
      <c r="B63" s="268" t="s">
        <v>27</v>
      </c>
      <c r="C63" s="269"/>
      <c r="D63" s="269"/>
      <c r="E63" s="269"/>
      <c r="F63" s="269"/>
      <c r="G63" s="270"/>
      <c r="H63" s="270"/>
      <c r="I63" s="270"/>
      <c r="J63" s="270"/>
      <c r="K63" s="270"/>
      <c r="L63" s="270"/>
      <c r="M63" s="270"/>
      <c r="N63" s="271"/>
    </row>
    <row r="64" spans="2:15" ht="143.25" customHeight="1" thickBot="1">
      <c r="B64" s="67" t="s">
        <v>20</v>
      </c>
      <c r="C64" s="268" t="s">
        <v>28</v>
      </c>
      <c r="D64" s="272"/>
      <c r="E64" s="69" t="s">
        <v>18</v>
      </c>
      <c r="F64" s="68" t="s">
        <v>29</v>
      </c>
      <c r="G64" s="273" t="s">
        <v>48</v>
      </c>
      <c r="H64" s="274"/>
      <c r="I64" s="275"/>
      <c r="J64" s="68" t="s">
        <v>30</v>
      </c>
      <c r="K64" s="70"/>
      <c r="L64" s="70"/>
      <c r="M64" s="70"/>
      <c r="N64" s="70"/>
    </row>
  </sheetData>
  <mergeCells count="6">
    <mergeCell ref="B1:E1"/>
    <mergeCell ref="F1:G1"/>
    <mergeCell ref="B2:C2"/>
    <mergeCell ref="B63:N63"/>
    <mergeCell ref="C64:D64"/>
    <mergeCell ref="G64:I64"/>
  </mergeCells>
  <phoneticPr fontId="42"/>
  <dataValidations count="6">
    <dataValidation allowBlank="1" showInputMessage="1" showErrorMessage="1" prompt="Enter semester name in this cell" sqref="F1:G1" xr:uid="{F762431B-EFE9-5B43-B042-C0056F268F5B}"/>
    <dataValidation allowBlank="1" showInputMessage="1" showErrorMessage="1" prompt="Title of this worksheet is in this cell.  Enter semester name in cell at right" sqref="B1:E1" xr:uid="{F3A51687-1DFF-654D-B54A-963114F0D1F6}"/>
    <dataValidation allowBlank="1" showInputMessage="1" showErrorMessage="1" prompt="Enter Start Time in cell at right" sqref="B2" xr:uid="{A52DBD9F-2A4C-424D-A7D9-AB9D94DD6180}"/>
    <dataValidation allowBlank="1" showInputMessage="1" showErrorMessage="1" prompt="Create a Class Schedule in this worksheet. Enter Start Time in cell C2, Interval duration in cell E2, and weekly schedule starting in cells B3" sqref="A1" xr:uid="{8EFD0481-9E3B-4345-8BCF-80637FCD3398}"/>
    <dataValidation allowBlank="1" showInputMessage="1" showErrorMessage="1" prompt="Time is automatically updated in this column under this heading" sqref="B27:B28 B51:B52 B39:B40 B3:B4 B15:B16" xr:uid="{CCA17AB1-E6BE-FD42-B44F-29F46B5FCC53}"/>
    <dataValidation allowBlank="1" showInputMessage="1" showErrorMessage="1" prompt="Enter schedule for this weekday in this column under this heading. Select a cell or cells for duration; unmerge/merge cells for classes spanning intervals, using Home tab options" sqref="C27:N28 C51:N52 C3:N4 C15:N16 C39:N40" xr:uid="{075DDE08-4992-5741-8DFB-3D4687E7FC6C}"/>
  </dataValidations>
  <printOptions horizontalCentered="1" verticalCentered="1"/>
  <pageMargins left="7.0000000000000007E-2" right="7.0000000000000007E-2" top="0" bottom="0" header="0" footer="0"/>
  <pageSetup paperSize="9" scale="11" orientation="portrait" r:id="rId1"/>
  <headerFooter differentFirst="1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36</vt:i4>
      </vt:variant>
    </vt:vector>
  </HeadingPairs>
  <TitlesOfParts>
    <vt:vector size="47" baseType="lpstr"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Tuesday 1st</vt:lpstr>
      <vt:lpstr>April (2)</vt:lpstr>
      <vt:lpstr>April!Interval</vt:lpstr>
      <vt:lpstr>'April (2)'!Interval</vt:lpstr>
      <vt:lpstr>August!Interval</vt:lpstr>
      <vt:lpstr>December!Interval</vt:lpstr>
      <vt:lpstr>July!Interval</vt:lpstr>
      <vt:lpstr>June!Interval</vt:lpstr>
      <vt:lpstr>May!Interval</vt:lpstr>
      <vt:lpstr>November!Interval</vt:lpstr>
      <vt:lpstr>October!Interval</vt:lpstr>
      <vt:lpstr>September!Interval</vt:lpstr>
      <vt:lpstr>'Tuesday 1st'!Interval</vt:lpstr>
      <vt:lpstr>April!Print_Area</vt:lpstr>
      <vt:lpstr>'April (2)'!Print_Area</vt:lpstr>
      <vt:lpstr>May!Print_Area</vt:lpstr>
      <vt:lpstr>April!Print_Titles</vt:lpstr>
      <vt:lpstr>'April (2)'!Print_Titles</vt:lpstr>
      <vt:lpstr>August!Print_Titles</vt:lpstr>
      <vt:lpstr>December!Print_Titles</vt:lpstr>
      <vt:lpstr>July!Print_Titles</vt:lpstr>
      <vt:lpstr>June!Print_Titles</vt:lpstr>
      <vt:lpstr>May!Print_Titles</vt:lpstr>
      <vt:lpstr>November!Print_Titles</vt:lpstr>
      <vt:lpstr>October!Print_Titles</vt:lpstr>
      <vt:lpstr>September!Print_Titles</vt:lpstr>
      <vt:lpstr>'Tuesday 1st'!Print_Titles</vt:lpstr>
      <vt:lpstr>April!StartTime</vt:lpstr>
      <vt:lpstr>'April (2)'!StartTime</vt:lpstr>
      <vt:lpstr>August!StartTime</vt:lpstr>
      <vt:lpstr>December!StartTime</vt:lpstr>
      <vt:lpstr>July!StartTime</vt:lpstr>
      <vt:lpstr>June!StartTime</vt:lpstr>
      <vt:lpstr>May!StartTime</vt:lpstr>
      <vt:lpstr>November!StartTime</vt:lpstr>
      <vt:lpstr>October!StartTime</vt:lpstr>
      <vt:lpstr>September!StartTime</vt:lpstr>
      <vt:lpstr>'Tuesday 1st'!StartTime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hm</dc:creator>
  <cp:keywords/>
  <dc:description/>
  <cp:lastModifiedBy>PierreMalaval</cp:lastModifiedBy>
  <cp:revision/>
  <cp:lastPrinted>2019-10-16T09:27:43Z</cp:lastPrinted>
  <dcterms:created xsi:type="dcterms:W3CDTF">2017-11-19T02:38:36Z</dcterms:created>
  <dcterms:modified xsi:type="dcterms:W3CDTF">2019-10-16T09:44:06Z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2017-11-19T02:38:39.0271100Z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