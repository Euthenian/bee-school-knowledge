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autoCompressPictures="0"/>
  <bookViews>
    <workbookView xWindow="0" yWindow="0" windowWidth="10785" windowHeight="7200" tabRatio="805" activeTab="4"/>
  </bookViews>
  <sheets>
    <sheet name="calendar setup" sheetId="14" r:id="rId1"/>
    <sheet name="january" sheetId="27" r:id="rId2"/>
    <sheet name="february" sheetId="40" r:id="rId3"/>
    <sheet name="march" sheetId="41" r:id="rId4"/>
    <sheet name="april" sheetId="42" r:id="rId5"/>
    <sheet name="may" sheetId="43" r:id="rId6"/>
    <sheet name="june" sheetId="44" r:id="rId7"/>
    <sheet name="july" sheetId="45" r:id="rId8"/>
    <sheet name="august" sheetId="46" r:id="rId9"/>
    <sheet name="september" sheetId="47" r:id="rId10"/>
    <sheet name="october" sheetId="48" r:id="rId11"/>
    <sheet name="november" sheetId="49" r:id="rId12"/>
    <sheet name="december" sheetId="50" r:id="rId13"/>
  </sheets>
  <definedNames>
    <definedName name="CalendarYear">'calendar setup'!$C$2</definedName>
    <definedName name="DaysAndWeeks">{0,1,2,3,4,5,6} + {0;1;2;3;4;5}*7</definedName>
    <definedName name="_xlnm.Print_Area" localSheetId="0">'calendar setup'!$A$1:$A$26</definedName>
    <definedName name="WeekStart">'calendar setup'!$C$3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" i="14"/>
  <c r="B13" i="50" l="1" a="1"/>
  <c r="H13" s="1"/>
  <c r="B11" a="1"/>
  <c r="H11" s="1"/>
  <c r="B9" a="1"/>
  <c r="H9" s="1"/>
  <c r="B7" a="1"/>
  <c r="H7" s="1"/>
  <c r="B5" a="1"/>
  <c r="H5" s="1"/>
  <c r="B3" a="1"/>
  <c r="H3" s="1"/>
  <c r="H2" s="1"/>
  <c r="B13" i="49" a="1"/>
  <c r="H13" s="1"/>
  <c r="B11" a="1"/>
  <c r="H11" s="1"/>
  <c r="B9" a="1"/>
  <c r="H9" s="1"/>
  <c r="B7" a="1"/>
  <c r="H7" s="1"/>
  <c r="B5" a="1"/>
  <c r="H5" s="1"/>
  <c r="B3" a="1"/>
  <c r="H3" s="1"/>
  <c r="B13" i="48" a="1"/>
  <c r="G13" s="1"/>
  <c r="B11" a="1"/>
  <c r="G11" s="1"/>
  <c r="B9" a="1"/>
  <c r="G9" s="1"/>
  <c r="B7" a="1"/>
  <c r="G7" s="1"/>
  <c r="B5" a="1"/>
  <c r="G5" s="1"/>
  <c r="B3" a="1"/>
  <c r="G3" s="1"/>
  <c r="B13" i="47" a="1"/>
  <c r="G13" s="1"/>
  <c r="B11" a="1"/>
  <c r="G11" s="1"/>
  <c r="B9" a="1"/>
  <c r="G9" s="1"/>
  <c r="B7" a="1"/>
  <c r="G7" s="1"/>
  <c r="B5" a="1"/>
  <c r="G5" s="1"/>
  <c r="B3" a="1"/>
  <c r="G3" s="1"/>
  <c r="B13" i="46" a="1"/>
  <c r="H13" s="1"/>
  <c r="B11" a="1"/>
  <c r="H11" s="1"/>
  <c r="B9" a="1"/>
  <c r="H9" s="1"/>
  <c r="B7" a="1"/>
  <c r="H7" s="1"/>
  <c r="B5" a="1"/>
  <c r="H5" s="1"/>
  <c r="B3" a="1"/>
  <c r="H3" s="1"/>
  <c r="H2" s="1"/>
  <c r="B13" i="45" a="1"/>
  <c r="G13" s="1"/>
  <c r="B11" a="1"/>
  <c r="G11" s="1"/>
  <c r="B9" a="1"/>
  <c r="G9" s="1"/>
  <c r="B7" a="1"/>
  <c r="G7" s="1"/>
  <c r="B5" a="1"/>
  <c r="G5" s="1"/>
  <c r="B3" a="1"/>
  <c r="G3" s="1"/>
  <c r="G2" s="1"/>
  <c r="B13" i="44" a="1"/>
  <c r="H13" s="1"/>
  <c r="B11" a="1"/>
  <c r="H11" s="1"/>
  <c r="B9" a="1"/>
  <c r="H9" s="1"/>
  <c r="B7" a="1"/>
  <c r="H7" s="1"/>
  <c r="B5" a="1"/>
  <c r="H5" s="1"/>
  <c r="B3" a="1"/>
  <c r="H3" s="1"/>
  <c r="H2" s="1"/>
  <c r="B13" i="43" a="1"/>
  <c r="H13" s="1"/>
  <c r="B11" a="1"/>
  <c r="H11" s="1"/>
  <c r="B9" a="1"/>
  <c r="H9" s="1"/>
  <c r="B7" a="1"/>
  <c r="H7" s="1"/>
  <c r="B5" a="1"/>
  <c r="H5" s="1"/>
  <c r="B3" a="1"/>
  <c r="H3" s="1"/>
  <c r="B13" i="42" a="1"/>
  <c r="G13" s="1"/>
  <c r="B11" a="1"/>
  <c r="G11" s="1"/>
  <c r="B9" a="1"/>
  <c r="G9" s="1"/>
  <c r="B7" a="1"/>
  <c r="G7" s="1"/>
  <c r="B5" a="1"/>
  <c r="G5" s="1"/>
  <c r="B3" a="1"/>
  <c r="G3" s="1"/>
  <c r="B13" i="41" a="1"/>
  <c r="H13" s="1"/>
  <c r="B11" a="1"/>
  <c r="H11" s="1"/>
  <c r="B9" a="1"/>
  <c r="H9" s="1"/>
  <c r="B7" a="1"/>
  <c r="H7" s="1"/>
  <c r="B5" a="1"/>
  <c r="H5" s="1"/>
  <c r="B3" a="1"/>
  <c r="H3" s="1"/>
  <c r="H2" s="1"/>
  <c r="B13" i="40" a="1"/>
  <c r="H13" s="1"/>
  <c r="B11" a="1"/>
  <c r="H11" s="1"/>
  <c r="B9" a="1"/>
  <c r="H9" s="1"/>
  <c r="B7" a="1"/>
  <c r="H7" s="1"/>
  <c r="B5" a="1"/>
  <c r="H5" s="1"/>
  <c r="B3" a="1"/>
  <c r="H3" s="1"/>
  <c r="B13" i="27" a="1"/>
  <c r="G13" s="1"/>
  <c r="B11" a="1"/>
  <c r="G11" s="1"/>
  <c r="B9" a="1"/>
  <c r="G9" s="1"/>
  <c r="B7" a="1"/>
  <c r="G7" s="1"/>
  <c r="B5" a="1"/>
  <c r="G5" s="1"/>
  <c r="B3" a="1"/>
  <c r="G3" s="1"/>
  <c r="B2" i="50"/>
  <c r="H1"/>
  <c r="B2" i="49"/>
  <c r="H1"/>
  <c r="B2" i="48"/>
  <c r="H1"/>
  <c r="B2" i="47"/>
  <c r="H1"/>
  <c r="B2" i="46"/>
  <c r="H1"/>
  <c r="B2" i="45"/>
  <c r="H1"/>
  <c r="B2" i="44"/>
  <c r="H1"/>
  <c r="B2" i="43"/>
  <c r="H1"/>
  <c r="B2" i="42"/>
  <c r="H1"/>
  <c r="B2" i="41"/>
  <c r="H1"/>
  <c r="B2" i="40"/>
  <c r="H1"/>
  <c r="H1" i="27"/>
  <c r="B5" i="48" l="1"/>
  <c r="F11"/>
  <c r="B3"/>
  <c r="F9"/>
  <c r="B13"/>
  <c r="D3"/>
  <c r="D2" s="1"/>
  <c r="D5"/>
  <c r="F3"/>
  <c r="F2" s="1"/>
  <c r="B11"/>
  <c r="D11"/>
  <c r="D13"/>
  <c r="F13" i="47"/>
  <c r="D7" i="45"/>
  <c r="F5" i="47"/>
  <c r="F7"/>
  <c r="B7"/>
  <c r="B1" s="1"/>
  <c r="B9"/>
  <c r="D7"/>
  <c r="D9"/>
  <c r="D9" i="45"/>
  <c r="F5"/>
  <c r="F7"/>
  <c r="B7"/>
  <c r="B1" s="1"/>
  <c r="B9"/>
  <c r="F13"/>
  <c r="D11" i="42"/>
  <c r="F11"/>
  <c r="D9"/>
  <c r="F9"/>
  <c r="B3"/>
  <c r="D3"/>
  <c r="D2" s="1"/>
  <c r="F7"/>
  <c r="F3"/>
  <c r="F2" s="1"/>
  <c r="B11"/>
  <c r="D7" i="27"/>
  <c r="D5"/>
  <c r="F11"/>
  <c r="F3"/>
  <c r="D13"/>
  <c r="F5"/>
  <c r="F7"/>
  <c r="B7"/>
  <c r="F13"/>
  <c r="H3"/>
  <c r="B9"/>
  <c r="H11"/>
  <c r="B5" i="42"/>
  <c r="H7"/>
  <c r="B13"/>
  <c r="H3" i="45"/>
  <c r="H2" s="1"/>
  <c r="H11"/>
  <c r="H3" i="47"/>
  <c r="H2" s="1"/>
  <c r="H11"/>
  <c r="H7" i="48"/>
  <c r="B3" i="27"/>
  <c r="H5"/>
  <c r="D9"/>
  <c r="B11"/>
  <c r="H13"/>
  <c r="D5" i="42"/>
  <c r="B7"/>
  <c r="B1" s="1"/>
  <c r="H9"/>
  <c r="D13"/>
  <c r="B3" i="45"/>
  <c r="H5"/>
  <c r="B11"/>
  <c r="H13"/>
  <c r="B3" i="47"/>
  <c r="H5"/>
  <c r="B11"/>
  <c r="H13"/>
  <c r="B7" i="48"/>
  <c r="B1" s="1"/>
  <c r="H9"/>
  <c r="D3" i="27"/>
  <c r="B5"/>
  <c r="H7"/>
  <c r="F9"/>
  <c r="D11"/>
  <c r="B13"/>
  <c r="H3" i="42"/>
  <c r="H2" s="1"/>
  <c r="F5"/>
  <c r="D7"/>
  <c r="B9"/>
  <c r="H11"/>
  <c r="F13"/>
  <c r="D3" i="45"/>
  <c r="D2" s="1"/>
  <c r="B5"/>
  <c r="H7"/>
  <c r="F9"/>
  <c r="D11"/>
  <c r="B13"/>
  <c r="D3" i="47"/>
  <c r="D2" s="1"/>
  <c r="B5"/>
  <c r="H7"/>
  <c r="F9"/>
  <c r="D11"/>
  <c r="B13"/>
  <c r="H3" i="48"/>
  <c r="H2" s="1"/>
  <c r="F5"/>
  <c r="D7"/>
  <c r="B9"/>
  <c r="H11"/>
  <c r="F13"/>
  <c r="H9" i="27"/>
  <c r="H5" i="42"/>
  <c r="H13"/>
  <c r="F3" i="45"/>
  <c r="F2" s="1"/>
  <c r="D5"/>
  <c r="H9"/>
  <c r="F11"/>
  <c r="D13"/>
  <c r="F3" i="47"/>
  <c r="F2" s="1"/>
  <c r="D5"/>
  <c r="H9"/>
  <c r="F11"/>
  <c r="D13"/>
  <c r="H5" i="48"/>
  <c r="F7"/>
  <c r="D9"/>
  <c r="H13"/>
  <c r="C3" i="50"/>
  <c r="C2" s="1"/>
  <c r="E3"/>
  <c r="E2" s="1"/>
  <c r="G3"/>
  <c r="G2" s="1"/>
  <c r="C5"/>
  <c r="E5"/>
  <c r="G5"/>
  <c r="C7"/>
  <c r="E7"/>
  <c r="G7"/>
  <c r="C9"/>
  <c r="E9"/>
  <c r="G9"/>
  <c r="C11"/>
  <c r="E11"/>
  <c r="G11"/>
  <c r="C13"/>
  <c r="E13"/>
  <c r="G13"/>
  <c r="B3"/>
  <c r="D3"/>
  <c r="D2" s="1"/>
  <c r="F3"/>
  <c r="B5"/>
  <c r="D5"/>
  <c r="F5"/>
  <c r="B7"/>
  <c r="B1" s="1"/>
  <c r="D7"/>
  <c r="F7"/>
  <c r="B9"/>
  <c r="D9"/>
  <c r="F9"/>
  <c r="B11"/>
  <c r="D11"/>
  <c r="F11"/>
  <c r="B13"/>
  <c r="D13"/>
  <c r="F13"/>
  <c r="C3" i="49"/>
  <c r="C2" s="1"/>
  <c r="E3"/>
  <c r="E2" s="1"/>
  <c r="G3"/>
  <c r="G2" s="1"/>
  <c r="C7"/>
  <c r="E7"/>
  <c r="G7"/>
  <c r="C11"/>
  <c r="E11"/>
  <c r="G11"/>
  <c r="C13"/>
  <c r="E13"/>
  <c r="G13"/>
  <c r="C5"/>
  <c r="E5"/>
  <c r="G5"/>
  <c r="C9"/>
  <c r="E9"/>
  <c r="G9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48"/>
  <c r="C2" s="1"/>
  <c r="E3"/>
  <c r="E2" s="1"/>
  <c r="C5"/>
  <c r="E5"/>
  <c r="C7"/>
  <c r="E7"/>
  <c r="C9"/>
  <c r="E9"/>
  <c r="C11"/>
  <c r="E11"/>
  <c r="C13"/>
  <c r="E13"/>
  <c r="C3" i="47"/>
  <c r="C2" s="1"/>
  <c r="E3"/>
  <c r="E2" s="1"/>
  <c r="C5"/>
  <c r="E5"/>
  <c r="C7"/>
  <c r="E7"/>
  <c r="C9"/>
  <c r="E9"/>
  <c r="C11"/>
  <c r="E11"/>
  <c r="C13"/>
  <c r="E13"/>
  <c r="C3" i="46"/>
  <c r="C2" s="1"/>
  <c r="E3"/>
  <c r="E2" s="1"/>
  <c r="G3"/>
  <c r="G2" s="1"/>
  <c r="C5"/>
  <c r="E5"/>
  <c r="G5"/>
  <c r="C7"/>
  <c r="E7"/>
  <c r="G7"/>
  <c r="C9"/>
  <c r="E9"/>
  <c r="G9"/>
  <c r="C11"/>
  <c r="E11"/>
  <c r="G11"/>
  <c r="C13"/>
  <c r="E13"/>
  <c r="G13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45"/>
  <c r="C2" s="1"/>
  <c r="E3"/>
  <c r="E2" s="1"/>
  <c r="C5"/>
  <c r="E5"/>
  <c r="C7"/>
  <c r="E7"/>
  <c r="C9"/>
  <c r="E9"/>
  <c r="C11"/>
  <c r="E11"/>
  <c r="C13"/>
  <c r="E13"/>
  <c r="C3" i="44"/>
  <c r="C2" s="1"/>
  <c r="E3"/>
  <c r="E2" s="1"/>
  <c r="G3"/>
  <c r="G2" s="1"/>
  <c r="C5"/>
  <c r="E5"/>
  <c r="G5"/>
  <c r="C7"/>
  <c r="E7"/>
  <c r="G7"/>
  <c r="C9"/>
  <c r="E9"/>
  <c r="G9"/>
  <c r="C11"/>
  <c r="E11"/>
  <c r="G11"/>
  <c r="C13"/>
  <c r="E13"/>
  <c r="G13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43"/>
  <c r="C2" s="1"/>
  <c r="E3"/>
  <c r="E2" s="1"/>
  <c r="G3"/>
  <c r="G2" s="1"/>
  <c r="C5"/>
  <c r="E5"/>
  <c r="G5"/>
  <c r="C7"/>
  <c r="E7"/>
  <c r="G7"/>
  <c r="C9"/>
  <c r="E9"/>
  <c r="G9"/>
  <c r="C11"/>
  <c r="E11"/>
  <c r="G11"/>
  <c r="C13"/>
  <c r="E13"/>
  <c r="G13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42"/>
  <c r="C2" s="1"/>
  <c r="E3"/>
  <c r="E2" s="1"/>
  <c r="C5"/>
  <c r="E5"/>
  <c r="C7"/>
  <c r="E7"/>
  <c r="C9"/>
  <c r="E9"/>
  <c r="C11"/>
  <c r="E11"/>
  <c r="C13"/>
  <c r="E13"/>
  <c r="C3" i="41"/>
  <c r="C2" s="1"/>
  <c r="E3"/>
  <c r="E2" s="1"/>
  <c r="G3"/>
  <c r="G2" s="1"/>
  <c r="C5"/>
  <c r="E5"/>
  <c r="G5"/>
  <c r="C7"/>
  <c r="E7"/>
  <c r="G7"/>
  <c r="C9"/>
  <c r="E9"/>
  <c r="G9"/>
  <c r="C11"/>
  <c r="E11"/>
  <c r="G11"/>
  <c r="C13"/>
  <c r="E13"/>
  <c r="G13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40"/>
  <c r="C2" s="1"/>
  <c r="E3"/>
  <c r="E2" s="1"/>
  <c r="G3"/>
  <c r="G2" s="1"/>
  <c r="C7"/>
  <c r="E7"/>
  <c r="G7"/>
  <c r="C9"/>
  <c r="E9"/>
  <c r="G9"/>
  <c r="C13"/>
  <c r="E13"/>
  <c r="G13"/>
  <c r="C5"/>
  <c r="E5"/>
  <c r="G5"/>
  <c r="C11"/>
  <c r="E11"/>
  <c r="G11"/>
  <c r="B3"/>
  <c r="D3"/>
  <c r="D2" s="1"/>
  <c r="F3"/>
  <c r="F2" s="1"/>
  <c r="B5"/>
  <c r="D5"/>
  <c r="F5"/>
  <c r="B7"/>
  <c r="B1" s="1"/>
  <c r="D7"/>
  <c r="F7"/>
  <c r="B9"/>
  <c r="D9"/>
  <c r="F9"/>
  <c r="B11"/>
  <c r="D11"/>
  <c r="F11"/>
  <c r="B13"/>
  <c r="D13"/>
  <c r="F13"/>
  <c r="C3" i="27"/>
  <c r="E3"/>
  <c r="C5"/>
  <c r="E5"/>
  <c r="C7"/>
  <c r="E7"/>
  <c r="C9"/>
  <c r="E9"/>
  <c r="C11"/>
  <c r="E11"/>
  <c r="C13"/>
  <c r="E13"/>
  <c r="F2" i="50"/>
  <c r="G2" i="48"/>
  <c r="G2" i="47"/>
  <c r="G2" i="42"/>
  <c r="H2" i="49"/>
  <c r="H2" i="43"/>
  <c r="H2" i="40"/>
  <c r="G2" i="27"/>
  <c r="B2"/>
  <c r="B1" l="1"/>
  <c r="F2"/>
  <c r="D2"/>
  <c r="H2"/>
  <c r="C2"/>
  <c r="E2"/>
</calcChain>
</file>

<file path=xl/sharedStrings.xml><?xml version="1.0" encoding="utf-8"?>
<sst xmlns="http://schemas.openxmlformats.org/spreadsheetml/2006/main" count="31" uniqueCount="9">
  <si>
    <t>sun</t>
  </si>
  <si>
    <t>notes</t>
  </si>
  <si>
    <t>Pick up John from school</t>
  </si>
  <si>
    <t>Make vacation plans for summer break.</t>
  </si>
  <si>
    <t>enter year:</t>
  </si>
  <si>
    <t>week start:</t>
  </si>
  <si>
    <t>calendar setup</t>
  </si>
  <si>
    <t>to january &gt;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</si>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</sst>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mmmm\ yyyy"/>
    <numFmt numFmtId="169" formatCode="d"/>
  </numFmts>
  <fonts count="15">
    <font>
      <sz val="11"/>
      <color theme="3"/>
      <name val="Segoe UI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Segoe UI"/>
      <family val="2"/>
      <scheme val="minor"/>
    </font>
    <font>
      <b/>
      <sz val="14"/>
      <color theme="0"/>
      <name val="Segoe UI"/>
      <family val="2"/>
      <scheme val="minor"/>
    </font>
    <font>
      <sz val="10"/>
      <color indexed="63"/>
      <name val="Segoe UI"/>
      <family val="2"/>
      <scheme val="minor"/>
    </font>
    <font>
      <sz val="35"/>
      <color theme="4"/>
      <name val="Segoe UI"/>
      <family val="2"/>
      <scheme val="minor"/>
    </font>
    <font>
      <sz val="14"/>
      <color theme="0"/>
      <name val="Segoe UI"/>
      <family val="2"/>
      <scheme val="minor"/>
    </font>
    <font>
      <sz val="10"/>
      <color theme="5" tint="0.39997558519241921"/>
      <name val="Segoe UI"/>
      <family val="2"/>
      <scheme val="minor"/>
    </font>
    <font>
      <b/>
      <sz val="35"/>
      <color theme="3"/>
      <name val="Segoe UI"/>
      <family val="2"/>
      <scheme val="major"/>
    </font>
    <font>
      <sz val="16"/>
      <color theme="4"/>
      <name val="Segoe UI"/>
      <family val="2"/>
      <scheme val="major"/>
    </font>
    <font>
      <b/>
      <sz val="26"/>
      <color theme="4"/>
      <name val="Segoe UI"/>
      <family val="2"/>
      <scheme val="major"/>
    </font>
    <font>
      <sz val="11"/>
      <color theme="3"/>
      <name val="Segoe UI"/>
      <family val="2"/>
      <scheme val="minor"/>
    </font>
    <font>
      <b/>
      <sz val="20"/>
      <color theme="5" tint="-0.24994659260841701"/>
      <name val="Segoe UI"/>
      <family val="2"/>
      <scheme val="major"/>
    </font>
    <font>
      <sz val="11"/>
      <color theme="5" tint="-0.249977111117893"/>
      <name val="Segoe U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Dashed">
        <color theme="5" tint="0.399945066682943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wrapText="1"/>
    </xf>
    <xf numFmtId="0" fontId="5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3" fillId="3" borderId="1" applyNumberFormat="0" applyAlignment="0" applyProtection="0"/>
    <xf numFmtId="0" fontId="4" fillId="4" borderId="2" applyNumberFormat="0" applyProtection="0">
      <alignment vertical="center"/>
    </xf>
    <xf numFmtId="0" fontId="9" fillId="0" borderId="0" applyNumberFormat="0" applyFill="0" applyBorder="0" applyAlignment="0" applyProtection="0"/>
    <xf numFmtId="0" fontId="13" fillId="0" borderId="0" applyNumberFormat="0" applyAlignment="0" applyProtection="0"/>
    <xf numFmtId="0" fontId="11" fillId="0" borderId="0" applyNumberFormat="0" applyAlignment="0" applyProtection="0"/>
    <xf numFmtId="0" fontId="7" fillId="5" borderId="0" applyNumberFormat="0" applyBorder="0" applyAlignment="0" applyProtection="0"/>
    <xf numFmtId="0" fontId="7" fillId="5" borderId="0" applyNumberFormat="0" applyFill="0" applyBorder="0" applyAlignment="0" applyProtection="0"/>
    <xf numFmtId="167" fontId="12" fillId="0" borderId="0" applyFill="0" applyBorder="0" applyAlignment="0" applyProtection="0"/>
    <xf numFmtId="165" fontId="12" fillId="0" borderId="0" applyFill="0" applyBorder="0" applyAlignment="0" applyProtection="0"/>
    <xf numFmtId="166" fontId="12" fillId="0" borderId="0" applyFill="0" applyBorder="0" applyAlignment="0" applyProtection="0"/>
    <xf numFmtId="164" fontId="12" fillId="0" borderId="0" applyFill="0" applyBorder="0" applyAlignment="0" applyProtection="0"/>
    <xf numFmtId="9" fontId="12" fillId="0" borderId="0" applyFill="0" applyBorder="0" applyAlignment="0" applyProtection="0"/>
    <xf numFmtId="0" fontId="12" fillId="6" borderId="4" applyNumberFormat="0" applyAlignment="0" applyProtection="0"/>
  </cellStyleXfs>
  <cellXfs count="16">
    <xf numFmtId="0" fontId="0" fillId="0" borderId="0" xfId="0">
      <alignment wrapText="1"/>
    </xf>
    <xf numFmtId="0" fontId="8" fillId="0" borderId="3" xfId="0" applyFont="1" applyFill="1" applyBorder="1">
      <alignment wrapText="1"/>
    </xf>
    <xf numFmtId="0" fontId="13" fillId="0" borderId="0" xfId="6" applyFill="1" applyAlignment="1">
      <alignment horizontal="left"/>
    </xf>
    <xf numFmtId="0" fontId="11" fillId="0" borderId="0" xfId="7" applyFill="1" applyAlignment="1">
      <alignment horizontal="left" indent="1"/>
    </xf>
    <xf numFmtId="0" fontId="6" fillId="0" borderId="3" xfId="5" applyFont="1" applyFill="1" applyBorder="1" applyAlignment="1">
      <alignment vertical="center"/>
    </xf>
    <xf numFmtId="0" fontId="2" fillId="0" borderId="0" xfId="0" applyFont="1" applyFill="1">
      <alignment wrapText="1"/>
    </xf>
    <xf numFmtId="0" fontId="10" fillId="0" borderId="0" xfId="2" applyFill="1" applyBorder="1" applyAlignment="1">
      <alignment horizontal="left" indent="1"/>
    </xf>
    <xf numFmtId="0" fontId="13" fillId="0" borderId="0" xfId="6" applyAlignment="1">
      <alignment horizontal="left"/>
    </xf>
    <xf numFmtId="169" fontId="14" fillId="0" borderId="0" xfId="0" applyNumberFormat="1" applyFont="1" applyFill="1" applyBorder="1" applyAlignment="1">
      <alignment horizontal="left" wrapText="1" indent="1"/>
    </xf>
    <xf numFmtId="169" fontId="14" fillId="0" borderId="0" xfId="0" applyNumberFormat="1" applyFont="1" applyFill="1" applyBorder="1" applyAlignment="1">
      <alignment horizontal="left" vertical="center" wrapText="1" indent="1"/>
    </xf>
    <xf numFmtId="169" fontId="14" fillId="0" borderId="0" xfId="0" applyNumberFormat="1" applyFont="1" applyFill="1" applyBorder="1" applyAlignment="1">
      <alignment vertical="center" wrapText="1"/>
    </xf>
    <xf numFmtId="169" fontId="0" fillId="0" borderId="0" xfId="0" applyNumberFormat="1" applyFont="1" applyFill="1" applyBorder="1" applyAlignment="1">
      <alignment vertical="center" wrapText="1"/>
    </xf>
    <xf numFmtId="0" fontId="7" fillId="0" borderId="3" xfId="8" applyFont="1" applyFill="1" applyBorder="1" applyAlignment="1"/>
    <xf numFmtId="0" fontId="9" fillId="0" borderId="3" xfId="5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68" fontId="9" fillId="0" borderId="3" xfId="5" applyNumberFormat="1" applyFill="1" applyBorder="1" applyAlignment="1">
      <alignment horizontal="left" vertical="center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Comma" xfId="10" builtinId="3" customBuiltin="1"/>
    <cellStyle name="Comma [0]" xfId="11" builtinId="6" customBuiltin="1"/>
    <cellStyle name="Currency" xfId="12" builtinId="4" customBuiltin="1"/>
    <cellStyle name="Currency [0]" xfId="13" builtinId="7" customBuiltin="1"/>
    <cellStyle name="Followed Hyperlink" xfId="9" builtinId="9" customBuiltin="1"/>
    <cellStyle name="Heading 1" xfId="2" builtinId="16" customBuiltin="1"/>
    <cellStyle name="Heading 2" xfId="6" builtinId="17" customBuiltin="1"/>
    <cellStyle name="Heading 3" xfId="7" builtinId="18" customBuiltin="1"/>
    <cellStyle name="Hyperlink" xfId="8" builtinId="8" customBuiltin="1"/>
    <cellStyle name="Normal" xfId="0" builtinId="0" customBuiltin="1"/>
    <cellStyle name="Note" xfId="15" builtinId="10" customBuiltin="1"/>
    <cellStyle name="Percent" xfId="14" builtinId="5" customBuiltin="1"/>
    <cellStyle name="Title" xfId="5" builtinId="15" customBuiltin="1"/>
  </cellStyles>
  <dxfs count="24"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  <dxf>
      <font>
        <color theme="2" tint="-9.9948118533890809E-2"/>
      </font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alendar Multiple Tabs">
      <a:dk1>
        <a:sysClr val="windowText" lastClr="000000"/>
      </a:dk1>
      <a:lt1>
        <a:sysClr val="window" lastClr="FFFFFF"/>
      </a:lt1>
      <a:dk2>
        <a:srgbClr val="595959"/>
      </a:dk2>
      <a:lt2>
        <a:srgbClr val="EDEDED"/>
      </a:lt2>
      <a:accent1>
        <a:srgbClr val="F05B35"/>
      </a:accent1>
      <a:accent2>
        <a:srgbClr val="8B7479"/>
      </a:accent2>
      <a:accent3>
        <a:srgbClr val="7DAE4B"/>
      </a:accent3>
      <a:accent4>
        <a:srgbClr val="8D77FB"/>
      </a:accent4>
      <a:accent5>
        <a:srgbClr val="5B7799"/>
      </a:accent5>
      <a:accent6>
        <a:srgbClr val="7DAE4B"/>
      </a:accent6>
      <a:hlink>
        <a:srgbClr val="D8E500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3"/>
    <pageSetUpPr autoPageBreaks="0" fitToPage="1"/>
  </sheetPr>
  <dimension ref="B1:J26"/>
  <sheetViews>
    <sheetView showGridLines="0" workbookViewId="0"/>
  </sheetViews>
  <sheetFormatPr defaultColWidth="8.75" defaultRowHeight="16.5"/>
  <cols>
    <col min="1" max="1" width="2.625" customWidth="1"/>
    <col min="2" max="2" width="31.5" customWidth="1"/>
    <col min="3" max="3" width="20.375" customWidth="1"/>
    <col min="10" max="10" width="7.875" customWidth="1"/>
  </cols>
  <sheetData>
    <row r="1" spans="2:10" ht="59.25" customHeight="1" thickBot="1">
      <c r="B1" s="13" t="s">
        <v>6</v>
      </c>
      <c r="C1" s="13"/>
      <c r="D1" s="1"/>
      <c r="E1" s="1"/>
      <c r="F1" s="1"/>
      <c r="G1" s="1"/>
      <c r="H1" s="1"/>
      <c r="I1" s="12" t="s">
        <v>7</v>
      </c>
      <c r="J1" s="12"/>
    </row>
    <row r="2" spans="2:10" ht="52.5" customHeight="1">
      <c r="B2" s="2" t="s">
        <v>4</v>
      </c>
      <c r="C2" s="3">
        <f ca="1">YEAR(TODAY())</f>
        <v>2019</v>
      </c>
    </row>
    <row r="3" spans="2:10" ht="52.5" customHeight="1">
      <c r="B3" s="2" t="s">
        <v>5</v>
      </c>
      <c r="C3" s="3" t="s">
        <v>0</v>
      </c>
    </row>
    <row r="4" spans="2:10" ht="19.5" customHeight="1"/>
    <row r="5" spans="2:10" ht="19.5" customHeight="1"/>
    <row r="6" spans="2:10" ht="18.75" customHeight="1"/>
    <row r="7" spans="2:10" ht="18.75" customHeight="1"/>
    <row r="8" spans="2:10" ht="18.75" customHeight="1"/>
    <row r="9" spans="2:10" ht="18.75" customHeight="1"/>
    <row r="10" spans="2:10" ht="18.75" customHeight="1"/>
    <row r="11" spans="2:10" ht="18.75" customHeight="1"/>
    <row r="12" spans="2:10" ht="18.75" customHeight="1"/>
    <row r="13" spans="2:10" ht="18.75" customHeight="1"/>
    <row r="14" spans="2:10" ht="18.75" customHeight="1"/>
    <row r="15" spans="2:10" ht="18.75" customHeight="1"/>
    <row r="16" spans="2:10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</sheetData>
  <dataConsolidate/>
  <mergeCells count="1">
    <mergeCell ref="B1:C1"/>
  </mergeCells>
  <phoneticPr fontId="1" type="noConversion"/>
  <dataValidations count="6">
    <dataValidation type="list" errorStyle="warning" allowBlank="1" showInputMessage="1" showErrorMessage="1" error="Select Week Start day from the list in this cell. Select CANCEL, then press ALT+DOWN ARROW for options, then DOWN ARROW and ENTER to make selection" prompt="Select Week Start day in this cell. Press ALT+DOWN ARROW for options, then DOWN ARROW and ENTER to make selection" sqref="C3">
      <formula1>"sun,mon"</formula1>
    </dataValidation>
    <dataValidation allowBlank="1" showInputMessage="1" showErrorMessage="1" prompt="Create Evergreen Calendar Tabs in this workbook. Enter Year and Week Start day in this worksheet. Each month calendar is automatically updated in separate worksheets" sqref="A1"/>
    <dataValidation allowBlank="1" showInputMessage="1" showErrorMessage="1" prompt="Title of this worksheet is in this cell. Enter Year and select Week Start day in cells below" sqref="B1:C1"/>
    <dataValidation allowBlank="1" showInputMessage="1" showErrorMessage="1" prompt="Enter Year in cell at right" sqref="B2"/>
    <dataValidation allowBlank="1" showInputMessage="1" showErrorMessage="1" prompt="Enter Year in this cell" sqref="C2"/>
    <dataValidation allowBlank="1" showInputMessage="1" showErrorMessage="1" prompt="Select Week Start day in cell at right" sqref="B3"/>
  </dataValidations>
  <hyperlinks>
    <hyperlink ref="I1" location="January!A1" display="to january &gt;"/>
  </hyperlinks>
  <printOptions horizontalCentered="1" verticalCentered="1"/>
  <pageMargins left="0.7" right="0.7" top="0.75" bottom="0.75" header="0.3" footer="0.3"/>
  <pageSetup orientation="landscape" r:id="rId1"/>
  <headerFooter differentFirst="1" alignWithMargins="0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4" tint="-0.499984740745262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january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DaysAndWeeks+DATE(CalendarYear,1,1)-WEEKDAY(DATE(CalendarYear,1,1),(WeekStart="mon")+1)+1</f>
        <v>43464</v>
      </c>
      <c r="C3" s="8">
        <f ca="1"/>
        <v>43465</v>
      </c>
      <c r="D3" s="8">
        <f ca="1"/>
        <v>43466</v>
      </c>
      <c r="E3" s="8">
        <f ca="1"/>
        <v>43467</v>
      </c>
      <c r="F3" s="8">
        <f ca="1"/>
        <v>43468</v>
      </c>
      <c r="G3" s="8">
        <f ca="1"/>
        <v>43469</v>
      </c>
      <c r="H3" s="8">
        <f ca="1"/>
        <v>43470</v>
      </c>
      <c r="J3" s="14" t="s">
        <v>3</v>
      </c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DaysAndWeeks+DATE(CalendarYear,1,1)-WEEKDAY(DATE(CalendarYear,1,1),(WeekStart="mon")+1)+8</f>
        <v>43471</v>
      </c>
      <c r="C5" s="8">
        <f ca="1"/>
        <v>43472</v>
      </c>
      <c r="D5" s="8">
        <f ca="1"/>
        <v>43473</v>
      </c>
      <c r="E5" s="8">
        <f ca="1"/>
        <v>43474</v>
      </c>
      <c r="F5" s="8">
        <f ca="1"/>
        <v>43475</v>
      </c>
      <c r="G5" s="8">
        <f ca="1"/>
        <v>43476</v>
      </c>
      <c r="H5" s="8">
        <f ca="1"/>
        <v>43477</v>
      </c>
    </row>
    <row r="6" spans="1:11" ht="56.25" customHeight="1">
      <c r="B6" s="9"/>
      <c r="C6" s="9"/>
      <c r="D6" s="9"/>
      <c r="E6" s="10" t="s">
        <v>2</v>
      </c>
      <c r="F6" s="9"/>
      <c r="G6" s="9"/>
      <c r="H6" s="9"/>
    </row>
    <row r="7" spans="1:11" ht="18.75" customHeight="1">
      <c r="B7" s="8">
        <f t="array" aca="1" ref="B7:H7" ca="1">DaysAndWeeks+DATE(CalendarYear,1,1)-WEEKDAY(DATE(CalendarYear,1,1),(WeekStart="mon")+1)+15</f>
        <v>43478</v>
      </c>
      <c r="C7" s="8">
        <f ca="1"/>
        <v>43479</v>
      </c>
      <c r="D7" s="8">
        <f ca="1"/>
        <v>43480</v>
      </c>
      <c r="E7" s="8">
        <f ca="1"/>
        <v>43481</v>
      </c>
      <c r="F7" s="8">
        <f ca="1"/>
        <v>43482</v>
      </c>
      <c r="G7" s="8">
        <f ca="1"/>
        <v>43483</v>
      </c>
      <c r="H7" s="8">
        <f ca="1"/>
        <v>43484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DaysAndWeeks+DATE(CalendarYear,1,1)-WEEKDAY(DATE(CalendarYear,1,1),(WeekStart="mon")+1)+22</f>
        <v>43485</v>
      </c>
      <c r="C9" s="8">
        <f ca="1"/>
        <v>43486</v>
      </c>
      <c r="D9" s="8">
        <f ca="1"/>
        <v>43487</v>
      </c>
      <c r="E9" s="8">
        <f ca="1"/>
        <v>43488</v>
      </c>
      <c r="F9" s="8">
        <f ca="1"/>
        <v>43489</v>
      </c>
      <c r="G9" s="8">
        <f ca="1"/>
        <v>43490</v>
      </c>
      <c r="H9" s="8">
        <f ca="1"/>
        <v>43491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DaysAndWeeks+DATE(CalendarYear,1,1)-WEEKDAY(DATE(CalendarYear,1,1),(WeekStart="mon")+1)+29</f>
        <v>43492</v>
      </c>
      <c r="C11" s="8">
        <f ca="1"/>
        <v>43493</v>
      </c>
      <c r="D11" s="8">
        <f ca="1"/>
        <v>43494</v>
      </c>
      <c r="E11" s="8">
        <f ca="1"/>
        <v>43495</v>
      </c>
      <c r="F11" s="8">
        <f ca="1"/>
        <v>43496</v>
      </c>
      <c r="G11" s="8">
        <f ca="1"/>
        <v>43497</v>
      </c>
      <c r="H11" s="8">
        <f ca="1"/>
        <v>43498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DaysAndWeeks+DATE(CalendarYear,1,1)-WEEKDAY(DATE(CalendarYear,1,1),(WeekStart="mon")+1)+36</f>
        <v>43499</v>
      </c>
      <c r="C13" s="8">
        <f ca="1"/>
        <v>43500</v>
      </c>
      <c r="D13" s="8">
        <f ca="1"/>
        <v>43501</v>
      </c>
      <c r="E13" s="8">
        <f ca="1"/>
        <v>43502</v>
      </c>
      <c r="F13" s="8">
        <f ca="1"/>
        <v>43503</v>
      </c>
      <c r="G13" s="8">
        <f ca="1"/>
        <v>43504</v>
      </c>
      <c r="H13" s="8">
        <f ca="1"/>
        <v>43505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23" priority="2">
      <formula>AND(DAY(B11)&gt;=1,DAY(B11)&lt;=15)</formula>
    </cfRule>
  </conditionalFormatting>
  <conditionalFormatting sqref="B3:G4">
    <cfRule type="expression" dxfId="22" priority="1">
      <formula>DAY(B3)&gt;8</formula>
    </cfRule>
  </conditionalFormatting>
  <dataValidations count="8">
    <dataValidation allowBlank="1" showInputMessage="1" showErrorMessage="1" prompt="January month calendar. Enter monthly Notes in cell J3" sqref="A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Enter monthly Notes in cell below" sqref="J2"/>
    <dataValidation allowBlank="1" showInputMessage="1" showErrorMessage="1" prompt="Enter monthly Notes in this cell" sqref="J3:J4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Month is in this cell and Year is in cell at right" sqref="B1:G1"/>
  </dataValidations>
  <printOptions horizontalCentered="1" verticalCentered="1"/>
  <pageMargins left="0.7" right="0.7" top="0.75" bottom="0.75" header="0.3" footer="0.3"/>
  <pageSetup orientation="landscape" r:id="rId1"/>
  <headerFooter differentFirst="1"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 tint="-0.249977111117893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february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DaysAndWeeks+DATE(CalendarYear,2,1)-WEEKDAY(DATE(CalendarYear,2,1),(WeekStart="mon")+1)+1</f>
        <v>43492</v>
      </c>
      <c r="C3" s="8">
        <f ca="1"/>
        <v>43493</v>
      </c>
      <c r="D3" s="8">
        <f ca="1"/>
        <v>43494</v>
      </c>
      <c r="E3" s="8">
        <f ca="1"/>
        <v>43495</v>
      </c>
      <c r="F3" s="8">
        <f ca="1"/>
        <v>43496</v>
      </c>
      <c r="G3" s="8">
        <f ca="1"/>
        <v>43497</v>
      </c>
      <c r="H3" s="8">
        <f ca="1"/>
        <v>43498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DaysAndWeeks+DATE(CalendarYear,2,1)-WEEKDAY(DATE(CalendarYear,2,1),(WeekStart="mon")+1)+8</f>
        <v>43499</v>
      </c>
      <c r="C5" s="8">
        <f ca="1"/>
        <v>43500</v>
      </c>
      <c r="D5" s="8">
        <f ca="1"/>
        <v>43501</v>
      </c>
      <c r="E5" s="8">
        <f ca="1"/>
        <v>43502</v>
      </c>
      <c r="F5" s="8">
        <f ca="1"/>
        <v>43503</v>
      </c>
      <c r="G5" s="8">
        <f ca="1"/>
        <v>43504</v>
      </c>
      <c r="H5" s="8">
        <f ca="1"/>
        <v>43505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DaysAndWeeks+DATE(CalendarYear,2,1)-WEEKDAY(DATE(CalendarYear,2,1),(WeekStart="mon")+1)+15</f>
        <v>43506</v>
      </c>
      <c r="C7" s="8">
        <f ca="1"/>
        <v>43507</v>
      </c>
      <c r="D7" s="8">
        <f ca="1"/>
        <v>43508</v>
      </c>
      <c r="E7" s="8">
        <f ca="1"/>
        <v>43509</v>
      </c>
      <c r="F7" s="8">
        <f ca="1"/>
        <v>43510</v>
      </c>
      <c r="G7" s="8">
        <f ca="1"/>
        <v>43511</v>
      </c>
      <c r="H7" s="8">
        <f ca="1"/>
        <v>43512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DaysAndWeeks+DATE(CalendarYear,2,1)-WEEKDAY(DATE(CalendarYear,2,1),(WeekStart="mon")+1)+22</f>
        <v>43513</v>
      </c>
      <c r="C9" s="8">
        <f ca="1"/>
        <v>43514</v>
      </c>
      <c r="D9" s="8">
        <f ca="1"/>
        <v>43515</v>
      </c>
      <c r="E9" s="8">
        <f ca="1"/>
        <v>43516</v>
      </c>
      <c r="F9" s="8">
        <f ca="1"/>
        <v>43517</v>
      </c>
      <c r="G9" s="8">
        <f ca="1"/>
        <v>43518</v>
      </c>
      <c r="H9" s="8">
        <f ca="1"/>
        <v>43519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DaysAndWeeks+DATE(CalendarYear,2,1)-WEEKDAY(DATE(CalendarYear,2,1),(WeekStart="mon")+1)+29</f>
        <v>43520</v>
      </c>
      <c r="C11" s="8">
        <f ca="1"/>
        <v>43521</v>
      </c>
      <c r="D11" s="8">
        <f ca="1"/>
        <v>43522</v>
      </c>
      <c r="E11" s="8">
        <f ca="1"/>
        <v>43523</v>
      </c>
      <c r="F11" s="8">
        <f ca="1"/>
        <v>43524</v>
      </c>
      <c r="G11" s="8">
        <f ca="1"/>
        <v>43525</v>
      </c>
      <c r="H11" s="8">
        <f ca="1"/>
        <v>43526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DaysAndWeeks+DATE(CalendarYear,2,1)-WEEKDAY(DATE(CalendarYear,2,1),(WeekStart="mon")+1)+36</f>
        <v>43527</v>
      </c>
      <c r="C13" s="8">
        <f ca="1"/>
        <v>43528</v>
      </c>
      <c r="D13" s="8">
        <f ca="1"/>
        <v>43529</v>
      </c>
      <c r="E13" s="8">
        <f ca="1"/>
        <v>43530</v>
      </c>
      <c r="F13" s="8">
        <f ca="1"/>
        <v>43531</v>
      </c>
      <c r="G13" s="8">
        <f ca="1"/>
        <v>43532</v>
      </c>
      <c r="H13" s="8">
        <f ca="1"/>
        <v>43533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21" priority="2">
      <formula>AND(DAY(B11)&gt;=1,DAY(B11)&lt;=15)</formula>
    </cfRule>
  </conditionalFormatting>
  <conditionalFormatting sqref="B3:G4">
    <cfRule type="expression" dxfId="20" priority="1">
      <formula>DAY(B3)&gt;8</formula>
    </cfRule>
  </conditionalFormatting>
  <dataValidations count="8">
    <dataValidation allowBlank="1" showInputMessage="1" showErrorMessage="1" prompt="February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4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march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DaysAndWeeks+DATE(CalendarYear,3,1)-WEEKDAY(DATE(CalendarYear,3,1),(WeekStart="mon")+1)+1</f>
        <v>43520</v>
      </c>
      <c r="C3" s="8">
        <f ca="1"/>
        <v>43521</v>
      </c>
      <c r="D3" s="8">
        <f ca="1"/>
        <v>43522</v>
      </c>
      <c r="E3" s="8">
        <f ca="1"/>
        <v>43523</v>
      </c>
      <c r="F3" s="8">
        <f ca="1"/>
        <v>43524</v>
      </c>
      <c r="G3" s="8">
        <f ca="1"/>
        <v>43525</v>
      </c>
      <c r="H3" s="8">
        <f ca="1"/>
        <v>43526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DaysAndWeeks+DATE(CalendarYear,3,1)-WEEKDAY(DATE(CalendarYear,3,1),(WeekStart="mon")+1)+8</f>
        <v>43527</v>
      </c>
      <c r="C5" s="8">
        <f ca="1"/>
        <v>43528</v>
      </c>
      <c r="D5" s="8">
        <f ca="1"/>
        <v>43529</v>
      </c>
      <c r="E5" s="8">
        <f ca="1"/>
        <v>43530</v>
      </c>
      <c r="F5" s="8">
        <f ca="1"/>
        <v>43531</v>
      </c>
      <c r="G5" s="8">
        <f ca="1"/>
        <v>43532</v>
      </c>
      <c r="H5" s="8">
        <f ca="1"/>
        <v>43533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DaysAndWeeks+DATE(CalendarYear,3,1)-WEEKDAY(DATE(CalendarYear,3,1),(WeekStart="mon")+1)+15</f>
        <v>43534</v>
      </c>
      <c r="C7" s="8">
        <f ca="1"/>
        <v>43535</v>
      </c>
      <c r="D7" s="8">
        <f ca="1"/>
        <v>43536</v>
      </c>
      <c r="E7" s="8">
        <f ca="1"/>
        <v>43537</v>
      </c>
      <c r="F7" s="8">
        <f ca="1"/>
        <v>43538</v>
      </c>
      <c r="G7" s="8">
        <f ca="1"/>
        <v>43539</v>
      </c>
      <c r="H7" s="8">
        <f ca="1"/>
        <v>43540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DaysAndWeeks+DATE(CalendarYear,3,1)-WEEKDAY(DATE(CalendarYear,3,1),(WeekStart="mon")+1)+22</f>
        <v>43541</v>
      </c>
      <c r="C9" s="8">
        <f ca="1"/>
        <v>43542</v>
      </c>
      <c r="D9" s="8">
        <f ca="1"/>
        <v>43543</v>
      </c>
      <c r="E9" s="8">
        <f ca="1"/>
        <v>43544</v>
      </c>
      <c r="F9" s="8">
        <f ca="1"/>
        <v>43545</v>
      </c>
      <c r="G9" s="8">
        <f ca="1"/>
        <v>43546</v>
      </c>
      <c r="H9" s="8">
        <f ca="1"/>
        <v>43547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DaysAndWeeks+DATE(CalendarYear,3,1)-WEEKDAY(DATE(CalendarYear,3,1),(WeekStart="mon")+1)+29</f>
        <v>43548</v>
      </c>
      <c r="C11" s="8">
        <f ca="1"/>
        <v>43549</v>
      </c>
      <c r="D11" s="8">
        <f ca="1"/>
        <v>43550</v>
      </c>
      <c r="E11" s="8">
        <f ca="1"/>
        <v>43551</v>
      </c>
      <c r="F11" s="8">
        <f ca="1"/>
        <v>43552</v>
      </c>
      <c r="G11" s="8">
        <f ca="1"/>
        <v>43553</v>
      </c>
      <c r="H11" s="8">
        <f ca="1"/>
        <v>43554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DaysAndWeeks+DATE(CalendarYear,3,1)-WEEKDAY(DATE(CalendarYear,3,1),(WeekStart="mon")+1)+36</f>
        <v>43555</v>
      </c>
      <c r="C13" s="8">
        <f ca="1"/>
        <v>43556</v>
      </c>
      <c r="D13" s="8">
        <f ca="1"/>
        <v>43557</v>
      </c>
      <c r="E13" s="8">
        <f ca="1"/>
        <v>43558</v>
      </c>
      <c r="F13" s="8">
        <f ca="1"/>
        <v>43559</v>
      </c>
      <c r="G13" s="8">
        <f ca="1"/>
        <v>43560</v>
      </c>
      <c r="H13" s="8">
        <f ca="1"/>
        <v>43561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9" priority="2">
      <formula>AND(DAY(B11)&gt;=1,DAY(B11)&lt;=15)</formula>
    </cfRule>
  </conditionalFormatting>
  <conditionalFormatting sqref="B3:G4">
    <cfRule type="expression" dxfId="18" priority="1">
      <formula>DAY(B3)&gt;8</formula>
    </cfRule>
  </conditionalFormatting>
  <dataValidations count="8">
    <dataValidation allowBlank="1" showInputMessage="1" showErrorMessage="1" prompt="March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autoPageBreaks="0" fitToPage="1"/>
  </sheetPr>
  <dimension ref="A1:K16"/>
  <sheetViews>
    <sheetView showGridLines="0" tabSelected="1" workbookViewId="0">
      <selection activeCell="J2" sqref="J2"/>
    </sheetView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april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DaysAndWeeks+DATE(CalendarYear,4,1)-WEEKDAY(DATE(CalendarYear,4,1),(WeekStart="mon")+1)+1</f>
        <v>43555</v>
      </c>
      <c r="C3" s="8">
        <f ca="1"/>
        <v>43556</v>
      </c>
      <c r="D3" s="8">
        <f ca="1"/>
        <v>43557</v>
      </c>
      <c r="E3" s="8">
        <f ca="1"/>
        <v>43558</v>
      </c>
      <c r="F3" s="8">
        <f ca="1"/>
        <v>43559</v>
      </c>
      <c r="G3" s="8">
        <f ca="1"/>
        <v>43560</v>
      </c>
      <c r="H3" s="8">
        <f ca="1"/>
        <v>43561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DaysAndWeeks+DATE(CalendarYear,4,1)-WEEKDAY(DATE(CalendarYear,4,1),(WeekStart="mon")+1)+8</f>
        <v>43562</v>
      </c>
      <c r="C5" s="8">
        <f ca="1"/>
        <v>43563</v>
      </c>
      <c r="D5" s="8">
        <f ca="1"/>
        <v>43564</v>
      </c>
      <c r="E5" s="8">
        <f ca="1"/>
        <v>43565</v>
      </c>
      <c r="F5" s="8">
        <f ca="1"/>
        <v>43566</v>
      </c>
      <c r="G5" s="8">
        <f ca="1"/>
        <v>43567</v>
      </c>
      <c r="H5" s="8">
        <f ca="1"/>
        <v>43568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DaysAndWeeks+DATE(CalendarYear,4,1)-WEEKDAY(DATE(CalendarYear,4,1),(WeekStart="mon")+1)+15</f>
        <v>43569</v>
      </c>
      <c r="C7" s="8">
        <f ca="1"/>
        <v>43570</v>
      </c>
      <c r="D7" s="8">
        <f ca="1"/>
        <v>43571</v>
      </c>
      <c r="E7" s="8">
        <f ca="1"/>
        <v>43572</v>
      </c>
      <c r="F7" s="8">
        <f ca="1"/>
        <v>43573</v>
      </c>
      <c r="G7" s="8">
        <f ca="1"/>
        <v>43574</v>
      </c>
      <c r="H7" s="8">
        <f ca="1"/>
        <v>43575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DaysAndWeeks+DATE(CalendarYear,4,1)-WEEKDAY(DATE(CalendarYear,4,1),(WeekStart="mon")+1)+22</f>
        <v>43576</v>
      </c>
      <c r="C9" s="8">
        <f ca="1"/>
        <v>43577</v>
      </c>
      <c r="D9" s="8">
        <f ca="1"/>
        <v>43578</v>
      </c>
      <c r="E9" s="8">
        <f ca="1"/>
        <v>43579</v>
      </c>
      <c r="F9" s="8">
        <f ca="1"/>
        <v>43580</v>
      </c>
      <c r="G9" s="8">
        <f ca="1"/>
        <v>43581</v>
      </c>
      <c r="H9" s="8">
        <f ca="1"/>
        <v>43582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DaysAndWeeks+DATE(CalendarYear,4,1)-WEEKDAY(DATE(CalendarYear,4,1),(WeekStart="mon")+1)+29</f>
        <v>43583</v>
      </c>
      <c r="C11" s="8">
        <f ca="1"/>
        <v>43584</v>
      </c>
      <c r="D11" s="8">
        <f ca="1"/>
        <v>43585</v>
      </c>
      <c r="E11" s="8">
        <f ca="1"/>
        <v>43586</v>
      </c>
      <c r="F11" s="8">
        <f ca="1"/>
        <v>43587</v>
      </c>
      <c r="G11" s="8">
        <f ca="1"/>
        <v>43588</v>
      </c>
      <c r="H11" s="8">
        <f ca="1"/>
        <v>43589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DaysAndWeeks+DATE(CalendarYear,4,1)-WEEKDAY(DATE(CalendarYear,4,1),(WeekStart="mon")+1)+36</f>
        <v>43590</v>
      </c>
      <c r="C13" s="8">
        <f ca="1"/>
        <v>43591</v>
      </c>
      <c r="D13" s="8">
        <f ca="1"/>
        <v>43592</v>
      </c>
      <c r="E13" s="8">
        <f ca="1"/>
        <v>43593</v>
      </c>
      <c r="F13" s="8">
        <f ca="1"/>
        <v>43594</v>
      </c>
      <c r="G13" s="8">
        <f ca="1"/>
        <v>43595</v>
      </c>
      <c r="H13" s="8">
        <f ca="1"/>
        <v>43596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7" priority="2">
      <formula>AND(DAY(B11)&gt;=1,DAY(B11)&lt;=15)</formula>
    </cfRule>
  </conditionalFormatting>
  <conditionalFormatting sqref="B3:G4">
    <cfRule type="expression" dxfId="16" priority="1">
      <formula>DAY(B3)&gt;8</formula>
    </cfRule>
  </conditionalFormatting>
  <dataValidations count="8">
    <dataValidation allowBlank="1" showInputMessage="1" showErrorMessage="1" prompt="April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4" tint="0.59999389629810485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may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DaysAndWeeks+DATE(CalendarYear,5,1)-WEEKDAY(DATE(CalendarYear,5,1),(WeekStart="mon")+1)+1</f>
        <v>43583</v>
      </c>
      <c r="C3" s="8">
        <f ca="1"/>
        <v>43584</v>
      </c>
      <c r="D3" s="8">
        <f ca="1"/>
        <v>43585</v>
      </c>
      <c r="E3" s="8">
        <f ca="1"/>
        <v>43586</v>
      </c>
      <c r="F3" s="8">
        <f ca="1"/>
        <v>43587</v>
      </c>
      <c r="G3" s="8">
        <f ca="1"/>
        <v>43588</v>
      </c>
      <c r="H3" s="8">
        <f ca="1"/>
        <v>43589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DaysAndWeeks+DATE(CalendarYear,5,1)-WEEKDAY(DATE(CalendarYear,5,1),(WeekStart="mon")+1)+8</f>
        <v>43590</v>
      </c>
      <c r="C5" s="8">
        <f ca="1"/>
        <v>43591</v>
      </c>
      <c r="D5" s="8">
        <f ca="1"/>
        <v>43592</v>
      </c>
      <c r="E5" s="8">
        <f ca="1"/>
        <v>43593</v>
      </c>
      <c r="F5" s="8">
        <f ca="1"/>
        <v>43594</v>
      </c>
      <c r="G5" s="8">
        <f ca="1"/>
        <v>43595</v>
      </c>
      <c r="H5" s="8">
        <f ca="1"/>
        <v>43596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DaysAndWeeks+DATE(CalendarYear,5,1)-WEEKDAY(DATE(CalendarYear,5,1),(WeekStart="mon")+1)+15</f>
        <v>43597</v>
      </c>
      <c r="C7" s="8">
        <f ca="1"/>
        <v>43598</v>
      </c>
      <c r="D7" s="8">
        <f ca="1"/>
        <v>43599</v>
      </c>
      <c r="E7" s="8">
        <f ca="1"/>
        <v>43600</v>
      </c>
      <c r="F7" s="8">
        <f ca="1"/>
        <v>43601</v>
      </c>
      <c r="G7" s="8">
        <f ca="1"/>
        <v>43602</v>
      </c>
      <c r="H7" s="8">
        <f ca="1"/>
        <v>43603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DaysAndWeeks+DATE(CalendarYear,5,1)-WEEKDAY(DATE(CalendarYear,5,1),(WeekStart="mon")+1)+22</f>
        <v>43604</v>
      </c>
      <c r="C9" s="8">
        <f ca="1"/>
        <v>43605</v>
      </c>
      <c r="D9" s="8">
        <f ca="1"/>
        <v>43606</v>
      </c>
      <c r="E9" s="8">
        <f ca="1"/>
        <v>43607</v>
      </c>
      <c r="F9" s="8">
        <f ca="1"/>
        <v>43608</v>
      </c>
      <c r="G9" s="8">
        <f ca="1"/>
        <v>43609</v>
      </c>
      <c r="H9" s="8">
        <f ca="1"/>
        <v>43610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DaysAndWeeks+DATE(CalendarYear,5,1)-WEEKDAY(DATE(CalendarYear,5,1),(WeekStart="mon")+1)+29</f>
        <v>43611</v>
      </c>
      <c r="C11" s="8">
        <f ca="1"/>
        <v>43612</v>
      </c>
      <c r="D11" s="8">
        <f ca="1"/>
        <v>43613</v>
      </c>
      <c r="E11" s="8">
        <f ca="1"/>
        <v>43614</v>
      </c>
      <c r="F11" s="8">
        <f ca="1"/>
        <v>43615</v>
      </c>
      <c r="G11" s="8">
        <f ca="1"/>
        <v>43616</v>
      </c>
      <c r="H11" s="8">
        <f ca="1"/>
        <v>43617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DaysAndWeeks+DATE(CalendarYear,5,1)-WEEKDAY(DATE(CalendarYear,5,1),(WeekStart="mon")+1)+36</f>
        <v>43618</v>
      </c>
      <c r="C13" s="8">
        <f ca="1"/>
        <v>43619</v>
      </c>
      <c r="D13" s="8">
        <f ca="1"/>
        <v>43620</v>
      </c>
      <c r="E13" s="8">
        <f ca="1"/>
        <v>43621</v>
      </c>
      <c r="F13" s="8">
        <f ca="1"/>
        <v>43622</v>
      </c>
      <c r="G13" s="8">
        <f ca="1"/>
        <v>43623</v>
      </c>
      <c r="H13" s="8">
        <f ca="1"/>
        <v>43624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5" priority="2">
      <formula>AND(DAY(B11)&gt;=1,DAY(B11)&lt;=15)</formula>
    </cfRule>
  </conditionalFormatting>
  <conditionalFormatting sqref="B3:G4">
    <cfRule type="expression" dxfId="14" priority="1">
      <formula>DAY(B3)&gt;8</formula>
    </cfRule>
  </conditionalFormatting>
  <dataValidations count="8">
    <dataValidation allowBlank="1" showInputMessage="1" showErrorMessage="1" prompt="May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4" tint="0.79998168889431442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june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DaysAndWeeks+DATE(CalendarYear,6,1)-WEEKDAY(DATE(CalendarYear,6,1),(WeekStart="mon")+1)+1</f>
        <v>43611</v>
      </c>
      <c r="C3" s="8">
        <f ca="1"/>
        <v>43612</v>
      </c>
      <c r="D3" s="8">
        <f ca="1"/>
        <v>43613</v>
      </c>
      <c r="E3" s="8">
        <f ca="1"/>
        <v>43614</v>
      </c>
      <c r="F3" s="8">
        <f ca="1"/>
        <v>43615</v>
      </c>
      <c r="G3" s="8">
        <f ca="1"/>
        <v>43616</v>
      </c>
      <c r="H3" s="8">
        <f ca="1"/>
        <v>43617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DaysAndWeeks+DATE(CalendarYear,6,1)-WEEKDAY(DATE(CalendarYear,6,1),(WeekStart="mon")+1)+8</f>
        <v>43618</v>
      </c>
      <c r="C5" s="8">
        <f ca="1"/>
        <v>43619</v>
      </c>
      <c r="D5" s="8">
        <f ca="1"/>
        <v>43620</v>
      </c>
      <c r="E5" s="8">
        <f ca="1"/>
        <v>43621</v>
      </c>
      <c r="F5" s="8">
        <f ca="1"/>
        <v>43622</v>
      </c>
      <c r="G5" s="8">
        <f ca="1"/>
        <v>43623</v>
      </c>
      <c r="H5" s="8">
        <f ca="1"/>
        <v>43624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DaysAndWeeks+DATE(CalendarYear,6,1)-WEEKDAY(DATE(CalendarYear,6,1),(WeekStart="mon")+1)+15</f>
        <v>43625</v>
      </c>
      <c r="C7" s="8">
        <f ca="1"/>
        <v>43626</v>
      </c>
      <c r="D7" s="8">
        <f ca="1"/>
        <v>43627</v>
      </c>
      <c r="E7" s="8">
        <f ca="1"/>
        <v>43628</v>
      </c>
      <c r="F7" s="8">
        <f ca="1"/>
        <v>43629</v>
      </c>
      <c r="G7" s="8">
        <f ca="1"/>
        <v>43630</v>
      </c>
      <c r="H7" s="8">
        <f ca="1"/>
        <v>43631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DaysAndWeeks+DATE(CalendarYear,6,1)-WEEKDAY(DATE(CalendarYear,6,1),(WeekStart="mon")+1)+22</f>
        <v>43632</v>
      </c>
      <c r="C9" s="8">
        <f ca="1"/>
        <v>43633</v>
      </c>
      <c r="D9" s="8">
        <f ca="1"/>
        <v>43634</v>
      </c>
      <c r="E9" s="8">
        <f ca="1"/>
        <v>43635</v>
      </c>
      <c r="F9" s="8">
        <f ca="1"/>
        <v>43636</v>
      </c>
      <c r="G9" s="8">
        <f ca="1"/>
        <v>43637</v>
      </c>
      <c r="H9" s="8">
        <f ca="1"/>
        <v>43638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DaysAndWeeks+DATE(CalendarYear,6,1)-WEEKDAY(DATE(CalendarYear,6,1),(WeekStart="mon")+1)+29</f>
        <v>43639</v>
      </c>
      <c r="C11" s="8">
        <f ca="1"/>
        <v>43640</v>
      </c>
      <c r="D11" s="8">
        <f ca="1"/>
        <v>43641</v>
      </c>
      <c r="E11" s="8">
        <f ca="1"/>
        <v>43642</v>
      </c>
      <c r="F11" s="8">
        <f ca="1"/>
        <v>43643</v>
      </c>
      <c r="G11" s="8">
        <f ca="1"/>
        <v>43644</v>
      </c>
      <c r="H11" s="8">
        <f ca="1"/>
        <v>43645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DaysAndWeeks+DATE(CalendarYear,6,1)-WEEKDAY(DATE(CalendarYear,6,1),(WeekStart="mon")+1)+36</f>
        <v>43646</v>
      </c>
      <c r="C13" s="8">
        <f ca="1"/>
        <v>43647</v>
      </c>
      <c r="D13" s="8">
        <f ca="1"/>
        <v>43648</v>
      </c>
      <c r="E13" s="8">
        <f ca="1"/>
        <v>43649</v>
      </c>
      <c r="F13" s="8">
        <f ca="1"/>
        <v>43650</v>
      </c>
      <c r="G13" s="8">
        <f ca="1"/>
        <v>43651</v>
      </c>
      <c r="H13" s="8">
        <f ca="1"/>
        <v>43652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3" priority="2">
      <formula>AND(DAY(B11)&gt;=1,DAY(B11)&lt;=15)</formula>
    </cfRule>
  </conditionalFormatting>
  <conditionalFormatting sqref="B3:G4">
    <cfRule type="expression" dxfId="12" priority="1">
      <formula>DAY(B3)&gt;8</formula>
    </cfRule>
  </conditionalFormatting>
  <dataValidations count="8">
    <dataValidation allowBlank="1" showInputMessage="1" showErrorMessage="1" prompt="June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4" tint="-0.499984740745262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july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DaysAndWeeks+DATE(CalendarYear,7,1)-WEEKDAY(DATE(CalendarYear,7,1),(WeekStart="mon")+1)+1</f>
        <v>43646</v>
      </c>
      <c r="C3" s="8">
        <f ca="1"/>
        <v>43647</v>
      </c>
      <c r="D3" s="8">
        <f ca="1"/>
        <v>43648</v>
      </c>
      <c r="E3" s="8">
        <f ca="1"/>
        <v>43649</v>
      </c>
      <c r="F3" s="8">
        <f ca="1"/>
        <v>43650</v>
      </c>
      <c r="G3" s="8">
        <f ca="1"/>
        <v>43651</v>
      </c>
      <c r="H3" s="8">
        <f ca="1"/>
        <v>43652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DaysAndWeeks+DATE(CalendarYear,7,1)-WEEKDAY(DATE(CalendarYear,7,1),(WeekStart="mon")+1)+8</f>
        <v>43653</v>
      </c>
      <c r="C5" s="8">
        <f ca="1"/>
        <v>43654</v>
      </c>
      <c r="D5" s="8">
        <f ca="1"/>
        <v>43655</v>
      </c>
      <c r="E5" s="8">
        <f ca="1"/>
        <v>43656</v>
      </c>
      <c r="F5" s="8">
        <f ca="1"/>
        <v>43657</v>
      </c>
      <c r="G5" s="8">
        <f ca="1"/>
        <v>43658</v>
      </c>
      <c r="H5" s="8">
        <f ca="1"/>
        <v>43659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DaysAndWeeks+DATE(CalendarYear,7,1)-WEEKDAY(DATE(CalendarYear,7,1),(WeekStart="mon")+1)+15</f>
        <v>43660</v>
      </c>
      <c r="C7" s="8">
        <f ca="1"/>
        <v>43661</v>
      </c>
      <c r="D7" s="8">
        <f ca="1"/>
        <v>43662</v>
      </c>
      <c r="E7" s="8">
        <f ca="1"/>
        <v>43663</v>
      </c>
      <c r="F7" s="8">
        <f ca="1"/>
        <v>43664</v>
      </c>
      <c r="G7" s="8">
        <f ca="1"/>
        <v>43665</v>
      </c>
      <c r="H7" s="8">
        <f ca="1"/>
        <v>43666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DaysAndWeeks+DATE(CalendarYear,7,1)-WEEKDAY(DATE(CalendarYear,7,1),(WeekStart="mon")+1)+22</f>
        <v>43667</v>
      </c>
      <c r="C9" s="8">
        <f ca="1"/>
        <v>43668</v>
      </c>
      <c r="D9" s="8">
        <f ca="1"/>
        <v>43669</v>
      </c>
      <c r="E9" s="8">
        <f ca="1"/>
        <v>43670</v>
      </c>
      <c r="F9" s="8">
        <f ca="1"/>
        <v>43671</v>
      </c>
      <c r="G9" s="8">
        <f ca="1"/>
        <v>43672</v>
      </c>
      <c r="H9" s="8">
        <f ca="1"/>
        <v>43673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DaysAndWeeks+DATE(CalendarYear,7,1)-WEEKDAY(DATE(CalendarYear,7,1),(WeekStart="mon")+1)+29</f>
        <v>43674</v>
      </c>
      <c r="C11" s="8">
        <f ca="1"/>
        <v>43675</v>
      </c>
      <c r="D11" s="8">
        <f ca="1"/>
        <v>43676</v>
      </c>
      <c r="E11" s="8">
        <f ca="1"/>
        <v>43677</v>
      </c>
      <c r="F11" s="8">
        <f ca="1"/>
        <v>43678</v>
      </c>
      <c r="G11" s="8">
        <f ca="1"/>
        <v>43679</v>
      </c>
      <c r="H11" s="8">
        <f ca="1"/>
        <v>43680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DaysAndWeeks+DATE(CalendarYear,7,1)-WEEKDAY(DATE(CalendarYear,7,1),(WeekStart="mon")+1)+36</f>
        <v>43681</v>
      </c>
      <c r="C13" s="8">
        <f ca="1"/>
        <v>43682</v>
      </c>
      <c r="D13" s="8">
        <f ca="1"/>
        <v>43683</v>
      </c>
      <c r="E13" s="8">
        <f ca="1"/>
        <v>43684</v>
      </c>
      <c r="F13" s="8">
        <f ca="1"/>
        <v>43685</v>
      </c>
      <c r="G13" s="8">
        <f ca="1"/>
        <v>43686</v>
      </c>
      <c r="H13" s="8">
        <f ca="1"/>
        <v>43687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1" priority="2">
      <formula>AND(DAY(B11)&gt;=1,DAY(B11)&lt;=15)</formula>
    </cfRule>
  </conditionalFormatting>
  <conditionalFormatting sqref="B3:G4">
    <cfRule type="expression" dxfId="10" priority="1">
      <formula>DAY(B3)&gt;8</formula>
    </cfRule>
  </conditionalFormatting>
  <dataValidations count="8">
    <dataValidation allowBlank="1" showInputMessage="1" showErrorMessage="1" prompt="July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4" tint="-0.249977111117893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august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DaysAndWeeks+DATE(CalendarYear,8,1)-WEEKDAY(DATE(CalendarYear,8,1),(WeekStart="mon")+1)+1</f>
        <v>43674</v>
      </c>
      <c r="C3" s="8">
        <f ca="1"/>
        <v>43675</v>
      </c>
      <c r="D3" s="8">
        <f ca="1"/>
        <v>43676</v>
      </c>
      <c r="E3" s="8">
        <f ca="1"/>
        <v>43677</v>
      </c>
      <c r="F3" s="8">
        <f ca="1"/>
        <v>43678</v>
      </c>
      <c r="G3" s="8">
        <f ca="1"/>
        <v>43679</v>
      </c>
      <c r="H3" s="8">
        <f ca="1"/>
        <v>43680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DaysAndWeeks+DATE(CalendarYear,8,1)-WEEKDAY(DATE(CalendarYear,8,1),(WeekStart="mon")+1)+8</f>
        <v>43681</v>
      </c>
      <c r="C5" s="8">
        <f ca="1"/>
        <v>43682</v>
      </c>
      <c r="D5" s="8">
        <f ca="1"/>
        <v>43683</v>
      </c>
      <c r="E5" s="8">
        <f ca="1"/>
        <v>43684</v>
      </c>
      <c r="F5" s="8">
        <f ca="1"/>
        <v>43685</v>
      </c>
      <c r="G5" s="8">
        <f ca="1"/>
        <v>43686</v>
      </c>
      <c r="H5" s="8">
        <f ca="1"/>
        <v>43687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DaysAndWeeks+DATE(CalendarYear,8,1)-WEEKDAY(DATE(CalendarYear,8,1),(WeekStart="mon")+1)+15</f>
        <v>43688</v>
      </c>
      <c r="C7" s="8">
        <f ca="1"/>
        <v>43689</v>
      </c>
      <c r="D7" s="8">
        <f ca="1"/>
        <v>43690</v>
      </c>
      <c r="E7" s="8">
        <f ca="1"/>
        <v>43691</v>
      </c>
      <c r="F7" s="8">
        <f ca="1"/>
        <v>43692</v>
      </c>
      <c r="G7" s="8">
        <f ca="1"/>
        <v>43693</v>
      </c>
      <c r="H7" s="8">
        <f ca="1"/>
        <v>43694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DaysAndWeeks+DATE(CalendarYear,8,1)-WEEKDAY(DATE(CalendarYear,8,1),(WeekStart="mon")+1)+22</f>
        <v>43695</v>
      </c>
      <c r="C9" s="8">
        <f ca="1"/>
        <v>43696</v>
      </c>
      <c r="D9" s="8">
        <f ca="1"/>
        <v>43697</v>
      </c>
      <c r="E9" s="8">
        <f ca="1"/>
        <v>43698</v>
      </c>
      <c r="F9" s="8">
        <f ca="1"/>
        <v>43699</v>
      </c>
      <c r="G9" s="8">
        <f ca="1"/>
        <v>43700</v>
      </c>
      <c r="H9" s="8">
        <f ca="1"/>
        <v>43701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DaysAndWeeks+DATE(CalendarYear,8,1)-WEEKDAY(DATE(CalendarYear,8,1),(WeekStart="mon")+1)+29</f>
        <v>43702</v>
      </c>
      <c r="C11" s="8">
        <f ca="1"/>
        <v>43703</v>
      </c>
      <c r="D11" s="8">
        <f ca="1"/>
        <v>43704</v>
      </c>
      <c r="E11" s="8">
        <f ca="1"/>
        <v>43705</v>
      </c>
      <c r="F11" s="8">
        <f ca="1"/>
        <v>43706</v>
      </c>
      <c r="G11" s="8">
        <f ca="1"/>
        <v>43707</v>
      </c>
      <c r="H11" s="8">
        <f ca="1"/>
        <v>43708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DaysAndWeeks+DATE(CalendarYear,8,1)-WEEKDAY(DATE(CalendarYear,8,1),(WeekStart="mon")+1)+36</f>
        <v>43709</v>
      </c>
      <c r="C13" s="8">
        <f ca="1"/>
        <v>43710</v>
      </c>
      <c r="D13" s="8">
        <f ca="1"/>
        <v>43711</v>
      </c>
      <c r="E13" s="8">
        <f ca="1"/>
        <v>43712</v>
      </c>
      <c r="F13" s="8">
        <f ca="1"/>
        <v>43713</v>
      </c>
      <c r="G13" s="8">
        <f ca="1"/>
        <v>43714</v>
      </c>
      <c r="H13" s="8">
        <f ca="1"/>
        <v>43715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9" priority="2">
      <formula>AND(DAY(B11)&gt;=1,DAY(B11)&lt;=15)</formula>
    </cfRule>
  </conditionalFormatting>
  <conditionalFormatting sqref="B3:G4">
    <cfRule type="expression" dxfId="8" priority="1">
      <formula>DAY(B3)&gt;8</formula>
    </cfRule>
  </conditionalFormatting>
  <dataValidations count="8">
    <dataValidation allowBlank="1" showInputMessage="1" showErrorMessage="1" prompt="August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4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september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DaysAndWeeks+DATE(CalendarYear,9,1)-WEEKDAY(DATE(CalendarYear,9,1),(WeekStart="mon")+1)+1</f>
        <v>43709</v>
      </c>
      <c r="C3" s="8">
        <f ca="1"/>
        <v>43710</v>
      </c>
      <c r="D3" s="8">
        <f ca="1"/>
        <v>43711</v>
      </c>
      <c r="E3" s="8">
        <f ca="1"/>
        <v>43712</v>
      </c>
      <c r="F3" s="8">
        <f ca="1"/>
        <v>43713</v>
      </c>
      <c r="G3" s="8">
        <f ca="1"/>
        <v>43714</v>
      </c>
      <c r="H3" s="8">
        <f ca="1"/>
        <v>43715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DaysAndWeeks+DATE(CalendarYear,9,1)-WEEKDAY(DATE(CalendarYear,9,1),(WeekStart="mon")+1)+8</f>
        <v>43716</v>
      </c>
      <c r="C5" s="8">
        <f ca="1"/>
        <v>43717</v>
      </c>
      <c r="D5" s="8">
        <f ca="1"/>
        <v>43718</v>
      </c>
      <c r="E5" s="8">
        <f ca="1"/>
        <v>43719</v>
      </c>
      <c r="F5" s="8">
        <f ca="1"/>
        <v>43720</v>
      </c>
      <c r="G5" s="8">
        <f ca="1"/>
        <v>43721</v>
      </c>
      <c r="H5" s="8">
        <f ca="1"/>
        <v>43722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DaysAndWeeks+DATE(CalendarYear,9,1)-WEEKDAY(DATE(CalendarYear,9,1),(WeekStart="mon")+1)+15</f>
        <v>43723</v>
      </c>
      <c r="C7" s="8">
        <f ca="1"/>
        <v>43724</v>
      </c>
      <c r="D7" s="8">
        <f ca="1"/>
        <v>43725</v>
      </c>
      <c r="E7" s="8">
        <f ca="1"/>
        <v>43726</v>
      </c>
      <c r="F7" s="8">
        <f ca="1"/>
        <v>43727</v>
      </c>
      <c r="G7" s="8">
        <f ca="1"/>
        <v>43728</v>
      </c>
      <c r="H7" s="8">
        <f ca="1"/>
        <v>43729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DaysAndWeeks+DATE(CalendarYear,9,1)-WEEKDAY(DATE(CalendarYear,9,1),(WeekStart="mon")+1)+22</f>
        <v>43730</v>
      </c>
      <c r="C9" s="8">
        <f ca="1"/>
        <v>43731</v>
      </c>
      <c r="D9" s="8">
        <f ca="1"/>
        <v>43732</v>
      </c>
      <c r="E9" s="8">
        <f ca="1"/>
        <v>43733</v>
      </c>
      <c r="F9" s="8">
        <f ca="1"/>
        <v>43734</v>
      </c>
      <c r="G9" s="8">
        <f ca="1"/>
        <v>43735</v>
      </c>
      <c r="H9" s="8">
        <f ca="1"/>
        <v>43736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DaysAndWeeks+DATE(CalendarYear,9,1)-WEEKDAY(DATE(CalendarYear,9,1),(WeekStart="mon")+1)+29</f>
        <v>43737</v>
      </c>
      <c r="C11" s="8">
        <f ca="1"/>
        <v>43738</v>
      </c>
      <c r="D11" s="8">
        <f ca="1"/>
        <v>43739</v>
      </c>
      <c r="E11" s="8">
        <f ca="1"/>
        <v>43740</v>
      </c>
      <c r="F11" s="8">
        <f ca="1"/>
        <v>43741</v>
      </c>
      <c r="G11" s="8">
        <f ca="1"/>
        <v>43742</v>
      </c>
      <c r="H11" s="8">
        <f ca="1"/>
        <v>43743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DaysAndWeeks+DATE(CalendarYear,9,1)-WEEKDAY(DATE(CalendarYear,9,1),(WeekStart="mon")+1)+36</f>
        <v>43744</v>
      </c>
      <c r="C13" s="8">
        <f ca="1"/>
        <v>43745</v>
      </c>
      <c r="D13" s="8">
        <f ca="1"/>
        <v>43746</v>
      </c>
      <c r="E13" s="8">
        <f ca="1"/>
        <v>43747</v>
      </c>
      <c r="F13" s="8">
        <f ca="1"/>
        <v>43748</v>
      </c>
      <c r="G13" s="8">
        <f ca="1"/>
        <v>43749</v>
      </c>
      <c r="H13" s="8">
        <f ca="1"/>
        <v>43750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7" priority="2">
      <formula>AND(DAY(B11)&gt;=1,DAY(B11)&lt;=15)</formula>
    </cfRule>
  </conditionalFormatting>
  <conditionalFormatting sqref="B3:G4">
    <cfRule type="expression" dxfId="6" priority="1">
      <formula>DAY(B3)&gt;8</formula>
    </cfRule>
  </conditionalFormatting>
  <dataValidations count="8">
    <dataValidation allowBlank="1" showInputMessage="1" showErrorMessage="1" prompt="September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4" tint="0.39997558519241921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october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DaysAndWeeks+DATE(CalendarYear,10,1)-WEEKDAY(DATE(CalendarYear,10,1),(WeekStart="mon")+1)+1</f>
        <v>43737</v>
      </c>
      <c r="C3" s="8">
        <f ca="1"/>
        <v>43738</v>
      </c>
      <c r="D3" s="8">
        <f ca="1"/>
        <v>43739</v>
      </c>
      <c r="E3" s="8">
        <f ca="1"/>
        <v>43740</v>
      </c>
      <c r="F3" s="8">
        <f ca="1"/>
        <v>43741</v>
      </c>
      <c r="G3" s="8">
        <f ca="1"/>
        <v>43742</v>
      </c>
      <c r="H3" s="8">
        <f ca="1"/>
        <v>43743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DaysAndWeeks+DATE(CalendarYear,10,1)-WEEKDAY(DATE(CalendarYear,10,1),(WeekStart="mon")+1)+8</f>
        <v>43744</v>
      </c>
      <c r="C5" s="8">
        <f ca="1"/>
        <v>43745</v>
      </c>
      <c r="D5" s="8">
        <f ca="1"/>
        <v>43746</v>
      </c>
      <c r="E5" s="8">
        <f ca="1"/>
        <v>43747</v>
      </c>
      <c r="F5" s="8">
        <f ca="1"/>
        <v>43748</v>
      </c>
      <c r="G5" s="8">
        <f ca="1"/>
        <v>43749</v>
      </c>
      <c r="H5" s="8">
        <f ca="1"/>
        <v>43750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DaysAndWeeks+DATE(CalendarYear,10,1)-WEEKDAY(DATE(CalendarYear,10,1),(WeekStart="mon")+1)+15</f>
        <v>43751</v>
      </c>
      <c r="C7" s="8">
        <f ca="1"/>
        <v>43752</v>
      </c>
      <c r="D7" s="8">
        <f ca="1"/>
        <v>43753</v>
      </c>
      <c r="E7" s="8">
        <f ca="1"/>
        <v>43754</v>
      </c>
      <c r="F7" s="8">
        <f ca="1"/>
        <v>43755</v>
      </c>
      <c r="G7" s="8">
        <f ca="1"/>
        <v>43756</v>
      </c>
      <c r="H7" s="8">
        <f ca="1"/>
        <v>43757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DaysAndWeeks+DATE(CalendarYear,10,1)-WEEKDAY(DATE(CalendarYear,10,1),(WeekStart="mon")+1)+22</f>
        <v>43758</v>
      </c>
      <c r="C9" s="8">
        <f ca="1"/>
        <v>43759</v>
      </c>
      <c r="D9" s="8">
        <f ca="1"/>
        <v>43760</v>
      </c>
      <c r="E9" s="8">
        <f ca="1"/>
        <v>43761</v>
      </c>
      <c r="F9" s="8">
        <f ca="1"/>
        <v>43762</v>
      </c>
      <c r="G9" s="8">
        <f ca="1"/>
        <v>43763</v>
      </c>
      <c r="H9" s="8">
        <f ca="1"/>
        <v>43764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DaysAndWeeks+DATE(CalendarYear,10,1)-WEEKDAY(DATE(CalendarYear,10,1),(WeekStart="mon")+1)+29</f>
        <v>43765</v>
      </c>
      <c r="C11" s="8">
        <f ca="1"/>
        <v>43766</v>
      </c>
      <c r="D11" s="8">
        <f ca="1"/>
        <v>43767</v>
      </c>
      <c r="E11" s="8">
        <f ca="1"/>
        <v>43768</v>
      </c>
      <c r="F11" s="8">
        <f ca="1"/>
        <v>43769</v>
      </c>
      <c r="G11" s="8">
        <f ca="1"/>
        <v>43770</v>
      </c>
      <c r="H11" s="8">
        <f ca="1"/>
        <v>43771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DaysAndWeeks+DATE(CalendarYear,10,1)-WEEKDAY(DATE(CalendarYear,10,1),(WeekStart="mon")+1)+36</f>
        <v>43772</v>
      </c>
      <c r="C13" s="8">
        <f ca="1"/>
        <v>43773</v>
      </c>
      <c r="D13" s="8">
        <f ca="1"/>
        <v>43774</v>
      </c>
      <c r="E13" s="8">
        <f ca="1"/>
        <v>43775</v>
      </c>
      <c r="F13" s="8">
        <f ca="1"/>
        <v>43776</v>
      </c>
      <c r="G13" s="8">
        <f ca="1"/>
        <v>43777</v>
      </c>
      <c r="H13" s="8">
        <f ca="1"/>
        <v>43778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5" priority="2">
      <formula>AND(DAY(B11)&gt;=1,DAY(B11)&lt;=15)</formula>
    </cfRule>
  </conditionalFormatting>
  <conditionalFormatting sqref="B3:G4">
    <cfRule type="expression" dxfId="4" priority="1">
      <formula>DAY(B3)&gt;8</formula>
    </cfRule>
  </conditionalFormatting>
  <dataValidations count="8">
    <dataValidation allowBlank="1" showInputMessage="1" showErrorMessage="1" prompt="October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4" tint="0.59999389629810485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november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DaysAndWeeks+DATE(CalendarYear,11,1)-WEEKDAY(DATE(CalendarYear,11,1),(WeekStart="mon")+1)+1</f>
        <v>43765</v>
      </c>
      <c r="C3" s="8">
        <f ca="1"/>
        <v>43766</v>
      </c>
      <c r="D3" s="8">
        <f ca="1"/>
        <v>43767</v>
      </c>
      <c r="E3" s="8">
        <f ca="1"/>
        <v>43768</v>
      </c>
      <c r="F3" s="8">
        <f ca="1"/>
        <v>43769</v>
      </c>
      <c r="G3" s="8">
        <f ca="1"/>
        <v>43770</v>
      </c>
      <c r="H3" s="8">
        <f ca="1"/>
        <v>43771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DaysAndWeeks+DATE(CalendarYear,11,1)-WEEKDAY(DATE(CalendarYear,11,1),(WeekStart="mon")+1)+8</f>
        <v>43772</v>
      </c>
      <c r="C5" s="8">
        <f ca="1"/>
        <v>43773</v>
      </c>
      <c r="D5" s="8">
        <f ca="1"/>
        <v>43774</v>
      </c>
      <c r="E5" s="8">
        <f ca="1"/>
        <v>43775</v>
      </c>
      <c r="F5" s="8">
        <f ca="1"/>
        <v>43776</v>
      </c>
      <c r="G5" s="8">
        <f ca="1"/>
        <v>43777</v>
      </c>
      <c r="H5" s="8">
        <f ca="1"/>
        <v>43778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DaysAndWeeks+DATE(CalendarYear,11,1)-WEEKDAY(DATE(CalendarYear,11,1),(WeekStart="mon")+1)+15</f>
        <v>43779</v>
      </c>
      <c r="C7" s="8">
        <f ca="1"/>
        <v>43780</v>
      </c>
      <c r="D7" s="8">
        <f ca="1"/>
        <v>43781</v>
      </c>
      <c r="E7" s="8">
        <f ca="1"/>
        <v>43782</v>
      </c>
      <c r="F7" s="8">
        <f ca="1"/>
        <v>43783</v>
      </c>
      <c r="G7" s="8">
        <f ca="1"/>
        <v>43784</v>
      </c>
      <c r="H7" s="8">
        <f ca="1"/>
        <v>43785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DaysAndWeeks+DATE(CalendarYear,11,1)-WEEKDAY(DATE(CalendarYear,11,1),(WeekStart="mon")+1)+22</f>
        <v>43786</v>
      </c>
      <c r="C9" s="8">
        <f ca="1"/>
        <v>43787</v>
      </c>
      <c r="D9" s="8">
        <f ca="1"/>
        <v>43788</v>
      </c>
      <c r="E9" s="8">
        <f ca="1"/>
        <v>43789</v>
      </c>
      <c r="F9" s="8">
        <f ca="1"/>
        <v>43790</v>
      </c>
      <c r="G9" s="8">
        <f ca="1"/>
        <v>43791</v>
      </c>
      <c r="H9" s="8">
        <f ca="1"/>
        <v>43792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DaysAndWeeks+DATE(CalendarYear,11,1)-WEEKDAY(DATE(CalendarYear,11,1),(WeekStart="mon")+1)+29</f>
        <v>43793</v>
      </c>
      <c r="C11" s="8">
        <f ca="1"/>
        <v>43794</v>
      </c>
      <c r="D11" s="8">
        <f ca="1"/>
        <v>43795</v>
      </c>
      <c r="E11" s="8">
        <f ca="1"/>
        <v>43796</v>
      </c>
      <c r="F11" s="8">
        <f ca="1"/>
        <v>43797</v>
      </c>
      <c r="G11" s="8">
        <f ca="1"/>
        <v>43798</v>
      </c>
      <c r="H11" s="8">
        <f ca="1"/>
        <v>43799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DaysAndWeeks+DATE(CalendarYear,11,1)-WEEKDAY(DATE(CalendarYear,11,1),(WeekStart="mon")+1)+36</f>
        <v>43800</v>
      </c>
      <c r="C13" s="8">
        <f ca="1"/>
        <v>43801</v>
      </c>
      <c r="D13" s="8">
        <f ca="1"/>
        <v>43802</v>
      </c>
      <c r="E13" s="8">
        <f ca="1"/>
        <v>43803</v>
      </c>
      <c r="F13" s="8">
        <f ca="1"/>
        <v>43804</v>
      </c>
      <c r="G13" s="8">
        <f ca="1"/>
        <v>43805</v>
      </c>
      <c r="H13" s="8">
        <f ca="1"/>
        <v>43806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3" priority="2">
      <formula>AND(DAY(B11)&gt;=1,DAY(B11)&lt;=15)</formula>
    </cfRule>
  </conditionalFormatting>
  <conditionalFormatting sqref="B3:G4">
    <cfRule type="expression" dxfId="2" priority="1">
      <formula>DAY(B3)&gt;8</formula>
    </cfRule>
  </conditionalFormatting>
  <dataValidations count="8">
    <dataValidation allowBlank="1" showInputMessage="1" showErrorMessage="1" prompt="November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4" tint="0.79998168889431442"/>
    <pageSetUpPr autoPageBreaks="0" fitToPage="1"/>
  </sheetPr>
  <dimension ref="A1:K16"/>
  <sheetViews>
    <sheetView showGridLines="0" workbookViewId="0"/>
  </sheetViews>
  <sheetFormatPr defaultColWidth="8.75" defaultRowHeight="16.5"/>
  <cols>
    <col min="1" max="1" width="2.625" customWidth="1"/>
    <col min="2" max="8" width="17.5" customWidth="1"/>
    <col min="9" max="9" width="2.625" customWidth="1"/>
    <col min="10" max="10" width="38.5" customWidth="1"/>
    <col min="11" max="11" width="2.375" customWidth="1"/>
  </cols>
  <sheetData>
    <row r="1" spans="1:11" ht="59.25" customHeight="1" thickBot="1">
      <c r="B1" s="15" t="str">
        <f ca="1">LOWER(TEXT(B7,"mmmm"))</f>
        <v>december</v>
      </c>
      <c r="C1" s="15"/>
      <c r="D1" s="15"/>
      <c r="E1" s="15"/>
      <c r="F1" s="15"/>
      <c r="G1" s="15"/>
      <c r="H1" s="4">
        <f ca="1">CalendarYear</f>
        <v>2019</v>
      </c>
      <c r="K1" t="s">
        <v>8</v>
      </c>
    </row>
    <row r="2" spans="1:11" s="5" customFormat="1" ht="46.5" customHeight="1">
      <c r="A2"/>
      <c r="B2" s="6" t="str">
        <f>WeekStart</f>
        <v>sun</v>
      </c>
      <c r="C2" s="6" t="str">
        <f ca="1">LOWER(TEXT(C3,"aaa"))</f>
        <v>mon</v>
      </c>
      <c r="D2" s="6" t="str">
        <f t="shared" ref="D2:H2" ca="1" si="0">LOWER(TEXT(D3,"aaa"))</f>
        <v>tue</v>
      </c>
      <c r="E2" s="6" t="str">
        <f t="shared" ca="1" si="0"/>
        <v>wed</v>
      </c>
      <c r="F2" s="6" t="str">
        <f t="shared" ca="1" si="0"/>
        <v>thu</v>
      </c>
      <c r="G2" s="6" t="str">
        <f t="shared" ca="1" si="0"/>
        <v>fri</v>
      </c>
      <c r="H2" s="6" t="str">
        <f t="shared" ca="1" si="0"/>
        <v>sat</v>
      </c>
      <c r="I2"/>
      <c r="J2" s="7" t="s">
        <v>1</v>
      </c>
    </row>
    <row r="3" spans="1:11" ht="19.5" customHeight="1">
      <c r="B3" s="8">
        <f t="array" aca="1" ref="B3:H3" ca="1">DaysAndWeeks+DATE(CalendarYear,12,1)-WEEKDAY(DATE(CalendarYear,12,1),(WeekStart="mon")+1)+1</f>
        <v>43800</v>
      </c>
      <c r="C3" s="8">
        <f ca="1"/>
        <v>43801</v>
      </c>
      <c r="D3" s="8">
        <f ca="1"/>
        <v>43802</v>
      </c>
      <c r="E3" s="8">
        <f ca="1"/>
        <v>43803</v>
      </c>
      <c r="F3" s="8">
        <f ca="1"/>
        <v>43804</v>
      </c>
      <c r="G3" s="8">
        <f ca="1"/>
        <v>43805</v>
      </c>
      <c r="H3" s="8">
        <f ca="1"/>
        <v>43806</v>
      </c>
      <c r="J3" s="14"/>
    </row>
    <row r="4" spans="1:11" ht="58.5" customHeight="1">
      <c r="B4" s="9"/>
      <c r="C4" s="9"/>
      <c r="D4" s="9"/>
      <c r="E4" s="9"/>
      <c r="F4" s="9"/>
      <c r="G4" s="9"/>
      <c r="H4" s="9"/>
      <c r="J4" s="14"/>
    </row>
    <row r="5" spans="1:11" ht="18.75" customHeight="1">
      <c r="B5" s="8">
        <f t="array" aca="1" ref="B5:H5" ca="1">DaysAndWeeks+DATE(CalendarYear,12,1)-WEEKDAY(DATE(CalendarYear,12,1),(WeekStart="mon")+1)+8</f>
        <v>43807</v>
      </c>
      <c r="C5" s="8">
        <f ca="1"/>
        <v>43808</v>
      </c>
      <c r="D5" s="8">
        <f ca="1"/>
        <v>43809</v>
      </c>
      <c r="E5" s="8">
        <f ca="1"/>
        <v>43810</v>
      </c>
      <c r="F5" s="8">
        <f ca="1"/>
        <v>43811</v>
      </c>
      <c r="G5" s="8">
        <f ca="1"/>
        <v>43812</v>
      </c>
      <c r="H5" s="8">
        <f ca="1"/>
        <v>43813</v>
      </c>
    </row>
    <row r="6" spans="1:11" ht="56.25" customHeight="1">
      <c r="B6" s="9"/>
      <c r="C6" s="9"/>
      <c r="D6" s="9"/>
      <c r="E6" s="9"/>
      <c r="F6" s="9"/>
      <c r="G6" s="9"/>
      <c r="H6" s="9"/>
    </row>
    <row r="7" spans="1:11" ht="18.75" customHeight="1">
      <c r="B7" s="8">
        <f t="array" aca="1" ref="B7:H7" ca="1">DaysAndWeeks+DATE(CalendarYear,12,1)-WEEKDAY(DATE(CalendarYear,12,1),(WeekStart="mon")+1)+15</f>
        <v>43814</v>
      </c>
      <c r="C7" s="8">
        <f ca="1"/>
        <v>43815</v>
      </c>
      <c r="D7" s="8">
        <f ca="1"/>
        <v>43816</v>
      </c>
      <c r="E7" s="8">
        <f ca="1"/>
        <v>43817</v>
      </c>
      <c r="F7" s="8">
        <f ca="1"/>
        <v>43818</v>
      </c>
      <c r="G7" s="8">
        <f ca="1"/>
        <v>43819</v>
      </c>
      <c r="H7" s="8">
        <f ca="1"/>
        <v>43820</v>
      </c>
    </row>
    <row r="8" spans="1:11" ht="56.25" customHeight="1">
      <c r="B8" s="9"/>
      <c r="C8" s="9"/>
      <c r="D8" s="9"/>
      <c r="E8" s="9"/>
      <c r="F8" s="9"/>
      <c r="G8" s="9"/>
      <c r="H8" s="9"/>
    </row>
    <row r="9" spans="1:11" ht="18.75" customHeight="1">
      <c r="B9" s="8">
        <f t="array" aca="1" ref="B9:H9" ca="1">DaysAndWeeks+DATE(CalendarYear,12,1)-WEEKDAY(DATE(CalendarYear,12,1),(WeekStart="mon")+1)+22</f>
        <v>43821</v>
      </c>
      <c r="C9" s="8">
        <f ca="1"/>
        <v>43822</v>
      </c>
      <c r="D9" s="8">
        <f ca="1"/>
        <v>43823</v>
      </c>
      <c r="E9" s="8">
        <f ca="1"/>
        <v>43824</v>
      </c>
      <c r="F9" s="8">
        <f ca="1"/>
        <v>43825</v>
      </c>
      <c r="G9" s="8">
        <f ca="1"/>
        <v>43826</v>
      </c>
      <c r="H9" s="8">
        <f ca="1"/>
        <v>43827</v>
      </c>
    </row>
    <row r="10" spans="1:11" ht="56.25" customHeight="1">
      <c r="B10" s="9"/>
      <c r="C10" s="9"/>
      <c r="D10" s="9"/>
      <c r="E10" s="9"/>
      <c r="F10" s="9"/>
      <c r="G10" s="9"/>
      <c r="H10" s="9"/>
    </row>
    <row r="11" spans="1:11" ht="18.75" customHeight="1">
      <c r="B11" s="8">
        <f t="array" aca="1" ref="B11:H11" ca="1">DaysAndWeeks+DATE(CalendarYear,12,1)-WEEKDAY(DATE(CalendarYear,12,1),(WeekStart="mon")+1)+29</f>
        <v>43828</v>
      </c>
      <c r="C11" s="8">
        <f ca="1"/>
        <v>43829</v>
      </c>
      <c r="D11" s="8">
        <f ca="1"/>
        <v>43830</v>
      </c>
      <c r="E11" s="8">
        <f ca="1"/>
        <v>43831</v>
      </c>
      <c r="F11" s="8">
        <f ca="1"/>
        <v>43832</v>
      </c>
      <c r="G11" s="8">
        <f ca="1"/>
        <v>43833</v>
      </c>
      <c r="H11" s="8">
        <f ca="1"/>
        <v>43834</v>
      </c>
    </row>
    <row r="12" spans="1:11" ht="56.25" customHeight="1">
      <c r="B12" s="9"/>
      <c r="C12" s="9"/>
      <c r="D12" s="9"/>
      <c r="E12" s="9"/>
      <c r="F12" s="9"/>
      <c r="G12" s="9"/>
      <c r="H12" s="9"/>
    </row>
    <row r="13" spans="1:11" ht="18.75" customHeight="1">
      <c r="B13" s="8">
        <f t="array" aca="1" ref="B13:H13" ca="1">DaysAndWeeks+DATE(CalendarYear,12,1)-WEEKDAY(DATE(CalendarYear,12,1),(WeekStart="mon")+1)+36</f>
        <v>43835</v>
      </c>
      <c r="C13" s="8">
        <f ca="1"/>
        <v>43836</v>
      </c>
      <c r="D13" s="8">
        <f ca="1"/>
        <v>43837</v>
      </c>
      <c r="E13" s="8">
        <f ca="1"/>
        <v>43838</v>
      </c>
      <c r="F13" s="8">
        <f ca="1"/>
        <v>43839</v>
      </c>
      <c r="G13" s="8">
        <f ca="1"/>
        <v>43840</v>
      </c>
      <c r="H13" s="8">
        <f ca="1"/>
        <v>43841</v>
      </c>
    </row>
    <row r="14" spans="1:11" ht="56.25" customHeight="1">
      <c r="B14" s="11"/>
      <c r="C14" s="11"/>
      <c r="D14" s="11"/>
      <c r="E14" s="11"/>
      <c r="F14" s="11"/>
      <c r="G14" s="11"/>
      <c r="H14" s="11"/>
    </row>
    <row r="15" spans="1:11" ht="18.75" customHeight="1">
      <c r="B15" s="11"/>
      <c r="C15" s="11"/>
      <c r="D15" s="11"/>
      <c r="E15" s="11"/>
      <c r="F15" s="11"/>
      <c r="G15" s="11"/>
      <c r="H15" s="11"/>
    </row>
    <row r="16" spans="1:11" ht="18.75" customHeight="1">
      <c r="B16" s="11"/>
      <c r="C16" s="11"/>
      <c r="D16" s="11"/>
      <c r="E16" s="11"/>
      <c r="F16" s="11"/>
      <c r="G16" s="11"/>
      <c r="H16" s="11"/>
    </row>
  </sheetData>
  <mergeCells count="2">
    <mergeCell ref="J3:J4"/>
    <mergeCell ref="B1:G1"/>
  </mergeCells>
  <conditionalFormatting sqref="B11:H14">
    <cfRule type="expression" dxfId="1" priority="2">
      <formula>AND(DAY(B11)&gt;=1,DAY(B11)&lt;=15)</formula>
    </cfRule>
  </conditionalFormatting>
  <conditionalFormatting sqref="B3:G4">
    <cfRule type="expression" dxfId="0" priority="1">
      <formula>DAY(B3)&gt;8</formula>
    </cfRule>
  </conditionalFormatting>
  <dataValidations count="8">
    <dataValidation allowBlank="1" showInputMessage="1" showErrorMessage="1" prompt="December month calendar. Enter monthly Notes in cell J3" sqref="A1"/>
    <dataValidation allowBlank="1" showInputMessage="1" showErrorMessage="1" prompt="Month is in this cell and Year is in cell at right" sqref="B1:G1"/>
    <dataValidation allowBlank="1" showInputMessage="1" showErrorMessage="1" prompt="Year is automatically updated in this cell based on year entered in Calendar Setup worksheet" sqref="H1"/>
    <dataValidation allowBlank="1" showInputMessage="1" showErrorMessage="1" prompt="This row contains weekday names for this calendar. This cell contains starting day of week. To change the starting day, select a new Week Start day in Calendar Setup worksheet" sqref="B2"/>
    <dataValidation allowBlank="1" showInputMessage="1" showErrorMessage="1" prompt="Calendar day in this and rows 5, 7, 9, 11, and 13 are automatically updated. If this cell doesn’t contain number 1, then it is a previous month's day" sqref="B3"/>
    <dataValidation allowBlank="1" showInputMessage="1" showErrorMessage="1" prompt="Enter monthly Notes in cell below" sqref="J2"/>
    <dataValidation allowBlank="1" showInputMessage="1" showErrorMessage="1" prompt="Enter daily notes based on the calendar day and date in this and rows 6, 8, 10, 12 and 14, from columns B through H" sqref="B4"/>
    <dataValidation allowBlank="1" showInputMessage="1" showErrorMessage="1" prompt="Enter monthly Notes in this cell" sqref="J3:J4"/>
  </dataValidations>
  <printOptions horizontalCentered="1" verticalCentered="1"/>
  <pageMargins left="0.7" right="0.7" top="0.75" bottom="0.75" header="0.3" footer="0.3"/>
  <pageSetup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calendar setup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'calendar setup'!Print_Area</vt:lpstr>
      <vt:lpstr>WeekStart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Pierre</cp:lastModifiedBy>
  <dcterms:created xsi:type="dcterms:W3CDTF">2018-01-24T04:53:32Z</dcterms:created>
  <dcterms:modified xsi:type="dcterms:W3CDTF">2019-04-07T03:53:44Z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2018-01-24T04:53:36.0171938Z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