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drawings/drawing3.xml" ContentType="application/vnd.openxmlformats-officedocument.drawing+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A6851D0C-DCCA-4E6E-A792-1A13EAD95666}" xr6:coauthVersionLast="47" xr6:coauthVersionMax="47" xr10:uidLastSave="{00000000-0000-0000-0000-000000000000}"/>
  <bookViews>
    <workbookView xWindow="-98" yWindow="-98" windowWidth="19396" windowHeight="10276" tabRatio="587" activeTab="1"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2026'!$A$1:$AC$74</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F10" i="13" l="1"/>
  <c r="P10" i="13"/>
  <c r="AE75" i="13"/>
  <c r="AF2" i="13"/>
  <c r="AF3" i="13"/>
  <c r="AF4" i="13"/>
  <c r="AF5" i="13"/>
  <c r="AF6" i="13"/>
  <c r="AF7" i="13"/>
  <c r="AF8" i="13"/>
  <c r="AF9" i="13"/>
  <c r="AF11" i="13"/>
  <c r="AF12" i="13"/>
  <c r="AF13" i="13"/>
  <c r="AF14" i="13"/>
  <c r="AF15" i="13"/>
  <c r="AF16" i="13"/>
  <c r="AF17" i="13"/>
  <c r="AF18" i="13"/>
  <c r="AF19" i="13"/>
  <c r="AF20" i="13"/>
  <c r="AF21" i="13"/>
  <c r="AF22" i="13"/>
  <c r="AF23" i="13"/>
  <c r="AF24" i="13"/>
  <c r="AF25" i="13"/>
  <c r="AF26" i="13"/>
  <c r="AF27" i="13"/>
  <c r="AF28" i="13"/>
  <c r="AF29" i="13"/>
  <c r="AF30" i="13"/>
  <c r="AF31" i="13"/>
  <c r="AF32" i="13"/>
  <c r="AF33" i="13"/>
  <c r="AF34" i="13"/>
  <c r="AF35" i="13"/>
  <c r="AF36" i="13"/>
  <c r="AF37" i="13"/>
  <c r="AF38" i="13"/>
  <c r="AF39" i="13"/>
  <c r="AF40" i="13"/>
  <c r="AF41" i="13"/>
  <c r="AF42" i="13"/>
  <c r="AF43" i="13"/>
  <c r="AF44" i="13"/>
  <c r="AF45" i="13"/>
  <c r="AF46" i="13"/>
  <c r="AF48" i="13"/>
  <c r="AF49" i="13"/>
  <c r="AF50" i="13"/>
  <c r="AF51" i="13"/>
  <c r="AF52" i="13"/>
  <c r="AF53" i="13"/>
  <c r="AF54" i="13"/>
  <c r="AF55" i="13"/>
  <c r="AF56" i="13"/>
  <c r="AF57" i="13"/>
  <c r="AF58" i="13"/>
  <c r="AF59" i="13"/>
  <c r="AF60" i="13"/>
  <c r="AF61" i="13"/>
  <c r="AF62" i="13"/>
  <c r="AF63" i="13"/>
  <c r="AF64" i="13"/>
  <c r="AF67" i="13"/>
  <c r="AF68" i="13"/>
  <c r="AF71" i="13"/>
  <c r="AF72" i="13"/>
  <c r="AF73" i="13"/>
  <c r="AF74" i="13"/>
  <c r="AF47" i="13"/>
  <c r="S4" i="13"/>
  <c r="S32" i="13"/>
  <c r="S12" i="13"/>
  <c r="S20" i="13"/>
  <c r="S11" i="13"/>
  <c r="S34" i="13"/>
  <c r="S38" i="13"/>
  <c r="S39" i="13"/>
  <c r="S40" i="13"/>
  <c r="S41" i="13"/>
  <c r="S74" i="13"/>
  <c r="S42" i="13"/>
  <c r="S43" i="13"/>
  <c r="S44" i="13"/>
  <c r="S45" i="13"/>
  <c r="S46" i="13"/>
  <c r="S47" i="13"/>
  <c r="S48" i="13"/>
  <c r="S49" i="13"/>
  <c r="S50" i="13"/>
  <c r="S51" i="13"/>
  <c r="S52" i="13"/>
  <c r="S53" i="13"/>
  <c r="S54" i="13"/>
  <c r="S55" i="13"/>
  <c r="S56" i="13"/>
  <c r="S57" i="13"/>
  <c r="S58" i="13"/>
  <c r="S59" i="13"/>
  <c r="S60" i="13"/>
  <c r="S62" i="13"/>
  <c r="P4" i="13"/>
  <c r="S21" i="13"/>
  <c r="S24" i="13"/>
  <c r="S7" i="13"/>
  <c r="S17" i="13"/>
  <c r="S8" i="13"/>
  <c r="S9" i="13"/>
  <c r="S3" i="13"/>
  <c r="S16" i="13"/>
  <c r="S13" i="13"/>
  <c r="S14" i="13"/>
  <c r="S35" i="13"/>
  <c r="S36" i="13"/>
  <c r="S2" i="13"/>
  <c r="S23" i="13"/>
  <c r="S28" i="13"/>
  <c r="S6" i="13"/>
  <c r="S26" i="13"/>
  <c r="S27" i="13"/>
  <c r="S15" i="13"/>
  <c r="S37" i="13"/>
  <c r="S5" i="13"/>
  <c r="S30" i="13"/>
  <c r="S33" i="13"/>
  <c r="S29" i="13"/>
  <c r="S31" i="13"/>
  <c r="S19" i="13"/>
  <c r="P24" i="13"/>
  <c r="P7" i="13"/>
  <c r="P17" i="13"/>
  <c r="P8" i="13"/>
  <c r="P9" i="13"/>
  <c r="P3" i="13"/>
  <c r="P16" i="13"/>
  <c r="P13" i="13"/>
  <c r="P14" i="13"/>
  <c r="P35" i="13"/>
  <c r="P36" i="13"/>
  <c r="P2" i="13"/>
  <c r="P23" i="13"/>
  <c r="P28" i="13"/>
  <c r="P6" i="13"/>
  <c r="P26" i="13"/>
  <c r="P27" i="13"/>
  <c r="P15" i="13"/>
  <c r="P37" i="13"/>
  <c r="P5" i="13"/>
  <c r="P30" i="13"/>
  <c r="P33" i="13"/>
  <c r="P29" i="13"/>
  <c r="P31" i="13"/>
  <c r="P19" i="13"/>
  <c r="P32" i="13"/>
  <c r="P12" i="13"/>
  <c r="P20" i="13"/>
  <c r="P11" i="13"/>
  <c r="P34" i="13"/>
  <c r="P38" i="13"/>
  <c r="P39" i="13"/>
  <c r="P40" i="13"/>
  <c r="P41" i="13"/>
  <c r="P74" i="13"/>
  <c r="P42" i="13"/>
  <c r="P43" i="13"/>
  <c r="P44" i="13"/>
  <c r="P45" i="13"/>
  <c r="P46" i="13"/>
  <c r="P47" i="13"/>
  <c r="P48" i="13"/>
  <c r="P49" i="13"/>
  <c r="P50" i="13"/>
  <c r="P51" i="13"/>
  <c r="P52" i="13"/>
  <c r="P53" i="13"/>
  <c r="P54" i="13"/>
  <c r="P55" i="13"/>
  <c r="P56" i="13"/>
  <c r="P57" i="13"/>
  <c r="P58" i="13"/>
  <c r="P59" i="13"/>
  <c r="P60" i="13"/>
  <c r="P61" i="13"/>
  <c r="P62" i="13"/>
  <c r="P21" i="13"/>
  <c r="N13" i="13"/>
  <c r="N24" i="13"/>
  <c r="N7" i="13"/>
  <c r="N17" i="13"/>
  <c r="N8" i="13"/>
  <c r="N9" i="13"/>
  <c r="N22" i="13"/>
  <c r="N3" i="13"/>
  <c r="N16" i="13"/>
  <c r="N14" i="13"/>
  <c r="N35" i="13"/>
  <c r="N36" i="13"/>
  <c r="N2" i="13"/>
  <c r="N18" i="13"/>
  <c r="N23" i="13"/>
  <c r="N28" i="13"/>
  <c r="N6" i="13"/>
  <c r="N26" i="13"/>
  <c r="N27" i="13"/>
  <c r="N15" i="13"/>
  <c r="N37" i="13"/>
  <c r="N5" i="13"/>
  <c r="N30" i="13"/>
  <c r="N33" i="13"/>
  <c r="N29" i="13"/>
  <c r="N31" i="13"/>
  <c r="N19" i="13"/>
  <c r="N25" i="13"/>
  <c r="N4" i="13"/>
  <c r="N32" i="13"/>
  <c r="N12" i="13"/>
  <c r="N20" i="13"/>
  <c r="N11" i="13"/>
  <c r="N34" i="13"/>
  <c r="N38" i="13"/>
  <c r="N39" i="13"/>
  <c r="N40" i="13"/>
  <c r="N41" i="13"/>
  <c r="N74" i="13"/>
  <c r="N42" i="13"/>
  <c r="N43" i="13"/>
  <c r="N44" i="13"/>
  <c r="N45" i="13"/>
  <c r="N46" i="13"/>
  <c r="N47" i="13"/>
  <c r="N48" i="13"/>
  <c r="N49" i="13"/>
  <c r="N50" i="13"/>
  <c r="N51" i="13"/>
  <c r="N52" i="13"/>
  <c r="N53" i="13"/>
  <c r="N55" i="13"/>
  <c r="N56" i="13"/>
  <c r="N57" i="13"/>
  <c r="N58" i="13"/>
  <c r="N59" i="13"/>
  <c r="N60" i="13"/>
  <c r="N61" i="13"/>
  <c r="N21"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AF75" i="13" l="1"/>
  <c r="BH234" i="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l="1"/>
  <c r="AX132" i="1"/>
  <c r="AZ132" i="1"/>
  <c r="BG132" i="1"/>
  <c r="BI132" i="1"/>
  <c r="BK132" i="1"/>
  <c r="AX111" i="1"/>
  <c r="AZ111" i="1"/>
  <c r="BG111" i="1"/>
  <c r="BI111" i="1"/>
  <c r="BK111" i="1"/>
  <c r="AX181" i="1"/>
  <c r="AZ181" i="1"/>
  <c r="BG181" i="1"/>
  <c r="BI181" i="1"/>
  <c r="BK181" i="1"/>
  <c r="AX60" i="1"/>
  <c r="AZ60" i="1"/>
  <c r="BG60" i="1"/>
  <c r="BI60" i="1"/>
  <c r="AX231" i="1"/>
  <c r="AZ231" i="1"/>
  <c r="BG231" i="1"/>
  <c r="BI231" i="1"/>
  <c r="AX22" i="1"/>
  <c r="AZ22" i="1"/>
  <c r="BG22" i="1"/>
  <c r="BI22" i="1"/>
  <c r="BK22" i="1"/>
  <c r="AX34" i="1"/>
  <c r="AZ34" i="1"/>
  <c r="BG34" i="1"/>
  <c r="BI34" i="1"/>
  <c r="BK34" i="1"/>
  <c r="AX94" i="1"/>
  <c r="AZ94" i="1"/>
  <c r="BG94" i="1"/>
  <c r="BI94" i="1"/>
  <c r="BK94" i="1"/>
  <c r="AX121" i="1"/>
  <c r="AZ121" i="1"/>
  <c r="BG121" i="1"/>
  <c r="BI121" i="1"/>
  <c r="BK121" i="1"/>
  <c r="AX143" i="1"/>
  <c r="AZ143" i="1"/>
  <c r="BG143" i="1"/>
  <c r="BI143" i="1"/>
  <c r="AX109" i="1"/>
  <c r="AZ109" i="1"/>
  <c r="BG109" i="1"/>
  <c r="BI109" i="1"/>
  <c r="BK109" i="1"/>
  <c r="AX3" i="1"/>
  <c r="AZ3" i="1"/>
  <c r="BG3" i="1"/>
  <c r="BI3" i="1"/>
  <c r="BK3" i="1"/>
  <c r="AX138" i="1"/>
  <c r="AZ138" i="1"/>
  <c r="BG138" i="1"/>
  <c r="BI138" i="1"/>
  <c r="BK138" i="1"/>
  <c r="AX92" i="1"/>
  <c r="AZ92" i="1"/>
  <c r="BG92" i="1"/>
  <c r="BI92" i="1"/>
  <c r="BK92" i="1"/>
  <c r="AZ2" i="1"/>
  <c r="BG2" i="1"/>
  <c r="BI2" i="1"/>
  <c r="BK2" i="1"/>
  <c r="AX211" i="1"/>
  <c r="AZ211" i="1"/>
  <c r="BG211" i="1"/>
  <c r="BI211" i="1"/>
  <c r="BK211" i="1"/>
  <c r="AX185" i="1"/>
  <c r="AZ185" i="1"/>
  <c r="BG185" i="1"/>
  <c r="BI185" i="1"/>
  <c r="BK185" i="1"/>
  <c r="AX209" i="1"/>
  <c r="AZ209" i="1"/>
  <c r="BG209" i="1"/>
  <c r="BI209" i="1"/>
  <c r="BK209" i="1"/>
  <c r="AX145" i="1"/>
  <c r="AZ145" i="1"/>
  <c r="BG145" i="1"/>
  <c r="BI145" i="1"/>
  <c r="AX191" i="1"/>
  <c r="AZ191" i="1"/>
  <c r="BG191" i="1"/>
  <c r="BI191" i="1"/>
  <c r="BK191" i="1"/>
  <c r="AX12" i="1"/>
  <c r="AZ12" i="1"/>
  <c r="BG12" i="1"/>
  <c r="BI12" i="1"/>
  <c r="BK12" i="1"/>
  <c r="AX210" i="1"/>
  <c r="AZ210" i="1"/>
  <c r="BG210" i="1"/>
  <c r="AX172" i="1"/>
  <c r="AZ172" i="1"/>
  <c r="AX196" i="1"/>
  <c r="AX133" i="1"/>
  <c r="AX26" i="1"/>
  <c r="AX58" i="1"/>
  <c r="AX140" i="1"/>
  <c r="AX110" i="1"/>
  <c r="AX33" i="1"/>
  <c r="AX175" i="1"/>
  <c r="AX163" i="1"/>
  <c r="AX146" i="1"/>
  <c r="AX120" i="1"/>
  <c r="AX176" i="1"/>
  <c r="AX18" i="1"/>
  <c r="AX129" i="1"/>
  <c r="AX116" i="1"/>
  <c r="AX41" i="1"/>
  <c r="AX80" i="1"/>
  <c r="AX82" i="1"/>
  <c r="AX66" i="1"/>
  <c r="AX221" i="1"/>
  <c r="AX37" i="1"/>
  <c r="AX90" i="1"/>
  <c r="AZ90" i="1"/>
  <c r="BG90" i="1"/>
  <c r="AX27" i="1"/>
  <c r="AX10" i="1"/>
  <c r="AX91" i="1"/>
  <c r="AX195" i="1"/>
  <c r="AX119" i="1"/>
  <c r="AX48" i="1"/>
  <c r="AZ48" i="1"/>
  <c r="BG48" i="1"/>
  <c r="AX127" i="1"/>
  <c r="AX100" i="1"/>
  <c r="AX30" i="1"/>
  <c r="AZ30" i="1"/>
  <c r="BG30" i="1"/>
  <c r="AX70" i="1"/>
  <c r="AX104" i="1"/>
  <c r="AX86" i="1"/>
  <c r="AX151" i="1"/>
  <c r="AZ151" i="1"/>
  <c r="BG151" i="1"/>
  <c r="AX89" i="1"/>
  <c r="AX153" i="1"/>
  <c r="AZ153" i="1"/>
  <c r="BG153" i="1"/>
  <c r="AX212" i="1"/>
  <c r="AX186" i="1"/>
  <c r="AZ186" i="1"/>
  <c r="BG186" i="1"/>
  <c r="BI186" i="1"/>
  <c r="AX156" i="1"/>
  <c r="AX164" i="1"/>
  <c r="AX72" i="1"/>
  <c r="AZ72" i="1"/>
  <c r="BG72" i="1"/>
  <c r="AW61" i="1"/>
  <c r="AX61" i="1"/>
  <c r="AZ61" i="1"/>
  <c r="AX36" i="1"/>
  <c r="AZ36" i="1"/>
  <c r="BG36" i="1"/>
  <c r="BI36" i="1"/>
  <c r="AX136" i="1"/>
  <c r="AZ136" i="1"/>
  <c r="AX38" i="1"/>
  <c r="AZ38" i="1"/>
  <c r="AX25" i="1"/>
  <c r="AZ25" i="1"/>
  <c r="BG25" i="1"/>
  <c r="BI25" i="1"/>
  <c r="AX73" i="1"/>
  <c r="AZ73" i="1"/>
  <c r="BG73" i="1"/>
  <c r="AX68" i="1"/>
  <c r="AX168" i="1"/>
  <c r="AX32" i="1"/>
  <c r="AX6" i="1"/>
  <c r="AX35" i="1"/>
  <c r="AX215" i="1"/>
  <c r="AX122" i="1"/>
  <c r="BG61" i="1"/>
  <c r="AX214" i="1"/>
  <c r="AX222" i="1"/>
  <c r="AX57" i="1"/>
  <c r="AX16" i="1"/>
  <c r="AZ16" i="1"/>
  <c r="BG16" i="1"/>
  <c r="BI16" i="1"/>
  <c r="AZ212" i="1"/>
  <c r="AX208" i="1"/>
  <c r="AX23" i="1"/>
  <c r="AZ23" i="1"/>
  <c r="BG23" i="1"/>
  <c r="AX53" i="1"/>
  <c r="AX157" i="1"/>
  <c r="BI72" i="1"/>
  <c r="AX194" i="1"/>
  <c r="AX177" i="1"/>
  <c r="BG38" i="1"/>
  <c r="AX106" i="1"/>
  <c r="AX126" i="1"/>
  <c r="AX14" i="1"/>
  <c r="AX118" i="1"/>
  <c r="AX219" i="1"/>
  <c r="AX39" i="1"/>
  <c r="AZ39" i="1"/>
  <c r="BG39" i="1"/>
  <c r="BI39" i="1"/>
  <c r="BK39" i="1"/>
  <c r="AX158" i="1"/>
  <c r="AX99" i="1"/>
  <c r="AZ99" i="1"/>
  <c r="BG99" i="1"/>
  <c r="BI99" i="1"/>
  <c r="BK99" i="1"/>
  <c r="AX117" i="1"/>
  <c r="AX124" i="1"/>
  <c r="AX31" i="1"/>
  <c r="AX71" i="1"/>
  <c r="AZ71" i="1"/>
  <c r="BG71" i="1"/>
  <c r="AX29" i="1"/>
  <c r="AW85" i="1"/>
  <c r="AZ214" i="1"/>
  <c r="BG214" i="1"/>
  <c r="BI214" i="1"/>
  <c r="AX93" i="1"/>
  <c r="AZ93" i="1"/>
  <c r="BG93" i="1"/>
  <c r="AZ129" i="1"/>
  <c r="BG129" i="1"/>
  <c r="AX88" i="1"/>
  <c r="AX43" i="1"/>
  <c r="AX96" i="1"/>
  <c r="AX103" i="1"/>
  <c r="AZ103" i="1"/>
  <c r="BG103" i="1"/>
  <c r="AX63" i="1"/>
  <c r="AZ63" i="1"/>
  <c r="BG63" i="1"/>
  <c r="AX54" i="1"/>
  <c r="AZ215" i="1"/>
  <c r="AZ168" i="1"/>
  <c r="BG168" i="1"/>
  <c r="BI168" i="1"/>
  <c r="BK168" i="1"/>
  <c r="AZ116" i="1"/>
  <c r="AX152" i="1"/>
  <c r="AZ91" i="1"/>
  <c r="BG91" i="1"/>
  <c r="BI91" i="1"/>
  <c r="BK91" i="1"/>
  <c r="AZ122" i="1"/>
  <c r="BI61" i="1"/>
  <c r="AZ86" i="1"/>
  <c r="BG86" i="1"/>
  <c r="BI86" i="1"/>
  <c r="AZ208" i="1"/>
  <c r="BG208" i="1"/>
  <c r="AX207" i="1"/>
  <c r="AX4" i="1"/>
  <c r="BG172" i="1"/>
  <c r="AZ27" i="1"/>
  <c r="BG27" i="1"/>
  <c r="BI27" i="1"/>
  <c r="AX8" i="1"/>
  <c r="AX24" i="1"/>
  <c r="AX105" i="1"/>
  <c r="AX98" i="1"/>
  <c r="AZ98" i="1"/>
  <c r="BG98" i="1"/>
  <c r="BI98" i="1"/>
  <c r="AX46" i="1"/>
  <c r="AZ46" i="1"/>
  <c r="BG46" i="1"/>
  <c r="AW125" i="1"/>
  <c r="AX125" i="1"/>
  <c r="AZ125" i="1"/>
  <c r="AX76" i="1"/>
  <c r="AZ76" i="1"/>
  <c r="BG76" i="1"/>
  <c r="AX201" i="1"/>
  <c r="AZ201" i="1"/>
  <c r="BG201" i="1"/>
  <c r="BI201" i="1"/>
  <c r="BK201" i="1"/>
  <c r="AX179" i="1"/>
  <c r="AZ179" i="1"/>
  <c r="BG179" i="1"/>
  <c r="AX44" i="1"/>
  <c r="AZ44" i="1"/>
  <c r="BG44" i="1"/>
  <c r="BI44" i="1"/>
  <c r="BK44" i="1"/>
  <c r="AX81" i="1"/>
  <c r="AZ81" i="1"/>
  <c r="AX171" i="1"/>
  <c r="AZ171" i="1"/>
  <c r="AX114" i="1"/>
  <c r="AZ114" i="1"/>
  <c r="BG114" i="1"/>
  <c r="AX190" i="1"/>
  <c r="AZ190" i="1"/>
  <c r="AZ175" i="1"/>
  <c r="BG175" i="1"/>
  <c r="BI175" i="1"/>
  <c r="AX11" i="1"/>
  <c r="AZ11" i="1"/>
  <c r="BG11" i="1"/>
  <c r="BI11" i="1"/>
  <c r="BG212" i="1"/>
  <c r="BI212" i="1"/>
  <c r="AX55" i="1"/>
  <c r="AZ55" i="1"/>
  <c r="BG55" i="1"/>
  <c r="BI55" i="1"/>
  <c r="AX45" i="1"/>
  <c r="AZ45" i="1"/>
  <c r="BG45" i="1"/>
  <c r="BI45" i="1"/>
  <c r="AX206" i="1"/>
  <c r="AZ206" i="1"/>
  <c r="BG206" i="1"/>
  <c r="BI206" i="1"/>
  <c r="AZ89" i="1"/>
  <c r="BG89" i="1"/>
  <c r="BI89" i="1"/>
  <c r="BK89" i="1"/>
  <c r="BG125" i="1"/>
  <c r="BI125" i="1"/>
  <c r="AX199" i="1"/>
  <c r="AZ199" i="1"/>
  <c r="BG199" i="1"/>
  <c r="BI199" i="1"/>
  <c r="BI76" i="1"/>
  <c r="BK76" i="1"/>
  <c r="AX78" i="1"/>
  <c r="AZ78" i="1"/>
  <c r="BG78" i="1"/>
  <c r="AX20" i="1"/>
  <c r="AZ20" i="1"/>
  <c r="BG20" i="1"/>
  <c r="BI20" i="1"/>
  <c r="BK20" i="1"/>
  <c r="AX203" i="1"/>
  <c r="AZ203" i="1"/>
  <c r="BG203" i="1"/>
  <c r="AX17" i="1"/>
  <c r="AZ17" i="1"/>
  <c r="BG17" i="1"/>
  <c r="AX85" i="1"/>
  <c r="AZ85" i="1"/>
  <c r="BG85" i="1"/>
  <c r="BI85" i="1"/>
  <c r="AX141" i="1"/>
  <c r="AZ141" i="1"/>
  <c r="BG141" i="1"/>
  <c r="BI141" i="1"/>
  <c r="BK141" i="1"/>
  <c r="BK125" i="1"/>
  <c r="AX107" i="1"/>
  <c r="AZ107" i="1"/>
  <c r="BG107" i="1"/>
  <c r="BI107" i="1"/>
  <c r="BK107" i="1"/>
  <c r="BI78" i="1"/>
  <c r="BK78" i="1"/>
  <c r="BI203" i="1"/>
  <c r="BK203" i="1"/>
  <c r="BI17" i="1"/>
  <c r="BK17" i="1"/>
  <c r="BK85" i="1"/>
  <c r="AZ37" i="1"/>
  <c r="BG37" i="1"/>
  <c r="BI37" i="1"/>
  <c r="BK37" i="1"/>
  <c r="AX160" i="1"/>
  <c r="AZ160" i="1"/>
  <c r="BG160" i="1"/>
  <c r="BI160" i="1"/>
  <c r="BK160" i="1"/>
  <c r="AX150" i="1"/>
  <c r="AX67" i="1"/>
  <c r="AZ67" i="1"/>
  <c r="BG67" i="1"/>
  <c r="BI67" i="1"/>
  <c r="AZ96" i="1"/>
  <c r="BG96" i="1"/>
  <c r="BI96" i="1"/>
  <c r="BK96" i="1"/>
  <c r="AX108" i="1"/>
  <c r="AZ108" i="1"/>
  <c r="BG108" i="1"/>
  <c r="BI108" i="1"/>
  <c r="BK108" i="1"/>
  <c r="BK206" i="1"/>
  <c r="AX79" i="1"/>
  <c r="AZ79" i="1"/>
  <c r="BG79" i="1"/>
  <c r="BI79" i="1"/>
  <c r="BK79" i="1"/>
  <c r="AX5" i="1"/>
  <c r="AZ5" i="1"/>
  <c r="AX226" i="1"/>
  <c r="AX178" i="1"/>
  <c r="AZ178" i="1"/>
  <c r="BI114" i="1"/>
  <c r="AX155" i="1"/>
  <c r="AZ177" i="1"/>
  <c r="BG177" i="1"/>
  <c r="BI177" i="1"/>
  <c r="BG122" i="1"/>
  <c r="BI122" i="1"/>
  <c r="BK122" i="1"/>
  <c r="AX234" i="1"/>
  <c r="AW224" i="1"/>
  <c r="AX224" i="1"/>
  <c r="AZ224" i="1"/>
  <c r="BG224" i="1"/>
  <c r="BI224" i="1"/>
  <c r="BK224" i="1"/>
  <c r="AX148" i="1"/>
  <c r="AX173" i="1"/>
  <c r="AX112" i="1"/>
  <c r="AX95" i="1"/>
  <c r="AZ95" i="1"/>
  <c r="BG95" i="1"/>
  <c r="BI95" i="1"/>
  <c r="BK95" i="1"/>
  <c r="AX84" i="1"/>
  <c r="AZ84" i="1"/>
  <c r="BG84" i="1"/>
  <c r="BI84" i="1"/>
  <c r="AX101" i="1"/>
  <c r="AX205" i="1"/>
  <c r="BI151" i="1"/>
  <c r="BI179" i="1"/>
  <c r="AZ4" i="1"/>
  <c r="AW62" i="1"/>
  <c r="AX62" i="1"/>
  <c r="AZ62" i="1"/>
  <c r="AX192" i="1"/>
  <c r="AX183" i="1"/>
  <c r="AZ140" i="1"/>
  <c r="BG140" i="1"/>
  <c r="BI140" i="1"/>
  <c r="AX59" i="1"/>
  <c r="AX184" i="1"/>
  <c r="AX115" i="1"/>
  <c r="AZ33" i="1"/>
  <c r="BG33" i="1"/>
  <c r="BI33" i="1"/>
  <c r="BK33" i="1"/>
  <c r="BK84" i="1"/>
  <c r="AZ101" i="1"/>
  <c r="BG101" i="1"/>
  <c r="AZ205" i="1"/>
  <c r="AZ31" i="1"/>
  <c r="AZ119" i="1"/>
  <c r="BG119" i="1"/>
  <c r="AZ192" i="1"/>
  <c r="BG192" i="1"/>
  <c r="BI48" i="1"/>
  <c r="AX216" i="1"/>
  <c r="AZ216" i="1"/>
  <c r="BG216" i="1"/>
  <c r="BI216" i="1"/>
  <c r="BK216" i="1"/>
  <c r="BI119" i="1"/>
  <c r="BK119" i="1"/>
  <c r="BK140" i="1"/>
  <c r="BI71" i="1"/>
  <c r="BK71" i="1"/>
  <c r="AZ59" i="1"/>
  <c r="BG59" i="1"/>
  <c r="BI59" i="1"/>
  <c r="BK59" i="1"/>
  <c r="AX97" i="1"/>
  <c r="AX130" i="1"/>
  <c r="AX147" i="1"/>
  <c r="AX174" i="1"/>
  <c r="AZ174" i="1"/>
  <c r="BG174" i="1"/>
  <c r="BI174" i="1"/>
  <c r="AZ32" i="1"/>
  <c r="BG32" i="1"/>
  <c r="AW204" i="1"/>
  <c r="AX204" i="1"/>
  <c r="AZ204" i="1"/>
  <c r="AX135" i="1"/>
  <c r="AX47" i="1"/>
  <c r="AZ47" i="1"/>
  <c r="BG47" i="1"/>
  <c r="BI47" i="1"/>
  <c r="BK143" i="1"/>
  <c r="AX142" i="1"/>
  <c r="AZ142" i="1"/>
  <c r="BG142" i="1"/>
  <c r="AX165" i="1"/>
  <c r="AX230" i="1"/>
  <c r="AX74" i="1"/>
  <c r="BG204" i="1"/>
  <c r="BI204" i="1"/>
  <c r="AZ6" i="1"/>
  <c r="AZ124" i="1"/>
  <c r="AX9" i="1"/>
  <c r="AX102" i="1"/>
  <c r="AX162" i="1"/>
  <c r="AX180" i="1"/>
  <c r="AZ180" i="1"/>
  <c r="BG180" i="1"/>
  <c r="AZ150" i="1"/>
  <c r="AX232" i="1"/>
  <c r="AZ221" i="1"/>
  <c r="AX134" i="1"/>
  <c r="AZ134" i="1"/>
  <c r="BG134" i="1"/>
  <c r="BI134" i="1"/>
  <c r="AX170" i="1"/>
  <c r="BK45" i="1"/>
  <c r="AZ115" i="1"/>
  <c r="BG115" i="1"/>
  <c r="BI115" i="1"/>
  <c r="AZ105" i="1"/>
  <c r="BG105" i="1"/>
  <c r="AX7" i="1"/>
  <c r="BI153" i="1"/>
  <c r="AX64" i="1"/>
  <c r="AZ64" i="1"/>
  <c r="BG64" i="1"/>
  <c r="BI64" i="1"/>
  <c r="AX65" i="1"/>
  <c r="AZ65" i="1"/>
  <c r="BG65" i="1"/>
  <c r="BI65" i="1"/>
  <c r="BK153" i="1"/>
  <c r="AX21" i="1"/>
  <c r="AZ21" i="1"/>
  <c r="BG21" i="1"/>
  <c r="BI21" i="1"/>
  <c r="BK21" i="1"/>
  <c r="AZ130" i="1"/>
  <c r="BG130" i="1"/>
  <c r="BI130" i="1"/>
  <c r="BK130" i="1"/>
  <c r="AZ226" i="1"/>
  <c r="BK65" i="1"/>
  <c r="BK114" i="1"/>
  <c r="AX161" i="1"/>
  <c r="AZ155" i="1"/>
  <c r="AZ24" i="1"/>
  <c r="AX149" i="1"/>
  <c r="AZ149" i="1"/>
  <c r="BG149" i="1"/>
  <c r="BI149" i="1"/>
  <c r="BK177" i="1"/>
  <c r="BI103" i="1"/>
  <c r="BK103" i="1"/>
  <c r="AX200" i="1"/>
  <c r="AZ200" i="1"/>
  <c r="BG200" i="1"/>
  <c r="BI200" i="1"/>
  <c r="BK200" i="1"/>
  <c r="AZ234" i="1"/>
  <c r="BI105" i="1"/>
  <c r="AX225" i="1"/>
  <c r="AZ148" i="1"/>
  <c r="AZ146" i="1"/>
  <c r="BG146" i="1"/>
  <c r="BI146" i="1"/>
  <c r="BK146" i="1"/>
  <c r="AZ173" i="1"/>
  <c r="BG173" i="1"/>
  <c r="BI173" i="1"/>
  <c r="BK173" i="1"/>
  <c r="AZ165" i="1"/>
  <c r="AZ112" i="1"/>
  <c r="BG112" i="1"/>
  <c r="BI112" i="1"/>
  <c r="AX123" i="1"/>
  <c r="AZ123" i="1"/>
  <c r="BG123" i="1"/>
  <c r="BI123" i="1"/>
  <c r="BG165" i="1"/>
  <c r="BI165" i="1"/>
  <c r="BI101" i="1"/>
  <c r="AZ106" i="1"/>
  <c r="BG106" i="1"/>
  <c r="AZ157" i="1"/>
  <c r="BG157" i="1"/>
  <c r="BG205" i="1"/>
  <c r="BI205" i="1"/>
  <c r="BK205" i="1"/>
  <c r="AZ162" i="1"/>
  <c r="AX189" i="1"/>
  <c r="AZ189" i="1"/>
  <c r="BG189" i="1"/>
  <c r="BI189" i="1"/>
  <c r="BK189" i="1"/>
  <c r="AX137" i="1"/>
  <c r="AZ137" i="1"/>
  <c r="BG137" i="1"/>
  <c r="BI137" i="1"/>
  <c r="BK137" i="1"/>
  <c r="AX50" i="1"/>
  <c r="AX197" i="1"/>
  <c r="AZ197" i="1"/>
  <c r="BG197" i="1"/>
  <c r="BI197" i="1"/>
  <c r="BK145" i="1"/>
  <c r="AZ195" i="1"/>
  <c r="BG195" i="1"/>
  <c r="BI195" i="1"/>
  <c r="BI157" i="1"/>
  <c r="BK157" i="1"/>
  <c r="BI180" i="1"/>
  <c r="AZ127" i="1"/>
  <c r="BG127" i="1"/>
  <c r="BI127" i="1"/>
  <c r="AX213" i="1"/>
  <c r="AZ213" i="1"/>
  <c r="BG213" i="1"/>
  <c r="AZ88" i="1"/>
  <c r="BG88" i="1"/>
  <c r="BK186" i="1"/>
  <c r="AX229" i="1"/>
  <c r="AZ18" i="1"/>
  <c r="BI90" i="1"/>
  <c r="AZ229" i="1"/>
  <c r="AZ41" i="1"/>
  <c r="BG41" i="1"/>
  <c r="BI41" i="1"/>
  <c r="AZ126" i="1"/>
  <c r="BG126" i="1"/>
  <c r="BI126" i="1"/>
  <c r="AX87" i="1"/>
  <c r="AZ14" i="1"/>
  <c r="BG14" i="1"/>
  <c r="BI14" i="1"/>
  <c r="BK14" i="1"/>
  <c r="AX187" i="1"/>
  <c r="BI210" i="1"/>
  <c r="BI30" i="1"/>
  <c r="BK30" i="1"/>
  <c r="AX193" i="1"/>
  <c r="AZ193" i="1"/>
  <c r="BG193" i="1"/>
  <c r="BI193" i="1"/>
  <c r="AX15" i="1"/>
  <c r="AZ15" i="1"/>
  <c r="BG15" i="1"/>
  <c r="AX77" i="1"/>
  <c r="AX144" i="1"/>
  <c r="AZ144" i="1"/>
  <c r="BG144" i="1"/>
  <c r="BI144" i="1"/>
  <c r="AZ158" i="1"/>
  <c r="BG158" i="1"/>
  <c r="BI158" i="1"/>
  <c r="BK158" i="1"/>
  <c r="AX49" i="1"/>
  <c r="AZ49" i="1"/>
  <c r="BG49" i="1"/>
  <c r="BI49" i="1"/>
  <c r="AX139" i="1"/>
  <c r="AX182" i="1"/>
  <c r="AZ187" i="1"/>
  <c r="BG187" i="1"/>
  <c r="BI187" i="1"/>
  <c r="BK187" i="1"/>
  <c r="AX28" i="1"/>
  <c r="AX166" i="1"/>
  <c r="AZ166" i="1"/>
  <c r="BG166" i="1"/>
  <c r="AZ29" i="1"/>
  <c r="AZ57" i="1"/>
  <c r="BG190" i="1"/>
  <c r="BI190" i="1"/>
  <c r="BK190" i="1"/>
  <c r="BI88" i="1"/>
  <c r="AZ43" i="1"/>
  <c r="BG43" i="1"/>
  <c r="AZ10" i="1"/>
  <c r="BG215" i="1"/>
  <c r="BI215" i="1"/>
  <c r="AZ70" i="1"/>
  <c r="BG116" i="1"/>
  <c r="BI116" i="1"/>
  <c r="BK116" i="1"/>
  <c r="AZ152" i="1"/>
  <c r="BG5" i="1"/>
  <c r="AZ207" i="1"/>
  <c r="BG207" i="1"/>
  <c r="BI207" i="1"/>
  <c r="BK207" i="1"/>
  <c r="BK41" i="1"/>
  <c r="BI213" i="1"/>
  <c r="AZ196" i="1"/>
  <c r="BG196" i="1"/>
  <c r="BI196" i="1"/>
  <c r="BK196" i="1"/>
  <c r="AZ102" i="1"/>
  <c r="BK165" i="1"/>
  <c r="BI32" i="1"/>
  <c r="BK32" i="1"/>
  <c r="AZ120" i="1"/>
  <c r="BG31" i="1"/>
  <c r="BI31" i="1"/>
  <c r="BK31" i="1"/>
  <c r="BK197" i="1"/>
  <c r="BK213" i="1"/>
  <c r="AX159" i="1"/>
  <c r="AZ159" i="1"/>
  <c r="BG159" i="1"/>
  <c r="BI159" i="1"/>
  <c r="BK159" i="1"/>
  <c r="AX42" i="1"/>
  <c r="AZ42" i="1"/>
  <c r="BG42" i="1"/>
  <c r="BI42" i="1"/>
  <c r="BK42" i="1"/>
  <c r="BI46" i="1"/>
  <c r="BK46" i="1"/>
  <c r="BG148" i="1"/>
  <c r="BI148" i="1"/>
  <c r="BK148" i="1"/>
  <c r="BK112" i="1"/>
  <c r="BK151" i="1"/>
  <c r="BI208" i="1"/>
  <c r="BK208" i="1"/>
  <c r="AZ104" i="1"/>
  <c r="BG104" i="1"/>
  <c r="BI104" i="1"/>
  <c r="BK104" i="1"/>
  <c r="BK127" i="1"/>
  <c r="BK101" i="1"/>
  <c r="AX198" i="1"/>
  <c r="AZ198" i="1"/>
  <c r="BG198" i="1"/>
  <c r="BI198" i="1"/>
  <c r="BK198" i="1"/>
  <c r="AX52" i="1"/>
  <c r="AZ52" i="1"/>
  <c r="BG52" i="1"/>
  <c r="BI52" i="1"/>
  <c r="BK52" i="1"/>
  <c r="AX19" i="1"/>
  <c r="AZ19" i="1"/>
  <c r="BG19" i="1"/>
  <c r="BI19" i="1"/>
  <c r="BK19" i="1"/>
  <c r="BI93" i="1"/>
  <c r="BK93" i="1"/>
  <c r="AZ135" i="1"/>
  <c r="BG135" i="1"/>
  <c r="BI135" i="1"/>
  <c r="BK135" i="1"/>
  <c r="BK86" i="1"/>
  <c r="BK98" i="1"/>
  <c r="BI106" i="1"/>
  <c r="BK106" i="1"/>
  <c r="BK180" i="1"/>
  <c r="AX40" i="1"/>
  <c r="AZ40" i="1"/>
  <c r="BG40" i="1"/>
  <c r="BI40" i="1"/>
  <c r="BK40" i="1"/>
  <c r="BK123" i="1"/>
  <c r="AZ184" i="1"/>
  <c r="BG184" i="1"/>
  <c r="BI184" i="1"/>
  <c r="BK184" i="1"/>
  <c r="BK115" i="1"/>
  <c r="AZ26" i="1"/>
  <c r="BG26" i="1"/>
  <c r="BI26" i="1"/>
  <c r="BK26" i="1"/>
  <c r="AZ161" i="1"/>
  <c r="AZ7" i="1"/>
  <c r="BK149" i="1"/>
  <c r="BK105" i="1"/>
  <c r="AZ225" i="1"/>
  <c r="BK64" i="1"/>
  <c r="AZ50" i="1"/>
  <c r="BK195" i="1"/>
  <c r="AZ58" i="1"/>
  <c r="BG58" i="1"/>
  <c r="BI58" i="1"/>
  <c r="BK58" i="1"/>
  <c r="AX56" i="1"/>
  <c r="AZ56" i="1"/>
  <c r="BG56" i="1"/>
  <c r="BI56" i="1"/>
  <c r="BK56" i="1"/>
  <c r="AX220" i="1"/>
  <c r="AZ156" i="1"/>
  <c r="BG156" i="1"/>
  <c r="BI156" i="1"/>
  <c r="AZ68" i="1"/>
  <c r="BG68" i="1"/>
  <c r="BI68" i="1"/>
  <c r="BK68" i="1"/>
  <c r="AZ147" i="1"/>
  <c r="BG147" i="1"/>
  <c r="BI147" i="1"/>
  <c r="BK147" i="1"/>
  <c r="BK174" i="1"/>
  <c r="AZ82" i="1"/>
  <c r="AZ74" i="1"/>
  <c r="BG74" i="1"/>
  <c r="BI74" i="1"/>
  <c r="AX228" i="1"/>
  <c r="BK204" i="1"/>
  <c r="BG6" i="1"/>
  <c r="BI6" i="1"/>
  <c r="BK6" i="1"/>
  <c r="BG124" i="1"/>
  <c r="BI124" i="1"/>
  <c r="AZ9" i="1"/>
  <c r="BG9" i="1"/>
  <c r="BI9" i="1"/>
  <c r="AX188" i="1"/>
  <c r="AZ110" i="1"/>
  <c r="AX83" i="1"/>
  <c r="AZ163" i="1"/>
  <c r="BG163" i="1"/>
  <c r="BI163" i="1"/>
  <c r="AX113" i="1"/>
  <c r="BG18" i="1"/>
  <c r="AX128" i="1"/>
  <c r="AX69" i="1"/>
  <c r="AX131" i="1"/>
  <c r="AX233" i="1"/>
  <c r="AZ87" i="1"/>
  <c r="BG87" i="1"/>
  <c r="BI87" i="1"/>
  <c r="BK87" i="1"/>
  <c r="BK231" i="1"/>
  <c r="AZ80" i="1"/>
  <c r="BG80" i="1"/>
  <c r="BI80" i="1"/>
  <c r="AZ219" i="1"/>
  <c r="AX223" i="1"/>
  <c r="AZ139" i="1"/>
  <c r="BG139" i="1"/>
  <c r="BI139" i="1"/>
  <c r="BK139" i="1"/>
  <c r="BK210" i="1"/>
  <c r="AZ117" i="1"/>
  <c r="BG117" i="1"/>
  <c r="AZ35" i="1"/>
  <c r="BG35" i="1"/>
  <c r="BI35" i="1"/>
  <c r="BI142" i="1"/>
  <c r="BK16" i="1"/>
  <c r="AZ232" i="1"/>
  <c r="AZ131" i="1"/>
  <c r="BG131" i="1"/>
  <c r="BI131" i="1"/>
  <c r="BK131" i="1"/>
  <c r="BK67" i="1"/>
  <c r="BK134" i="1"/>
  <c r="BI23" i="1"/>
  <c r="AX154" i="1"/>
  <c r="AZ222" i="1"/>
  <c r="BG222" i="1"/>
  <c r="BI222" i="1"/>
  <c r="BK222" i="1"/>
  <c r="BK11" i="1"/>
  <c r="BK199" i="1"/>
  <c r="BK175" i="1"/>
  <c r="AZ220" i="1"/>
  <c r="BK55" i="1"/>
  <c r="BK156" i="1"/>
  <c r="AZ230" i="1"/>
  <c r="BK47" i="1"/>
  <c r="BK212" i="1"/>
  <c r="BG57" i="1"/>
  <c r="BI57" i="1"/>
  <c r="BK57" i="1"/>
  <c r="BK74" i="1"/>
  <c r="BK124" i="1"/>
  <c r="BK23" i="1"/>
  <c r="AZ170" i="1"/>
  <c r="BK9" i="1"/>
  <c r="AZ66" i="1"/>
  <c r="BG66" i="1"/>
  <c r="BI66" i="1"/>
  <c r="BK66" i="1"/>
  <c r="AX13" i="1"/>
  <c r="AZ13" i="1"/>
  <c r="BG13" i="1"/>
  <c r="BI13" i="1"/>
  <c r="BK13" i="1"/>
  <c r="BK142" i="1"/>
  <c r="AZ228" i="1"/>
  <c r="AZ154" i="1"/>
  <c r="AX236" i="1"/>
  <c r="BK35" i="1"/>
  <c r="AW217" i="1"/>
  <c r="AX217" i="1"/>
  <c r="AZ217" i="1"/>
  <c r="BG217" i="1"/>
  <c r="BI217" i="1"/>
  <c r="AX218" i="1"/>
  <c r="AZ113" i="1"/>
  <c r="BG113" i="1"/>
  <c r="BI113" i="1"/>
  <c r="AZ83" i="1"/>
  <c r="BG83" i="1"/>
  <c r="BI83" i="1"/>
  <c r="AZ176" i="1"/>
  <c r="BG176" i="1"/>
  <c r="BI176" i="1"/>
  <c r="BK176" i="1"/>
  <c r="AZ194" i="1"/>
  <c r="BG194" i="1"/>
  <c r="BI18" i="1"/>
  <c r="BI194" i="1"/>
  <c r="AX227" i="1"/>
  <c r="BK60" i="1"/>
  <c r="AZ128" i="1"/>
  <c r="BG128" i="1"/>
  <c r="BI128" i="1"/>
  <c r="BI129" i="1"/>
  <c r="BI38" i="1"/>
  <c r="BI63" i="1"/>
  <c r="AZ54" i="1"/>
  <c r="BG54" i="1"/>
  <c r="BI54" i="1"/>
  <c r="AZ69" i="1"/>
  <c r="BG69" i="1"/>
  <c r="BI69" i="1"/>
  <c r="BK215" i="1"/>
  <c r="BG70" i="1"/>
  <c r="BG152" i="1"/>
  <c r="BI152" i="1"/>
  <c r="AZ164" i="1"/>
  <c r="BG164" i="1"/>
  <c r="BI164" i="1"/>
  <c r="BK164" i="1"/>
  <c r="BK179" i="1"/>
  <c r="BG4" i="1"/>
  <c r="BG62" i="1"/>
  <c r="BI43" i="1"/>
  <c r="BK43" i="1"/>
  <c r="BI172" i="1"/>
  <c r="BG10" i="1"/>
  <c r="BI10" i="1"/>
  <c r="BK36" i="1"/>
  <c r="AX75" i="1"/>
  <c r="BI62" i="1"/>
  <c r="BK62" i="1"/>
  <c r="BK72" i="1"/>
  <c r="BK18" i="1"/>
  <c r="BK214" i="1"/>
  <c r="AZ227" i="1"/>
  <c r="BI70" i="1"/>
  <c r="BK70" i="1"/>
  <c r="BK10" i="1"/>
  <c r="BG110" i="1"/>
  <c r="BI110" i="1"/>
  <c r="BK110" i="1"/>
  <c r="AZ8" i="1"/>
  <c r="BK63" i="1"/>
  <c r="BK54" i="1"/>
  <c r="BK61" i="1"/>
  <c r="AZ133" i="1"/>
  <c r="BG133" i="1"/>
  <c r="BI133" i="1"/>
  <c r="BK133" i="1"/>
  <c r="BK172" i="1"/>
  <c r="BK27" i="1"/>
  <c r="AZ183" i="1"/>
  <c r="BI4" i="1"/>
  <c r="BK4" i="1"/>
  <c r="BI192" i="1"/>
  <c r="BK192" i="1"/>
  <c r="AZ97" i="1"/>
  <c r="BK83" i="1"/>
  <c r="BK128" i="1"/>
  <c r="BK113" i="1"/>
  <c r="BK194" i="1"/>
  <c r="BI5" i="1"/>
  <c r="BK5" i="1"/>
  <c r="BK48" i="1"/>
  <c r="AZ75" i="1"/>
  <c r="BK38" i="1"/>
  <c r="BK88" i="1"/>
  <c r="BK129" i="1"/>
  <c r="BK152" i="1"/>
  <c r="AZ218" i="1"/>
  <c r="BK69" i="1"/>
  <c r="BK217" i="1"/>
  <c r="BK25" i="1"/>
  <c r="AZ53" i="1"/>
  <c r="BG53" i="1"/>
  <c r="BI53" i="1"/>
  <c r="BK53" i="1"/>
  <c r="BI73" i="1"/>
  <c r="BK193" i="1"/>
  <c r="AX167" i="1"/>
  <c r="AZ77" i="1"/>
  <c r="BG77" i="1"/>
  <c r="BI77" i="1"/>
  <c r="BG219" i="1"/>
  <c r="BI219" i="1"/>
  <c r="AX202" i="1"/>
  <c r="AZ100" i="1"/>
  <c r="BG100" i="1"/>
  <c r="BI100" i="1"/>
  <c r="BK100" i="1"/>
  <c r="BI117" i="1"/>
  <c r="AZ28" i="1"/>
  <c r="BG28" i="1"/>
  <c r="BI28" i="1"/>
  <c r="BG29" i="1"/>
  <c r="AX51" i="1"/>
  <c r="BK126" i="1"/>
  <c r="AZ118" i="1"/>
  <c r="BI15" i="1"/>
  <c r="BK15" i="1"/>
  <c r="AZ202" i="1"/>
  <c r="BK117" i="1"/>
  <c r="BI29" i="1"/>
  <c r="BK29" i="1"/>
  <c r="BI166" i="1"/>
  <c r="BK166" i="1"/>
  <c r="AZ223" i="1"/>
  <c r="BK144" i="1"/>
  <c r="BK49" i="1"/>
  <c r="AZ182" i="1"/>
  <c r="BK90" i="1"/>
  <c r="AZ51" i="1"/>
  <c r="AZ233" i="1"/>
  <c r="BK163" i="1"/>
  <c r="AZ188" i="1"/>
  <c r="BK80" i="1"/>
  <c r="AZ167" i="1"/>
  <c r="BK219" i="1"/>
  <c r="BK73" i="1"/>
  <c r="BK77" i="1"/>
  <c r="BK28" i="1"/>
</calcChain>
</file>

<file path=xl/sharedStrings.xml><?xml version="1.0" encoding="utf-8"?>
<sst xmlns="http://schemas.openxmlformats.org/spreadsheetml/2006/main" count="6339" uniqueCount="2499">
  <si>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</si>
  <si>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</si>
  <si>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</si>
  <si>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</si>
  <si>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</si>
  <si>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</si>
  <si>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</si>
  <si>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</si>
  <si>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</si>
  <si>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</si>
  <si>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</si>
  <si>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</si>
  <si>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</si>
  <si>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</si>
  <si>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</si>
  <si>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</si>
  <si>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</si>
  <si>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</si>
  <si>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</si>
  <si>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</si>
  <si>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</si>
  <si>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</si>
  <si>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</si>
  <si>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</si>
  <si>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</si>
  <si>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</si>
  <si>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</si>
  <si>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</si>
  <si>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</si>
  <si>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</si>
  <si>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</si>
  <si>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</si>
  <si>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</si>
  <si>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</si>
  <si>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</si>
  <si>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</si>
  <si>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</si>
  <si>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</si>
  <si>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</si>
  <si>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</si>
  <si>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</si>
  <si>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</si>
  <si>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</si>
  <si>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</si>
  <si>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</si>
  <si>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</si>
  <si>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</si>
  <si>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</si>
  <si>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</si>
  <si>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</si>
  <si>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</si>
  <si>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</si>
  <si>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</si>
  <si>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</si>
  <si>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</si>
  <si>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</si>
  <si>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</si>
  <si>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</si>
  <si>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</si>
  <si>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</si>
  <si>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</si>
  <si>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</si>
  <si>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</si>
  <si>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</si>
  <si>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</si>
  <si>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</si>
  <si>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</si>
  <si>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</si>
  <si>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</si>
  <si>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</si>
  <si>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</si>
  <si>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</si>
  <si>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</si>
  <si>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</si>
  <si>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</si>
  <si>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</si>
  <si>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</si>
  <si>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</si>
  <si>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</si>
  <si>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</si>
  <si>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</si>
  <si>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</si>
  <si>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</si>
  <si>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</si>
  <si>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</si>
  <si>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</si>
  <si>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</si>
  <si>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</si>
  <si>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</si>
  <si>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</si>
  <si>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</si>
  <si>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</si>
  <si>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</si>
  <si>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</si>
  <si>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</si>
  <si>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</si>
  <si>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</si>
  <si>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</si>
  <si>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</si>
  <si>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</si>
  <si>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</si>
  <si>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</si>
  <si>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</si>
  <si>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</si>
  <si>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</si>
  <si>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</si>
  <si>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</si>
  <si>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</si>
  <si>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</si>
  <si>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</si>
  <si>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</si>
  <si>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</si>
  <si>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</si>
  <si>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</si>
  <si>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</si>
  <si>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</si>
  <si>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</si>
  <si>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</si>
  <si>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</si>
  <si>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</si>
  <si>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</si>
  <si>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</si>
  <si>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</si>
  <si>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</si>
  <si>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</si>
  <si>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</si>
  <si>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</si>
  <si>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</si>
  <si>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</si>
  <si>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</si>
  <si>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</si>
  <si>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</si>
  <si>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</si>
  <si>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</si>
  <si>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</si>
  <si>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</si>
  <si>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</si>
  <si>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</si>
  <si>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</si>
  <si>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</si>
  <si>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</si>
  <si>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</si>
  <si>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</si>
  <si>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</si>
  <si>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</si>
  <si>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</si>
  <si>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</si>
  <si>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</si>
  <si>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</si>
  <si>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</si>
  <si>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</si>
  <si>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</si>
  <si>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</si>
  <si>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</si>
  <si>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</si>
  <si>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</si>
  <si>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</si>
  <si>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</si>
  <si>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</si>
  <si>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</si>
  <si>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</si>
  <si>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</si>
  <si>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</si>
  <si>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</si>
  <si>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</si>
  <si>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</si>
  <si>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</si>
  <si>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</si>
  <si>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</si>
  <si>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</si>
  <si>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</si>
  <si>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</si>
  <si>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</si>
  <si>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</si>
  <si>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</si>
  <si>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</si>
  <si>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</si>
  <si>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</si>
  <si>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</si>
  <si>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</si>
  <si>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</si>
  <si>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</si>
  <si>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</si>
  <si>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</si>
  <si>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</si>
  <si>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</si>
  <si>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</si>
  <si>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</si>
  <si>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</si>
  <si>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</si>
  <si>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</si>
  <si>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</si>
  <si>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</si>
  <si>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</si>
  <si>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</si>
  <si>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</si>
  <si>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</si>
  <si>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</si>
  <si>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</si>
  <si>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</si>
  <si>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</si>
  <si>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</si>
  <si>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</si>
  <si>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</si>
  <si>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</si>
  <si>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</si>
  <si>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</si>
  <si>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</si>
  <si>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</si>
  <si>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</si>
  <si>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</si>
  <si>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</si>
  <si>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</si>
  <si>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</si>
  <si>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</si>
  <si>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</si>
  <si>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</si>
  <si>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</si>
  <si>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</si>
  <si>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</si>
  <si>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</si>
  <si>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</si>
  <si>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</si>
  <si>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</si>
  <si>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</si>
  <si>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</si>
  <si>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</si>
  <si>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</si>
  <si>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</si>
  <si>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</si>
  <si>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</si>
  <si>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</si>
  <si>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</si>
  <si>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</si>
  <si>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</si>
  <si>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</si>
  <si>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</si>
  <si>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</si>
  <si>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</si>
  <si>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</si>
  <si>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</si>
  <si>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</si>
  <si>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</si>
  <si>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</si>
  <si>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</si>
  <si>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</si>
  <si>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</si>
  <si>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</si>
  <si>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</si>
  <si>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</si>
  <si>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</si>
  <si>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</si>
  <si>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</si>
  <si>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</si>
  <si>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</si>
  <si>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</si>
  <si>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</si>
  <si>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</si>
  <si>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</si>
  <si>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</si>
  <si>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</si>
  <si>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</si>
  <si>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</si>
  <si>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</si>
  <si>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</si>
  <si>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</si>
  <si>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</si>
  <si>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</si>
  <si>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</si>
  <si>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</si>
  <si>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</si>
  <si>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</si>
  <si>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</si>
  <si>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</si>
  <si>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</si>
  <si>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</si>
  <si>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</si>
  <si>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</si>
  <si>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</si>
  <si>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</si>
  <si>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</si>
  <si>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</si>
  <si>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</si>
  <si>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</si>
  <si>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</si>
  <si>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</si>
  <si>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</si>
  <si>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</si>
  <si>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</si>
  <si>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</si>
  <si>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</si>
  <si>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</si>
  <si>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</si>
  <si>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</si>
  <si>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</si>
  <si>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</si>
  <si>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</si>
  <si>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</si>
  <si>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</si>
  <si>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</si>
  <si>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</si>
  <si>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</si>
  <si>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</si>
  <si>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</si>
  <si>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</si>
  <si>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</si>
  <si>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</si>
  <si>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</si>
  <si>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</si>
  <si>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</si>
  <si>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</si>
  <si>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</si>
  <si>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</si>
  <si>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</si>
  <si>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</si>
  <si>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</si>
  <si>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</si>
  <si>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</si>
  <si>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</si>
  <si>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</si>
  <si>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</si>
  <si>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</si>
  <si>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</si>
  <si>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</si>
  <si>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</si>
  <si>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</si>
  <si>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</si>
  <si>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</si>
  <si>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</si>
  <si>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</si>
  <si>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</si>
  <si>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</si>
  <si>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</si>
  <si>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</si>
  <si>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</si>
  <si>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</si>
  <si>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</si>
  <si>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</si>
  <si>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</si>
  <si>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</si>
  <si>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</si>
  <si>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</si>
  <si>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</si>
  <si>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</si>
  <si>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</si>
  <si>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</si>
  <si>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</si>
  <si>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</si>
  <si>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</si>
  <si>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</si>
  <si>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</si>
  <si>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</si>
  <si>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</si>
  <si>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</si>
  <si>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</si>
  <si>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</si>
  <si>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</si>
  <si>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</si>
  <si>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</si>
  <si>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</si>
  <si>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</si>
  <si>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</si>
  <si>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</si>
  <si>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</si>
  <si>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</si>
  <si>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</si>
  <si>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</si>
  <si>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</si>
  <si>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</si>
  <si>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</si>
  <si>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</si>
  <si>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</si>
  <si>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</si>
  <si>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</si>
  <si>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</si>
  <si>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</si>
  <si>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</si>
  <si>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</si>
  <si>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</si>
  <si>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</si>
  <si>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</si>
  <si>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</si>
  <si>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</si>
  <si>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</si>
  <si>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</si>
  <si>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</si>
  <si>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</si>
  <si>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</si>
  <si>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</si>
  <si>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</si>
  <si>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</si>
  <si>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</si>
  <si>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</si>
  <si>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</si>
  <si>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</si>
  <si>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</si>
  <si>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</si>
  <si>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</si>
  <si>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</si>
  <si>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</si>
  <si>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</si>
  <si>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</si>
  <si>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</si>
  <si>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</si>
  <si>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</si>
  <si>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</si>
  <si>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</si>
  <si>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</si>
  <si>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</si>
  <si>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</si>
  <si>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</si>
  <si>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</si>
  <si>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</si>
  <si>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</si>
  <si>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</si>
  <si>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</si>
  <si>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</si>
  <si>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</si>
  <si>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</si>
  <si>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</si>
  <si>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</si>
  <si>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</si>
  <si>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</si>
  <si>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</si>
  <si>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</si>
  <si>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</si>
  <si>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</si>
  <si>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</si>
  <si>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</si>
  <si>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</si>
  <si>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</si>
  <si>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</si>
  <si>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</si>
  <si>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</si>
  <si>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</si>
  <si>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</si>
  <si>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</si>
  <si>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</si>
  <si>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</si>
  <si>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</si>
  <si>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</si>
  <si>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</si>
  <si>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</si>
  <si>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</si>
  <si>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</si>
  <si>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</si>
  <si>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</si>
  <si>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</si>
  <si>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</si>
  <si>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</si>
  <si>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</si>
  <si>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</si>
  <si>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</si>
  <si>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</si>
  <si>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</si>
  <si>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</si>
  <si>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</si>
  <si>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</si>
  <si>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</si>
  <si>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</si>
  <si>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</si>
  <si>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</si>
  <si>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</si>
  <si>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</si>
  <si>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</si>
  <si>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</si>
  <si>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</si>
  <si>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</si>
  <si>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</si>
  <si>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</si>
  <si>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</si>
  <si>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</si>
  <si>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</si>
  <si>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</si>
  <si>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</si>
  <si>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</si>
  <si>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</si>
  <si>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</si>
  <si>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</si>
  <si>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</si>
  <si>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</si>
  <si>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</si>
  <si>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</si>
  <si>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</si>
  <si>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</si>
  <si>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</si>
  <si>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</si>
  <si>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</si>
  <si>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</si>
  <si>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</si>
  <si>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</si>
  <si>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</si>
  <si>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</si>
  <si>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</si>
  <si>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</si>
  <si>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</si>
  <si>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</si>
  <si>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</si>
  <si>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</si>
  <si>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</si>
  <si>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</si>
  <si>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</si>
  <si>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</si>
  <si>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</si>
  <si>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</si>
  <si>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</si>
  <si>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</si>
  <si>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</si>
  <si>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</si>
  <si>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</si>
  <si>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</si>
  <si>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</si>
  <si>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</si>
  <si>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</si>
  <si>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</si>
  <si>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</si>
  <si>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</si>
  <si>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</si>
  <si>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</si>
  <si>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</si>
  <si>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</si>
  <si>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</si>
  <si>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</si>
  <si>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</si>
  <si>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</si>
  <si>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</si>
  <si>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</si>
  <si>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</si>
  <si>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</si>
  <si>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</si>
  <si>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</si>
  <si>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</si>
  <si>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</si>
  <si>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</si>
  <si>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</si>
  <si>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</si>
  <si>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</si>
  <si>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</si>
  <si>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</si>
  <si>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</si>
  <si>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</si>
  <si>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</si>
  <si>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</si>
  <si>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</si>
  <si>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</si>
  <si>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</si>
  <si>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</si>
  <si>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</si>
  <si>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</si>
  <si>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</si>
  <si>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</si>
  <si>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</si>
  <si>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</si>
  <si>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</si>
  <si>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</si>
  <si>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</si>
  <si>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</si>
  <si>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</si>
  <si>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</si>
  <si>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</si>
  <si>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</si>
  <si>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</si>
  <si>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</si>
  <si>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</si>
  <si>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</si>
  <si>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</si>
  <si>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</si>
  <si>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</si>
  <si>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</si>
  <si>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</si>
  <si>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</si>
  <si>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</si>
  <si>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</si>
  <si>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</si>
  <si>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</si>
  <si>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</si>
  <si>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</si>
  <si>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</si>
  <si>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</si>
  <si>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</si>
  <si>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</si>
  <si>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</si>
  <si>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</si>
  <si>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</si>
  <si>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</si>
  <si>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</si>
  <si>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</si>
  <si>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</si>
  <si>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</si>
  <si>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</si>
  <si>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</si>
  <si>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</si>
  <si>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</si>
  <si>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</si>
  <si>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</si>
  <si>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</si>
  <si>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</si>
  <si>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</si>
  <si>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</si>
  <si>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</si>
  <si>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</si>
  <si>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</si>
  <si>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</si>
  <si>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</si>
  <si>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</si>
  <si>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</si>
  <si>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</si>
  <si>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</si>
  <si>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</si>
  <si>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</si>
  <si>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</si>
  <si>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</si>
  <si>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</si>
  <si>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</si>
  <si>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</si>
  <si>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</si>
  <si>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</si>
  <si>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</si>
  <si>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</si>
  <si>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</si>
  <si>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</si>
  <si>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</si>
  <si>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</si>
  <si>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</si>
  <si>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</si>
  <si>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</si>
  <si>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</si>
  <si>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</si>
  <si>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</si>
  <si>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</si>
  <si>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</si>
  <si>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</si>
  <si>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</si>
  <si>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</si>
  <si>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</si>
  <si>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</si>
  <si>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</si>
  <si>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</si>
  <si>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</si>
  <si>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</si>
  <si>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</si>
  <si>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</si>
  <si>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</si>
  <si>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</si>
  <si>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</si>
  <si>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</si>
  <si>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</si>
  <si>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</si>
  <si>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</si>
  <si>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</si>
  <si>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</si>
  <si>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</si>
  <si>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</si>
  <si>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</si>
  <si>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</si>
  <si>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</si>
  <si>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</si>
  <si>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</si>
  <si>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</si>
  <si>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</si>
  <si>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</si>
  <si>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</si>
  <si>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</si>
  <si>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</si>
  <si>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</si>
  <si>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</si>
  <si>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</si>
  <si>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</si>
  <si>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</si>
  <si>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</si>
  <si>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</si>
  <si>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</si>
  <si>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</si>
  <si>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</si>
  <si>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</si>
  <si>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</si>
  <si>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</si>
  <si>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</si>
  <si>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</si>
  <si>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</si>
  <si>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</si>
  <si>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</si>
  <si>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</si>
  <si>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</si>
  <si>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</si>
  <si>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</si>
  <si>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</si>
  <si>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</si>
  <si>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</si>
  <si>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</si>
  <si>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</si>
  <si>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</si>
  <si>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</si>
  <si>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</si>
  <si>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</si>
  <si>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</si>
  <si>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</si>
  <si>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</si>
  <si>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</si>
  <si>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</si>
  <si>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</si>
  <si>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</si>
  <si>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</si>
  <si>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</si>
  <si>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</si>
  <si>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</si>
  <si>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</si>
  <si>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</si>
  <si>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</si>
  <si>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</si>
  <si>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</si>
  <si>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</si>
  <si>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</si>
  <si>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</si>
  <si>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</si>
  <si>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</si>
  <si>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</si>
  <si>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</si>
  <si>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</si>
  <si>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</si>
  <si>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</si>
  <si>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</si>
  <si>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</si>
  <si>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</si>
  <si>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</si>
  <si>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</si>
  <si>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</si>
  <si>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</si>
  <si>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</si>
  <si>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</si>
  <si>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</si>
  <si>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</si>
  <si>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</si>
  <si>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</si>
  <si>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</si>
  <si>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</si>
  <si>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</si>
  <si>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</si>
  <si>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</si>
  <si>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</si>
  <si>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</si>
  <si>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</si>
  <si>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</si>
  <si>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</si>
  <si>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</si>
  <si>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</si>
  <si>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</si>
  <si>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</si>
  <si>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</si>
  <si>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</si>
  <si>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</si>
  <si>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</si>
  <si>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</si>
  <si>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</si>
  <si>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</si>
  <si>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</si>
  <si>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</si>
  <si>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</si>
  <si>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</si>
  <si>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</si>
  <si>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</si>
  <si>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</si>
  <si>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</si>
  <si>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</si>
  <si>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</si>
  <si>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</si>
  <si>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</si>
  <si>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</si>
  <si>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</si>
  <si>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</si>
  <si>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</si>
  <si>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</si>
  <si>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</si>
  <si>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</si>
  <si>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</si>
  <si>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</si>
  <si>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</si>
  <si>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</si>
  <si>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</si>
  <si>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</si>
  <si>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</si>
  <si>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</si>
  <si>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</si>
  <si>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</si>
  <si>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</si>
  <si>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</si>
  <si>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</si>
  <si>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</si>
  <si>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</si>
  <si>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</si>
  <si>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</si>
  <si>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</si>
  <si>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</si>
  <si>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</si>
  <si>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</si>
  <si>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</si>
  <si>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</si>
  <si>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</si>
  <si>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</si>
  <si>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</si>
  <si>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</si>
  <si>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</si>
  <si>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</si>
  <si>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</si>
  <si>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</si>
  <si>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</si>
  <si>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</si>
  <si>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</si>
  <si>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</si>
  <si>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</si>
  <si>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</si>
  <si>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</si>
  <si>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</si>
  <si>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</si>
  <si>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</si>
  <si>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</si>
  <si>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</si>
  <si>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</si>
  <si>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</si>
  <si>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</si>
  <si>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</si>
  <si>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</si>
  <si>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</si>
  <si>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</si>
  <si>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</si>
  <si>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</si>
  <si>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</si>
  <si>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</si>
  <si>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</si>
  <si>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</si>
  <si>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</si>
  <si>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</si>
  <si>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</si>
  <si>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</si>
  <si>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</si>
  <si>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</si>
  <si>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</si>
  <si>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</si>
  <si>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</si>
  <si>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</si>
  <si>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</si>
  <si>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</si>
  <si>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</si>
  <si>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</si>
  <si>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</si>
  <si>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</si>
  <si>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</si>
  <si>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</si>
  <si>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</si>
  <si>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</si>
  <si>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</si>
  <si>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</si>
  <si>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</si>
  <si>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</si>
  <si>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</si>
  <si>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</si>
  <si>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</si>
  <si>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</si>
  <si>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</si>
  <si>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</si>
  <si>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</si>
  <si>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</si>
  <si>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</si>
  <si>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</si>
  <si>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</si>
  <si>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</si>
  <si>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</si>
  <si>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</si>
  <si>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</si>
  <si>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</si>
  <si>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</si>
  <si>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</si>
  <si>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</si>
  <si>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</si>
  <si>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</si>
  <si>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</si>
  <si>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</si>
  <si>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</si>
  <si>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</si>
  <si>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</si>
  <si>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</si>
  <si>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</si>
  <si>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</si>
  <si>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</si>
  <si>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</si>
  <si>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</si>
  <si>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</si>
  <si>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</si>
  <si>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</si>
  <si>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</si>
  <si>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</si>
  <si>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</si>
  <si>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</si>
  <si>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</si>
  <si>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</si>
  <si>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</si>
  <si>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</si>
  <si>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</si>
  <si>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</si>
  <si>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</si>
  <si>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</si>
  <si>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</si>
  <si>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</si>
  <si>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</si>
  <si>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</si>
  <si>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</si>
  <si>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</si>
  <si>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</si>
  <si>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</si>
  <si>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</si>
  <si>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</si>
  <si>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</si>
  <si>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</si>
  <si>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</si>
  <si>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</si>
  <si>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</si>
  <si>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</si>
  <si>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</si>
  <si>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</si>
  <si>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</si>
  <si>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</si>
  <si>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</si>
  <si>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</si>
  <si>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</si>
  <si>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</si>
  <si>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</si>
  <si>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</si>
  <si>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</si>
  <si>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</si>
  <si>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</si>
  <si>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</si>
  <si>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</si>
  <si>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</si>
  <si>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</si>
  <si>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</si>
  <si>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</si>
  <si>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</si>
  <si>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</si>
  <si>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</si>
  <si>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</si>
  <si>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</si>
  <si>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</si>
  <si>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</si>
  <si>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</si>
  <si>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</si>
  <si>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</si>
  <si>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</si>
  <si>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</si>
  <si>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</si>
  <si>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</si>
  <si>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</si>
  <si>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</si>
  <si>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</si>
  <si>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</si>
  <si>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</si>
  <si>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</si>
  <si>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</si>
  <si>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</si>
  <si>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</si>
  <si>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</si>
  <si>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</si>
  <si>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</si>
  <si>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</si>
  <si>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</si>
  <si>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</si>
  <si>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</si>
  <si>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</si>
  <si>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</si>
  <si>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</si>
  <si>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</si>
  <si>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</si>
  <si>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</si>
  <si>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</si>
  <si>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</si>
  <si>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</si>
  <si>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</si>
  <si>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</si>
  <si>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</si>
  <si>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</si>
  <si>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</si>
  <si>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</si>
  <si>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</si>
  <si>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</si>
  <si>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</si>
  <si>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</si>
  <si>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</si>
  <si>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</si>
  <si>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</si>
  <si>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</si>
  <si>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</si>
  <si>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</si>
  <si>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</si>
  <si>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</si>
  <si>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</si>
  <si>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</si>
  <si>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</si>
  <si>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</si>
  <si>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</si>
  <si>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</si>
  <si>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</si>
  <si>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</si>
  <si>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</si>
  <si>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</si>
  <si>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</si>
  <si>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</si>
  <si>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</si>
  <si>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</si>
  <si>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</si>
  <si>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</si>
  <si>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</si>
  <si>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</si>
  <si>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</si>
  <si>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</si>
  <si>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</si>
  <si>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</si>
  <si>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</si>
  <si>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</si>
  <si>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</si>
  <si>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</si>
  <si>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</si>
  <si>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</si>
  <si>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</si>
  <si>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</si>
  <si>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</si>
  <si>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</si>
  <si>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</si>
  <si>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</si>
  <si>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</si>
  <si>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</si>
  <si>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</si>
  <si>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</si>
  <si>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</si>
  <si>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</si>
  <si>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</si>
  <si>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</si>
  <si>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</si>
  <si>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</si>
  <si>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</si>
  <si>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</si>
  <si>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</si>
  <si>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</si>
  <si>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</si>
  <si>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</si>
  <si>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</si>
  <si>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</si>
  <si>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</si>
  <si>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</si>
  <si>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</si>
  <si>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</si>
  <si>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</si>
  <si>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</si>
  <si>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</si>
  <si>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</si>
  <si>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</si>
  <si>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</si>
  <si>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</si>
  <si>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</si>
  <si>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</si>
  <si>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</si>
  <si>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</si>
  <si>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</si>
  <si>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</si>
  <si>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</si>
  <si>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</si>
  <si>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</si>
  <si>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</si>
  <si>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</si>
  <si>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</si>
  <si>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</si>
  <si>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</si>
  <si>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</si>
  <si>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</si>
  <si>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</si>
  <si>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</si>
  <si>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</si>
  <si>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</si>
  <si>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</si>
  <si>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</si>
  <si>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</si>
  <si>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</si>
  <si>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</si>
  <si>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</si>
  <si>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</si>
  <si>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</si>
  <si>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</si>
  <si>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</si>
  <si>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</si>
  <si>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</si>
  <si>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</si>
  <si>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</si>
  <si>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</si>
  <si>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</si>
  <si>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</si>
  <si>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</si>
  <si>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</si>
  <si>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</si>
  <si>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</si>
  <si>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</si>
  <si>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</si>
  <si>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</si>
  <si>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</si>
  <si>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</si>
  <si>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</si>
  <si>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</si>
  <si>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</si>
  <si>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</si>
  <si>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</si>
  <si>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</si>
  <si>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</si>
  <si>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</si>
  <si>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</si>
  <si>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</si>
  <si>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</si>
  <si>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</si>
  <si>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</si>
  <si>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</si>
  <si>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</si>
  <si>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</si>
  <si>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</si>
  <si>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</si>
  <si>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</si>
  <si>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</si>
  <si>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</si>
  <si>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</si>
  <si>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</si>
  <si>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</si>
  <si>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</si>
  <si>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</si>
  <si>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</si>
  <si>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</si>
  <si>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</si>
  <si>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</si>
  <si>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</si>
  <si>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</si>
  <si>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</si>
  <si>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</si>
  <si>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</si>
  <si>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</si>
  <si>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</si>
  <si>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</si>
  <si>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</si>
  <si>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</si>
  <si>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</si>
  <si>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</si>
  <si>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</si>
  <si>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</si>
  <si>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</si>
  <si>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</si>
  <si>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</si>
  <si>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</si>
  <si>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</si>
  <si>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</si>
  <si>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</si>
  <si>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</si>
  <si>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</si>
  <si>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</si>
  <si>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</si>
  <si>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</si>
  <si>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</si>
  <si>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</si>
  <si>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</si>
  <si>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</si>
  <si>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</si>
  <si>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</si>
  <si>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</si>
  <si>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</si>
  <si>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</si>
  <si>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</si>
  <si>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</si>
  <si>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</si>
  <si>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</si>
  <si>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</si>
  <si>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</si>
  <si>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</si>
  <si>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</si>
  <si>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</si>
  <si>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</si>
  <si>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</si>
  <si>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</si>
  <si>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</si>
  <si>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</si>
  <si>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</si>
  <si>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</si>
  <si>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</si>
  <si>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</si>
  <si>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</si>
  <si>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</si>
  <si>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</si>
  <si>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</si>
  <si>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</si>
  <si>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</si>
  <si>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</si>
  <si>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</si>
  <si>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</si>
  <si>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</si>
  <si>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</si>
  <si>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</si>
  <si>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</si>
  <si>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</si>
  <si>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</si>
  <si>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</si>
  <si>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</si>
  <si>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</si>
  <si>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</si>
  <si>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</si>
  <si>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</si>
  <si>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</si>
  <si>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</si>
  <si>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</si>
  <si>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</si>
  <si>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</si>
  <si>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</si>
  <si>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</si>
  <si>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</si>
  <si>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</si>
  <si>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</si>
  <si>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</si>
  <si>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</si>
  <si>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</si>
  <si>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</si>
  <si>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</si>
  <si>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</si>
  <si>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</si>
  <si>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</si>
  <si>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</si>
  <si>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</si>
  <si>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</si>
  <si>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</si>
  <si>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</si>
  <si>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</si>
  <si>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</si>
  <si>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</si>
  <si>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</si>
  <si>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</si>
  <si>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</si>
  <si>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</si>
  <si>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</si>
  <si>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</si>
  <si>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</si>
  <si>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</si>
  <si>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</si>
  <si>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</si>
  <si>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</si>
  <si>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</si>
  <si>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</si>
  <si>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</si>
  <si>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</si>
  <si>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</si>
  <si>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</si>
  <si>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</si>
  <si>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</si>
  <si>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</si>
  <si>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</si>
  <si>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</si>
  <si>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</si>
  <si>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</si>
  <si>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</si>
  <si>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</si>
  <si>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</si>
  <si>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</si>
  <si>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</si>
  <si>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</si>
  <si>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</si>
  <si>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</si>
  <si>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</si>
  <si>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</si>
  <si>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</si>
  <si>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</si>
  <si>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</si>
  <si>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</si>
  <si>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</si>
  <si>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</si>
  <si>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</si>
  <si>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</si>
  <si>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</si>
  <si>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</si>
  <si>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</si>
  <si>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</si>
  <si>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</si>
  <si>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</si>
  <si>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</si>
  <si>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</si>
  <si>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</si>
  <si>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</si>
  <si>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</si>
  <si>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</si>
  <si>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</si>
  <si>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</si>
  <si>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</si>
  <si>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</si>
  <si>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</si>
  <si>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</si>
  <si>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</si>
  <si>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</si>
  <si>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</si>
  <si>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</si>
  <si>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</si>
  <si>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</si>
  <si>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</si>
  <si>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</si>
  <si>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</si>
  <si>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</si>
  <si>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</si>
  <si>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</si>
  <si>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</si>
  <si>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</si>
  <si>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</si>
  <si>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</si>
  <si>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</si>
  <si>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</si>
  <si>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</si>
  <si>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</si>
  <si>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</si>
  <si>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</si>
  <si>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</si>
  <si>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</si>
  <si>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</si>
  <si>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</si>
  <si>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</si>
  <si>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</si>
  <si>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</si>
  <si>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</si>
  <si>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</si>
  <si>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</si>
  <si>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</si>
  <si>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</si>
  <si>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</si>
  <si>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</si>
  <si>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</si>
  <si>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</si>
  <si>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</si>
  <si>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</si>
  <si>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</si>
  <si>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</si>
  <si>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</si>
  <si>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</si>
  <si>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</si>
  <si>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</si>
  <si>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</si>
  <si>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</si>
  <si>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</si>
  <si>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</si>
  <si>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</si>
  <si>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</si>
  <si>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</si>
  <si>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</si>
  <si>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</si>
  <si>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</si>
  <si>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</si>
  <si>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</si>
  <si>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</si>
  <si>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</si>
  <si>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</si>
  <si>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</si>
  <si>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</si>
  <si>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</si>
  <si>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</si>
  <si>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</si>
  <si>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</si>
  <si>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</si>
  <si>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</si>
  <si>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</si>
  <si>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</si>
  <si>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</si>
  <si>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</si>
  <si>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</si>
  <si>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</si>
  <si>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</si>
  <si>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</si>
  <si>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</si>
  <si>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</si>
  <si>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</si>
  <si>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</si>
  <si>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</si>
  <si>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</si>
  <si>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</si>
  <si>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</si>
  <si>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</si>
  <si>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</si>
  <si>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</si>
  <si>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</si>
  <si>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</si>
  <si>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</si>
  <si>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</si>
  <si>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</si>
  <si>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</si>
  <si>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</si>
  <si>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</si>
  <si>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</si>
  <si>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</si>
  <si>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</si>
  <si>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</si>
  <si>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</si>
  <si>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</si>
  <si>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</si>
  <si>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</si>
  <si>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</si>
  <si>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</si>
  <si>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</si>
  <si>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</si>
  <si>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</si>
  <si>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</si>
  <si>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</si>
  <si>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</si>
  <si>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</si>
  <si>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</si>
  <si>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</si>
  <si>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</si>
  <si>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</si>
  <si>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</si>
  <si>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</si>
  <si>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</si>
  <si>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</si>
  <si>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</si>
  <si>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</si>
  <si>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</si>
  <si>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</si>
  <si>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</si>
  <si>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</si>
  <si>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</si>
  <si>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</si>
  <si>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</si>
  <si>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</si>
  <si>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</si>
  <si>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</si>
  <si>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</si>
  <si>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</si>
  <si>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</si>
  <si>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</si>
  <si>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</si>
  <si>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</si>
  <si>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</si>
  <si>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</si>
  <si>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</si>
  <si>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</si>
  <si>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</si>
  <si>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</si>
  <si>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</si>
  <si>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</si>
  <si>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</si>
  <si>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</si>
  <si>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</si>
  <si>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</si>
  <si>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</si>
  <si>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</si>
  <si>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</si>
  <si>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</si>
  <si>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</si>
  <si>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</si>
  <si>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</si>
  <si>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</si>
  <si>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</si>
  <si>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</si>
  <si>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</si>
  <si>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</si>
  <si>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</si>
  <si>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</si>
  <si>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</si>
  <si>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</si>
  <si>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</si>
  <si>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</si>
  <si>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</si>
  <si>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</si>
  <si>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</si>
  <si>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</si>
  <si>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</si>
  <si>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</si>
  <si>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</si>
  <si>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</si>
  <si>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</si>
  <si>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</si>
  <si>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</si>
  <si>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</si>
  <si>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</si>
  <si>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</si>
  <si>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</si>
  <si>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</si>
  <si>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</si>
  <si>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</si>
  <si>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</si>
  <si>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</si>
  <si>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</si>
  <si>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</si>
  <si>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</si>
  <si>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</si>
  <si>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</si>
  <si>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</si>
  <si>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</si>
  <si>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</si>
  <si>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</si>
  <si>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</si>
  <si>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</si>
  <si>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</si>
  <si>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</si>
  <si>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</si>
  <si>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</si>
  <si>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</si>
  <si>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</si>
  <si>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</si>
  <si>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</si>
  <si>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</si>
  <si>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</si>
  <si>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</si>
  <si>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</si>
  <si>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</si>
  <si>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</si>
  <si>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</si>
  <si>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</si>
  <si>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</si>
  <si>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</si>
  <si>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</si>
  <si>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</si>
  <si>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</si>
  <si>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</si>
  <si>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</si>
  <si>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</si>
  <si>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</si>
  <si>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</si>
  <si>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</si>
  <si>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</si>
  <si>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</si>
  <si>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</si>
  <si>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</si>
  <si>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</si>
  <si>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</si>
  <si>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</si>
  <si>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</si>
  <si>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</si>
  <si>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</si>
  <si>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</si>
  <si>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</si>
  <si>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</si>
  <si>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</si>
  <si>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</si>
  <si>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</si>
  <si>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</si>
  <si>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</si>
  <si>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</si>
  <si>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</si>
  <si>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</si>
  <si>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</si>
  <si>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</si>
  <si>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</si>
  <si>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</si>
  <si>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</si>
  <si>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</si>
  <si>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</si>
  <si>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</si>
  <si>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</si>
  <si>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</si>
  <si>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</si>
  <si>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</si>
  <si>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</si>
  <si>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</si>
  <si>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</si>
  <si>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</si>
  <si>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</si>
  <si>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</si>
  <si>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</si>
  <si>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</si>
  <si>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</si>
  <si>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</si>
  <si>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</si>
  <si>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</si>
  <si>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</si>
  <si>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</si>
  <si>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</si>
  <si>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</si>
  <si>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</si>
  <si>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</si>
  <si>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</si>
  <si>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</si>
  <si>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</si>
  <si>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</si>
  <si>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</si>
  <si>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</si>
  <si>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</si>
  <si>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</si>
  <si>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</si>
  <si>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</si>
  <si>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</si>
  <si>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</si>
  <si>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</si>
  <si>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</si>
  <si>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</si>
  <si>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</si>
  <si>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</si>
  <si>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</si>
  <si>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</si>
  <si>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</si>
  <si>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</si>
  <si>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</si>
  <si>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</si>
  <si>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</si>
  <si>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</si>
  <si>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</si>
  <si>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</si>
  <si>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</si>
  <si>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</si>
  <si>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</si>
  <si>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</si>
  <si>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</si>
  <si>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</si>
  <si>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</si>
  <si>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</si>
  <si>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</si>
  <si>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</si>
  <si>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</si>
  <si>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</si>
  <si>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</si>
  <si>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</si>
  <si>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</si>
  <si>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</si>
  <si>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</si>
  <si>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</si>
  <si>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</si>
  <si>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</si>
  <si>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</si>
  <si>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</si>
  <si>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</si>
  <si>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</si>
  <si>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</si>
  <si>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</si>
  <si>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</si>
  <si>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</si>
  <si>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</si>
  <si>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</si>
  <si>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</si>
  <si>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</si>
  <si>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</si>
  <si>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</si>
  <si>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</si>
  <si>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</si>
  <si>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</si>
  <si>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</si>
  <si>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</si>
  <si>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</si>
  <si>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</si>
  <si>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</si>
  <si>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</si>
  <si>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</si>
  <si>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</si>
  <si>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</si>
  <si>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</si>
  <si>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</si>
  <si>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</si>
  <si>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</si>
  <si>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</si>
  <si>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</si>
  <si>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</si>
  <si>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</si>
  <si>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</si>
  <si>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</si>
  <si>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</si>
  <si>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</si>
  <si>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</si>
  <si>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</si>
  <si>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</si>
  <si>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</si>
  <si>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</si>
  <si>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</si>
  <si>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</si>
  <si>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</si>
  <si>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</si>
  <si>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</si>
  <si>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</si>
  <si>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</si>
  <si>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</si>
  <si>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</si>
  <si>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</si>
  <si>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</si>
  <si>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</si>
  <si>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</si>
  <si>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</si>
  <si>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</si>
  <si>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</si>
  <si>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</si>
  <si>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</si>
  <si>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</si>
  <si>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</si>
  <si>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</si>
  <si>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</si>
  <si>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</si>
  <si>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</si>
  <si>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</si>
  <si>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</si>
  <si>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</si>
  <si>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</si>
  <si>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</si>
  <si>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</si>
  <si>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</si>
  <si>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</si>
  <si>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</si>
  <si>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</si>
  <si>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</si>
  <si>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</si>
  <si>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</si>
  <si>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</si>
  <si>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</si>
  <si>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</si>
  <si>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</si>
  <si>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</si>
  <si>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</si>
  <si>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</si>
  <si>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</si>
  <si>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</si>
  <si>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</si>
  <si>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</si>
  <si>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</si>
  <si>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</si>
  <si>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</si>
  <si>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</si>
  <si>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</si>
  <si>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</si>
  <si>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</si>
  <si>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</si>
  <si>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</si>
  <si>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</si>
  <si>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</si>
  <si>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</si>
  <si>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</si>
  <si>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</si>
  <si>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</si>
  <si>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</si>
  <si>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</si>
  <si>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</si>
  <si>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</si>
  <si>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</si>
  <si>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</si>
  <si>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</si>
  <si>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</si>
  <si>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</si>
  <si>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</si>
  <si>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</si>
  <si>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</si>
  <si>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</si>
  <si>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</si>
  <si>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</si>
  <si>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</si>
  <si>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</si>
  <si>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</si>
  <si>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</si>
  <si>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</si>
  <si>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</si>
  <si>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</si>
  <si>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</si>
  <si>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</si>
  <si>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</si>
  <si>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</si>
  <si>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</si>
  <si>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</si>
  <si>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</si>
  <si>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</si>
  <si>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</si>
  <si>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</si>
  <si>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</si>
  <si>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</si>
  <si>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</si>
  <si>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</si>
  <si>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</si>
  <si>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</si>
  <si>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</si>
  <si>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</si>
  <si>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</si>
  <si>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</si>
  <si>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</si>
  <si>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</si>
  <si>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</si>
  <si>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</si>
  <si>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</si>
  <si>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</si>
  <si>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</si>
  <si>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</si>
  <si>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</si>
  <si>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</si>
  <si>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</si>
  <si>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</si>
  <si>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</si>
  <si>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</si>
  <si>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</si>
  <si>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</si>
  <si>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</si>
  <si>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</si>
  <si>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</si>
  <si>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</si>
  <si>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</si>
  <si>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</si>
  <si>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</si>
  <si>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</si>
  <si>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</si>
  <si>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</si>
  <si>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</si>
  <si>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</si>
  <si>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</si>
  <si>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</si>
  <si>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</si>
  <si>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</si>
  <si>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</si>
  <si>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</si>
  <si>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</si>
  <si>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</si>
  <si>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</si>
  <si>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</si>
  <si>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</si>
  <si>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</si>
  <si>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</si>
  <si>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</si>
  <si>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</si>
  <si>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</si>
  <si>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</si>
  <si>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</si>
  <si>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</si>
  <si>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</si>
  <si>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</si>
  <si>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</si>
  <si>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</si>
  <si>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</si>
  <si>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</si>
  <si>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</si>
  <si>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</si>
  <si>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</si>
  <si>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</si>
  <si>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</si>
  <si>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</si>
  <si>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</si>
  <si>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</si>
  <si>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</si>
  <si>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</si>
  <si>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</si>
  <si>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</si>
  <si>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</si>
  <si>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</si>
  <si>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</si>
  <si>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</si>
  <si>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</si>
  <si>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</si>
  <si>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</si>
  <si>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</si>
  <si>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</si>
  <si>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</si>
  <si>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</si>
  <si>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</si>
  <si>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</si>
  <si>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</si>
  <si>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</si>
  <si>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</si>
  <si>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</si>
  <si>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</si>
  <si>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</si>
  <si>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</si>
  <si>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</si>
  <si>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</si>
  <si>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</si>
  <si>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</si>
  <si>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</si>
  <si>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</si>
  <si>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</si>
  <si>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</si>
  <si>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</si>
  <si>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</si>
  <si>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</si>
  <si>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</si>
  <si>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</si>
  <si>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</si>
  <si>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</si>
  <si>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</si>
  <si>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</si>
  <si>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</si>
  <si>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</si>
  <si>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</si>
  <si>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</si>
  <si>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</si>
  <si>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</si>
  <si>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</si>
  <si>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</si>
  <si>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</si>
  <si>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</si>
  <si>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</si>
  <si>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</si>
  <si>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</si>
  <si>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</si>
  <si>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</si>
  <si>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</si>
  <si>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</si>
  <si>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</si>
  <si>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</si>
  <si>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</si>
  <si>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</si>
  <si>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</si>
  <si>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</si>
  <si>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</si>
  <si>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</si>
  <si>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</si>
  <si>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</si>
  <si>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</si>
  <si>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</si>
  <si>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</si>
  <si>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</si>
  <si>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</si>
  <si>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</si>
  <si>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</si>
  <si>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</si>
  <si>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</si>
  <si>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</si>
  <si>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</si>
  <si>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</si>
  <si>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</si>
  <si>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</si>
  <si>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</si>
  <si>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</si>
  <si>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</si>
  <si>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</si>
  <si>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</si>
  <si>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</si>
  <si>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</si>
  <si>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</si>
  <si>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</si>
  <si>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</si>
  <si>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</si>
  <si>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</si>
  <si>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</si>
  <si>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</si>
  <si>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</si>
  <si>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</si>
  <si>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</si>
  <si>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</si>
  <si>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</si>
  <si>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</si>
  <si>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</si>
  <si>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</si>
  <si>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</si>
  <si>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</si>
  <si>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</si>
  <si>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</si>
  <si>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</si>
  <si>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</si>
  <si>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</si>
  <si>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</si>
  <si>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</si>
  <si>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</si>
  <si>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</si>
  <si>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</si>
  <si>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</si>
  <si>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</si>
  <si>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</si>
  <si>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</si>
  <si>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</si>
  <si>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</si>
  <si>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</si>
  <si>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</si>
  <si>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</si>
  <si>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</si>
  <si>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</si>
  <si>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</si>
  <si>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</si>
  <si>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</si>
  <si>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</si>
  <si>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</si>
  <si>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</si>
  <si>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</si>
  <si>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</si>
  <si>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</si>
  <si>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</si>
  <si>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</si>
  <si>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</si>
  <si>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</si>
  <si>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</si>
  <si>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</si>
  <si>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</si>
  <si>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</si>
  <si>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</si>
  <si>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</si>
  <si>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</si>
  <si>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</si>
  <si>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</si>
  <si>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</si>
  <si>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</si>
  <si>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</si>
  <si>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</si>
  <si>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</si>
  <si>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</si>
  <si>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</si>
  <si>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</si>
  <si>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</si>
  <si>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</si>
  <si>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</si>
  <si>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</si>
  <si>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</si>
  <si>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</si>
  <si>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</si>
  <si>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</si>
  <si>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</si>
  <si>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</si>
  <si>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</si>
  <si>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</si>
  <si>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</si>
  <si>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</si>
  <si>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</si>
  <si>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</si>
  <si>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</si>
  <si>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</si>
  <si>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</si>
  <si>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</si>
  <si>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</si>
  <si>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</si>
  <si>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</si>
  <si>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</si>
  <si>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</si>
  <si>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</si>
  <si>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</si>
  <si>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</si>
  <si>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</si>
  <si>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</si>
  <si>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</si>
  <si>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</si>
  <si>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</si>
  <si>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</si>
  <si>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</si>
  <si>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</si>
  <si>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</si>
  <si>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</si>
  <si>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</si>
  <si>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</si>
  <si>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</si>
  <si>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</si>
  <si>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</si>
  <si>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</si>
  <si>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</si>
  <si>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</si>
  <si>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</si>
  <si>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</si>
  <si>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</si>
  <si>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</si>
  <si>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</si>
  <si>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</si>
  <si>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</si>
  <si>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</si>
  <si>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</si>
  <si>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</si>
  <si>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</si>
  <si>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</si>
  <si>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</si>
  <si>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</si>
  <si>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</si>
  <si>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</si>
  <si>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</si>
  <si>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</si>
  <si>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</si>
  <si>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</si>
  <si>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</si>
  <si>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</si>
  <si>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</si>
  <si>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</si>
  <si>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</si>
  <si>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</si>
  <si>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</si>
  <si>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</si>
  <si>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</si>
  <si>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</si>
  <si>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</si>
  <si>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</si>
  <si>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</si>
  <si>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</si>
  <si>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</si>
  <si>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</si>
  <si>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</si>
  <si>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</si>
  <si>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</si>
  <si>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</si>
  <si>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</si>
  <si>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</si>
  <si>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</si>
  <si>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</si>
  <si>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</si>
  <si>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</si>
  <si>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</si>
  <si>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</si>
  <si>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</si>
  <si>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</si>
  <si>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</si>
  <si>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</si>
  <si>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</si>
  <si>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</si>
  <si>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</si>
  <si>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</si>
  <si>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</si>
  <si>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</si>
  <si>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</si>
  <si>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</si>
  <si>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</si>
  <si>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</si>
  <si>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</si>
  <si>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</si>
  <si>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</si>
  <si>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</si>
  <si>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</si>
  <si>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</si>
  <si>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</si>
  <si>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</si>
  <si>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</si>
  <si>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</si>
  <si>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</si>
  <si>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</si>
  <si>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</si>
  <si>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</si>
  <si>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</si>
  <si>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</si>
  <si>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</si>
  <si>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</si>
  <si>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</si>
  <si>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</si>
  <si>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</si>
  <si>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</si>
  <si>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</si>
  <si>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</si>
  <si>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</si>
  <si>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</si>
  <si>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</si>
  <si>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</si>
  <si>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</si>
  <si>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</si>
  <si>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</si>
  <si>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</si>
  <si>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</si>
  <si>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</si>
  <si>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</si>
  <si>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</si>
  <si>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</si>
  <si>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</si>
  <si>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</si>
  <si>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</si>
  <si>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</si>
  <si>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</si>
  <si>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</si>
  <si>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</si>
  <si>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</si>
  <si>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</si>
  <si>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</si>
  <si>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</si>
  <si>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</si>
  <si>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</si>
  <si>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</si>
  <si>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</si>
  <si>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</si>
  <si>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</si>
  <si>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</si>
  <si>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</si>
  <si>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</si>
  <si>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</si>
  <si>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</si>
  <si>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</si>
  <si>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</si>
  <si>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</si>
  <si>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</si>
  <si>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</si>
  <si>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</si>
  <si>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</si>
  <si>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</si>
  <si>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</si>
  <si>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</si>
  <si>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</si>
  <si>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</si>
  <si>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</si>
  <si>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</si>
  <si>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</si>
  <si>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</si>
  <si>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</si>
  <si>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</si>
  <si>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</si>
  <si>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</si>
  <si>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</si>
  <si>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</si>
  <si>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</si>
  <si>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</si>
  <si>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</si>
  <si>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</si>
  <si>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</si>
  <si>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</si>
  <si>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</si>
  <si>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</si>
  <si>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</si>
  <si>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</si>
  <si>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</si>
  <si>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</si>
  <si>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</si>
  <si>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</si>
  <si>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</si>
  <si>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</si>
  <si>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</si>
  <si>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</si>
  <si>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</si>
  <si>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</si>
  <si>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</si>
  <si>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</si>
  <si>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</si>
  <si>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</si>
  <si>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</si>
  <si>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</si>
  <si>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</si>
  <si>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</si>
  <si>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</si>
  <si>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</si>
  <si>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</si>
  <si>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</si>
  <si>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</si>
  <si>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</si>
  <si>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</si>
  <si>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</si>
  <si>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</si>
  <si>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</si>
  <si>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</si>
  <si>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</si>
  <si>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</si>
  <si>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</si>
  <si>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</si>
  <si>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</si>
  <si>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</si>
  <si>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</si>
  <si>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</si>
  <si>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</si>
  <si>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</si>
  <si>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</si>
  <si>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</si>
  <si>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</si>
  <si>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</si>
  <si>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</si>
  <si>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</si>
  <si>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</si>
  <si>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</si>
  <si>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</si>
  <si>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</si>
  <si>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</si>
  <si>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</si>
  <si>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</si>
  <si>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</si>
  <si>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</si>
  <si>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</si>
  <si>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</si>
  <si>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</si>
  <si>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</si>
  <si>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</si>
  <si>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</si>
  <si>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</si>
  <si>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</si>
  <si>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</si>
  <si>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</si>
  <si>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</si>
  <si>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</si>
  <si>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</si>
  <si>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</si>
  <si>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</si>
  <si>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</si>
  <si>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</si>
  <si>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</si>
  <si>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</si>
  <si>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</si>
  <si>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</si>
  <si>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</si>
  <si>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</si>
  <si>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</si>
  <si>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</si>
  <si>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</si>
  <si>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</si>
  <si>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</si>
  <si>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</si>
  <si>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</si>
  <si>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</si>
  <si>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</si>
  <si>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</si>
  <si>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</si>
  <si>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</si>
  <si>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</si>
  <si>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</si>
  <si>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</si>
  <si>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</si>
  <si>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</si>
  <si>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</si>
  <si>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</si>
  <si>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</si>
  <si>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</si>
  <si>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</si>
  <si>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</si>
  <si>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</si>
  <si>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</si>
  <si>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</si>
  <si>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</si>
  <si>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</si>
  <si>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</si>
  <si>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</si>
  <si>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</si>
  <si>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</si>
  <si>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</si>
  <si>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</si>
  <si>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</si>
  <si>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</si>
  <si>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</si>
  <si>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</si>
  <si>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</si>
  <si>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</si>
  <si>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</si>
  <si>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</si>
  <si>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</si>
  <si>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</si>
  <si>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</si>
  <si>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</si>
  <si>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</si>
  <si>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</si>
  <si>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</si>
  <si>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</si>
  <si>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</si>
  <si>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</si>
  <si>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</si>
  <si>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</si>
  <si>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</si>
  <si>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</si>
  <si>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</si>
  <si>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</si>
  <si>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</si>
  <si>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</si>
  <si>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</si>
  <si>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</si>
  <si>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</si>
  <si>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</si>
  <si>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</si>
  <si>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</si>
  <si>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</si>
  <si>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</si>
  <si>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</si>
  <si>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</si>
  <si>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</si>
  <si>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</si>
  <si>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</si>
  <si>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</si>
  <si>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</si>
  <si>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</si>
  <si>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</si>
  <si>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</si>
  <si>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</si>
  <si>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</si>
  <si>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</si>
  <si>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</si>
  <si>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</si>
  <si>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</si>
  <si>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</si>
  <si>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</si>
  <si>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</si>
  <si>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</si>
  <si>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</si>
  <si>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</si>
  <si>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</si>
  <si>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</si>
  <si>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</si>
  <si>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</si>
  <si>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</si>
  <si>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</si>
  <si>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</si>
  <si>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</si>
  <si>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</si>
  <si>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</si>
  <si>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</si>
  <si>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</si>
  <si>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</si>
  <si>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</si>
  <si>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</si>
  <si>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</si>
  <si>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</si>
  <si>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</si>
  <si>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</si>
  <si>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</si>
  <si>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</si>
  <si>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</si>
  <si>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</si>
  <si>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</si>
  <si>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</si>
  <si>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</si>
  <si>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</si>
  <si>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</si>
  <si>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</si>
  <si>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</si>
  <si>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</si>
  <si>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</si>
  <si>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</si>
  <si>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</si>
  <si>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</si>
  <si>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</si>
  <si>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</si>
  <si>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</si>
  <si>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</si>
  <si>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</si>
  <si>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</si>
  <si>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</si>
  <si>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</si>
  <si>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</si>
  <si>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</si>
  <si>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</si>
  <si>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</si>
  <si>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</si>
  <si>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</si>
  <si>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</si>
  <si>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</si>
  <si>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</si>
  <si>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</si>
  <si>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</si>
  <si>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</si>
  <si>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</si>
  <si>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</si>
  <si>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</si>
  <si>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</si>
  <si>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</si>
  <si>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</si>
  <si>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</si>
  <si>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</si>
  <si>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</si>
  <si>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</si>
  <si>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</si>
  <si>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</si>
  <si>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</si>
  <si>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</si>
  <si>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</si>
  <si>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</si>
  <si>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</si>
  <si>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</si>
  <si>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</si>
  <si>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</si>
  <si>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</si>
  <si>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</si>
  <si>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</si>
  <si>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</si>
  <si>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</si>
  <si>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</si>
  <si>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</si>
  <si>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</si>
  <si>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</si>
  <si>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</si>
  <si>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</si>
  <si>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</si>
  <si>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</si>
  <si>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</si>
  <si>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</si>
  <si>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</si>
  <si>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</si>
  <si>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</si>
  <si>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</si>
  <si>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</si>
  <si>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</si>
  <si>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</si>
  <si>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</si>
  <si>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</si>
  <si>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</si>
  <si>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</si>
  <si>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</si>
  <si>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</si>
  <si>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</si>
  <si>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</si>
  <si>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</si>
  <si>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</si>
  <si>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</si>
  <si>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</si>
  <si>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</si>
  <si>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</si>
  <si>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</si>
  <si>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</si>
  <si>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</si>
  <si>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</si>
  <si>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</si>
  <si>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</si>
  <si>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</si>
  <si>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</si>
  <si>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</si>
  <si>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</si>
  <si>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</si>
  <si>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</si>
  <si>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</si>
  <si>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</si>
  <si>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</si>
  <si>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</si>
  <si>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</si>
  <si>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</si>
  <si>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</si>
  <si>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</si>
  <si>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</si>
  <si>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</si>
  <si>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</si>
  <si>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</si>
  <si>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Was not paid as Rico not sent yet. So send payment request for June</t>
    <phoneticPr fontId="43"/>
  </si>
  <si>
    <t>篭原祐子</t>
  </si>
  <si>
    <t>カゴハラユウコ</t>
  </si>
  <si>
    <t>63590101</t>
  </si>
  <si>
    <t>17440</t>
  </si>
  <si>
    <t>ハンダケンイチロウ</t>
  </si>
  <si>
    <t>半田健一郎</t>
  </si>
  <si>
    <t>雑餉隈</t>
  </si>
  <si>
    <t>1604231</t>
  </si>
  <si>
    <t>276</t>
    <phoneticPr fontId="43"/>
  </si>
  <si>
    <t>090-9487-3105</t>
    <phoneticPr fontId="43"/>
  </si>
  <si>
    <t>Paid on June 20</t>
    <phoneticPr fontId="43"/>
  </si>
  <si>
    <t>y</t>
    <phoneticPr fontId="43"/>
  </si>
  <si>
    <t>Paid on June 22. June and July tuition perceived.</t>
    <phoneticPr fontId="43"/>
  </si>
  <si>
    <t>n</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</si>
</sst>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5">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12">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0" fontId="44" fillId="0" borderId="0" xfId="0" applyFont="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0" fillId="0" borderId="0" xfId="0" applyFont="1"/>
    <xf numFmtId="0" fontId="0" fillId="0" borderId="0" xfId="0" applyBorder="1"/>
    <xf numFmtId="0" fontId="0" fillId="16" borderId="0" xfId="0" applyFill="1" applyBorder="1"/>
    <xf numFmtId="0" fontId="0" fillId="4" borderId="0" xfId="0" applyFill="1" applyBorder="1"/>
    <xf numFmtId="0" fontId="0" fillId="3" borderId="0" xfId="0" applyFill="1" applyBorder="1"/>
    <xf numFmtId="0" fontId="5" fillId="3" borderId="18" xfId="0" applyFont="1" applyFill="1" applyBorder="1"/>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ont>
        <color rgb="FF9C0006"/>
      </font>
      <fill>
        <patternFill>
          <bgColor rgb="FFFFC7CE"/>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33338</xdr:rowOff>
        </xdr:from>
        <xdr:to>
          <xdr:col>0</xdr:col>
          <xdr:colOff>1009650</xdr:colOff>
          <xdr:row>1</xdr:row>
          <xdr:rowOff>395288</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90488</xdr:colOff>
          <xdr:row>0</xdr:row>
          <xdr:rowOff>71438</xdr:rowOff>
        </xdr:from>
        <xdr:to>
          <xdr:col>0</xdr:col>
          <xdr:colOff>719138</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0</xdr:row>
          <xdr:rowOff>14288</xdr:rowOff>
        </xdr:from>
        <xdr:to>
          <xdr:col>10</xdr:col>
          <xdr:colOff>947738</xdr:colOff>
          <xdr:row>0</xdr:row>
          <xdr:rowOff>376238</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71438</xdr:colOff>
          <xdr:row>1</xdr:row>
          <xdr:rowOff>52388</xdr:rowOff>
        </xdr:from>
        <xdr:to>
          <xdr:col>10</xdr:col>
          <xdr:colOff>966788</xdr:colOff>
          <xdr:row>1</xdr:row>
          <xdr:rowOff>357188</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90488</xdr:rowOff>
        </xdr:from>
        <xdr:to>
          <xdr:col>4</xdr:col>
          <xdr:colOff>471488</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547688</xdr:colOff>
          <xdr:row>0</xdr:row>
          <xdr:rowOff>642938</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128588</xdr:colOff>
          <xdr:row>10</xdr:row>
          <xdr:rowOff>52388</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109538</xdr:colOff>
          <xdr:row>12</xdr:row>
          <xdr:rowOff>33338</xdr:rowOff>
        </xdr:from>
        <xdr:to>
          <xdr:col>15</xdr:col>
          <xdr:colOff>528638</xdr:colOff>
          <xdr:row>12</xdr:row>
          <xdr:rowOff>147638</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147638</xdr:colOff>
          <xdr:row>13</xdr:row>
          <xdr:rowOff>52388</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128588</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128588</xdr:colOff>
          <xdr:row>16</xdr:row>
          <xdr:rowOff>171450</xdr:rowOff>
        </xdr:from>
        <xdr:to>
          <xdr:col>15</xdr:col>
          <xdr:colOff>585788</xdr:colOff>
          <xdr:row>16</xdr:row>
          <xdr:rowOff>852488</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90488</xdr:colOff>
          <xdr:row>19</xdr:row>
          <xdr:rowOff>76200</xdr:rowOff>
        </xdr:from>
        <xdr:to>
          <xdr:col>15</xdr:col>
          <xdr:colOff>566738</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33338</xdr:rowOff>
        </xdr:from>
        <xdr:to>
          <xdr:col>15</xdr:col>
          <xdr:colOff>566738</xdr:colOff>
          <xdr:row>20</xdr:row>
          <xdr:rowOff>147638</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109538</xdr:colOff>
          <xdr:row>18</xdr:row>
          <xdr:rowOff>52388</xdr:rowOff>
        </xdr:from>
        <xdr:to>
          <xdr:col>15</xdr:col>
          <xdr:colOff>528638</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1">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5" headerRowBorderDxfId="44" tableBorderDxfId="43">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2">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1"/>
    <tableColumn id="25" xr3:uid="{00000000-0010-0000-0000-000019000000}" name="Birthday"/>
    <tableColumn id="27" xr3:uid="{00000000-0010-0000-0000-00001B000000}" name="Joining Date" dataDxfId="40"/>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39"/>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38"/>
    <tableColumn id="66" xr3:uid="{00000000-0010-0000-0000-000042000000}" name="Column1" dataDxfId="37"/>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36"/>
    <tableColumn id="41" xr3:uid="{00000000-0010-0000-0000-000029000000}" name="Clean Frequency" dataDxfId="35"/>
    <tableColumn id="42" xr3:uid="{00000000-0010-0000-0000-00002A000000}" name="Month" dataDxfId="34"/>
    <tableColumn id="43" xr3:uid="{00000000-0010-0000-0000-00002B000000}" name="Year" dataDxfId="33"/>
    <tableColumn id="44" xr3:uid="{00000000-0010-0000-0000-00002C000000}" name="Helper" dataDxfId="32"/>
    <tableColumn id="47" xr3:uid="{00000000-0010-0000-0000-00002F000000}" name="Group Frequency" dataDxfId="31"/>
    <tableColumn id="45" xr3:uid="{00000000-0010-0000-0000-00002D000000}" name="First Occurrence" dataDxfId="30"/>
    <tableColumn id="57" xr3:uid="{00000000-0010-0000-0000-000039000000}" name="Final PrivateFrequency" dataDxfId="29"/>
    <tableColumn id="51" xr3:uid="{00000000-0010-0000-0000-000033000000}" name="Final Group Frequency2" dataDxfId="28"/>
    <tableColumn id="46" xr3:uid="{00000000-0010-0000-0000-00002E000000}" name="Duration" dataDxfId="27"/>
    <tableColumn id="48" xr3:uid="{00000000-0010-0000-0000-000030000000}" name="Customer name" dataDxfId="26"/>
    <tableColumn id="58" xr3:uid="{00000000-0010-0000-0000-00003A000000}" name="Salary without Alex" dataDxfId="25"/>
    <tableColumn id="61" xr3:uid="{00000000-0010-0000-0000-00003D000000}" name="Fee without Alex" dataDxfId="24"/>
    <tableColumn id="49" xr3:uid="{00000000-0010-0000-0000-000031000000}" name="Pay Type" dataDxfId="23"/>
    <tableColumn id="50" xr3:uid="{00000000-0010-0000-0000-000032000000}" name="Salary / Hourly Rate" dataDxfId="22"/>
    <tableColumn id="52" xr3:uid="{00000000-0010-0000-0000-000034000000}" name="Group Salary" dataDxfId="21"/>
    <tableColumn id="53" xr3:uid="{00000000-0010-0000-0000-000035000000}" name="Private Salary" dataDxfId="20"/>
    <tableColumn id="54" xr3:uid="{00000000-0010-0000-0000-000036000000}" name="Total Salary" dataDxfId="19"/>
    <tableColumn id="64" xr3:uid="{00000000-0010-0000-0000-000040000000}" name="Money Spend" dataDxfId="18"/>
    <tableColumn id="55" xr3:uid="{00000000-0010-0000-0000-000037000000}" name="Profit" dataDxfId="17"/>
    <tableColumn id="59" xr3:uid="{00000000-0010-0000-0000-00003B000000}" name="For Amount" dataDxfId="16"/>
    <tableColumn id="65" xr3:uid="{00000000-0010-0000-0000-000041000000}" name="For Count" dataDxfId="15"/>
    <tableColumn id="56" xr3:uid="{00000000-0010-0000-0000-000038000000}" name="For Salary" dataDxfId="14"/>
    <tableColumn id="60" xr3:uid="{00000000-0010-0000-0000-00003C000000}" name="For Frequency" dataDxfId="13"/>
    <tableColumn id="62" xr3:uid="{00000000-0010-0000-0000-00003E000000}" name="For End Date" dataDxfId="12">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49">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48"/>
    <tableColumn id="5" xr3:uid="{00000000-0010-0000-0100-000005000000}" name="how they reached out" dataDxfId="47"/>
    <tableColumn id="6" xr3:uid="{00000000-0010-0000-0100-000006000000}" name="day of taiken"/>
    <tableColumn id="7" xr3:uid="{00000000-0010-0000-0100-000007000000}" name="Time of Taiken" dataDxfId="46"/>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107" Type="http://schemas.openxmlformats.org/officeDocument/2006/relationships/ctrlProp" Target="../ctrlProps/ctrlProp64.xml"/><Relationship Id="rId268" Type="http://schemas.openxmlformats.org/officeDocument/2006/relationships/table" Target="../tables/table1.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5.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7.xml"/><Relationship Id="rId4" Type="http://schemas.openxmlformats.org/officeDocument/2006/relationships/ctrlProp" Target="../ctrlProps/ctrlProp22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3.xml"/><Relationship Id="rId13" Type="http://schemas.openxmlformats.org/officeDocument/2006/relationships/ctrlProp" Target="../ctrlProps/ctrlProp238.xml"/><Relationship Id="rId3" Type="http://schemas.openxmlformats.org/officeDocument/2006/relationships/ctrlProp" Target="../ctrlProps/ctrlProp228.xml"/><Relationship Id="rId7" Type="http://schemas.openxmlformats.org/officeDocument/2006/relationships/ctrlProp" Target="../ctrlProps/ctrlProp232.xml"/><Relationship Id="rId12" Type="http://schemas.openxmlformats.org/officeDocument/2006/relationships/ctrlProp" Target="../ctrlProps/ctrlProp23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1.xml"/><Relationship Id="rId11" Type="http://schemas.openxmlformats.org/officeDocument/2006/relationships/ctrlProp" Target="../ctrlProps/ctrlProp236.xml"/><Relationship Id="rId5" Type="http://schemas.openxmlformats.org/officeDocument/2006/relationships/ctrlProp" Target="../ctrlProps/ctrlProp230.xml"/><Relationship Id="rId10" Type="http://schemas.openxmlformats.org/officeDocument/2006/relationships/ctrlProp" Target="../ctrlProps/ctrlProp235.xml"/><Relationship Id="rId4" Type="http://schemas.openxmlformats.org/officeDocument/2006/relationships/ctrlProp" Target="../ctrlProps/ctrlProp229.xml"/><Relationship Id="rId9" Type="http://schemas.openxmlformats.org/officeDocument/2006/relationships/ctrlProp" Target="../ctrlProps/ctrlProp234.xml"/><Relationship Id="rId14" Type="http://schemas.openxmlformats.org/officeDocument/2006/relationships/ctrlProp" Target="../ctrlProps/ctrlProp239.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zoomScale="115" zoomScaleNormal="115" workbookViewId="0">
      <pane ySplit="2" topLeftCell="A182" activePane="bottomLeft" state="frozen"/>
      <selection pane="bottomLeft" activeCell="C185" sqref="C185"/>
    </sheetView>
  </sheetViews>
  <sheetFormatPr defaultRowHeight="18" customHeight="1"/>
  <cols>
    <col min="1" max="1" width="16" customWidth="1"/>
    <col min="2" max="2" width="16.33203125" customWidth="1"/>
    <col min="3" max="3" width="11.796875" customWidth="1"/>
    <col min="4" max="4" width="18.06640625" customWidth="1"/>
    <col min="5" max="5" width="18.33203125" customWidth="1"/>
    <col min="6" max="6" width="16.796875" hidden="1" customWidth="1"/>
    <col min="7" max="7" width="8" customWidth="1"/>
    <col min="8" max="8" width="7" customWidth="1"/>
    <col min="9" max="9" width="5.59765625" customWidth="1"/>
    <col min="10" max="10" width="24.73046875" customWidth="1"/>
    <col min="11" max="11" width="13.06640625" bestFit="1" customWidth="1"/>
    <col min="12" max="12" width="16.06640625" customWidth="1"/>
    <col min="13" max="13" width="10.796875" customWidth="1"/>
    <col min="14" max="14" width="17.33203125" customWidth="1"/>
    <col min="15" max="17" width="15.33203125" customWidth="1"/>
    <col min="18" max="19" width="20.796875" customWidth="1"/>
    <col min="20" max="20" width="38.265625" customWidth="1"/>
    <col min="21" max="22" width="20.796875" customWidth="1"/>
    <col min="23" max="23" width="14.33203125" customWidth="1"/>
    <col min="24" max="24" width="5.796875" customWidth="1"/>
    <col min="25" max="25" width="45.33203125" customWidth="1"/>
    <col min="26" max="26" width="14.06640625" customWidth="1"/>
    <col min="27" max="27" width="14.265625" customWidth="1"/>
    <col min="28" max="28" width="28.33203125" customWidth="1"/>
    <col min="29" max="29" width="17.73046875" customWidth="1"/>
    <col min="30" max="30" width="18.265625" customWidth="1"/>
    <col min="31" max="31" width="24" style="130" customWidth="1"/>
    <col min="32" max="32" width="21.73046875" hidden="1" customWidth="1"/>
    <col min="33" max="33" width="21.796875" hidden="1" customWidth="1"/>
    <col min="34" max="34" width="21.59765625" hidden="1" customWidth="1"/>
    <col min="35" max="35" width="21.796875" hidden="1" customWidth="1"/>
    <col min="36" max="36" width="65.796875" hidden="1" customWidth="1"/>
    <col min="37" max="37" width="33.265625" hidden="1" customWidth="1"/>
    <col min="38" max="38" width="18.06640625" customWidth="1"/>
    <col min="39" max="39" width="19.265625" customWidth="1"/>
    <col min="40" max="41" width="18.73046875" style="38" customWidth="1"/>
    <col min="42" max="42" width="23.06640625" customWidth="1"/>
    <col min="43" max="43" width="17.33203125" customWidth="1"/>
    <col min="44" max="44" width="15.59765625" customWidth="1"/>
    <col min="45" max="45" width="22.265625" customWidth="1"/>
    <col min="46" max="46" width="20.796875" customWidth="1"/>
    <col min="47" max="47" width="12.06640625" customWidth="1"/>
    <col min="48" max="48" width="11.33203125" customWidth="1"/>
    <col min="49" max="50" width="20.59765625" customWidth="1"/>
    <col min="51" max="51" width="15.796875" customWidth="1"/>
    <col min="52" max="52" width="21" customWidth="1"/>
    <col min="53" max="53" width="21.59765625" customWidth="1"/>
    <col min="54" max="54" width="15.59765625" customWidth="1"/>
    <col min="55" max="57" width="20.06640625" customWidth="1"/>
    <col min="58" max="58" width="17.73046875" customWidth="1"/>
    <col min="59" max="59" width="19.796875" customWidth="1"/>
    <col min="60" max="60" width="18.265625" customWidth="1"/>
    <col min="61" max="61" width="19.796875" customWidth="1"/>
    <col min="62" max="63" width="19.33203125" customWidth="1"/>
    <col min="64" max="64" width="16.265625" customWidth="1"/>
    <col min="65" max="65" width="14.33203125" customWidth="1"/>
    <col min="66" max="66" width="16.06640625" customWidth="1"/>
    <col min="67" max="67" width="14.79687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502</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1149</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904</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904</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3095</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813</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2445</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630</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630</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630</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3095</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1088</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1176</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3095</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992</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1177</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813</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873</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630</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752</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3095</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722</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810</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813</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813</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2454</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752</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995</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873</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873</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3095</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660</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1174</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1269</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1179</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538</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813</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473</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428</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423</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2481</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f ca="1">IF(B227="Y", IF(Table1[[#This Row],[Stop]]="", TODAY() - Table1[[#This Row],[Joining Date]], Table1[[#This Row],[Stop]] - Table1[[#This Row],[Joining Date]]), "")</f>
        <v>390</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46196</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46196</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382</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2460</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2459</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353</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349</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2460</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2460</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2482</v>
      </c>
      <c r="G254" s="280" t="s">
        <v>2432</v>
      </c>
      <c r="H254" s="280" t="s">
        <v>2433</v>
      </c>
      <c r="J254" t="s">
        <v>109</v>
      </c>
      <c r="K254" t="s">
        <v>110</v>
      </c>
      <c r="O254">
        <v>20500</v>
      </c>
      <c r="T254" s="38">
        <v>46143</v>
      </c>
      <c r="V254" s="243" t="s">
        <v>2428</v>
      </c>
      <c r="Y254" s="292" t="s">
        <v>2376</v>
      </c>
      <c r="AB254" s="293" t="s">
        <v>2431</v>
      </c>
    </row>
    <row r="255" spans="1:39" ht="18" customHeight="1">
      <c r="A255">
        <v>198</v>
      </c>
      <c r="B255" t="s">
        <v>103</v>
      </c>
      <c r="C255" s="294" t="s">
        <v>2436</v>
      </c>
      <c r="D255" s="294" t="s">
        <v>2437</v>
      </c>
      <c r="G255" s="294" t="s">
        <v>2434</v>
      </c>
      <c r="H255" s="294" t="s">
        <v>2435</v>
      </c>
      <c r="J255" t="s">
        <v>109</v>
      </c>
      <c r="K255" t="s">
        <v>1559</v>
      </c>
      <c r="L255" s="227" t="s">
        <v>502</v>
      </c>
      <c r="O255">
        <v>7000</v>
      </c>
      <c r="T255" s="38">
        <v>46144</v>
      </c>
      <c r="V255" t="s">
        <v>2389</v>
      </c>
      <c r="Y255" t="s">
        <v>2438</v>
      </c>
      <c r="AB255" s="40" t="s">
        <v>2439</v>
      </c>
    </row>
    <row r="256" spans="1:39" ht="18" customHeight="1">
      <c r="A256">
        <v>199</v>
      </c>
      <c r="B256" t="s">
        <v>2481</v>
      </c>
      <c r="C256" t="s">
        <v>1080</v>
      </c>
      <c r="D256" t="s">
        <v>2479</v>
      </c>
      <c r="G256" t="s">
        <v>2477</v>
      </c>
      <c r="H256" t="s">
        <v>2478</v>
      </c>
      <c r="J256" t="s">
        <v>1955</v>
      </c>
      <c r="K256" t="s">
        <v>1559</v>
      </c>
      <c r="O256">
        <v>7600</v>
      </c>
      <c r="T256" s="38">
        <v>46189</v>
      </c>
      <c r="V256" t="s">
        <v>2475</v>
      </c>
      <c r="Y256" t="s">
        <v>2474</v>
      </c>
      <c r="AB256" s="40" t="s">
        <v>2476</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4" r:id="rId60"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1"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2"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3"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4"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5"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6"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7"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8"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69"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0"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1"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2"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3"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4"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5"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6"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7"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8"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79"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0"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1"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2"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3"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4"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5"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6"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7"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8"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89"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0"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1"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2"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3"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4"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5"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6"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7"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8"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99"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0"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1"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2"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3"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4"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5"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6"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7"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8"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09"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0"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1"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2"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3"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4"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5"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6"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7"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8"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19"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0"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1"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2"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3"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4"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5"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6"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7"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8"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29"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0"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1"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2"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3"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4"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5"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6"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7"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8"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39"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0"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1"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2"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3"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4"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5"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6"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7"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8"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49"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0"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1"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2"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3"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4"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5"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6"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7"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8"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59"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0"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1"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2"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3"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4"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5"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6"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7"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8"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69"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0"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1"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2"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3"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4"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5"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6"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7"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8"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79"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0"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1"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2"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3"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4"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5"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6"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7"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8"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89"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0"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1"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2"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3"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4"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5"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6"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7"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8"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199"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0"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1"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2"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3"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4"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5"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6"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7"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8"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09"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0"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1"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2"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3"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4"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5"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6"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7"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8"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19"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0"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1"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2"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3"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4"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5"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6"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7"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8"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29"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0"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1"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2"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3"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4"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5"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6"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7"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8"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39"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0"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1"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2"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3"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4"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5"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6"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7"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8"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49"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0"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1"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2"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3"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4"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5"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6"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7"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8"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59"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0"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1"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2"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3"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4"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5"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6"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7" name="Button 684">
              <controlPr defaultSize="0" print="0" autoFill="0" autoPict="0" macro="[0]!SyncStudentToFinance">
                <anchor moveWithCells="1" sizeWithCells="1">
                  <from>
                    <xdr:col>0</xdr:col>
                    <xdr:colOff>57150</xdr:colOff>
                    <xdr:row>1</xdr:row>
                    <xdr:rowOff>33338</xdr:rowOff>
                  </from>
                  <to>
                    <xdr:col>0</xdr:col>
                    <xdr:colOff>1009650</xdr:colOff>
                    <xdr:row>1</xdr:row>
                    <xdr:rowOff>395288</xdr:rowOff>
                  </to>
                </anchor>
              </controlPr>
            </control>
          </mc:Choice>
        </mc:AlternateContent>
      </controls>
    </mc:Choice>
  </mc:AlternateContent>
  <tableParts count="1">
    <tablePart r:id="rId26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dimension ref="A1:AH75"/>
  <sheetViews>
    <sheetView tabSelected="1" zoomScaleNormal="100" workbookViewId="0">
      <pane xSplit="4" ySplit="1" topLeftCell="AC2" activePane="bottomRight" state="frozen"/>
      <selection pane="topRight" activeCell="E1" sqref="E1"/>
      <selection pane="bottomLeft" activeCell="A2" sqref="A2"/>
      <selection pane="bottomRight" activeCell="AI4" sqref="AI4"/>
    </sheetView>
  </sheetViews>
  <sheetFormatPr defaultRowHeight="12.75"/>
  <cols>
    <col min="15" max="15" width="21" customWidth="1"/>
  </cols>
  <sheetData>
    <row r="1" spans="1:34">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2463</v>
      </c>
      <c r="AG1" t="s">
        <v>2259</v>
      </c>
      <c r="AH1" t="s">
        <v>1565</v>
      </c>
    </row>
    <row r="2" spans="1:34">
      <c r="A2">
        <v>2</v>
      </c>
      <c r="B2" t="s">
        <v>103</v>
      </c>
      <c r="C2" t="s">
        <v>673</v>
      </c>
      <c r="D2" t="s">
        <v>674</v>
      </c>
      <c r="F2" t="s">
        <v>675</v>
      </c>
      <c r="G2" t="s">
        <v>676</v>
      </c>
      <c r="H2" t="s">
        <v>677</v>
      </c>
      <c r="I2" s="168">
        <v>6050</v>
      </c>
      <c r="J2" s="168" t="s">
        <v>196</v>
      </c>
      <c r="L2" s="168">
        <v>6050</v>
      </c>
      <c r="M2">
        <v>3500</v>
      </c>
      <c r="N2">
        <f>M2+L2</f>
        <v>9550</v>
      </c>
      <c r="P2">
        <f>I2</f>
        <v>6050</v>
      </c>
      <c r="S2">
        <f>L2</f>
        <v>6050</v>
      </c>
      <c r="V2">
        <v>6050</v>
      </c>
      <c r="Y2">
        <v>6050</v>
      </c>
      <c r="AE2" s="168">
        <v>6050</v>
      </c>
      <c r="AF2" s="168">
        <f t="shared" ref="AF2:AF46" si="0">AE2+3500</f>
        <v>9550</v>
      </c>
    </row>
    <row r="3" spans="1:34">
      <c r="A3" s="168">
        <v>15</v>
      </c>
      <c r="B3" s="168" t="s">
        <v>103</v>
      </c>
      <c r="C3" s="168" t="s">
        <v>548</v>
      </c>
      <c r="D3" s="168" t="s">
        <v>549</v>
      </c>
      <c r="E3" s="168"/>
      <c r="F3" s="168" t="s">
        <v>550</v>
      </c>
      <c r="G3" s="168" t="s">
        <v>551</v>
      </c>
      <c r="H3" s="168" t="s">
        <v>552</v>
      </c>
      <c r="I3" s="168">
        <v>8800</v>
      </c>
      <c r="J3" s="168" t="s">
        <v>553</v>
      </c>
      <c r="L3" s="168">
        <v>8800</v>
      </c>
      <c r="M3">
        <v>3500</v>
      </c>
      <c r="N3">
        <f>M3+L3</f>
        <v>12300</v>
      </c>
      <c r="P3">
        <f>I3</f>
        <v>8800</v>
      </c>
      <c r="S3">
        <f>L3</f>
        <v>8800</v>
      </c>
      <c r="V3">
        <v>8800</v>
      </c>
      <c r="Y3">
        <v>8800</v>
      </c>
      <c r="AE3" s="168">
        <v>8800</v>
      </c>
      <c r="AF3" s="168">
        <f t="shared" si="0"/>
        <v>12300</v>
      </c>
    </row>
    <row r="4" spans="1:34">
      <c r="A4">
        <v>20</v>
      </c>
      <c r="B4" t="s">
        <v>103</v>
      </c>
      <c r="C4" t="s">
        <v>1289</v>
      </c>
      <c r="D4" t="s">
        <v>1031</v>
      </c>
      <c r="F4" t="s">
        <v>1290</v>
      </c>
      <c r="G4" t="s">
        <v>1291</v>
      </c>
      <c r="H4" t="s">
        <v>1034</v>
      </c>
      <c r="I4" s="168">
        <v>14800</v>
      </c>
      <c r="J4" s="168" t="s">
        <v>196</v>
      </c>
      <c r="L4" s="168">
        <v>14800</v>
      </c>
      <c r="M4">
        <v>3500</v>
      </c>
      <c r="N4">
        <f>M4+L4</f>
        <v>18300</v>
      </c>
      <c r="P4">
        <f>I4</f>
        <v>14800</v>
      </c>
      <c r="S4">
        <f>L4</f>
        <v>14800</v>
      </c>
      <c r="V4">
        <v>14800</v>
      </c>
      <c r="Y4">
        <v>14800</v>
      </c>
      <c r="AE4" s="168">
        <v>14800</v>
      </c>
      <c r="AF4" s="168">
        <f t="shared" si="0"/>
        <v>18300</v>
      </c>
    </row>
    <row r="5" spans="1:34" ht="7.5" customHeight="1">
      <c r="A5">
        <v>22</v>
      </c>
      <c r="B5" t="s">
        <v>103</v>
      </c>
      <c r="C5" t="s">
        <v>895</v>
      </c>
      <c r="D5" t="s">
        <v>901</v>
      </c>
      <c r="F5" t="s">
        <v>902</v>
      </c>
      <c r="G5" t="s">
        <v>903</v>
      </c>
      <c r="H5" t="s">
        <v>904</v>
      </c>
      <c r="I5" s="168">
        <v>17600</v>
      </c>
      <c r="J5" s="168" t="s">
        <v>196</v>
      </c>
      <c r="L5" s="168">
        <v>17600</v>
      </c>
      <c r="M5">
        <v>3500</v>
      </c>
      <c r="N5">
        <f>M5+L5</f>
        <v>21100</v>
      </c>
      <c r="P5">
        <f>I5</f>
        <v>17600</v>
      </c>
      <c r="S5">
        <f>L5</f>
        <v>17600</v>
      </c>
      <c r="V5">
        <v>17600</v>
      </c>
      <c r="Y5">
        <v>17600</v>
      </c>
      <c r="AE5" s="168">
        <v>17600</v>
      </c>
      <c r="AF5" s="168">
        <f t="shared" si="0"/>
        <v>21100</v>
      </c>
    </row>
    <row r="6" spans="1:34">
      <c r="A6">
        <v>29</v>
      </c>
      <c r="B6" t="s">
        <v>66</v>
      </c>
      <c r="C6" t="s">
        <v>837</v>
      </c>
      <c r="D6" t="s">
        <v>838</v>
      </c>
      <c r="F6" t="s">
        <v>839</v>
      </c>
      <c r="G6" t="s">
        <v>840</v>
      </c>
      <c r="H6" t="s">
        <v>841</v>
      </c>
      <c r="I6" s="168">
        <v>17600</v>
      </c>
      <c r="J6" s="168" t="s">
        <v>196</v>
      </c>
      <c r="L6" s="168">
        <v>17600</v>
      </c>
      <c r="M6">
        <v>3500</v>
      </c>
      <c r="N6">
        <f>M6+L6</f>
        <v>21100</v>
      </c>
      <c r="P6">
        <f>I6</f>
        <v>17600</v>
      </c>
      <c r="S6">
        <f>L6</f>
        <v>17600</v>
      </c>
      <c r="V6">
        <v>17600</v>
      </c>
      <c r="Y6">
        <v>17600</v>
      </c>
      <c r="AE6" s="168">
        <v>17600</v>
      </c>
      <c r="AF6" s="168">
        <f t="shared" si="0"/>
        <v>21100</v>
      </c>
    </row>
    <row r="7" spans="1:34">
      <c r="A7" s="168">
        <v>30</v>
      </c>
      <c r="B7" s="168" t="s">
        <v>103</v>
      </c>
      <c r="C7" s="168" t="s">
        <v>292</v>
      </c>
      <c r="D7" s="168" t="s">
        <v>293</v>
      </c>
      <c r="E7" s="168"/>
      <c r="F7" s="168" t="s">
        <v>294</v>
      </c>
      <c r="G7" s="168" t="s">
        <v>295</v>
      </c>
      <c r="H7" s="168" t="s">
        <v>296</v>
      </c>
      <c r="I7" s="168">
        <v>10900</v>
      </c>
      <c r="J7" s="168" t="s">
        <v>196</v>
      </c>
      <c r="L7" s="168">
        <v>10900</v>
      </c>
      <c r="M7">
        <v>3500</v>
      </c>
      <c r="N7">
        <f>M7+L7</f>
        <v>14400</v>
      </c>
      <c r="P7">
        <f>I7</f>
        <v>10900</v>
      </c>
      <c r="S7">
        <f>L7</f>
        <v>10900</v>
      </c>
      <c r="V7">
        <v>10900</v>
      </c>
      <c r="Y7">
        <v>10900</v>
      </c>
      <c r="AE7" s="168">
        <v>10900</v>
      </c>
      <c r="AF7" s="168">
        <f t="shared" si="0"/>
        <v>14400</v>
      </c>
    </row>
    <row r="8" spans="1:34">
      <c r="A8">
        <v>49</v>
      </c>
      <c r="B8" t="s">
        <v>103</v>
      </c>
      <c r="C8" t="s">
        <v>882</v>
      </c>
      <c r="D8" t="s">
        <v>421</v>
      </c>
      <c r="F8" t="s">
        <v>883</v>
      </c>
      <c r="G8" t="s">
        <v>884</v>
      </c>
      <c r="H8" t="s">
        <v>424</v>
      </c>
      <c r="I8" s="168">
        <v>6050</v>
      </c>
      <c r="J8" s="168" t="s">
        <v>109</v>
      </c>
      <c r="L8" s="168">
        <v>6050</v>
      </c>
      <c r="M8">
        <v>3500</v>
      </c>
      <c r="N8">
        <f>M8+L8</f>
        <v>9550</v>
      </c>
      <c r="P8">
        <f>I8</f>
        <v>6050</v>
      </c>
      <c r="S8">
        <f>L8</f>
        <v>6050</v>
      </c>
      <c r="V8">
        <v>6050</v>
      </c>
      <c r="Y8">
        <v>6050</v>
      </c>
      <c r="AE8" s="168">
        <v>6050</v>
      </c>
      <c r="AF8" s="168">
        <f t="shared" si="0"/>
        <v>9550</v>
      </c>
    </row>
    <row r="9" spans="1:34">
      <c r="A9" s="168">
        <v>49</v>
      </c>
      <c r="B9" s="168" t="s">
        <v>103</v>
      </c>
      <c r="C9" t="s">
        <v>420</v>
      </c>
      <c r="D9" t="s">
        <v>421</v>
      </c>
      <c r="F9" t="s">
        <v>422</v>
      </c>
      <c r="G9" t="s">
        <v>423</v>
      </c>
      <c r="H9" t="s">
        <v>424</v>
      </c>
      <c r="I9">
        <v>6600</v>
      </c>
      <c r="J9" s="168" t="s">
        <v>109</v>
      </c>
      <c r="L9">
        <v>6600</v>
      </c>
      <c r="M9">
        <v>3500</v>
      </c>
      <c r="N9">
        <f>M9+L9</f>
        <v>10100</v>
      </c>
      <c r="P9">
        <f>I9</f>
        <v>6600</v>
      </c>
      <c r="S9">
        <f>L9</f>
        <v>6600</v>
      </c>
      <c r="V9">
        <v>6600</v>
      </c>
      <c r="Y9">
        <v>6600</v>
      </c>
      <c r="AE9">
        <v>6600</v>
      </c>
      <c r="AF9" s="168">
        <f t="shared" si="0"/>
        <v>10100</v>
      </c>
    </row>
    <row r="10" spans="1:34">
      <c r="A10" s="168">
        <v>87</v>
      </c>
      <c r="B10" s="168" t="s">
        <v>2496</v>
      </c>
      <c r="C10" s="306" t="s">
        <v>191</v>
      </c>
      <c r="D10" s="306" t="s">
        <v>192</v>
      </c>
      <c r="E10" s="306"/>
      <c r="F10" s="306" t="s">
        <v>193</v>
      </c>
      <c r="G10" s="306" t="s">
        <v>194</v>
      </c>
      <c r="H10" s="306" t="s">
        <v>195</v>
      </c>
      <c r="I10" s="168">
        <v>15800</v>
      </c>
      <c r="J10" s="168"/>
      <c r="P10">
        <f>I10</f>
        <v>15800</v>
      </c>
      <c r="AE10" s="168">
        <v>15800</v>
      </c>
      <c r="AF10" s="168">
        <f t="shared" si="0"/>
        <v>19300</v>
      </c>
    </row>
    <row r="11" spans="1:34">
      <c r="A11" s="168">
        <v>95</v>
      </c>
      <c r="B11" s="168" t="s">
        <v>103</v>
      </c>
      <c r="C11" s="168" t="s">
        <v>1412</v>
      </c>
      <c r="D11" s="168" t="s">
        <v>1413</v>
      </c>
      <c r="E11" s="168"/>
      <c r="F11" s="168" t="s">
        <v>1414</v>
      </c>
      <c r="G11" s="168" t="s">
        <v>1415</v>
      </c>
      <c r="H11" s="168" t="s">
        <v>1416</v>
      </c>
      <c r="I11" s="168">
        <v>19800</v>
      </c>
      <c r="J11" s="168" t="s">
        <v>109</v>
      </c>
      <c r="L11" s="168">
        <v>19800</v>
      </c>
      <c r="M11">
        <v>3500</v>
      </c>
      <c r="N11">
        <f>M11+L11</f>
        <v>23300</v>
      </c>
      <c r="P11">
        <f>I11</f>
        <v>19800</v>
      </c>
      <c r="S11">
        <f>L11</f>
        <v>19800</v>
      </c>
      <c r="V11">
        <v>19800</v>
      </c>
      <c r="Y11">
        <v>19800</v>
      </c>
      <c r="AE11" s="168">
        <v>19800</v>
      </c>
      <c r="AF11" s="168">
        <f t="shared" si="0"/>
        <v>23300</v>
      </c>
    </row>
    <row r="12" spans="1:34">
      <c r="A12" s="168">
        <v>100</v>
      </c>
      <c r="B12" s="168" t="s">
        <v>103</v>
      </c>
      <c r="C12" s="168" t="s">
        <v>1390</v>
      </c>
      <c r="D12" s="168" t="s">
        <v>381</v>
      </c>
      <c r="E12" s="168"/>
      <c r="F12" s="168" t="s">
        <v>1391</v>
      </c>
      <c r="G12" s="168" t="s">
        <v>1392</v>
      </c>
      <c r="H12" s="168" t="s">
        <v>384</v>
      </c>
      <c r="I12" s="168">
        <v>6050</v>
      </c>
      <c r="J12" s="168" t="s">
        <v>109</v>
      </c>
      <c r="L12" s="168">
        <v>6050</v>
      </c>
      <c r="M12">
        <v>3500</v>
      </c>
      <c r="N12">
        <f>M12+L12</f>
        <v>9550</v>
      </c>
      <c r="P12">
        <f>I12</f>
        <v>6050</v>
      </c>
      <c r="S12">
        <f>L12</f>
        <v>6050</v>
      </c>
      <c r="V12">
        <v>6050</v>
      </c>
      <c r="Y12">
        <v>6050</v>
      </c>
      <c r="AE12" s="168">
        <v>6050</v>
      </c>
      <c r="AF12" s="168">
        <f t="shared" si="0"/>
        <v>9550</v>
      </c>
    </row>
    <row r="13" spans="1:34">
      <c r="A13" s="168">
        <v>104</v>
      </c>
      <c r="B13" s="168" t="s">
        <v>66</v>
      </c>
      <c r="C13" s="168" t="s">
        <v>785</v>
      </c>
      <c r="D13" s="168" t="s">
        <v>178</v>
      </c>
      <c r="E13" s="168"/>
      <c r="F13" s="168" t="s">
        <v>604</v>
      </c>
      <c r="G13" s="168" t="s">
        <v>605</v>
      </c>
      <c r="H13" s="168" t="s">
        <v>181</v>
      </c>
      <c r="I13" s="168">
        <v>6600</v>
      </c>
      <c r="J13" s="168" t="s">
        <v>109</v>
      </c>
      <c r="L13" s="168">
        <v>6600</v>
      </c>
      <c r="M13">
        <v>3500</v>
      </c>
      <c r="N13">
        <f>M13+L13</f>
        <v>10100</v>
      </c>
      <c r="P13">
        <f>I13</f>
        <v>6600</v>
      </c>
      <c r="S13">
        <f>L13</f>
        <v>6600</v>
      </c>
      <c r="V13">
        <v>6600</v>
      </c>
      <c r="Y13">
        <v>0</v>
      </c>
      <c r="AE13" s="168">
        <v>6600</v>
      </c>
      <c r="AF13" s="168">
        <f t="shared" si="0"/>
        <v>10100</v>
      </c>
    </row>
    <row r="14" spans="1:34" ht="11.25" customHeight="1">
      <c r="A14">
        <v>104</v>
      </c>
      <c r="B14" s="168" t="s">
        <v>103</v>
      </c>
      <c r="C14" t="s">
        <v>603</v>
      </c>
      <c r="D14" t="s">
        <v>178</v>
      </c>
      <c r="F14" t="s">
        <v>1581</v>
      </c>
      <c r="G14" s="217" t="s">
        <v>1582</v>
      </c>
      <c r="H14" t="s">
        <v>181</v>
      </c>
      <c r="I14" s="168">
        <v>6050</v>
      </c>
      <c r="J14" s="168" t="s">
        <v>109</v>
      </c>
      <c r="L14" s="168">
        <v>6050</v>
      </c>
      <c r="M14">
        <v>3500</v>
      </c>
      <c r="N14">
        <f>M14+L14</f>
        <v>9550</v>
      </c>
      <c r="P14">
        <f>I14</f>
        <v>6050</v>
      </c>
      <c r="S14">
        <f>L14</f>
        <v>6050</v>
      </c>
      <c r="V14">
        <v>6050</v>
      </c>
      <c r="Y14">
        <v>6600</v>
      </c>
      <c r="AE14" s="168">
        <v>6050</v>
      </c>
      <c r="AF14" s="168">
        <f t="shared" si="0"/>
        <v>9550</v>
      </c>
    </row>
    <row r="15" spans="1:34" ht="12.75" customHeight="1">
      <c r="A15">
        <v>105</v>
      </c>
      <c r="B15" t="s">
        <v>66</v>
      </c>
      <c r="C15" t="s">
        <v>875</v>
      </c>
      <c r="D15" t="s">
        <v>876</v>
      </c>
      <c r="F15" t="s">
        <v>877</v>
      </c>
      <c r="G15" t="s">
        <v>878</v>
      </c>
      <c r="H15" t="s">
        <v>879</v>
      </c>
      <c r="I15" s="168">
        <v>14850</v>
      </c>
      <c r="J15" s="168" t="s">
        <v>196</v>
      </c>
      <c r="L15" s="168">
        <v>14850</v>
      </c>
      <c r="M15">
        <v>3500</v>
      </c>
      <c r="N15">
        <f>M15+L15</f>
        <v>18350</v>
      </c>
      <c r="P15">
        <f>I15</f>
        <v>14850</v>
      </c>
      <c r="S15">
        <f>L15</f>
        <v>14850</v>
      </c>
      <c r="V15">
        <v>14850</v>
      </c>
      <c r="Y15">
        <v>14850</v>
      </c>
      <c r="Z15" t="s">
        <v>2453</v>
      </c>
      <c r="AA15" s="197">
        <v>15070</v>
      </c>
      <c r="AE15" s="168">
        <v>14850</v>
      </c>
      <c r="AF15" s="168">
        <f t="shared" si="0"/>
        <v>18350</v>
      </c>
    </row>
    <row r="16" spans="1:34">
      <c r="A16">
        <v>112</v>
      </c>
      <c r="B16" t="s">
        <v>103</v>
      </c>
      <c r="C16" t="s">
        <v>580</v>
      </c>
      <c r="D16" t="s">
        <v>581</v>
      </c>
      <c r="F16" t="s">
        <v>582</v>
      </c>
      <c r="G16" t="s">
        <v>583</v>
      </c>
      <c r="H16" t="s">
        <v>584</v>
      </c>
      <c r="I16">
        <v>19800</v>
      </c>
      <c r="J16" s="168" t="s">
        <v>494</v>
      </c>
      <c r="L16">
        <v>19800</v>
      </c>
      <c r="M16">
        <v>3500</v>
      </c>
      <c r="N16">
        <f>M16+L16</f>
        <v>23300</v>
      </c>
      <c r="P16">
        <f>I16</f>
        <v>19800</v>
      </c>
      <c r="S16">
        <f>L16</f>
        <v>19800</v>
      </c>
      <c r="T16" s="197" t="s">
        <v>2412</v>
      </c>
      <c r="V16">
        <v>19800</v>
      </c>
      <c r="W16" s="197" t="s">
        <v>2411</v>
      </c>
      <c r="X16">
        <v>36600</v>
      </c>
      <c r="Y16" s="197">
        <v>1500</v>
      </c>
      <c r="AE16">
        <v>19800</v>
      </c>
      <c r="AF16" s="168">
        <f t="shared" si="0"/>
        <v>23300</v>
      </c>
    </row>
    <row r="17" spans="1:32">
      <c r="A17" s="168">
        <v>113</v>
      </c>
      <c r="B17" s="168" t="s">
        <v>103</v>
      </c>
      <c r="C17" s="168" t="s">
        <v>412</v>
      </c>
      <c r="D17" s="168" t="s">
        <v>413</v>
      </c>
      <c r="E17" s="168"/>
      <c r="F17" s="168" t="s">
        <v>414</v>
      </c>
      <c r="G17" s="168" t="s">
        <v>415</v>
      </c>
      <c r="H17" s="168" t="s">
        <v>416</v>
      </c>
      <c r="I17" s="168">
        <v>6050</v>
      </c>
      <c r="J17" s="168" t="s">
        <v>109</v>
      </c>
      <c r="L17" s="168">
        <v>6050</v>
      </c>
      <c r="M17">
        <v>3500</v>
      </c>
      <c r="N17">
        <f>M17+L17</f>
        <v>9550</v>
      </c>
      <c r="P17">
        <f>I17</f>
        <v>6050</v>
      </c>
      <c r="S17">
        <f>L17</f>
        <v>6050</v>
      </c>
      <c r="V17">
        <v>6050</v>
      </c>
      <c r="Y17">
        <v>6050</v>
      </c>
      <c r="AE17" s="168">
        <v>6050</v>
      </c>
      <c r="AF17" s="168">
        <f t="shared" si="0"/>
        <v>9550</v>
      </c>
    </row>
    <row r="18" spans="1:32" ht="21.75" customHeight="1">
      <c r="A18">
        <v>119</v>
      </c>
      <c r="B18" t="s">
        <v>103</v>
      </c>
      <c r="C18" t="s">
        <v>720</v>
      </c>
      <c r="D18" t="s">
        <v>721</v>
      </c>
      <c r="F18" t="s">
        <v>722</v>
      </c>
      <c r="G18" t="s">
        <v>723</v>
      </c>
      <c r="H18" t="s">
        <v>724</v>
      </c>
      <c r="I18" s="168">
        <v>59400</v>
      </c>
      <c r="J18" s="168" t="s">
        <v>196</v>
      </c>
      <c r="L18" s="168">
        <v>0</v>
      </c>
      <c r="M18">
        <v>3500</v>
      </c>
      <c r="N18">
        <f>M18+L18</f>
        <v>3500</v>
      </c>
      <c r="P18" s="160">
        <v>0</v>
      </c>
      <c r="S18" s="160">
        <v>0</v>
      </c>
      <c r="V18" s="197">
        <v>59400</v>
      </c>
      <c r="W18" t="s">
        <v>2397</v>
      </c>
      <c r="Y18">
        <v>59400</v>
      </c>
      <c r="AE18" s="168">
        <v>59400</v>
      </c>
      <c r="AF18" s="168">
        <f t="shared" si="0"/>
        <v>62900</v>
      </c>
    </row>
    <row r="19" spans="1:32">
      <c r="A19">
        <v>120</v>
      </c>
      <c r="B19" t="s">
        <v>103</v>
      </c>
      <c r="C19" t="s">
        <v>1238</v>
      </c>
      <c r="D19" t="s">
        <v>1239</v>
      </c>
      <c r="F19" t="s">
        <v>1240</v>
      </c>
      <c r="G19" t="s">
        <v>1241</v>
      </c>
      <c r="H19" t="s">
        <v>1242</v>
      </c>
      <c r="I19" s="168">
        <v>15000</v>
      </c>
      <c r="J19" s="168" t="s">
        <v>494</v>
      </c>
      <c r="L19" s="168">
        <v>15000</v>
      </c>
      <c r="M19">
        <v>3500</v>
      </c>
      <c r="N19">
        <f>M19+L19</f>
        <v>18500</v>
      </c>
      <c r="P19">
        <f>I19</f>
        <v>15000</v>
      </c>
      <c r="S19">
        <f>L19</f>
        <v>15000</v>
      </c>
      <c r="V19">
        <v>15000</v>
      </c>
      <c r="Y19">
        <v>15000</v>
      </c>
      <c r="AE19" s="168">
        <v>15000</v>
      </c>
      <c r="AF19" s="168">
        <f t="shared" si="0"/>
        <v>18500</v>
      </c>
    </row>
    <row r="20" spans="1:32">
      <c r="A20">
        <v>121</v>
      </c>
      <c r="B20" t="s">
        <v>103</v>
      </c>
      <c r="C20" t="s">
        <v>1401</v>
      </c>
      <c r="D20" t="s">
        <v>1115</v>
      </c>
      <c r="F20" t="s">
        <v>1309</v>
      </c>
      <c r="G20" t="s">
        <v>1402</v>
      </c>
      <c r="H20" t="s">
        <v>1118</v>
      </c>
      <c r="I20" s="168">
        <v>6600</v>
      </c>
      <c r="J20" s="168" t="s">
        <v>1955</v>
      </c>
      <c r="L20" s="168">
        <v>17600</v>
      </c>
      <c r="M20">
        <v>3500</v>
      </c>
      <c r="N20">
        <f>M20+L20</f>
        <v>21100</v>
      </c>
      <c r="O20" t="s">
        <v>2263</v>
      </c>
      <c r="P20">
        <f>I20</f>
        <v>6600</v>
      </c>
      <c r="S20">
        <f>L20</f>
        <v>17600</v>
      </c>
      <c r="V20">
        <v>17600</v>
      </c>
      <c r="Y20">
        <v>17600</v>
      </c>
      <c r="AE20" s="168">
        <v>6600</v>
      </c>
      <c r="AF20" s="168">
        <f t="shared" si="0"/>
        <v>10100</v>
      </c>
    </row>
    <row r="21" spans="1:32">
      <c r="A21" s="168">
        <v>125</v>
      </c>
      <c r="B21" s="168" t="s">
        <v>66</v>
      </c>
      <c r="C21" s="168" t="s">
        <v>200</v>
      </c>
      <c r="D21" s="168" t="s">
        <v>201</v>
      </c>
      <c r="E21" s="168"/>
      <c r="F21" s="168" t="s">
        <v>202</v>
      </c>
      <c r="G21" s="168" t="s">
        <v>203</v>
      </c>
      <c r="H21" s="168" t="s">
        <v>204</v>
      </c>
      <c r="I21" s="168">
        <v>14850</v>
      </c>
      <c r="J21" s="168" t="s">
        <v>196</v>
      </c>
      <c r="L21" s="168">
        <v>14850</v>
      </c>
      <c r="M21">
        <v>3500</v>
      </c>
      <c r="N21">
        <f>M21+L21</f>
        <v>18350</v>
      </c>
      <c r="P21">
        <f>I21</f>
        <v>14850</v>
      </c>
      <c r="S21">
        <f>L21</f>
        <v>14850</v>
      </c>
      <c r="V21">
        <v>14850</v>
      </c>
      <c r="AE21" s="168">
        <v>14850</v>
      </c>
      <c r="AF21" s="168">
        <f t="shared" si="0"/>
        <v>18350</v>
      </c>
    </row>
    <row r="22" spans="1:32">
      <c r="A22" s="168">
        <v>127</v>
      </c>
      <c r="B22" s="168" t="s">
        <v>103</v>
      </c>
      <c r="C22" s="168" t="s">
        <v>475</v>
      </c>
      <c r="D22" s="168" t="s">
        <v>482</v>
      </c>
      <c r="E22" s="168"/>
      <c r="F22" s="168" t="s">
        <v>483</v>
      </c>
      <c r="G22" s="168" t="s">
        <v>484</v>
      </c>
      <c r="H22" s="168" t="s">
        <v>485</v>
      </c>
      <c r="I22" s="168">
        <v>19800</v>
      </c>
      <c r="J22" s="168" t="s">
        <v>196</v>
      </c>
      <c r="L22" s="168">
        <v>19800</v>
      </c>
      <c r="M22">
        <v>3500</v>
      </c>
      <c r="N22">
        <f>M22+L22</f>
        <v>23300</v>
      </c>
      <c r="P22" s="160">
        <v>0</v>
      </c>
      <c r="S22" s="160">
        <v>12900</v>
      </c>
      <c r="T22" t="s">
        <v>2356</v>
      </c>
      <c r="V22">
        <v>12900</v>
      </c>
      <c r="Y22">
        <v>12900</v>
      </c>
      <c r="AE22" s="168">
        <v>12900</v>
      </c>
      <c r="AF22" s="168">
        <f t="shared" si="0"/>
        <v>16400</v>
      </c>
    </row>
    <row r="23" spans="1:32">
      <c r="A23">
        <v>129</v>
      </c>
      <c r="B23" t="s">
        <v>66</v>
      </c>
      <c r="C23" t="s">
        <v>761</v>
      </c>
      <c r="D23" t="s">
        <v>762</v>
      </c>
      <c r="F23" t="s">
        <v>763</v>
      </c>
      <c r="G23" t="s">
        <v>764</v>
      </c>
      <c r="H23" t="s">
        <v>765</v>
      </c>
      <c r="I23" s="168">
        <v>6600</v>
      </c>
      <c r="J23" s="168" t="s">
        <v>109</v>
      </c>
      <c r="L23" s="168">
        <v>6600</v>
      </c>
      <c r="M23">
        <v>3500</v>
      </c>
      <c r="N23">
        <f>M23+L23</f>
        <v>10100</v>
      </c>
      <c r="P23">
        <f>I23</f>
        <v>6600</v>
      </c>
      <c r="S23">
        <f>L23</f>
        <v>6600</v>
      </c>
      <c r="V23">
        <v>6600</v>
      </c>
      <c r="Y23">
        <v>6600</v>
      </c>
      <c r="Z23" t="s">
        <v>2452</v>
      </c>
      <c r="AA23" s="197">
        <v>13200</v>
      </c>
      <c r="AE23" s="168">
        <v>6600</v>
      </c>
      <c r="AF23" s="168">
        <f t="shared" si="0"/>
        <v>10100</v>
      </c>
    </row>
    <row r="24" spans="1:32">
      <c r="A24">
        <v>133</v>
      </c>
      <c r="B24" t="s">
        <v>66</v>
      </c>
      <c r="C24" t="s">
        <v>233</v>
      </c>
      <c r="D24" t="s">
        <v>234</v>
      </c>
      <c r="F24" t="s">
        <v>235</v>
      </c>
      <c r="G24" t="s">
        <v>236</v>
      </c>
      <c r="H24" t="s">
        <v>237</v>
      </c>
      <c r="I24">
        <v>6050</v>
      </c>
      <c r="J24" t="s">
        <v>109</v>
      </c>
      <c r="L24">
        <v>6050</v>
      </c>
      <c r="M24">
        <v>3500</v>
      </c>
      <c r="N24">
        <f>M24+L24</f>
        <v>9550</v>
      </c>
      <c r="P24">
        <f>I24</f>
        <v>6050</v>
      </c>
      <c r="S24">
        <f>L24</f>
        <v>6050</v>
      </c>
      <c r="V24">
        <v>6050</v>
      </c>
      <c r="AE24">
        <v>6050</v>
      </c>
      <c r="AF24" s="168">
        <f t="shared" si="0"/>
        <v>9550</v>
      </c>
    </row>
    <row r="25" spans="1:32">
      <c r="A25" s="168">
        <v>134</v>
      </c>
      <c r="B25" s="168" t="s">
        <v>103</v>
      </c>
      <c r="C25" s="168" t="s">
        <v>1257</v>
      </c>
      <c r="D25" s="168" t="s">
        <v>1258</v>
      </c>
      <c r="E25" s="168"/>
      <c r="F25" s="168" t="s">
        <v>1259</v>
      </c>
      <c r="G25" s="168" t="s">
        <v>1260</v>
      </c>
      <c r="H25" s="168" t="s">
        <v>1261</v>
      </c>
      <c r="I25" s="168">
        <v>9900</v>
      </c>
      <c r="J25" s="168" t="s">
        <v>494</v>
      </c>
      <c r="L25" s="168">
        <v>9900</v>
      </c>
      <c r="M25">
        <v>3500</v>
      </c>
      <c r="N25">
        <f>M25+L25</f>
        <v>13400</v>
      </c>
      <c r="P25">
        <v>13200</v>
      </c>
      <c r="S25" s="160">
        <v>16500</v>
      </c>
      <c r="T25" t="s">
        <v>2332</v>
      </c>
      <c r="V25">
        <v>16500</v>
      </c>
      <c r="Y25">
        <v>16500</v>
      </c>
      <c r="AE25" s="168">
        <v>16500</v>
      </c>
      <c r="AF25" s="168">
        <f t="shared" si="0"/>
        <v>20000</v>
      </c>
    </row>
    <row r="26" spans="1:32">
      <c r="A26" s="168">
        <v>135</v>
      </c>
      <c r="B26" s="168" t="s">
        <v>103</v>
      </c>
      <c r="C26" s="168" t="s">
        <v>866</v>
      </c>
      <c r="D26" s="168" t="s">
        <v>867</v>
      </c>
      <c r="E26" s="168"/>
      <c r="F26" s="168" t="s">
        <v>868</v>
      </c>
      <c r="G26" s="168" t="s">
        <v>869</v>
      </c>
      <c r="H26" s="168" t="s">
        <v>870</v>
      </c>
      <c r="I26" s="168">
        <v>9900</v>
      </c>
      <c r="J26" s="168" t="s">
        <v>494</v>
      </c>
      <c r="L26" s="168">
        <v>9900</v>
      </c>
      <c r="M26">
        <v>3500</v>
      </c>
      <c r="N26">
        <f>M26+L26</f>
        <v>13400</v>
      </c>
      <c r="P26">
        <f>I26</f>
        <v>9900</v>
      </c>
      <c r="S26">
        <f>L26</f>
        <v>9900</v>
      </c>
      <c r="V26">
        <v>16875</v>
      </c>
      <c r="W26" t="s">
        <v>2399</v>
      </c>
      <c r="Y26">
        <v>0</v>
      </c>
      <c r="AE26" s="168">
        <v>9900</v>
      </c>
      <c r="AF26" s="168">
        <f t="shared" si="0"/>
        <v>13400</v>
      </c>
    </row>
    <row r="27" spans="1:32">
      <c r="A27" s="168">
        <v>135</v>
      </c>
      <c r="B27" s="168" t="s">
        <v>103</v>
      </c>
      <c r="C27" s="168" t="s">
        <v>866</v>
      </c>
      <c r="D27" s="168" t="s">
        <v>867</v>
      </c>
      <c r="E27" s="168"/>
      <c r="F27" s="168" t="s">
        <v>868</v>
      </c>
      <c r="G27" s="168" t="s">
        <v>869</v>
      </c>
      <c r="H27" s="168" t="s">
        <v>870</v>
      </c>
      <c r="I27" s="168">
        <v>3300</v>
      </c>
      <c r="J27" s="168" t="s">
        <v>494</v>
      </c>
      <c r="L27" s="168">
        <v>3300</v>
      </c>
      <c r="N27">
        <f>M27+L27</f>
        <v>3300</v>
      </c>
      <c r="P27">
        <f>I27</f>
        <v>3300</v>
      </c>
      <c r="S27">
        <f>L27</f>
        <v>3300</v>
      </c>
      <c r="V27">
        <v>0</v>
      </c>
      <c r="AE27" s="168">
        <v>3300</v>
      </c>
      <c r="AF27" s="168">
        <f t="shared" si="0"/>
        <v>6800</v>
      </c>
    </row>
    <row r="28" spans="1:32">
      <c r="A28" s="168">
        <v>137</v>
      </c>
      <c r="B28" s="168" t="s">
        <v>103</v>
      </c>
      <c r="C28" s="168" t="s">
        <v>1190</v>
      </c>
      <c r="D28" s="168" t="s">
        <v>1199</v>
      </c>
      <c r="E28" s="168" t="s">
        <v>1199</v>
      </c>
      <c r="F28" s="168" t="s">
        <v>1200</v>
      </c>
      <c r="G28" s="168" t="s">
        <v>1201</v>
      </c>
      <c r="H28" s="168" t="s">
        <v>832</v>
      </c>
      <c r="I28" s="168">
        <v>7000</v>
      </c>
      <c r="J28" s="168" t="s">
        <v>109</v>
      </c>
      <c r="L28" s="168">
        <v>7000</v>
      </c>
      <c r="M28">
        <v>3500</v>
      </c>
      <c r="N28">
        <f>M28+L28</f>
        <v>10500</v>
      </c>
      <c r="P28">
        <f>I28</f>
        <v>7000</v>
      </c>
      <c r="S28">
        <f>L28</f>
        <v>7000</v>
      </c>
      <c r="V28">
        <v>7000</v>
      </c>
      <c r="Y28">
        <v>7000</v>
      </c>
      <c r="AD28" s="197" t="s">
        <v>2455</v>
      </c>
      <c r="AE28" s="168">
        <v>7000</v>
      </c>
      <c r="AF28" s="168">
        <f t="shared" si="0"/>
        <v>10500</v>
      </c>
    </row>
    <row r="29" spans="1:32">
      <c r="A29" s="168">
        <v>138</v>
      </c>
      <c r="B29" s="168" t="s">
        <v>103</v>
      </c>
      <c r="C29" s="168" t="s">
        <v>1217</v>
      </c>
      <c r="D29" s="168" t="s">
        <v>1121</v>
      </c>
      <c r="E29" s="168"/>
      <c r="F29" s="168" t="s">
        <v>1218</v>
      </c>
      <c r="G29" s="168" t="s">
        <v>1219</v>
      </c>
      <c r="H29" s="168" t="s">
        <v>1124</v>
      </c>
      <c r="I29" s="168">
        <v>6600</v>
      </c>
      <c r="J29" s="168" t="s">
        <v>109</v>
      </c>
      <c r="L29" s="168">
        <v>6600</v>
      </c>
      <c r="M29">
        <v>3500</v>
      </c>
      <c r="N29">
        <f>M29+L29</f>
        <v>10100</v>
      </c>
      <c r="P29">
        <f>I29</f>
        <v>6600</v>
      </c>
      <c r="S29">
        <f>L29</f>
        <v>6600</v>
      </c>
      <c r="V29">
        <v>6600</v>
      </c>
      <c r="Y29">
        <v>6600</v>
      </c>
      <c r="Z29" t="s">
        <v>2457</v>
      </c>
      <c r="AA29" t="s">
        <v>2458</v>
      </c>
      <c r="AC29" t="s">
        <v>2456</v>
      </c>
      <c r="AE29" s="168">
        <v>6600</v>
      </c>
      <c r="AF29" s="168">
        <f t="shared" si="0"/>
        <v>10100</v>
      </c>
    </row>
    <row r="30" spans="1:32">
      <c r="A30">
        <v>139</v>
      </c>
      <c r="B30" t="s">
        <v>103</v>
      </c>
      <c r="C30" t="s">
        <v>989</v>
      </c>
      <c r="D30" t="s">
        <v>990</v>
      </c>
      <c r="F30" t="s">
        <v>991</v>
      </c>
      <c r="G30" t="s">
        <v>992</v>
      </c>
      <c r="H30" t="s">
        <v>993</v>
      </c>
      <c r="I30" s="168">
        <v>12100</v>
      </c>
      <c r="J30" s="168" t="s">
        <v>109</v>
      </c>
      <c r="L30" s="168">
        <v>12100</v>
      </c>
      <c r="M30">
        <v>3500</v>
      </c>
      <c r="N30">
        <f>M30+L30</f>
        <v>15600</v>
      </c>
      <c r="P30">
        <f>I30</f>
        <v>12100</v>
      </c>
      <c r="S30">
        <f>L30</f>
        <v>12100</v>
      </c>
      <c r="V30">
        <v>12100</v>
      </c>
      <c r="Y30">
        <v>12100</v>
      </c>
      <c r="AB30" s="197">
        <v>14300</v>
      </c>
      <c r="AC30" t="s">
        <v>2444</v>
      </c>
      <c r="AE30" s="168">
        <v>12100</v>
      </c>
      <c r="AF30" s="168">
        <f t="shared" si="0"/>
        <v>15600</v>
      </c>
    </row>
    <row r="31" spans="1:32">
      <c r="A31">
        <v>140</v>
      </c>
      <c r="B31" t="s">
        <v>103</v>
      </c>
      <c r="C31" t="s">
        <v>630</v>
      </c>
      <c r="D31" t="s">
        <v>631</v>
      </c>
      <c r="F31" t="s">
        <v>1221</v>
      </c>
      <c r="G31" t="s">
        <v>1222</v>
      </c>
      <c r="H31" t="s">
        <v>634</v>
      </c>
      <c r="I31" s="168">
        <v>6050</v>
      </c>
      <c r="J31" s="168" t="s">
        <v>109</v>
      </c>
      <c r="L31" s="168">
        <v>6050</v>
      </c>
      <c r="M31">
        <v>3500</v>
      </c>
      <c r="N31">
        <f>M31+L31</f>
        <v>9550</v>
      </c>
      <c r="P31">
        <f>I31</f>
        <v>6050</v>
      </c>
      <c r="S31">
        <f>L31</f>
        <v>6050</v>
      </c>
      <c r="V31">
        <v>6050</v>
      </c>
      <c r="Y31">
        <v>6050</v>
      </c>
      <c r="AE31" s="168">
        <v>6050</v>
      </c>
      <c r="AF31" s="168">
        <f t="shared" si="0"/>
        <v>9550</v>
      </c>
    </row>
    <row r="32" spans="1:32">
      <c r="A32" s="168">
        <v>142</v>
      </c>
      <c r="B32" s="168" t="s">
        <v>103</v>
      </c>
      <c r="C32" s="168" t="s">
        <v>1308</v>
      </c>
      <c r="D32" s="168" t="s">
        <v>762</v>
      </c>
      <c r="E32" s="168"/>
      <c r="F32" s="168" t="s">
        <v>1309</v>
      </c>
      <c r="G32" s="168" t="s">
        <v>1310</v>
      </c>
      <c r="H32" s="168" t="s">
        <v>765</v>
      </c>
      <c r="I32" s="168">
        <v>6600</v>
      </c>
      <c r="J32" s="168" t="s">
        <v>109</v>
      </c>
      <c r="L32" s="168">
        <v>6600</v>
      </c>
      <c r="M32">
        <v>3500</v>
      </c>
      <c r="N32">
        <f>M32+L32</f>
        <v>10100</v>
      </c>
      <c r="P32">
        <f>I32</f>
        <v>6600</v>
      </c>
      <c r="S32">
        <f>L32</f>
        <v>6600</v>
      </c>
      <c r="V32">
        <v>6600</v>
      </c>
      <c r="Y32">
        <v>6600</v>
      </c>
      <c r="AE32" s="168">
        <v>6600</v>
      </c>
      <c r="AF32" s="168">
        <f t="shared" si="0"/>
        <v>10100</v>
      </c>
    </row>
    <row r="33" spans="1:32">
      <c r="A33">
        <v>149</v>
      </c>
      <c r="B33" t="s">
        <v>103</v>
      </c>
      <c r="C33" t="s">
        <v>1106</v>
      </c>
      <c r="D33" t="s">
        <v>1115</v>
      </c>
      <c r="F33" t="s">
        <v>1116</v>
      </c>
      <c r="G33" t="s">
        <v>1117</v>
      </c>
      <c r="H33" t="s">
        <v>1118</v>
      </c>
      <c r="I33" s="168">
        <v>19800</v>
      </c>
      <c r="J33" s="168" t="s">
        <v>196</v>
      </c>
      <c r="L33" s="168">
        <v>19800</v>
      </c>
      <c r="M33">
        <v>3500</v>
      </c>
      <c r="N33">
        <f>M33+L33</f>
        <v>23300</v>
      </c>
      <c r="P33">
        <f>I33</f>
        <v>19800</v>
      </c>
      <c r="S33">
        <f>L33</f>
        <v>19800</v>
      </c>
      <c r="V33">
        <v>19800</v>
      </c>
      <c r="Y33">
        <v>19800</v>
      </c>
      <c r="AE33" s="168">
        <v>19800</v>
      </c>
      <c r="AF33" s="168">
        <f t="shared" si="0"/>
        <v>23300</v>
      </c>
    </row>
    <row r="34" spans="1:32">
      <c r="A34">
        <v>151</v>
      </c>
      <c r="B34" t="s">
        <v>103</v>
      </c>
      <c r="C34" t="s">
        <v>1289</v>
      </c>
      <c r="D34" t="s">
        <v>1463</v>
      </c>
      <c r="H34" t="s">
        <v>1466</v>
      </c>
      <c r="I34" s="168">
        <v>19800</v>
      </c>
      <c r="J34" s="168" t="s">
        <v>196</v>
      </c>
      <c r="L34" s="168">
        <v>19800</v>
      </c>
      <c r="M34">
        <v>3500</v>
      </c>
      <c r="N34">
        <f>M34+L34</f>
        <v>23300</v>
      </c>
      <c r="P34">
        <f>I34</f>
        <v>19800</v>
      </c>
      <c r="S34">
        <f>L34</f>
        <v>19800</v>
      </c>
      <c r="V34">
        <v>19800</v>
      </c>
      <c r="Y34">
        <v>19800</v>
      </c>
      <c r="AE34" s="168">
        <v>19800</v>
      </c>
      <c r="AF34" s="168">
        <f t="shared" si="0"/>
        <v>23300</v>
      </c>
    </row>
    <row r="35" spans="1:32">
      <c r="A35" s="168">
        <v>152</v>
      </c>
      <c r="B35" s="168" t="s">
        <v>66</v>
      </c>
      <c r="C35" s="168" t="s">
        <v>652</v>
      </c>
      <c r="D35" s="168" t="s">
        <v>644</v>
      </c>
      <c r="E35" s="168"/>
      <c r="F35" s="168" t="s">
        <v>653</v>
      </c>
      <c r="G35" s="168" t="s">
        <v>654</v>
      </c>
      <c r="H35" s="168" t="s">
        <v>647</v>
      </c>
      <c r="I35" s="168">
        <v>6050</v>
      </c>
      <c r="J35" s="168" t="s">
        <v>109</v>
      </c>
      <c r="L35" s="168">
        <v>6050</v>
      </c>
      <c r="M35">
        <v>3500</v>
      </c>
      <c r="N35">
        <f>M35+L35</f>
        <v>9550</v>
      </c>
      <c r="P35">
        <f>I35</f>
        <v>6050</v>
      </c>
      <c r="S35">
        <f>L35</f>
        <v>6050</v>
      </c>
      <c r="V35">
        <v>6050</v>
      </c>
      <c r="Y35">
        <v>6050</v>
      </c>
      <c r="AE35" s="168">
        <v>6050</v>
      </c>
      <c r="AF35" s="168">
        <f t="shared" si="0"/>
        <v>9550</v>
      </c>
    </row>
    <row r="36" spans="1:32">
      <c r="A36" s="168">
        <v>152</v>
      </c>
      <c r="B36" s="168" t="s">
        <v>66</v>
      </c>
      <c r="C36" t="s">
        <v>643</v>
      </c>
      <c r="D36" t="s">
        <v>644</v>
      </c>
      <c r="F36" t="s">
        <v>645</v>
      </c>
      <c r="G36" t="s">
        <v>646</v>
      </c>
      <c r="H36" t="s">
        <v>647</v>
      </c>
      <c r="I36">
        <v>6050</v>
      </c>
      <c r="J36" s="168" t="s">
        <v>109</v>
      </c>
      <c r="L36">
        <v>6050</v>
      </c>
      <c r="M36">
        <v>3500</v>
      </c>
      <c r="N36">
        <f>M36+L36</f>
        <v>9550</v>
      </c>
      <c r="P36">
        <f>I36</f>
        <v>6050</v>
      </c>
      <c r="S36">
        <f>L36</f>
        <v>6050</v>
      </c>
      <c r="V36">
        <v>6050</v>
      </c>
      <c r="Y36">
        <v>6050</v>
      </c>
      <c r="AE36">
        <v>6050</v>
      </c>
      <c r="AF36" s="168">
        <f t="shared" si="0"/>
        <v>9550</v>
      </c>
    </row>
    <row r="37" spans="1:32">
      <c r="A37" s="168">
        <v>157</v>
      </c>
      <c r="B37" s="168" t="s">
        <v>103</v>
      </c>
      <c r="C37" s="168" t="s">
        <v>889</v>
      </c>
      <c r="D37" s="168" t="s">
        <v>890</v>
      </c>
      <c r="E37" s="168"/>
      <c r="F37" s="168" t="s">
        <v>891</v>
      </c>
      <c r="G37" s="168" t="s">
        <v>892</v>
      </c>
      <c r="H37" s="168" t="s">
        <v>893</v>
      </c>
      <c r="I37" s="168">
        <v>11700</v>
      </c>
      <c r="J37" s="168" t="s">
        <v>109</v>
      </c>
      <c r="L37" s="168">
        <v>11700</v>
      </c>
      <c r="M37">
        <v>3500</v>
      </c>
      <c r="N37">
        <f>M37+L37</f>
        <v>15200</v>
      </c>
      <c r="P37">
        <f>I37</f>
        <v>11700</v>
      </c>
      <c r="S37">
        <f>L37</f>
        <v>11700</v>
      </c>
      <c r="V37">
        <v>11700</v>
      </c>
      <c r="Y37">
        <v>11700</v>
      </c>
      <c r="AE37" s="168">
        <v>11700</v>
      </c>
      <c r="AF37" s="168">
        <f t="shared" si="0"/>
        <v>15200</v>
      </c>
    </row>
    <row r="38" spans="1:32">
      <c r="A38" s="168">
        <v>160</v>
      </c>
      <c r="B38" s="168" t="s">
        <v>103</v>
      </c>
      <c r="C38" t="s">
        <v>489</v>
      </c>
      <c r="D38" t="s">
        <v>490</v>
      </c>
      <c r="F38" t="s">
        <v>491</v>
      </c>
      <c r="G38" t="s">
        <v>492</v>
      </c>
      <c r="H38" t="s">
        <v>493</v>
      </c>
      <c r="I38" s="217">
        <v>9500</v>
      </c>
      <c r="J38" t="s">
        <v>109</v>
      </c>
      <c r="L38" s="217">
        <v>20500</v>
      </c>
      <c r="M38">
        <v>3500</v>
      </c>
      <c r="N38">
        <f>M38+L38</f>
        <v>24000</v>
      </c>
      <c r="P38">
        <f>I38</f>
        <v>9500</v>
      </c>
      <c r="S38">
        <f>L38</f>
        <v>20500</v>
      </c>
      <c r="V38">
        <v>20500</v>
      </c>
      <c r="Y38">
        <v>20500</v>
      </c>
      <c r="AE38" s="217">
        <v>9500</v>
      </c>
      <c r="AF38" s="168">
        <f t="shared" si="0"/>
        <v>13000</v>
      </c>
    </row>
    <row r="39" spans="1:32">
      <c r="A39" s="168">
        <v>160</v>
      </c>
      <c r="B39" s="168" t="s">
        <v>103</v>
      </c>
      <c r="C39" s="168" t="s">
        <v>499</v>
      </c>
      <c r="D39" s="168" t="s">
        <v>490</v>
      </c>
      <c r="E39" s="168"/>
      <c r="F39" s="168" t="s">
        <v>500</v>
      </c>
      <c r="G39" s="168" t="s">
        <v>501</v>
      </c>
      <c r="H39" s="168" t="s">
        <v>493</v>
      </c>
      <c r="I39" s="217">
        <v>7000</v>
      </c>
      <c r="J39" t="s">
        <v>109</v>
      </c>
      <c r="L39" s="217">
        <v>7000</v>
      </c>
      <c r="M39">
        <v>3500</v>
      </c>
      <c r="N39">
        <f>M39+L39</f>
        <v>10500</v>
      </c>
      <c r="P39">
        <f>I39</f>
        <v>7000</v>
      </c>
      <c r="S39">
        <f>L39</f>
        <v>7000</v>
      </c>
      <c r="V39">
        <v>7000</v>
      </c>
      <c r="W39" s="197" t="s">
        <v>2413</v>
      </c>
      <c r="Y39">
        <v>7900</v>
      </c>
      <c r="AB39" s="197">
        <v>7600</v>
      </c>
      <c r="AE39" s="217">
        <v>7000</v>
      </c>
      <c r="AF39" s="168">
        <f t="shared" si="0"/>
        <v>10500</v>
      </c>
    </row>
    <row r="40" spans="1:32">
      <c r="A40" s="168">
        <v>160</v>
      </c>
      <c r="B40" s="168" t="s">
        <v>103</v>
      </c>
      <c r="C40" t="s">
        <v>504</v>
      </c>
      <c r="D40" t="s">
        <v>490</v>
      </c>
      <c r="F40" t="s">
        <v>505</v>
      </c>
      <c r="G40" t="s">
        <v>506</v>
      </c>
      <c r="H40" t="s">
        <v>493</v>
      </c>
      <c r="I40" s="217">
        <v>20500</v>
      </c>
      <c r="J40" t="s">
        <v>109</v>
      </c>
      <c r="L40" s="217">
        <v>9500</v>
      </c>
      <c r="M40">
        <v>3500</v>
      </c>
      <c r="N40">
        <f>M40+L40</f>
        <v>13000</v>
      </c>
      <c r="P40">
        <f>I40</f>
        <v>20500</v>
      </c>
      <c r="S40">
        <f>L40</f>
        <v>9500</v>
      </c>
      <c r="V40">
        <v>9500</v>
      </c>
      <c r="Y40">
        <v>9500</v>
      </c>
      <c r="AE40" s="217">
        <v>20500</v>
      </c>
      <c r="AF40" s="168">
        <f t="shared" si="0"/>
        <v>24000</v>
      </c>
    </row>
    <row r="41" spans="1:32">
      <c r="A41">
        <v>165</v>
      </c>
      <c r="B41" t="s">
        <v>103</v>
      </c>
      <c r="C41" t="s">
        <v>1470</v>
      </c>
      <c r="D41" t="s">
        <v>740</v>
      </c>
      <c r="F41" t="s">
        <v>1471</v>
      </c>
      <c r="G41" t="s">
        <v>1472</v>
      </c>
      <c r="H41" t="s">
        <v>743</v>
      </c>
      <c r="I41" s="168">
        <v>6600</v>
      </c>
      <c r="J41" t="s">
        <v>109</v>
      </c>
      <c r="L41" s="168">
        <v>6600</v>
      </c>
      <c r="M41">
        <v>3500</v>
      </c>
      <c r="N41">
        <f>M41+L41</f>
        <v>10100</v>
      </c>
      <c r="P41">
        <f>I41</f>
        <v>6600</v>
      </c>
      <c r="S41">
        <f>L41</f>
        <v>6600</v>
      </c>
      <c r="V41">
        <v>6600</v>
      </c>
      <c r="Y41">
        <v>6600</v>
      </c>
      <c r="AE41" s="168">
        <v>6600</v>
      </c>
      <c r="AF41" s="168">
        <f t="shared" si="0"/>
        <v>10100</v>
      </c>
    </row>
    <row r="42" spans="1:32">
      <c r="A42">
        <v>166</v>
      </c>
      <c r="B42" t="s">
        <v>103</v>
      </c>
      <c r="C42" t="s">
        <v>1499</v>
      </c>
      <c r="D42" t="s">
        <v>1500</v>
      </c>
      <c r="F42" t="s">
        <v>1501</v>
      </c>
      <c r="G42" t="s">
        <v>1502</v>
      </c>
      <c r="H42" t="s">
        <v>1503</v>
      </c>
      <c r="I42" s="168">
        <v>7000</v>
      </c>
      <c r="J42" t="s">
        <v>109</v>
      </c>
      <c r="L42" s="168">
        <v>7000</v>
      </c>
      <c r="M42">
        <v>3500</v>
      </c>
      <c r="N42">
        <f>M42+L42</f>
        <v>10500</v>
      </c>
      <c r="P42">
        <f>I42</f>
        <v>7000</v>
      </c>
      <c r="S42">
        <f>L42</f>
        <v>7000</v>
      </c>
      <c r="V42">
        <v>7000</v>
      </c>
      <c r="Y42">
        <v>7000</v>
      </c>
      <c r="AE42" s="168">
        <v>7000</v>
      </c>
      <c r="AF42" s="168">
        <f t="shared" si="0"/>
        <v>10500</v>
      </c>
    </row>
    <row r="43" spans="1:32">
      <c r="A43" s="168">
        <v>167</v>
      </c>
      <c r="B43" s="168" t="s">
        <v>66</v>
      </c>
      <c r="C43" s="168" t="s">
        <v>1508</v>
      </c>
      <c r="D43" s="168" t="s">
        <v>1509</v>
      </c>
      <c r="E43" s="168"/>
      <c r="F43" s="168" t="s">
        <v>1510</v>
      </c>
      <c r="G43" s="168" t="s">
        <v>1511</v>
      </c>
      <c r="H43" s="168" t="s">
        <v>1512</v>
      </c>
      <c r="I43" s="168">
        <v>7000</v>
      </c>
      <c r="J43" t="s">
        <v>109</v>
      </c>
      <c r="L43" s="218">
        <v>7000</v>
      </c>
      <c r="M43" s="197">
        <v>3500</v>
      </c>
      <c r="N43" s="197">
        <f>M43+L43</f>
        <v>10500</v>
      </c>
      <c r="O43" t="s">
        <v>2264</v>
      </c>
      <c r="P43">
        <f>I43</f>
        <v>7000</v>
      </c>
      <c r="S43">
        <f>L43</f>
        <v>7000</v>
      </c>
      <c r="V43">
        <v>7000</v>
      </c>
      <c r="Y43">
        <v>7000</v>
      </c>
      <c r="AE43" s="168">
        <v>7000</v>
      </c>
      <c r="AF43" s="168">
        <f t="shared" si="0"/>
        <v>10500</v>
      </c>
    </row>
    <row r="44" spans="1:32">
      <c r="A44">
        <v>168</v>
      </c>
      <c r="B44" t="s">
        <v>103</v>
      </c>
      <c r="C44" t="s">
        <v>1516</v>
      </c>
      <c r="D44" t="s">
        <v>1517</v>
      </c>
      <c r="F44" t="s">
        <v>1518</v>
      </c>
      <c r="G44" t="s">
        <v>1519</v>
      </c>
      <c r="H44" t="s">
        <v>1520</v>
      </c>
      <c r="I44" s="168">
        <v>7000</v>
      </c>
      <c r="J44" t="s">
        <v>109</v>
      </c>
      <c r="L44" s="168">
        <v>7000</v>
      </c>
      <c r="M44">
        <v>3500</v>
      </c>
      <c r="N44">
        <f>M44+L44</f>
        <v>10500</v>
      </c>
      <c r="P44">
        <f>I44</f>
        <v>7000</v>
      </c>
      <c r="S44">
        <f>L44</f>
        <v>7000</v>
      </c>
      <c r="V44">
        <v>7000</v>
      </c>
      <c r="Y44">
        <v>7000</v>
      </c>
      <c r="AE44" s="168">
        <v>7000</v>
      </c>
      <c r="AF44" s="168">
        <f t="shared" si="0"/>
        <v>10500</v>
      </c>
    </row>
    <row r="45" spans="1:32">
      <c r="A45" s="168">
        <v>169</v>
      </c>
      <c r="B45" s="168" t="s">
        <v>103</v>
      </c>
      <c r="C45" s="168" t="s">
        <v>1524</v>
      </c>
      <c r="D45" s="168" t="s">
        <v>1525</v>
      </c>
      <c r="E45" s="168"/>
      <c r="F45" s="168" t="s">
        <v>1526</v>
      </c>
      <c r="G45" s="168" t="s">
        <v>1527</v>
      </c>
      <c r="H45" s="168" t="s">
        <v>1528</v>
      </c>
      <c r="I45" s="168">
        <v>7000</v>
      </c>
      <c r="J45" t="s">
        <v>109</v>
      </c>
      <c r="L45" s="168">
        <v>7000</v>
      </c>
      <c r="M45">
        <v>3500</v>
      </c>
      <c r="N45">
        <f>M45+L45</f>
        <v>10500</v>
      </c>
      <c r="P45">
        <f>I45</f>
        <v>7000</v>
      </c>
      <c r="S45">
        <f>L45</f>
        <v>7000</v>
      </c>
      <c r="V45">
        <v>7000</v>
      </c>
      <c r="Y45">
        <v>7000</v>
      </c>
      <c r="AB45" s="197">
        <v>0</v>
      </c>
      <c r="AC45" t="s">
        <v>2424</v>
      </c>
      <c r="AE45" s="168">
        <v>7000</v>
      </c>
      <c r="AF45" s="168">
        <f t="shared" si="0"/>
        <v>10500</v>
      </c>
    </row>
    <row r="46" spans="1:32">
      <c r="A46">
        <v>170</v>
      </c>
      <c r="B46" t="s">
        <v>103</v>
      </c>
      <c r="C46" t="s">
        <v>1532</v>
      </c>
      <c r="D46" t="s">
        <v>854</v>
      </c>
      <c r="F46" t="s">
        <v>1533</v>
      </c>
      <c r="G46" t="s">
        <v>1534</v>
      </c>
      <c r="H46" t="s">
        <v>1535</v>
      </c>
      <c r="I46" s="168">
        <v>7000</v>
      </c>
      <c r="J46" t="s">
        <v>109</v>
      </c>
      <c r="L46" s="168">
        <v>7000</v>
      </c>
      <c r="M46">
        <v>3500</v>
      </c>
      <c r="N46">
        <f>M46+L46</f>
        <v>10500</v>
      </c>
      <c r="P46">
        <f>I46</f>
        <v>7000</v>
      </c>
      <c r="S46">
        <f>L46</f>
        <v>7000</v>
      </c>
      <c r="V46">
        <v>7000</v>
      </c>
      <c r="Y46">
        <v>7000</v>
      </c>
      <c r="AE46" s="168">
        <v>7000</v>
      </c>
      <c r="AF46" s="168">
        <f t="shared" si="0"/>
        <v>10500</v>
      </c>
    </row>
    <row r="47" spans="1:32">
      <c r="A47" s="168">
        <v>171</v>
      </c>
      <c r="B47" s="168" t="s">
        <v>103</v>
      </c>
      <c r="C47" s="168" t="s">
        <v>1390</v>
      </c>
      <c r="D47" s="168" t="s">
        <v>490</v>
      </c>
      <c r="E47" s="168"/>
      <c r="F47" s="168" t="s">
        <v>1537</v>
      </c>
      <c r="G47" s="168" t="s">
        <v>1538</v>
      </c>
      <c r="H47" s="168" t="s">
        <v>493</v>
      </c>
      <c r="I47" s="168">
        <v>7000</v>
      </c>
      <c r="J47" t="s">
        <v>109</v>
      </c>
      <c r="L47" s="168">
        <v>7000</v>
      </c>
      <c r="M47">
        <v>3500</v>
      </c>
      <c r="N47">
        <f>M47+L47</f>
        <v>10500</v>
      </c>
      <c r="P47">
        <f>I47</f>
        <v>7000</v>
      </c>
      <c r="S47">
        <f>L47</f>
        <v>7000</v>
      </c>
      <c r="V47">
        <v>7000</v>
      </c>
      <c r="Y47">
        <v>12100</v>
      </c>
      <c r="AE47" s="168">
        <v>7000</v>
      </c>
      <c r="AF47" s="168">
        <f>AE47+3500</f>
        <v>10500</v>
      </c>
    </row>
    <row r="48" spans="1:32">
      <c r="A48">
        <v>172</v>
      </c>
      <c r="B48" t="s">
        <v>103</v>
      </c>
      <c r="C48" t="s">
        <v>1540</v>
      </c>
      <c r="D48" t="s">
        <v>1541</v>
      </c>
      <c r="F48" t="s">
        <v>1542</v>
      </c>
      <c r="G48" t="s">
        <v>1543</v>
      </c>
      <c r="H48" t="s">
        <v>1544</v>
      </c>
      <c r="I48" s="168">
        <v>12100</v>
      </c>
      <c r="J48" t="s">
        <v>109</v>
      </c>
      <c r="L48" s="168">
        <v>12100</v>
      </c>
      <c r="M48">
        <v>3500</v>
      </c>
      <c r="N48">
        <f>M48+L48</f>
        <v>15600</v>
      </c>
      <c r="P48">
        <f>I48</f>
        <v>12100</v>
      </c>
      <c r="S48">
        <f>L48</f>
        <v>12100</v>
      </c>
      <c r="V48">
        <v>12100</v>
      </c>
      <c r="Y48">
        <v>9500</v>
      </c>
      <c r="AE48" s="168">
        <v>12100</v>
      </c>
      <c r="AF48" s="168">
        <f t="shared" ref="AF48:AF74" si="1">AE48+3500</f>
        <v>15600</v>
      </c>
    </row>
    <row r="49" spans="1:32">
      <c r="A49" s="168">
        <v>173</v>
      </c>
      <c r="B49" s="168" t="s">
        <v>2461</v>
      </c>
      <c r="C49" s="168" t="s">
        <v>1524</v>
      </c>
      <c r="D49" s="168" t="s">
        <v>1550</v>
      </c>
      <c r="E49" s="168"/>
      <c r="F49" s="168" t="s">
        <v>1551</v>
      </c>
      <c r="G49" s="168" t="s">
        <v>1552</v>
      </c>
      <c r="H49" s="168" t="s">
        <v>1552</v>
      </c>
      <c r="I49" s="168">
        <v>9500</v>
      </c>
      <c r="J49" t="s">
        <v>109</v>
      </c>
      <c r="L49" s="168">
        <v>9500</v>
      </c>
      <c r="M49">
        <v>3500</v>
      </c>
      <c r="N49">
        <f>M49+L49</f>
        <v>13000</v>
      </c>
      <c r="P49">
        <f>I49</f>
        <v>9500</v>
      </c>
      <c r="S49">
        <f>L49</f>
        <v>9500</v>
      </c>
      <c r="V49">
        <v>9500</v>
      </c>
      <c r="Y49">
        <v>7000</v>
      </c>
      <c r="AC49" t="s">
        <v>2462</v>
      </c>
      <c r="AE49" s="168">
        <v>9500</v>
      </c>
      <c r="AF49" s="168">
        <f t="shared" si="1"/>
        <v>13000</v>
      </c>
    </row>
    <row r="50" spans="1:32">
      <c r="A50">
        <v>174</v>
      </c>
      <c r="B50" t="s">
        <v>103</v>
      </c>
      <c r="C50" t="s">
        <v>749</v>
      </c>
      <c r="D50" t="s">
        <v>149</v>
      </c>
      <c r="F50" t="s">
        <v>1557</v>
      </c>
      <c r="G50" t="s">
        <v>1558</v>
      </c>
      <c r="H50" t="s">
        <v>752</v>
      </c>
      <c r="I50" s="168">
        <v>7000</v>
      </c>
      <c r="J50" t="s">
        <v>109</v>
      </c>
      <c r="L50" s="168">
        <v>7000</v>
      </c>
      <c r="M50">
        <v>3500</v>
      </c>
      <c r="N50">
        <f>M50+L50</f>
        <v>10500</v>
      </c>
      <c r="P50">
        <f>I50</f>
        <v>7000</v>
      </c>
      <c r="S50">
        <f>L50</f>
        <v>7000</v>
      </c>
      <c r="V50">
        <v>7000</v>
      </c>
      <c r="Y50">
        <v>7000</v>
      </c>
      <c r="AE50" s="168">
        <v>7000</v>
      </c>
      <c r="AF50" s="168">
        <f t="shared" si="1"/>
        <v>10500</v>
      </c>
    </row>
    <row r="51" spans="1:32">
      <c r="A51" s="168">
        <v>175</v>
      </c>
      <c r="B51" s="168" t="s">
        <v>103</v>
      </c>
      <c r="C51" s="168" t="s">
        <v>1937</v>
      </c>
      <c r="D51" s="168" t="s">
        <v>1940</v>
      </c>
      <c r="E51" s="168"/>
      <c r="F51" s="168" t="s">
        <v>1938</v>
      </c>
      <c r="G51" s="168" t="s">
        <v>1939</v>
      </c>
      <c r="H51" s="168" t="s">
        <v>1372</v>
      </c>
      <c r="I51" s="168">
        <v>6600</v>
      </c>
      <c r="J51" t="s">
        <v>109</v>
      </c>
      <c r="L51" s="168">
        <v>6600</v>
      </c>
      <c r="M51">
        <v>3500</v>
      </c>
      <c r="N51">
        <f>M51+L51</f>
        <v>10100</v>
      </c>
      <c r="P51">
        <f>I51</f>
        <v>6600</v>
      </c>
      <c r="S51">
        <f>L51</f>
        <v>6600</v>
      </c>
      <c r="V51">
        <v>6600</v>
      </c>
      <c r="Y51">
        <v>6600</v>
      </c>
      <c r="AE51" s="168">
        <v>6600</v>
      </c>
      <c r="AF51" s="168">
        <f t="shared" si="1"/>
        <v>10100</v>
      </c>
    </row>
    <row r="52" spans="1:32">
      <c r="A52" s="308">
        <v>177</v>
      </c>
      <c r="B52" s="308" t="s">
        <v>103</v>
      </c>
      <c r="C52" s="308" t="s">
        <v>2010</v>
      </c>
      <c r="D52" s="308" t="s">
        <v>2011</v>
      </c>
      <c r="E52" s="308"/>
      <c r="F52" s="307" t="s">
        <v>2040</v>
      </c>
      <c r="G52" s="307" t="s">
        <v>2008</v>
      </c>
      <c r="H52" s="307" t="s">
        <v>2009</v>
      </c>
      <c r="I52" s="168">
        <v>7000</v>
      </c>
      <c r="J52" t="s">
        <v>109</v>
      </c>
      <c r="L52" s="168">
        <v>7000</v>
      </c>
      <c r="M52">
        <v>3500</v>
      </c>
      <c r="N52">
        <f>M52+L52</f>
        <v>10500</v>
      </c>
      <c r="P52">
        <f>I52</f>
        <v>7000</v>
      </c>
      <c r="S52">
        <f>L52</f>
        <v>7000</v>
      </c>
      <c r="V52">
        <v>7000</v>
      </c>
      <c r="Y52">
        <v>7000</v>
      </c>
      <c r="AE52" s="168">
        <v>7000</v>
      </c>
      <c r="AF52" s="168">
        <f t="shared" si="1"/>
        <v>10500</v>
      </c>
    </row>
    <row r="53" spans="1:32">
      <c r="A53" s="227">
        <v>178</v>
      </c>
      <c r="B53" s="227" t="s">
        <v>103</v>
      </c>
      <c r="C53" s="227" t="s">
        <v>586</v>
      </c>
      <c r="D53" s="227" t="s">
        <v>587</v>
      </c>
      <c r="E53" s="227"/>
      <c r="F53" s="227" t="s">
        <v>588</v>
      </c>
      <c r="G53" s="227" t="s">
        <v>589</v>
      </c>
      <c r="H53" s="227" t="s">
        <v>590</v>
      </c>
      <c r="I53" s="168">
        <v>7000</v>
      </c>
      <c r="J53" t="s">
        <v>109</v>
      </c>
      <c r="L53" s="168">
        <v>7000</v>
      </c>
      <c r="M53">
        <v>3500</v>
      </c>
      <c r="N53">
        <f>M53+L53</f>
        <v>10500</v>
      </c>
      <c r="P53">
        <f>I53</f>
        <v>7000</v>
      </c>
      <c r="S53">
        <f>L53</f>
        <v>7000</v>
      </c>
      <c r="V53" s="197">
        <v>17250</v>
      </c>
      <c r="W53" s="197" t="s">
        <v>2398</v>
      </c>
      <c r="Y53" s="197">
        <v>8800</v>
      </c>
      <c r="Z53" t="s">
        <v>2423</v>
      </c>
      <c r="AB53" s="197">
        <v>7600</v>
      </c>
      <c r="AE53" s="168">
        <v>7000</v>
      </c>
      <c r="AF53" s="168">
        <f t="shared" si="1"/>
        <v>10500</v>
      </c>
    </row>
    <row r="54" spans="1:32">
      <c r="A54">
        <v>179</v>
      </c>
      <c r="B54" t="s">
        <v>103</v>
      </c>
      <c r="C54" t="s">
        <v>630</v>
      </c>
      <c r="D54" t="s">
        <v>2034</v>
      </c>
      <c r="F54" t="s">
        <v>2038</v>
      </c>
      <c r="G54" t="s">
        <v>2033</v>
      </c>
      <c r="H54" t="s">
        <v>2035</v>
      </c>
      <c r="I54" s="168">
        <v>6600</v>
      </c>
      <c r="J54" t="s">
        <v>109</v>
      </c>
      <c r="L54" s="236">
        <v>6600</v>
      </c>
      <c r="M54">
        <v>3500</v>
      </c>
      <c r="N54" t="s">
        <v>2342</v>
      </c>
      <c r="P54">
        <f>I54</f>
        <v>6600</v>
      </c>
      <c r="S54">
        <f>L54</f>
        <v>6600</v>
      </c>
      <c r="V54">
        <v>6600</v>
      </c>
      <c r="Y54">
        <v>6600</v>
      </c>
      <c r="AB54" s="197">
        <v>7800</v>
      </c>
      <c r="AC54" t="s">
        <v>2443</v>
      </c>
      <c r="AE54" s="168">
        <v>6600</v>
      </c>
      <c r="AF54" s="168">
        <f t="shared" si="1"/>
        <v>10100</v>
      </c>
    </row>
    <row r="55" spans="1:32">
      <c r="A55">
        <v>181</v>
      </c>
      <c r="B55" t="s">
        <v>103</v>
      </c>
      <c r="C55" t="s">
        <v>2100</v>
      </c>
      <c r="D55" t="s">
        <v>490</v>
      </c>
      <c r="F55" t="s">
        <v>2132</v>
      </c>
      <c r="G55" t="s">
        <v>2131</v>
      </c>
      <c r="H55" t="s">
        <v>493</v>
      </c>
      <c r="I55">
        <v>9500</v>
      </c>
      <c r="J55" t="s">
        <v>109</v>
      </c>
      <c r="L55" s="236">
        <v>22750</v>
      </c>
      <c r="M55">
        <v>3500</v>
      </c>
      <c r="N55">
        <f>M55+L55</f>
        <v>26250</v>
      </c>
      <c r="P55">
        <f>I55</f>
        <v>9500</v>
      </c>
      <c r="S55">
        <f>L55</f>
        <v>22750</v>
      </c>
      <c r="V55">
        <v>22750</v>
      </c>
      <c r="Y55">
        <v>22750</v>
      </c>
      <c r="AE55">
        <v>9500</v>
      </c>
      <c r="AF55" s="168">
        <f t="shared" si="1"/>
        <v>13000</v>
      </c>
    </row>
    <row r="56" spans="1:32">
      <c r="A56" s="168">
        <v>182</v>
      </c>
      <c r="B56" t="s">
        <v>103</v>
      </c>
      <c r="C56" t="s">
        <v>1272</v>
      </c>
      <c r="D56" t="s">
        <v>1084</v>
      </c>
      <c r="F56" s="310" t="s">
        <v>2117</v>
      </c>
      <c r="G56" s="310" t="s">
        <v>2070</v>
      </c>
      <c r="H56" s="310" t="s">
        <v>2114</v>
      </c>
      <c r="I56" s="168">
        <v>7000</v>
      </c>
      <c r="J56" t="s">
        <v>109</v>
      </c>
      <c r="L56" s="168">
        <v>7000</v>
      </c>
      <c r="M56">
        <v>3500</v>
      </c>
      <c r="N56">
        <f>M56+L56</f>
        <v>10500</v>
      </c>
      <c r="P56">
        <f>I56</f>
        <v>7000</v>
      </c>
      <c r="S56">
        <f>L56</f>
        <v>7000</v>
      </c>
      <c r="V56">
        <v>7000</v>
      </c>
      <c r="Y56">
        <v>7000</v>
      </c>
      <c r="AE56" s="168">
        <v>7000</v>
      </c>
      <c r="AF56" s="168">
        <f t="shared" si="1"/>
        <v>10500</v>
      </c>
    </row>
    <row r="57" spans="1:32">
      <c r="A57" s="168">
        <v>183</v>
      </c>
      <c r="B57" t="s">
        <v>103</v>
      </c>
      <c r="C57" t="s">
        <v>67</v>
      </c>
      <c r="D57" t="s">
        <v>2115</v>
      </c>
      <c r="F57" s="275" t="s">
        <v>2118</v>
      </c>
      <c r="G57" s="275" t="s">
        <v>2066</v>
      </c>
      <c r="H57" s="275" t="s">
        <v>2116</v>
      </c>
      <c r="I57" s="168">
        <v>7000</v>
      </c>
      <c r="J57" t="s">
        <v>109</v>
      </c>
      <c r="L57" s="168">
        <v>7000</v>
      </c>
      <c r="M57">
        <v>3500</v>
      </c>
      <c r="N57">
        <f>M57+L57</f>
        <v>10500</v>
      </c>
      <c r="P57">
        <f>I57</f>
        <v>7000</v>
      </c>
      <c r="S57">
        <f>L57</f>
        <v>7000</v>
      </c>
      <c r="V57">
        <v>7000</v>
      </c>
      <c r="Y57">
        <v>7000</v>
      </c>
      <c r="AE57" s="168">
        <v>7000</v>
      </c>
      <c r="AF57" s="168">
        <f t="shared" si="1"/>
        <v>10500</v>
      </c>
    </row>
    <row r="58" spans="1:32">
      <c r="A58" s="168">
        <v>184</v>
      </c>
      <c r="B58" t="s">
        <v>103</v>
      </c>
      <c r="C58" t="s">
        <v>560</v>
      </c>
      <c r="D58" t="s">
        <v>2126</v>
      </c>
      <c r="G58" s="310" t="s">
        <v>2084</v>
      </c>
      <c r="H58" t="s">
        <v>562</v>
      </c>
      <c r="I58" s="168">
        <v>7000</v>
      </c>
      <c r="J58" t="s">
        <v>109</v>
      </c>
      <c r="L58" s="168">
        <v>7000</v>
      </c>
      <c r="M58">
        <v>3500</v>
      </c>
      <c r="N58">
        <f>M58+L58</f>
        <v>10500</v>
      </c>
      <c r="P58">
        <f>I58</f>
        <v>7000</v>
      </c>
      <c r="S58">
        <f>L58</f>
        <v>7000</v>
      </c>
      <c r="V58">
        <v>7000</v>
      </c>
      <c r="Y58">
        <v>7000</v>
      </c>
      <c r="AE58" s="168">
        <v>7000</v>
      </c>
      <c r="AF58" s="168">
        <f t="shared" si="1"/>
        <v>10500</v>
      </c>
    </row>
    <row r="59" spans="1:32">
      <c r="A59" s="168">
        <v>185</v>
      </c>
      <c r="B59" t="s">
        <v>103</v>
      </c>
      <c r="C59" t="s">
        <v>2127</v>
      </c>
      <c r="D59" t="s">
        <v>2125</v>
      </c>
      <c r="G59" s="256" t="s">
        <v>2079</v>
      </c>
      <c r="H59" s="310" t="s">
        <v>2128</v>
      </c>
      <c r="I59" s="168">
        <v>7000</v>
      </c>
      <c r="J59" t="s">
        <v>109</v>
      </c>
      <c r="L59" s="168">
        <v>7000</v>
      </c>
      <c r="M59">
        <v>3500</v>
      </c>
      <c r="N59">
        <f>M59+L59</f>
        <v>10500</v>
      </c>
      <c r="P59">
        <f>I59</f>
        <v>7000</v>
      </c>
      <c r="S59">
        <f>L59</f>
        <v>7000</v>
      </c>
      <c r="V59">
        <v>7000</v>
      </c>
      <c r="Y59">
        <v>7000</v>
      </c>
      <c r="AE59" s="168">
        <v>7000</v>
      </c>
      <c r="AF59" s="168">
        <f t="shared" si="1"/>
        <v>10500</v>
      </c>
    </row>
    <row r="60" spans="1:32">
      <c r="A60" s="168">
        <v>186</v>
      </c>
      <c r="B60" t="s">
        <v>66</v>
      </c>
      <c r="C60" t="s">
        <v>1327</v>
      </c>
      <c r="D60" t="s">
        <v>234</v>
      </c>
      <c r="G60" s="275"/>
      <c r="H60" s="256" t="s">
        <v>237</v>
      </c>
      <c r="I60" s="168">
        <v>7000</v>
      </c>
      <c r="J60" t="s">
        <v>109</v>
      </c>
      <c r="L60" s="168">
        <v>7000</v>
      </c>
      <c r="M60">
        <v>3500</v>
      </c>
      <c r="N60">
        <f>M60+L60</f>
        <v>10500</v>
      </c>
      <c r="P60">
        <f>I60</f>
        <v>7000</v>
      </c>
      <c r="S60">
        <f>L60</f>
        <v>7000</v>
      </c>
      <c r="V60">
        <v>7000</v>
      </c>
      <c r="Y60">
        <v>7000</v>
      </c>
      <c r="AE60" s="168">
        <v>7000</v>
      </c>
      <c r="AF60" s="168">
        <f t="shared" si="1"/>
        <v>10500</v>
      </c>
    </row>
    <row r="61" spans="1:32" ht="18" customHeight="1">
      <c r="A61">
        <v>187</v>
      </c>
      <c r="B61" t="s">
        <v>66</v>
      </c>
      <c r="C61" t="s">
        <v>2285</v>
      </c>
      <c r="H61" s="256" t="s">
        <v>2147</v>
      </c>
      <c r="I61" s="168">
        <v>7000</v>
      </c>
      <c r="J61" t="s">
        <v>109</v>
      </c>
      <c r="L61" s="168">
        <v>7000</v>
      </c>
      <c r="M61">
        <v>3500</v>
      </c>
      <c r="N61">
        <f>M61+L61</f>
        <v>10500</v>
      </c>
      <c r="O61" t="s">
        <v>2262</v>
      </c>
      <c r="P61">
        <f>I61</f>
        <v>7000</v>
      </c>
      <c r="S61" s="271">
        <v>7000</v>
      </c>
      <c r="T61" t="s">
        <v>2381</v>
      </c>
      <c r="V61">
        <v>7000</v>
      </c>
      <c r="Y61">
        <v>7000</v>
      </c>
      <c r="AE61" s="168">
        <v>7000</v>
      </c>
      <c r="AF61" s="168">
        <f t="shared" si="1"/>
        <v>10500</v>
      </c>
    </row>
    <row r="62" spans="1:32" ht="18.75" customHeight="1">
      <c r="A62">
        <v>188</v>
      </c>
      <c r="B62" t="s">
        <v>103</v>
      </c>
      <c r="C62" t="s">
        <v>948</v>
      </c>
      <c r="D62" t="s">
        <v>2279</v>
      </c>
      <c r="G62" s="307" t="s">
        <v>2243</v>
      </c>
      <c r="H62" s="275" t="s">
        <v>951</v>
      </c>
      <c r="I62" s="168">
        <v>9500</v>
      </c>
      <c r="J62" t="s">
        <v>109</v>
      </c>
      <c r="L62" s="168">
        <v>9500</v>
      </c>
      <c r="P62">
        <f>I62</f>
        <v>9500</v>
      </c>
      <c r="S62">
        <f>L62</f>
        <v>9500</v>
      </c>
      <c r="V62">
        <v>9500</v>
      </c>
      <c r="Y62">
        <v>9500</v>
      </c>
      <c r="AB62" s="295"/>
      <c r="AC62" t="s">
        <v>2450</v>
      </c>
      <c r="AE62" s="168">
        <v>9500</v>
      </c>
      <c r="AF62" s="168">
        <f t="shared" si="1"/>
        <v>13000</v>
      </c>
    </row>
    <row r="63" spans="1:32">
      <c r="A63">
        <v>189</v>
      </c>
      <c r="B63" t="s">
        <v>103</v>
      </c>
      <c r="C63" s="307" t="s">
        <v>1168</v>
      </c>
      <c r="D63" s="307" t="s">
        <v>2260</v>
      </c>
      <c r="E63" s="307"/>
      <c r="F63" s="307" t="s">
        <v>2230</v>
      </c>
      <c r="G63" s="307" t="s">
        <v>2229</v>
      </c>
      <c r="H63" s="307" t="s">
        <v>2229</v>
      </c>
      <c r="I63" s="307">
        <v>6600</v>
      </c>
      <c r="J63" t="s">
        <v>109</v>
      </c>
      <c r="P63">
        <v>7600</v>
      </c>
      <c r="Q63" t="s">
        <v>2337</v>
      </c>
      <c r="S63">
        <v>7600</v>
      </c>
      <c r="T63" s="197" t="s">
        <v>2380</v>
      </c>
      <c r="V63">
        <v>7600</v>
      </c>
      <c r="Y63">
        <v>7600</v>
      </c>
      <c r="AE63" s="307">
        <v>6600</v>
      </c>
      <c r="AF63" s="168">
        <f t="shared" si="1"/>
        <v>10100</v>
      </c>
    </row>
    <row r="64" spans="1:32">
      <c r="A64">
        <v>190</v>
      </c>
      <c r="B64" t="s">
        <v>103</v>
      </c>
      <c r="C64" s="275" t="s">
        <v>2282</v>
      </c>
      <c r="D64" s="275" t="s">
        <v>364</v>
      </c>
      <c r="E64" s="275"/>
      <c r="F64" s="275"/>
      <c r="G64" s="278" t="s">
        <v>2225</v>
      </c>
      <c r="H64" s="278" t="s">
        <v>2225</v>
      </c>
      <c r="I64" s="280">
        <v>13200</v>
      </c>
      <c r="J64" t="s">
        <v>109</v>
      </c>
      <c r="L64">
        <v>13200</v>
      </c>
      <c r="M64" t="s">
        <v>2339</v>
      </c>
      <c r="P64" s="197">
        <v>13200</v>
      </c>
      <c r="Q64" t="s">
        <v>2340</v>
      </c>
      <c r="S64">
        <v>13200</v>
      </c>
      <c r="T64" t="s">
        <v>2396</v>
      </c>
      <c r="V64">
        <v>13200</v>
      </c>
      <c r="Y64">
        <v>13200</v>
      </c>
      <c r="AE64" s="280">
        <v>13200</v>
      </c>
      <c r="AF64" s="168">
        <f t="shared" si="1"/>
        <v>16700</v>
      </c>
    </row>
    <row r="65" spans="1:32" ht="14.25" customHeight="1">
      <c r="A65">
        <v>191</v>
      </c>
      <c r="B65" t="s">
        <v>2498</v>
      </c>
      <c r="C65" t="s">
        <v>560</v>
      </c>
      <c r="D65" t="s">
        <v>2286</v>
      </c>
      <c r="G65" s="256" t="s">
        <v>2287</v>
      </c>
      <c r="H65" s="256" t="s">
        <v>2289</v>
      </c>
      <c r="I65" s="168">
        <v>12100</v>
      </c>
      <c r="J65" t="s">
        <v>109</v>
      </c>
      <c r="L65" t="s">
        <v>1586</v>
      </c>
      <c r="P65">
        <v>12100</v>
      </c>
      <c r="Q65" t="s">
        <v>2339</v>
      </c>
      <c r="S65">
        <v>12100</v>
      </c>
      <c r="T65" t="s">
        <v>2396</v>
      </c>
      <c r="V65">
        <v>12100</v>
      </c>
      <c r="Y65">
        <v>12100</v>
      </c>
      <c r="AE65" s="168">
        <v>0</v>
      </c>
      <c r="AF65" s="168">
        <v>0</v>
      </c>
    </row>
    <row r="66" spans="1:32">
      <c r="A66">
        <v>191</v>
      </c>
      <c r="B66" t="s">
        <v>2498</v>
      </c>
      <c r="C66" t="s">
        <v>560</v>
      </c>
      <c r="G66" s="256" t="s">
        <v>2287</v>
      </c>
      <c r="H66" s="256" t="s">
        <v>2288</v>
      </c>
      <c r="I66" s="168">
        <v>12100</v>
      </c>
      <c r="J66" t="s">
        <v>109</v>
      </c>
      <c r="L66" t="s">
        <v>1586</v>
      </c>
      <c r="P66">
        <v>12100</v>
      </c>
      <c r="Q66" t="s">
        <v>2339</v>
      </c>
      <c r="S66">
        <v>12100</v>
      </c>
      <c r="T66" t="s">
        <v>2396</v>
      </c>
      <c r="V66">
        <v>12100</v>
      </c>
      <c r="Y66">
        <v>12100</v>
      </c>
      <c r="AE66" s="168">
        <v>0</v>
      </c>
      <c r="AF66" s="168">
        <v>0</v>
      </c>
    </row>
    <row r="67" spans="1:32">
      <c r="A67">
        <v>193</v>
      </c>
      <c r="B67" t="s">
        <v>103</v>
      </c>
      <c r="C67" t="s">
        <v>2280</v>
      </c>
      <c r="D67" t="s">
        <v>2281</v>
      </c>
      <c r="G67" s="275" t="s">
        <v>2343</v>
      </c>
      <c r="H67" s="256" t="s">
        <v>2283</v>
      </c>
      <c r="I67" s="168">
        <v>7000</v>
      </c>
      <c r="J67" t="s">
        <v>109</v>
      </c>
      <c r="L67" t="s">
        <v>1586</v>
      </c>
      <c r="P67">
        <v>7000</v>
      </c>
      <c r="Q67" t="s">
        <v>2339</v>
      </c>
      <c r="S67" s="197">
        <v>7000</v>
      </c>
      <c r="T67" t="s">
        <v>2371</v>
      </c>
      <c r="V67">
        <v>7000</v>
      </c>
      <c r="Y67">
        <v>7000</v>
      </c>
      <c r="AE67" s="168">
        <v>7000</v>
      </c>
      <c r="AF67" s="168">
        <f t="shared" si="1"/>
        <v>10500</v>
      </c>
    </row>
    <row r="68" spans="1:32">
      <c r="A68">
        <v>194</v>
      </c>
      <c r="B68" t="s">
        <v>103</v>
      </c>
      <c r="C68" t="s">
        <v>2319</v>
      </c>
      <c r="D68" t="s">
        <v>2318</v>
      </c>
      <c r="G68" s="310" t="s">
        <v>2315</v>
      </c>
      <c r="H68" s="256" t="s">
        <v>2317</v>
      </c>
      <c r="I68" s="168">
        <v>20500</v>
      </c>
      <c r="J68" t="s">
        <v>109</v>
      </c>
      <c r="O68">
        <v>20500</v>
      </c>
      <c r="P68">
        <v>20500</v>
      </c>
      <c r="Q68" t="s">
        <v>1586</v>
      </c>
      <c r="S68">
        <v>20500</v>
      </c>
      <c r="T68" t="s">
        <v>2363</v>
      </c>
      <c r="V68">
        <v>20500</v>
      </c>
      <c r="Y68">
        <v>20500</v>
      </c>
      <c r="AE68" s="168">
        <v>20500</v>
      </c>
      <c r="AF68" s="168">
        <f t="shared" si="1"/>
        <v>24000</v>
      </c>
    </row>
    <row r="69" spans="1:32" ht="14.25">
      <c r="A69">
        <v>195</v>
      </c>
      <c r="B69" t="s">
        <v>103</v>
      </c>
      <c r="C69" s="308" t="s">
        <v>2321</v>
      </c>
      <c r="D69" s="308" t="s">
        <v>1313</v>
      </c>
      <c r="G69" s="275"/>
      <c r="H69" s="311"/>
      <c r="J69" t="s">
        <v>109</v>
      </c>
      <c r="O69" t="s">
        <v>2322</v>
      </c>
      <c r="P69" s="271" t="s">
        <v>2336</v>
      </c>
      <c r="Q69" s="197" t="s">
        <v>2336</v>
      </c>
      <c r="AF69" s="168">
        <v>0</v>
      </c>
    </row>
    <row r="70" spans="1:32" ht="14.25">
      <c r="A70">
        <v>196</v>
      </c>
      <c r="B70" t="s">
        <v>103</v>
      </c>
      <c r="C70" s="275" t="s">
        <v>2334</v>
      </c>
      <c r="D70" s="275" t="s">
        <v>490</v>
      </c>
      <c r="G70" s="56" t="s">
        <v>493</v>
      </c>
      <c r="H70" s="56" t="s">
        <v>2333</v>
      </c>
      <c r="I70" s="168">
        <v>20500</v>
      </c>
      <c r="J70" t="s">
        <v>109</v>
      </c>
      <c r="K70" t="s">
        <v>110</v>
      </c>
      <c r="O70">
        <v>20500</v>
      </c>
      <c r="P70" s="271" t="s">
        <v>2336</v>
      </c>
      <c r="Q70" s="197" t="s">
        <v>2336</v>
      </c>
      <c r="S70">
        <v>20500</v>
      </c>
      <c r="V70">
        <v>20500</v>
      </c>
      <c r="Y70">
        <v>20500</v>
      </c>
      <c r="AE70" s="168">
        <v>20500</v>
      </c>
      <c r="AF70" s="168"/>
    </row>
    <row r="71" spans="1:32">
      <c r="A71">
        <v>197</v>
      </c>
      <c r="B71" t="s">
        <v>2496</v>
      </c>
      <c r="C71" s="308" t="s">
        <v>196</v>
      </c>
      <c r="D71" t="s">
        <v>2482</v>
      </c>
      <c r="G71" s="308" t="s">
        <v>2432</v>
      </c>
      <c r="H71" s="308" t="s">
        <v>2433</v>
      </c>
      <c r="I71" s="168">
        <v>20500</v>
      </c>
      <c r="J71" t="s">
        <v>2483</v>
      </c>
      <c r="Y71">
        <v>20500</v>
      </c>
      <c r="AB71" s="197">
        <v>20500</v>
      </c>
      <c r="AC71" t="s">
        <v>2484</v>
      </c>
      <c r="AE71" s="168">
        <v>20500</v>
      </c>
      <c r="AF71" s="168">
        <f t="shared" si="1"/>
        <v>24000</v>
      </c>
    </row>
    <row r="72" spans="1:32">
      <c r="A72">
        <v>198</v>
      </c>
      <c r="B72" t="s">
        <v>2496</v>
      </c>
      <c r="C72" s="294" t="s">
        <v>2436</v>
      </c>
      <c r="D72" s="309" t="s">
        <v>2437</v>
      </c>
      <c r="G72" s="294" t="s">
        <v>2434</v>
      </c>
      <c r="H72" s="294" t="s">
        <v>2435</v>
      </c>
      <c r="I72" s="168">
        <v>7000</v>
      </c>
      <c r="J72" t="s">
        <v>2483</v>
      </c>
      <c r="AB72" s="197">
        <v>7000</v>
      </c>
      <c r="AC72" t="s">
        <v>2495</v>
      </c>
      <c r="AE72" s="168">
        <v>7000</v>
      </c>
      <c r="AF72" s="168">
        <f t="shared" si="1"/>
        <v>10500</v>
      </c>
    </row>
    <row r="73" spans="1:32">
      <c r="A73">
        <v>199</v>
      </c>
      <c r="B73" t="s">
        <v>103</v>
      </c>
      <c r="C73" s="275" t="s">
        <v>1080</v>
      </c>
      <c r="D73" s="275" t="s">
        <v>2479</v>
      </c>
      <c r="G73" s="275" t="s">
        <v>2477</v>
      </c>
      <c r="H73" s="275" t="s">
        <v>2478</v>
      </c>
      <c r="I73">
        <v>7600</v>
      </c>
      <c r="J73" t="s">
        <v>1955</v>
      </c>
      <c r="AB73" s="197" t="s">
        <v>2480</v>
      </c>
      <c r="AC73" t="s">
        <v>2497</v>
      </c>
      <c r="AE73">
        <v>7600</v>
      </c>
      <c r="AF73" s="168">
        <f t="shared" si="1"/>
        <v>11100</v>
      </c>
    </row>
    <row r="74" spans="1:32">
      <c r="A74" s="168"/>
      <c r="B74" s="168" t="s">
        <v>103</v>
      </c>
      <c r="C74" s="168" t="s">
        <v>1470</v>
      </c>
      <c r="D74" s="168" t="s">
        <v>1494</v>
      </c>
      <c r="E74" s="168"/>
      <c r="F74" s="168" t="s">
        <v>1471</v>
      </c>
      <c r="G74" s="168" t="s">
        <v>1495</v>
      </c>
      <c r="H74" s="168" t="s">
        <v>1496</v>
      </c>
      <c r="I74" s="168">
        <v>7000</v>
      </c>
      <c r="J74" t="s">
        <v>109</v>
      </c>
      <c r="L74" s="168">
        <v>7000</v>
      </c>
      <c r="M74">
        <v>3500</v>
      </c>
      <c r="N74">
        <f>M74+L74</f>
        <v>10500</v>
      </c>
      <c r="P74">
        <f>I74</f>
        <v>7000</v>
      </c>
      <c r="S74">
        <f>L74</f>
        <v>7000</v>
      </c>
      <c r="V74">
        <v>7000</v>
      </c>
      <c r="Y74">
        <v>7000</v>
      </c>
      <c r="AE74" s="168">
        <v>7000</v>
      </c>
      <c r="AF74" s="168">
        <f t="shared" si="1"/>
        <v>10500</v>
      </c>
    </row>
    <row r="75" spans="1:32">
      <c r="AE75">
        <f>SUBTOTAL(9,AE4:AE74)</f>
        <v>733700</v>
      </c>
      <c r="AF75" s="168">
        <f>SUBTOTAL(9,AF4:AF74)</f>
        <v>947700</v>
      </c>
    </row>
  </sheetData>
  <autoFilter ref="A1:AC74" xr:uid="{A9CBF736-D7D1-455D-B77B-1C9DDFD3BE1D}">
    <sortState xmlns:xlrd2="http://schemas.microsoft.com/office/spreadsheetml/2017/richdata2" ref="A2:AC74">
      <sortCondition ref="A1:A74"/>
    </sortState>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79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90488</xdr:colOff>
                    <xdr:row>0</xdr:row>
                    <xdr:rowOff>71438</xdr:rowOff>
                  </from>
                  <to>
                    <xdr:col>0</xdr:col>
                    <xdr:colOff>719138</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52388</xdr:colOff>
                    <xdr:row>0</xdr:row>
                    <xdr:rowOff>14288</xdr:rowOff>
                  </from>
                  <to>
                    <xdr:col>10</xdr:col>
                    <xdr:colOff>947738</xdr:colOff>
                    <xdr:row>0</xdr:row>
                    <xdr:rowOff>376238</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71438</xdr:colOff>
                    <xdr:row>1</xdr:row>
                    <xdr:rowOff>52388</xdr:rowOff>
                  </from>
                  <to>
                    <xdr:col>10</xdr:col>
                    <xdr:colOff>966788</xdr:colOff>
                    <xdr:row>1</xdr:row>
                    <xdr:rowOff>357188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23" activePane="bottomLeft" state="frozen"/>
      <selection pane="bottomLeft" activeCell="C33" sqref="C33"/>
    </sheetView>
  </sheetViews>
  <sheetFormatPr defaultRowHeight="12.75"/>
  <cols>
    <col min="1" max="1" width="9.06640625" style="146" customWidth="1"/>
    <col min="3" max="3" width="30" customWidth="1"/>
    <col min="7" max="7" width="20.796875" customWidth="1"/>
    <col min="8" max="8" width="18.59765625" customWidth="1"/>
    <col min="9" max="9" width="17.265625" customWidth="1"/>
    <col min="10" max="10" width="21" customWidth="1"/>
    <col min="11" max="11" width="22.33203125" style="156" customWidth="1"/>
    <col min="12" max="12" width="21.06640625" customWidth="1"/>
    <col min="13" max="13" width="15.59765625" style="156" customWidth="1"/>
    <col min="14" max="14" width="17.265625" customWidth="1"/>
    <col min="15" max="15" width="9.796875" bestFit="1" customWidth="1"/>
  </cols>
  <sheetData>
    <row r="1" spans="1:16" ht="57.75" customHeight="1">
      <c r="A1" s="297"/>
      <c r="B1" s="298"/>
      <c r="C1" s="298"/>
      <c r="D1" s="298"/>
      <c r="E1" s="298"/>
      <c r="G1" s="299"/>
      <c r="H1" s="299"/>
      <c r="J1" s="299"/>
      <c r="K1" s="300"/>
      <c r="L1" s="298"/>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2485</v>
      </c>
      <c r="D32" t="s">
        <v>2486</v>
      </c>
      <c r="K32" s="156" t="s">
        <v>2487</v>
      </c>
      <c r="L32" s="156" t="s">
        <v>2488</v>
      </c>
      <c r="N32">
        <v>20500</v>
      </c>
    </row>
    <row r="33" spans="1:14">
      <c r="A33" s="146">
        <v>198</v>
      </c>
      <c r="C33" t="s">
        <v>2490</v>
      </c>
      <c r="D33" t="s">
        <v>2489</v>
      </c>
      <c r="G33" t="s">
        <v>1604</v>
      </c>
      <c r="H33" s="296" t="s">
        <v>2491</v>
      </c>
      <c r="J33" t="s">
        <v>1607</v>
      </c>
      <c r="K33" s="156" t="s">
        <v>2492</v>
      </c>
      <c r="L33" s="156" t="s">
        <v>1609</v>
      </c>
      <c r="M33" s="156" t="s">
        <v>2493</v>
      </c>
      <c r="N33">
        <v>7000</v>
      </c>
    </row>
    <row r="34" spans="1:14">
      <c r="A34" s="146">
        <v>199</v>
      </c>
      <c r="L34" s="156"/>
    </row>
    <row r="35" spans="1:14">
      <c r="L35" s="156"/>
    </row>
    <row r="36" spans="1:14">
      <c r="L36" s="156"/>
    </row>
    <row r="37" spans="1:14">
      <c r="L37" s="156"/>
    </row>
    <row r="38" spans="1:14">
      <c r="L38" s="156"/>
    </row>
    <row r="39" spans="1:14">
      <c r="L39" s="156"/>
    </row>
    <row r="40" spans="1:14">
      <c r="L40" s="156"/>
    </row>
    <row r="41" spans="1:14">
      <c r="L41" s="156"/>
    </row>
    <row r="42" spans="1:14">
      <c r="L42" s="156"/>
    </row>
    <row r="43" spans="1:14">
      <c r="L43" s="156"/>
    </row>
    <row r="44" spans="1:14">
      <c r="L44" s="156"/>
    </row>
    <row r="45" spans="1:14">
      <c r="L45" s="156"/>
    </row>
    <row r="46" spans="1:14">
      <c r="L46" s="156"/>
    </row>
    <row r="47" spans="1:14">
      <c r="L47" s="156"/>
    </row>
    <row r="48" spans="1:14">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90488</xdr:rowOff>
                  </from>
                  <to>
                    <xdr:col>4</xdr:col>
                    <xdr:colOff>471488</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547688</xdr:colOff>
                    <xdr:row>0</xdr:row>
                    <xdr:rowOff>642938</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128588</xdr:colOff>
                    <xdr:row>10</xdr:row>
                    <xdr:rowOff>52388</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109538</xdr:colOff>
                    <xdr:row>12</xdr:row>
                    <xdr:rowOff>33338</xdr:rowOff>
                  </from>
                  <to>
                    <xdr:col>15</xdr:col>
                    <xdr:colOff>528638</xdr:colOff>
                    <xdr:row>12</xdr:row>
                    <xdr:rowOff>147638</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147638</xdr:colOff>
                    <xdr:row>13</xdr:row>
                    <xdr:rowOff>52388</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128588</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128588</xdr:colOff>
                    <xdr:row>16</xdr:row>
                    <xdr:rowOff>171450</xdr:rowOff>
                  </from>
                  <to>
                    <xdr:col>15</xdr:col>
                    <xdr:colOff>585788</xdr:colOff>
                    <xdr:row>16</xdr:row>
                    <xdr:rowOff>852488</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90488</xdr:colOff>
                    <xdr:row>19</xdr:row>
                    <xdr:rowOff>76200</xdr:rowOff>
                  </from>
                  <to>
                    <xdr:col>15</xdr:col>
                    <xdr:colOff>566738</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33338</xdr:rowOff>
                  </from>
                  <to>
                    <xdr:col>15</xdr:col>
                    <xdr:colOff>566738</xdr:colOff>
                    <xdr:row>20</xdr:row>
                    <xdr:rowOff>147638</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109538</xdr:colOff>
                    <xdr:row>18</xdr:row>
                    <xdr:rowOff>52388</xdr:rowOff>
                  </from>
                  <to>
                    <xdr:col>15</xdr:col>
                    <xdr:colOff>528638</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topLeftCell="E1" zoomScale="85" zoomScaleNormal="85" workbookViewId="0">
      <pane ySplit="1" topLeftCell="A95" activePane="bottomLeft" state="frozen"/>
      <selection pane="bottomLeft" activeCell="I100" sqref="I100"/>
    </sheetView>
  </sheetViews>
  <sheetFormatPr defaultColWidth="7.06640625"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33203125" bestFit="1" customWidth="1"/>
    <col min="17" max="17" width="6.796875" customWidth="1"/>
    <col min="18" max="18" width="23.265625" bestFit="1" customWidth="1"/>
    <col min="19" max="19" width="16" bestFit="1" customWidth="1"/>
    <col min="20" max="20" width="16.796875" customWidth="1"/>
    <col min="21" max="21" width="10.33203125" bestFit="1" customWidth="1"/>
    <col min="22" max="22" width="9.265625" bestFit="1" customWidth="1"/>
    <col min="23" max="23" width="9.265625" customWidth="1"/>
    <col min="24" max="24" width="30.73046875" bestFit="1" customWidth="1"/>
    <col min="25" max="25" width="18" customWidth="1"/>
    <col min="26" max="26" width="15.796875" bestFit="1" customWidth="1"/>
  </cols>
  <sheetData>
    <row r="1" spans="1:26" ht="29.5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05"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05"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5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5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5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5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5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05"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55000000000001"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5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5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5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5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2430</v>
      </c>
      <c r="E87" s="59" t="s">
        <v>1663</v>
      </c>
      <c r="F87" s="13" t="s">
        <v>2428</v>
      </c>
      <c r="G87" s="242" t="s">
        <v>2376</v>
      </c>
      <c r="H87" s="63" t="s">
        <v>1640</v>
      </c>
      <c r="I87" s="79">
        <v>46083</v>
      </c>
      <c r="J87" s="61">
        <v>0.8125</v>
      </c>
      <c r="K87" s="59" t="s">
        <v>196</v>
      </c>
      <c r="M87" s="59" t="s">
        <v>132</v>
      </c>
      <c r="O87" s="59" t="s">
        <v>1680</v>
      </c>
      <c r="T87" s="59" t="s">
        <v>2377</v>
      </c>
      <c r="Z87" s="59" t="s">
        <v>2431</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2429</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2494</v>
      </c>
      <c r="H99" s="220" t="s">
        <v>19</v>
      </c>
      <c r="I99" s="279">
        <v>46140</v>
      </c>
      <c r="J99" s="45">
        <v>0.45833333333333331</v>
      </c>
      <c r="M99" s="39" t="s">
        <v>661</v>
      </c>
      <c r="O99" s="39" t="s">
        <v>1680</v>
      </c>
      <c r="R99" t="s">
        <v>1674</v>
      </c>
      <c r="U99" t="s">
        <v>1955</v>
      </c>
    </row>
    <row r="100" spans="1:26" ht="14.25">
      <c r="B100" s="36" t="s">
        <v>2440</v>
      </c>
      <c r="C100" t="s">
        <v>2451</v>
      </c>
      <c r="F100" s="13" t="s">
        <v>2441</v>
      </c>
      <c r="G100" s="37" t="s">
        <v>2442</v>
      </c>
      <c r="H100" s="220" t="s">
        <v>19</v>
      </c>
      <c r="I100" s="77">
        <v>46154</v>
      </c>
      <c r="J100" s="45">
        <v>0.625</v>
      </c>
      <c r="M100" s="39" t="s">
        <v>72</v>
      </c>
      <c r="O100" t="s">
        <v>1476</v>
      </c>
      <c r="R100" t="s">
        <v>1674</v>
      </c>
      <c r="U100" t="s">
        <v>109</v>
      </c>
    </row>
    <row r="101" spans="1:26" ht="15.75">
      <c r="B101" s="36" t="s">
        <v>2446</v>
      </c>
      <c r="C101" t="s">
        <v>2447</v>
      </c>
      <c r="F101" s="13" t="s">
        <v>2449</v>
      </c>
      <c r="G101" s="37" t="s">
        <v>2448</v>
      </c>
      <c r="H101" s="220" t="s">
        <v>19</v>
      </c>
      <c r="I101" s="279">
        <v>46165</v>
      </c>
      <c r="J101" s="45">
        <v>0.45833333333333331</v>
      </c>
      <c r="M101" t="s">
        <v>102</v>
      </c>
      <c r="O101" t="s">
        <v>1476</v>
      </c>
    </row>
    <row r="102" spans="1:26" ht="15.75">
      <c r="B102" s="36" t="s">
        <v>2464</v>
      </c>
      <c r="F102" s="13" t="s">
        <v>2467</v>
      </c>
      <c r="G102" s="291" t="s">
        <v>2466</v>
      </c>
      <c r="H102" s="220" t="s">
        <v>19</v>
      </c>
      <c r="I102" s="279">
        <v>46191</v>
      </c>
      <c r="J102" s="45" t="s">
        <v>2465</v>
      </c>
      <c r="M102" s="39" t="s">
        <v>661</v>
      </c>
      <c r="O102" s="39" t="s">
        <v>1680</v>
      </c>
      <c r="R102" t="s">
        <v>1674</v>
      </c>
    </row>
    <row r="103" spans="1:26" ht="14.25">
      <c r="B103" s="36" t="s">
        <v>2470</v>
      </c>
      <c r="F103" s="13" t="s">
        <v>2468</v>
      </c>
      <c r="G103" s="37" t="s">
        <v>2469</v>
      </c>
      <c r="H103" s="220" t="s">
        <v>19</v>
      </c>
      <c r="I103" s="279">
        <v>46209</v>
      </c>
      <c r="J103" s="45">
        <v>0.66666666666666663</v>
      </c>
      <c r="M103" s="39" t="s">
        <v>102</v>
      </c>
      <c r="O103" t="s">
        <v>1476</v>
      </c>
    </row>
    <row r="104" spans="1:26" s="31" customFormat="1" ht="38.25">
      <c r="A104" s="31" t="s">
        <v>103</v>
      </c>
      <c r="B104" s="31" t="s">
        <v>2473</v>
      </c>
      <c r="C104" s="31" t="s">
        <v>2472</v>
      </c>
      <c r="F104" s="31" t="s">
        <v>2475</v>
      </c>
      <c r="G104" s="31" t="s">
        <v>2474</v>
      </c>
      <c r="H104" s="220" t="s">
        <v>19</v>
      </c>
      <c r="I104" s="31" t="s">
        <v>2471</v>
      </c>
      <c r="J104" s="53" t="s">
        <v>2465</v>
      </c>
      <c r="M104" s="54" t="s">
        <v>661</v>
      </c>
      <c r="O104" s="31" t="s">
        <v>1476</v>
      </c>
      <c r="R104" s="31" t="s">
        <v>1674</v>
      </c>
      <c r="Z104" s="220" t="s">
        <v>2476</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79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796875" customWidth="1"/>
    <col min="2" max="2" width="14.73046875" bestFit="1" customWidth="1"/>
    <col min="3" max="3" width="16.265625" bestFit="1" customWidth="1"/>
    <col min="4" max="4" width="5.59765625" bestFit="1" customWidth="1"/>
    <col min="5" max="6" width="7.265625" bestFit="1" customWidth="1"/>
    <col min="7" max="7" width="10.796875" bestFit="1" customWidth="1"/>
    <col min="8" max="8" width="9" hidden="1" customWidth="1"/>
    <col min="9" max="9" width="11.796875" hidden="1" customWidth="1"/>
    <col min="10" max="10" width="8.796875" hidden="1" customWidth="1"/>
    <col min="11" max="11" width="11.796875" hidden="1" customWidth="1"/>
    <col min="12" max="12" width="12.33203125" hidden="1" customWidth="1"/>
    <col min="13" max="13" width="0" hidden="1"/>
    <col min="14" max="14" width="13.06640625" bestFit="1" customWidth="1"/>
    <col min="15" max="15" width="16.265625" bestFit="1" customWidth="1"/>
    <col min="16" max="16" width="6.06640625" bestFit="1" customWidth="1"/>
    <col min="17" max="17" width="7.265625" bestFit="1" customWidth="1"/>
    <col min="18" max="18" width="10.796875" bestFit="1" customWidth="1"/>
    <col min="22" max="22" width="18" customWidth="1"/>
    <col min="23" max="24" width="0" hidden="1"/>
    <col min="25" max="25" width="19.79687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06640625" bestFit="1" customWidth="1"/>
    <col min="42" max="42" width="14" bestFit="1" customWidth="1"/>
    <col min="43" max="43" width="18.265625" bestFit="1" customWidth="1"/>
    <col min="44" max="44" width="25.06640625" bestFit="1" customWidth="1"/>
    <col min="45" max="45" width="5.06640625" bestFit="1" customWidth="1"/>
    <col min="46" max="46" width="12.06640625" customWidth="1"/>
    <col min="47" max="47" width="16.796875" customWidth="1"/>
    <col min="48" max="48" width="11.06640625" customWidth="1"/>
    <col min="51" max="51" width="17.796875" bestFit="1" customWidth="1"/>
    <col min="52" max="52" width="16.265625" bestFit="1" customWidth="1"/>
    <col min="53" max="53" width="5.59765625" bestFit="1" customWidth="1"/>
    <col min="54" max="55" width="7.265625" bestFit="1" customWidth="1"/>
    <col min="56" max="56" width="10.79687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06640625" bestFit="1" customWidth="1"/>
    <col min="80" max="81" width="17.33203125" customWidth="1"/>
    <col min="82" max="82" width="11" bestFit="1" customWidth="1"/>
    <col min="84" max="84" width="18" bestFit="1" customWidth="1"/>
    <col min="85" max="85" width="20.33203125" bestFit="1" customWidth="1"/>
    <col min="87" max="87" width="17.796875" customWidth="1"/>
    <col min="88" max="88" width="21.73046875" customWidth="1"/>
    <col min="91" max="91" width="29" customWidth="1"/>
    <col min="92" max="92" width="9.06640625" bestFit="1" customWidth="1"/>
    <col min="94" max="94" width="24.06640625"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796875" bestFit="1" customWidth="1"/>
    <col min="105" max="105" width="8.73046875" customWidth="1"/>
    <col min="106" max="106" width="6" bestFit="1" customWidth="1"/>
    <col min="107" max="107" width="6.33203125" customWidth="1"/>
    <col min="108" max="108" width="6.796875" customWidth="1"/>
    <col min="109" max="109" width="7" bestFit="1" customWidth="1"/>
    <col min="110" max="110" width="10.79687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796875" bestFit="1" customWidth="1"/>
  </cols>
  <sheetData>
    <row r="1" spans="2:201" s="97" customFormat="1" ht="14.55" customHeight="1">
      <c r="B1" s="301" t="s">
        <v>1819</v>
      </c>
      <c r="C1" s="302"/>
      <c r="D1" s="302"/>
      <c r="E1" s="118"/>
      <c r="F1" s="118"/>
      <c r="H1" s="303" t="s">
        <v>1820</v>
      </c>
      <c r="I1" s="302"/>
      <c r="J1" s="302"/>
      <c r="K1" s="302"/>
      <c r="L1" s="302"/>
      <c r="M1" s="98"/>
      <c r="N1" s="303" t="s">
        <v>1821</v>
      </c>
      <c r="O1" s="302"/>
      <c r="P1" s="302"/>
      <c r="Q1" s="302"/>
      <c r="R1" s="302"/>
      <c r="S1" s="302"/>
      <c r="T1" s="302"/>
      <c r="U1" s="302"/>
      <c r="V1" s="302"/>
      <c r="X1" s="303" t="s">
        <v>1822</v>
      </c>
      <c r="Y1" s="302"/>
      <c r="Z1" s="302"/>
      <c r="AA1" s="302"/>
      <c r="AC1" s="301" t="s">
        <v>1823</v>
      </c>
      <c r="AD1" s="302"/>
      <c r="AE1" s="302"/>
      <c r="AF1" s="302"/>
      <c r="AG1" s="302"/>
      <c r="AH1" s="302"/>
      <c r="AI1" s="302"/>
      <c r="AJ1" s="302"/>
      <c r="AK1" s="302"/>
      <c r="AL1" s="100"/>
      <c r="AM1" s="100"/>
      <c r="AN1" s="100"/>
      <c r="AP1" s="301" t="s">
        <v>1824</v>
      </c>
      <c r="AQ1" s="302"/>
      <c r="AR1" s="302"/>
      <c r="AS1" s="302"/>
      <c r="AT1" s="302"/>
      <c r="AU1" s="302"/>
      <c r="AV1" s="302"/>
      <c r="AW1" s="302"/>
      <c r="AY1" s="301" t="s">
        <v>1825</v>
      </c>
      <c r="AZ1" s="302"/>
      <c r="BA1" s="302"/>
      <c r="BB1" s="302"/>
      <c r="BC1" s="302"/>
      <c r="BD1" s="94"/>
      <c r="BE1" s="301" t="s">
        <v>1826</v>
      </c>
      <c r="BF1" s="302"/>
      <c r="BG1" s="302"/>
      <c r="BJ1" s="301" t="s">
        <v>1827</v>
      </c>
      <c r="BK1" s="302"/>
      <c r="BL1" s="302"/>
      <c r="BM1" s="302"/>
      <c r="BN1" s="302"/>
      <c r="BO1" s="302"/>
      <c r="BP1" s="302"/>
      <c r="BQ1" s="302"/>
      <c r="BR1" s="302"/>
      <c r="BS1" s="302"/>
      <c r="BT1" s="302"/>
      <c r="BU1" s="302"/>
      <c r="BV1" s="302"/>
      <c r="BX1" s="304" t="s">
        <v>1828</v>
      </c>
      <c r="BY1" s="302"/>
      <c r="BZ1" s="302"/>
      <c r="CA1" s="302"/>
      <c r="CB1" s="302"/>
      <c r="CC1" s="302"/>
      <c r="CD1" s="302"/>
      <c r="CE1" s="94"/>
      <c r="CF1" s="88" t="s">
        <v>1</v>
      </c>
      <c r="CG1" t="s">
        <v>103</v>
      </c>
      <c r="CI1" s="301" t="s">
        <v>1829</v>
      </c>
      <c r="CJ1" s="302"/>
      <c r="CM1" s="136" t="s">
        <v>1830</v>
      </c>
      <c r="CN1" s="136" t="s">
        <v>43</v>
      </c>
      <c r="CP1" s="137" t="e">
        <f>INDEX(CP2:CP13, MATCH(TRUE, INDEX(CP2:CP13&lt;&gt;"", 0), 0))</f>
        <v>#N/A</v>
      </c>
    </row>
    <row r="2" spans="2:201" ht="14.5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0"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06640625" customWidth="1"/>
  </cols>
  <sheetData>
    <row r="1" spans="1:2">
      <c r="A1" s="299"/>
      <c r="B1" s="298"/>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06640625" bestFit="1" customWidth="1"/>
    <col min="4" max="4" width="11.265625" bestFit="1" customWidth="1"/>
    <col min="5" max="5" width="4.33203125" bestFit="1" customWidth="1"/>
    <col min="6" max="7" width="6" bestFit="1" customWidth="1"/>
    <col min="8" max="8" width="5" bestFit="1" customWidth="1"/>
    <col min="9" max="9" width="6" bestFit="1" customWidth="1"/>
    <col min="10" max="10" width="4.06640625" bestFit="1" customWidth="1"/>
    <col min="11" max="11" width="6" bestFit="1" customWidth="1"/>
    <col min="12" max="13" width="10.796875" bestFit="1" customWidth="1"/>
    <col min="15" max="15" width="12.59765625" bestFit="1" customWidth="1"/>
    <col min="16" max="16" width="10.06640625"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06640625" bestFit="1" customWidth="1"/>
    <col min="24" max="24" width="6.73046875" bestFit="1" customWidth="1"/>
    <col min="25" max="26" width="10.796875" bestFit="1" customWidth="1"/>
  </cols>
  <sheetData>
    <row r="1" spans="2:26">
      <c r="B1" s="305" t="s">
        <v>1902</v>
      </c>
      <c r="C1" s="298"/>
      <c r="D1" s="298"/>
      <c r="E1" s="298"/>
      <c r="F1" s="298"/>
      <c r="G1" s="298"/>
      <c r="H1" s="298"/>
      <c r="I1" s="298"/>
      <c r="J1" s="298"/>
      <c r="K1" s="298"/>
      <c r="L1" s="298"/>
      <c r="M1" s="298"/>
      <c r="O1" s="305" t="s">
        <v>1903</v>
      </c>
      <c r="P1" s="298"/>
      <c r="Q1" s="298"/>
      <c r="R1" s="298"/>
      <c r="S1" s="298"/>
      <c r="T1" s="298"/>
      <c r="U1" s="298"/>
      <c r="V1" s="298"/>
      <c r="W1" s="298"/>
      <c r="X1" s="298"/>
      <c r="Y1" s="298"/>
      <c r="Z1" s="298"/>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06640625"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2026-06-23T06:33:15Z</dcterms:modified>
</cp:coreProperties>
</file>