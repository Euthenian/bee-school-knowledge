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3.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M:\Git\bee-school-knowledge\事務\"/>
    </mc:Choice>
  </mc:AlternateContent>
  <xr:revisionPtr revIDLastSave="0" documentId="8_{D0A56072-6C7A-4CA3-A3A5-FE780F0FD424}" xr6:coauthVersionLast="47" xr6:coauthVersionMax="47" xr10:uidLastSave="{00000000-0000-0000-0000-000000000000}"/>
  <bookViews>
    <workbookView xWindow="-120" yWindow="-120" windowWidth="29040" windowHeight="15840"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2026'!$A$1:$AC$72</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71" i="13" l="1"/>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2" i="13"/>
  <c r="P31" i="13"/>
  <c r="S2" i="13"/>
  <c r="S3" i="13"/>
  <c r="S4" i="13"/>
  <c r="S5" i="13"/>
  <c r="S6" i="13"/>
  <c r="S7" i="13"/>
  <c r="S9" i="13"/>
  <c r="S10" i="13"/>
  <c r="S11" i="13"/>
  <c r="S12" i="13"/>
  <c r="S13" i="13"/>
  <c r="S14" i="13"/>
  <c r="S15" i="13"/>
  <c r="S17" i="13"/>
  <c r="S18" i="13"/>
  <c r="S19" i="13"/>
  <c r="S20" i="13"/>
  <c r="S21" i="13"/>
  <c r="S22" i="13"/>
  <c r="S23" i="13"/>
  <c r="S24" i="13"/>
  <c r="S25" i="13"/>
  <c r="S26" i="13"/>
  <c r="S27" i="13"/>
  <c r="S28" i="13"/>
  <c r="S29" i="13"/>
  <c r="P3" i="13"/>
  <c r="P4" i="13"/>
  <c r="P5" i="13"/>
  <c r="P6" i="13"/>
  <c r="P7" i="13"/>
  <c r="P9" i="13"/>
  <c r="P10" i="13"/>
  <c r="P11" i="13"/>
  <c r="P12" i="13"/>
  <c r="P13" i="13"/>
  <c r="P14" i="13"/>
  <c r="P15" i="13"/>
  <c r="P17" i="13"/>
  <c r="P18" i="13"/>
  <c r="P19" i="13"/>
  <c r="P20" i="13"/>
  <c r="P21" i="13"/>
  <c r="P22" i="13"/>
  <c r="P23" i="13"/>
  <c r="P24" i="13"/>
  <c r="P25" i="13"/>
  <c r="P26" i="13"/>
  <c r="P27" i="13"/>
  <c r="P28" i="13"/>
  <c r="P29"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2" i="13"/>
  <c r="N11" i="13"/>
  <c r="N3" i="13"/>
  <c r="N4" i="13"/>
  <c r="N5" i="13"/>
  <c r="N6" i="13"/>
  <c r="N7" i="13"/>
  <c r="N8" i="13"/>
  <c r="N9" i="13"/>
  <c r="N10"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5" i="13"/>
  <c r="N56" i="13"/>
  <c r="N57" i="13"/>
  <c r="N58" i="13"/>
  <c r="N59" i="13"/>
  <c r="N60" i="13"/>
  <c r="N61" i="13"/>
  <c r="N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BH234" i="1" l="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P231"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BP227" i="1" s="1"/>
  <c r="AA8" i="6"/>
  <c r="AA5" i="6"/>
  <c r="AA15" i="6"/>
  <c r="U17" i="6"/>
  <c r="AZ11" i="6" s="1"/>
  <c r="AA13" i="6"/>
  <c r="AA16" i="6"/>
  <c r="AA12" i="6"/>
  <c r="AA6" i="6"/>
  <c r="AA14" i="6"/>
  <c r="AA11" i="6"/>
  <c r="AA9" i="6"/>
  <c r="BP233" i="1" l="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Z220" i="1"/>
  <c r="AX220" i="1"/>
  <c r="BK77" i="1"/>
  <c r="BI77" i="1"/>
  <c r="BG77" i="1"/>
  <c r="AZ77" i="1"/>
  <c r="AX77" i="1"/>
  <c r="BK91" i="1"/>
  <c r="BI91" i="1"/>
  <c r="BG91" i="1"/>
  <c r="AZ91" i="1"/>
  <c r="AX91" i="1"/>
  <c r="BK121" i="1"/>
  <c r="BI121" i="1"/>
  <c r="BG121" i="1"/>
  <c r="AZ121" i="1"/>
  <c r="AX121" i="1"/>
  <c r="BK63" i="1"/>
  <c r="BI63" i="1"/>
  <c r="BG63" i="1"/>
  <c r="AZ63" i="1"/>
  <c r="AX63" i="1"/>
  <c r="AX88" i="1"/>
  <c r="AZ88" i="1"/>
  <c r="BG88" i="1"/>
  <c r="BI88" i="1"/>
  <c r="BK88" i="1"/>
  <c r="BK189" i="1"/>
  <c r="BI189" i="1"/>
  <c r="BG189" i="1"/>
  <c r="AZ189" i="1"/>
  <c r="AX189" i="1"/>
  <c r="BK127" i="1"/>
  <c r="BI127" i="1"/>
  <c r="BG127" i="1"/>
  <c r="AZ127" i="1"/>
  <c r="AX127" i="1"/>
  <c r="BK99" i="1"/>
  <c r="BI99" i="1"/>
  <c r="BG99" i="1"/>
  <c r="AZ99" i="1"/>
  <c r="AX99" i="1"/>
  <c r="BK94" i="1"/>
  <c r="BI94" i="1"/>
  <c r="BG94" i="1"/>
  <c r="AZ94" i="1"/>
  <c r="AX94" i="1"/>
  <c r="AZ7" i="1"/>
  <c r="AX7" i="1"/>
  <c r="AZ50" i="1"/>
  <c r="AX50" i="1"/>
  <c r="BK93" i="1"/>
  <c r="BI93" i="1"/>
  <c r="BG93" i="1"/>
  <c r="AZ93" i="1"/>
  <c r="AX93" i="1"/>
  <c r="AX142" i="1"/>
  <c r="AZ142" i="1"/>
  <c r="BG142" i="1"/>
  <c r="BI142" i="1"/>
  <c r="BK142" i="1"/>
  <c r="AX64" i="1"/>
  <c r="AZ64" i="1"/>
  <c r="BG64" i="1"/>
  <c r="BI64" i="1"/>
  <c r="BK64" i="1"/>
  <c r="BK174" i="1"/>
  <c r="BI174" i="1"/>
  <c r="BG174" i="1"/>
  <c r="AZ174" i="1"/>
  <c r="AX174" i="1"/>
  <c r="BK46" i="1"/>
  <c r="BI46" i="1"/>
  <c r="BG46" i="1"/>
  <c r="AZ46" i="1"/>
  <c r="AX46" i="1"/>
  <c r="BK206" i="1"/>
  <c r="AX206" i="1"/>
  <c r="AZ206" i="1"/>
  <c r="BG206" i="1"/>
  <c r="BI206" i="1"/>
  <c r="BK216" i="1"/>
  <c r="AX216" i="1"/>
  <c r="AZ216" i="1"/>
  <c r="BG216" i="1"/>
  <c r="BI216" i="1"/>
  <c r="BK9" i="1"/>
  <c r="BI9" i="1"/>
  <c r="BG9" i="1"/>
  <c r="AZ9" i="1"/>
  <c r="AX9" i="1"/>
  <c r="AZ75" i="1"/>
  <c r="AX75" i="1"/>
  <c r="BK66" i="1"/>
  <c r="BI66" i="1"/>
  <c r="BG66" i="1"/>
  <c r="AZ66" i="1"/>
  <c r="AX66" i="1"/>
  <c r="AZ223" i="1"/>
  <c r="AX223" i="1"/>
  <c r="BK224" i="1"/>
  <c r="BI224" i="1"/>
  <c r="BG224" i="1"/>
  <c r="AZ224" i="1"/>
  <c r="AX224" i="1"/>
  <c r="AW224" i="1"/>
  <c r="BK213" i="1"/>
  <c r="AX213" i="1"/>
  <c r="AZ213" i="1"/>
  <c r="BG213" i="1"/>
  <c r="BI213" i="1"/>
  <c r="BK217" i="1"/>
  <c r="BI217" i="1"/>
  <c r="BG217" i="1"/>
  <c r="AZ217" i="1"/>
  <c r="AX217" i="1"/>
  <c r="AW217" i="1"/>
  <c r="AX156" i="1"/>
  <c r="AZ156" i="1"/>
  <c r="BG156" i="1"/>
  <c r="BI156" i="1"/>
  <c r="BK156" i="1"/>
  <c r="BK31" i="1"/>
  <c r="BI31" i="1"/>
  <c r="BG31" i="1"/>
  <c r="AZ31" i="1"/>
  <c r="AX31" i="1"/>
  <c r="BK27" i="1"/>
  <c r="BI27" i="1"/>
  <c r="BG27" i="1"/>
  <c r="AZ27" i="1"/>
  <c r="AX27" i="1"/>
  <c r="AX184" i="1"/>
  <c r="AZ184" i="1"/>
  <c r="BG184" i="1"/>
  <c r="BI184" i="1"/>
  <c r="BK184" i="1"/>
  <c r="AX219" i="1"/>
  <c r="AZ219" i="1"/>
  <c r="BG219" i="1"/>
  <c r="BI219" i="1"/>
  <c r="BK219" i="1"/>
  <c r="BK78" i="1"/>
  <c r="BI78" i="1"/>
  <c r="BG78" i="1"/>
  <c r="AZ78" i="1"/>
  <c r="AX78" i="1"/>
  <c r="BK20" i="1"/>
  <c r="BI20" i="1"/>
  <c r="BG20" i="1"/>
  <c r="AZ20" i="1"/>
  <c r="AX20" i="1"/>
  <c r="BK163" i="1"/>
  <c r="BI163" i="1"/>
  <c r="BG163" i="1"/>
  <c r="AZ163" i="1"/>
  <c r="AX163" i="1"/>
  <c r="AX60" i="1"/>
  <c r="AZ60" i="1"/>
  <c r="BG60" i="1"/>
  <c r="BI60" i="1"/>
  <c r="BK60" i="1"/>
  <c r="AZ233" i="1"/>
  <c r="AX233" i="1"/>
  <c r="BK129" i="1"/>
  <c r="BI129" i="1"/>
  <c r="BG129" i="1"/>
  <c r="AZ129" i="1"/>
  <c r="AX129" i="1"/>
  <c r="BK135" i="1"/>
  <c r="BI135" i="1"/>
  <c r="BG135" i="1"/>
  <c r="AZ135" i="1"/>
  <c r="AX135" i="1"/>
  <c r="BK175" i="1"/>
  <c r="BI175" i="1"/>
  <c r="BG175" i="1"/>
  <c r="AZ175" i="1"/>
  <c r="AX175" i="1"/>
  <c r="BK84" i="1"/>
  <c r="BI84" i="1"/>
  <c r="BG84" i="1"/>
  <c r="AZ84" i="1"/>
  <c r="AX84" i="1"/>
  <c r="AZ227" i="1"/>
  <c r="AX227" i="1"/>
  <c r="BK192" i="1"/>
  <c r="BI192" i="1"/>
  <c r="BG192" i="1"/>
  <c r="AZ192" i="1"/>
  <c r="AX192" i="1"/>
  <c r="BK74" i="1"/>
  <c r="BI74" i="1"/>
  <c r="BG74" i="1"/>
  <c r="AZ74" i="1"/>
  <c r="AX74" i="1"/>
  <c r="AX28" i="1"/>
  <c r="AZ28" i="1"/>
  <c r="BG28" i="1"/>
  <c r="BI28" i="1"/>
  <c r="BK28" i="1"/>
  <c r="BK71" i="1"/>
  <c r="BI71" i="1"/>
  <c r="AX71" i="1"/>
  <c r="AZ71" i="1"/>
  <c r="BG71" i="1"/>
  <c r="AZ167" i="1"/>
  <c r="AX167" i="1"/>
  <c r="AX132" i="1"/>
  <c r="AZ132" i="1"/>
  <c r="BG132" i="1"/>
  <c r="BI132" i="1"/>
  <c r="BK132" i="1"/>
  <c r="AX145" i="1"/>
  <c r="AZ145" i="1"/>
  <c r="BG145" i="1"/>
  <c r="BI145" i="1"/>
  <c r="BK145" i="1"/>
  <c r="BK52" i="1"/>
  <c r="BI52" i="1"/>
  <c r="BG52" i="1"/>
  <c r="AZ52" i="1"/>
  <c r="AX52" i="1"/>
  <c r="BK105" i="1"/>
  <c r="BI105" i="1"/>
  <c r="BG105" i="1"/>
  <c r="AZ105" i="1"/>
  <c r="AX105" i="1"/>
  <c r="BK159" i="1"/>
  <c r="BI159" i="1"/>
  <c r="BG159" i="1"/>
  <c r="AZ159" i="1"/>
  <c r="AX159" i="1"/>
  <c r="BK65" i="1"/>
  <c r="BI65" i="1"/>
  <c r="BG65" i="1"/>
  <c r="AZ65" i="1"/>
  <c r="AX65" i="1"/>
  <c r="BK139" i="1"/>
  <c r="BI139" i="1"/>
  <c r="BG139" i="1"/>
  <c r="AZ139" i="1"/>
  <c r="AX139" i="1"/>
  <c r="BK17" i="1"/>
  <c r="BI17" i="1"/>
  <c r="BG17" i="1"/>
  <c r="AZ17" i="1"/>
  <c r="AX17" i="1"/>
  <c r="AX100" i="1"/>
  <c r="AZ100" i="1"/>
  <c r="BG100" i="1"/>
  <c r="BI100" i="1"/>
  <c r="BK100" i="1"/>
  <c r="BK204" i="1"/>
  <c r="BI204" i="1"/>
  <c r="AW204" i="1"/>
  <c r="AX204" i="1"/>
  <c r="AZ204" i="1"/>
  <c r="BG204" i="1"/>
  <c r="BK137" i="1"/>
  <c r="AX137" i="1"/>
  <c r="AZ137" i="1"/>
  <c r="BG137" i="1"/>
  <c r="BI137" i="1"/>
  <c r="BK131" i="1"/>
  <c r="AX131" i="1"/>
  <c r="AZ131" i="1"/>
  <c r="BG131" i="1"/>
  <c r="BI131" i="1"/>
  <c r="AX112" i="1"/>
  <c r="AZ112" i="1"/>
  <c r="BG112" i="1"/>
  <c r="BI112" i="1"/>
  <c r="BK112" i="1"/>
  <c r="BK22" i="1"/>
  <c r="BI22" i="1"/>
  <c r="BG22" i="1"/>
  <c r="AZ22" i="1"/>
  <c r="AX22" i="1"/>
  <c r="BK149" i="1"/>
  <c r="BI149" i="1"/>
  <c r="BG149" i="1"/>
  <c r="AZ149" i="1"/>
  <c r="AX149" i="1"/>
  <c r="AZ82" i="1"/>
  <c r="AX82" i="1"/>
  <c r="AX25" i="1"/>
  <c r="AZ25" i="1"/>
  <c r="BG25" i="1"/>
  <c r="BI25" i="1"/>
  <c r="BK25" i="1"/>
  <c r="BK172" i="1"/>
  <c r="BI172" i="1"/>
  <c r="BG172" i="1"/>
  <c r="AZ172" i="1"/>
  <c r="AX172" i="1"/>
  <c r="BK199" i="1"/>
  <c r="AX199" i="1"/>
  <c r="AZ199" i="1"/>
  <c r="BG199" i="1"/>
  <c r="BI199" i="1"/>
  <c r="BK29" i="1"/>
  <c r="AX29" i="1"/>
  <c r="AZ29" i="1"/>
  <c r="BG29" i="1"/>
  <c r="BI29" i="1"/>
  <c r="AZ118" i="1"/>
  <c r="AX118" i="1"/>
  <c r="AZ8" i="1"/>
  <c r="AX8" i="1"/>
  <c r="AX146" i="1"/>
  <c r="AZ146" i="1"/>
  <c r="BG146" i="1"/>
  <c r="BI146" i="1"/>
  <c r="BK146" i="1"/>
  <c r="BK18" i="1"/>
  <c r="AX18" i="1"/>
  <c r="AZ18" i="1"/>
  <c r="BG18" i="1"/>
  <c r="BI18" i="1"/>
  <c r="AX23" i="1"/>
  <c r="AZ23" i="1"/>
  <c r="BG23" i="1"/>
  <c r="BI23" i="1"/>
  <c r="BK23" i="1"/>
  <c r="BK109" i="1"/>
  <c r="BI109" i="1"/>
  <c r="AX109" i="1"/>
  <c r="AZ109" i="1"/>
  <c r="BG109" i="1"/>
  <c r="BK41" i="1"/>
  <c r="AX41" i="1"/>
  <c r="AZ41" i="1"/>
  <c r="BG41" i="1"/>
  <c r="BI41" i="1"/>
  <c r="AX160" i="1"/>
  <c r="AZ160" i="1"/>
  <c r="BG160" i="1"/>
  <c r="BI160" i="1"/>
  <c r="BK160" i="1"/>
  <c r="BK85" i="1"/>
  <c r="BI85" i="1"/>
  <c r="BG85" i="1"/>
  <c r="AZ85" i="1"/>
  <c r="AX85" i="1"/>
  <c r="AW85" i="1"/>
  <c r="BK58" i="1"/>
  <c r="BI58" i="1"/>
  <c r="BG58" i="1"/>
  <c r="AZ58" i="1"/>
  <c r="AX58" i="1"/>
  <c r="BK195" i="1"/>
  <c r="BI195" i="1"/>
  <c r="AX195" i="1"/>
  <c r="AZ195" i="1"/>
  <c r="BG195" i="1"/>
  <c r="BK6" i="1"/>
  <c r="BI6" i="1"/>
  <c r="BG6" i="1"/>
  <c r="AZ6" i="1"/>
  <c r="AX6" i="1"/>
  <c r="BK138" i="1"/>
  <c r="BI138" i="1"/>
  <c r="BG138" i="1"/>
  <c r="AZ138" i="1"/>
  <c r="AX138" i="1"/>
  <c r="BK3" i="1"/>
  <c r="BI3" i="1"/>
  <c r="BG3" i="1"/>
  <c r="AZ3" i="1"/>
  <c r="AX3" i="1"/>
  <c r="AX152" i="1"/>
  <c r="AZ152" i="1"/>
  <c r="BG152" i="1"/>
  <c r="BI152" i="1"/>
  <c r="BK152" i="1"/>
  <c r="AX123" i="1"/>
  <c r="AZ123" i="1"/>
  <c r="BG123" i="1"/>
  <c r="BI123" i="1"/>
  <c r="BK123" i="1"/>
  <c r="AX133" i="1"/>
  <c r="AZ133" i="1"/>
  <c r="BG133" i="1"/>
  <c r="BI133" i="1"/>
  <c r="BK133" i="1"/>
  <c r="AX124" i="1"/>
  <c r="AZ124" i="1"/>
  <c r="BG124" i="1"/>
  <c r="BI124" i="1"/>
  <c r="BK124" i="1"/>
  <c r="BK158" i="1"/>
  <c r="BI158" i="1"/>
  <c r="BG158" i="1"/>
  <c r="AZ158" i="1"/>
  <c r="AX158" i="1"/>
  <c r="BK72" i="1"/>
  <c r="BI72" i="1"/>
  <c r="BG72" i="1"/>
  <c r="AZ72" i="1"/>
  <c r="AX72" i="1"/>
  <c r="AX209" i="1"/>
  <c r="AZ209" i="1"/>
  <c r="BG209" i="1"/>
  <c r="BI209" i="1"/>
  <c r="BK209" i="1"/>
  <c r="AZ228" i="1"/>
  <c r="AX228" i="1"/>
  <c r="AZ136" i="1"/>
  <c r="AX136" i="1"/>
  <c r="AZ229" i="1"/>
  <c r="AX229" i="1"/>
  <c r="AX197" i="1"/>
  <c r="AZ197" i="1"/>
  <c r="BG197" i="1"/>
  <c r="BI197" i="1"/>
  <c r="BK197" i="1"/>
  <c r="AX207" i="1"/>
  <c r="AZ207" i="1"/>
  <c r="BG207" i="1"/>
  <c r="BI207" i="1"/>
  <c r="BK207" i="1"/>
  <c r="AZ154" i="1"/>
  <c r="AX154" i="1"/>
  <c r="AX117" i="1"/>
  <c r="AZ117" i="1"/>
  <c r="BG117" i="1"/>
  <c r="BI117" i="1"/>
  <c r="BK117" i="1"/>
  <c r="AX35" i="1"/>
  <c r="AZ35" i="1"/>
  <c r="BG35" i="1"/>
  <c r="BI35" i="1"/>
  <c r="BK35" i="1"/>
  <c r="AX164" i="1"/>
  <c r="AZ164" i="1"/>
  <c r="BG164" i="1"/>
  <c r="BI164" i="1"/>
  <c r="BK164" i="1"/>
  <c r="BK130" i="1"/>
  <c r="AX130" i="1"/>
  <c r="AZ130" i="1"/>
  <c r="BG130" i="1"/>
  <c r="BI130" i="1"/>
  <c r="AX26" i="1"/>
  <c r="AZ26" i="1"/>
  <c r="BG26" i="1"/>
  <c r="BI26" i="1"/>
  <c r="BK26" i="1"/>
  <c r="BK79" i="1"/>
  <c r="AX79" i="1"/>
  <c r="AZ79" i="1"/>
  <c r="BG79" i="1"/>
  <c r="BI79" i="1"/>
  <c r="AX201" i="1"/>
  <c r="AZ201" i="1"/>
  <c r="BG201" i="1"/>
  <c r="BI201" i="1"/>
  <c r="BK201" i="1"/>
  <c r="BK211" i="1"/>
  <c r="AX211" i="1"/>
  <c r="AZ211" i="1"/>
  <c r="BG211" i="1"/>
  <c r="BI211" i="1"/>
  <c r="BK177" i="1"/>
  <c r="AX177" i="1"/>
  <c r="AZ177" i="1"/>
  <c r="BG177" i="1"/>
  <c r="BI177" i="1"/>
  <c r="BK116" i="1"/>
  <c r="AX116" i="1"/>
  <c r="AZ116" i="1"/>
  <c r="BG116" i="1"/>
  <c r="BI116" i="1"/>
  <c r="BK104" i="1"/>
  <c r="AX104" i="1"/>
  <c r="AZ104" i="1"/>
  <c r="BG104" i="1"/>
  <c r="BI104" i="1"/>
  <c r="BK47" i="1"/>
  <c r="AX47" i="1"/>
  <c r="AZ47" i="1"/>
  <c r="BG47" i="1"/>
  <c r="BI47" i="1"/>
  <c r="AZ202" i="1"/>
  <c r="AX202" i="1"/>
  <c r="AX92" i="1"/>
  <c r="AZ92" i="1"/>
  <c r="BG92" i="1"/>
  <c r="BI92" i="1"/>
  <c r="BK92" i="1"/>
  <c r="AX144" i="1"/>
  <c r="AZ144" i="1"/>
  <c r="BG144" i="1"/>
  <c r="BI144" i="1"/>
  <c r="BK144" i="1"/>
  <c r="AX16" i="1"/>
  <c r="AZ16" i="1"/>
  <c r="BG16" i="1"/>
  <c r="BI16" i="1"/>
  <c r="BK16" i="1"/>
  <c r="AX32" i="1"/>
  <c r="AZ32" i="1"/>
  <c r="BG32" i="1"/>
  <c r="BI32" i="1"/>
  <c r="BK32" i="1"/>
  <c r="AX68" i="1"/>
  <c r="AZ68" i="1"/>
  <c r="BG68" i="1"/>
  <c r="BI68" i="1"/>
  <c r="BK68" i="1"/>
  <c r="AZ232" i="1"/>
  <c r="AX232" i="1"/>
  <c r="BK179" i="1"/>
  <c r="BI179" i="1"/>
  <c r="BG179" i="1"/>
  <c r="AZ179" i="1"/>
  <c r="AX179" i="1"/>
  <c r="AX14" i="1"/>
  <c r="AZ14" i="1"/>
  <c r="BG14" i="1"/>
  <c r="BI14" i="1"/>
  <c r="BK14" i="1"/>
  <c r="AX176" i="1"/>
  <c r="AZ176" i="1"/>
  <c r="BG176" i="1"/>
  <c r="BI176" i="1"/>
  <c r="BK176" i="1"/>
  <c r="AX143" i="1"/>
  <c r="AZ143" i="1"/>
  <c r="BG143" i="1"/>
  <c r="BI143" i="1"/>
  <c r="BK143" i="1"/>
  <c r="AX61" i="1"/>
  <c r="AZ61" i="1"/>
  <c r="BG61" i="1"/>
  <c r="BI61" i="1"/>
  <c r="BK61" i="1"/>
  <c r="AX166" i="1"/>
  <c r="AZ166" i="1"/>
  <c r="BG166" i="1"/>
  <c r="BI166" i="1"/>
  <c r="BK166" i="1"/>
  <c r="AX148" i="1"/>
  <c r="AZ148" i="1"/>
  <c r="BG148" i="1"/>
  <c r="BI148" i="1"/>
  <c r="BK148" i="1"/>
  <c r="AZ183" i="1"/>
  <c r="AX183" i="1"/>
  <c r="AX200" i="1"/>
  <c r="AZ200" i="1"/>
  <c r="BG200" i="1"/>
  <c r="BI200" i="1"/>
  <c r="BK200" i="1"/>
  <c r="AX70" i="1"/>
  <c r="AZ70" i="1"/>
  <c r="BG70" i="1"/>
  <c r="BI70" i="1"/>
  <c r="BK70" i="1"/>
  <c r="BK212" i="1"/>
  <c r="BI212" i="1"/>
  <c r="BG212" i="1"/>
  <c r="AZ212" i="1"/>
  <c r="AX212" i="1"/>
  <c r="BK114" i="1"/>
  <c r="BI114" i="1"/>
  <c r="BG114" i="1"/>
  <c r="AZ114" i="1"/>
  <c r="AX114" i="1"/>
  <c r="AX180" i="1"/>
  <c r="AZ180" i="1"/>
  <c r="BG180" i="1"/>
  <c r="BI180" i="1"/>
  <c r="BK180" i="1"/>
  <c r="AX103" i="1"/>
  <c r="AZ103" i="1"/>
  <c r="BG103" i="1"/>
  <c r="BI103" i="1"/>
  <c r="BK103" i="1"/>
  <c r="AZ230" i="1"/>
  <c r="AX230" i="1"/>
  <c r="AX45" i="1"/>
  <c r="AZ45" i="1"/>
  <c r="BG45" i="1"/>
  <c r="BI45" i="1"/>
  <c r="BK45" i="1"/>
  <c r="AX107" i="1"/>
  <c r="AZ107" i="1"/>
  <c r="BG107" i="1"/>
  <c r="BI107" i="1"/>
  <c r="BK107" i="1"/>
  <c r="AX185" i="1"/>
  <c r="AZ185" i="1"/>
  <c r="BG185" i="1"/>
  <c r="BI185" i="1"/>
  <c r="BK185" i="1"/>
  <c r="AZ24" i="1"/>
  <c r="AX24" i="1"/>
  <c r="AX5" i="1"/>
  <c r="AZ5" i="1"/>
  <c r="BG5" i="1"/>
  <c r="BI5" i="1"/>
  <c r="BK5" i="1"/>
  <c r="AZ182" i="1"/>
  <c r="AX182" i="1"/>
  <c r="AX186" i="1"/>
  <c r="AZ186" i="1"/>
  <c r="BG186" i="1"/>
  <c r="BI186" i="1"/>
  <c r="BK186" i="1"/>
  <c r="AX69" i="1"/>
  <c r="AZ69" i="1"/>
  <c r="BG69" i="1"/>
  <c r="BI69" i="1"/>
  <c r="BK69" i="1"/>
  <c r="AZ102" i="1"/>
  <c r="AX102" i="1"/>
  <c r="AZ161" i="1"/>
  <c r="AX161" i="1"/>
  <c r="BK12" i="1"/>
  <c r="BI12" i="1"/>
  <c r="BG12" i="1"/>
  <c r="AZ12" i="1"/>
  <c r="AX12" i="1"/>
  <c r="AX157" i="1"/>
  <c r="AZ157" i="1"/>
  <c r="BG157" i="1"/>
  <c r="BI157" i="1"/>
  <c r="BK157" i="1"/>
  <c r="AX13" i="1"/>
  <c r="AZ13" i="1"/>
  <c r="BG13" i="1"/>
  <c r="BI13" i="1"/>
  <c r="BK13" i="1"/>
  <c r="BK59" i="1"/>
  <c r="BI59" i="1"/>
  <c r="BG59" i="1"/>
  <c r="AZ59" i="1"/>
  <c r="AX59" i="1"/>
  <c r="AX119" i="1"/>
  <c r="AZ119" i="1"/>
  <c r="BG119" i="1"/>
  <c r="BI119" i="1"/>
  <c r="BK119" i="1"/>
  <c r="BK86" i="1"/>
  <c r="BI86" i="1"/>
  <c r="BG86" i="1"/>
  <c r="AZ86" i="1"/>
  <c r="AX86" i="1"/>
  <c r="BK173" i="1"/>
  <c r="BI173" i="1"/>
  <c r="BG173" i="1"/>
  <c r="AZ173" i="1"/>
  <c r="AX173" i="1"/>
  <c r="AZ120" i="1"/>
  <c r="AX120" i="1"/>
  <c r="AZ81" i="1"/>
  <c r="AX81" i="1"/>
  <c r="AX48" i="1"/>
  <c r="AZ48" i="1"/>
  <c r="BG48" i="1"/>
  <c r="BI48" i="1"/>
  <c r="BK48" i="1"/>
  <c r="BK101" i="1"/>
  <c r="BI101" i="1"/>
  <c r="BG101" i="1"/>
  <c r="AZ101" i="1"/>
  <c r="AX101" i="1"/>
  <c r="BK4" i="1"/>
  <c r="BI4" i="1"/>
  <c r="BG4" i="1"/>
  <c r="AZ4" i="1"/>
  <c r="AX4" i="1"/>
  <c r="AX34" i="1"/>
  <c r="AZ34" i="1"/>
  <c r="BG34" i="1"/>
  <c r="BI34" i="1"/>
  <c r="BK34" i="1"/>
  <c r="AZ51" i="1"/>
  <c r="AX51" i="1"/>
  <c r="AZ150" i="1"/>
  <c r="AX150" i="1"/>
  <c r="AX214" i="1"/>
  <c r="AZ214" i="1"/>
  <c r="BG214" i="1"/>
  <c r="BI214" i="1"/>
  <c r="BK214" i="1"/>
  <c r="AX111" i="1"/>
  <c r="AZ111" i="1"/>
  <c r="BG111" i="1"/>
  <c r="BI111" i="1"/>
  <c r="BK111" i="1"/>
  <c r="AZ170" i="1"/>
  <c r="AX170" i="1"/>
  <c r="AX39" i="1"/>
  <c r="AZ39" i="1"/>
  <c r="BG39" i="1"/>
  <c r="BI39" i="1"/>
  <c r="BK39" i="1"/>
  <c r="AZ97" i="1"/>
  <c r="AX97" i="1"/>
  <c r="AX165" i="1"/>
  <c r="AZ165" i="1"/>
  <c r="BG165" i="1"/>
  <c r="BI165" i="1"/>
  <c r="BK165" i="1"/>
  <c r="BK55" i="1"/>
  <c r="BI55" i="1"/>
  <c r="BG55" i="1"/>
  <c r="AZ55" i="1"/>
  <c r="AX55" i="1"/>
  <c r="BK231" i="1"/>
  <c r="BI231" i="1"/>
  <c r="BG231" i="1"/>
  <c r="AZ231" i="1"/>
  <c r="AX231" i="1"/>
  <c r="BK36" i="1"/>
  <c r="BI36" i="1"/>
  <c r="BG36" i="1"/>
  <c r="AZ36" i="1"/>
  <c r="AX36" i="1"/>
  <c r="BK205" i="1"/>
  <c r="BI205" i="1"/>
  <c r="BG205" i="1"/>
  <c r="AZ205" i="1"/>
  <c r="AX205" i="1"/>
  <c r="AX19" i="1"/>
  <c r="AZ19" i="1"/>
  <c r="BG19" i="1"/>
  <c r="BI19" i="1"/>
  <c r="BK19" i="1"/>
  <c r="BK89" i="1"/>
  <c r="BI89" i="1"/>
  <c r="BG89" i="1"/>
  <c r="AZ89" i="1"/>
  <c r="AX89" i="1"/>
  <c r="BK11" i="1"/>
  <c r="BI11" i="1"/>
  <c r="BG11" i="1"/>
  <c r="AZ11" i="1"/>
  <c r="AX11" i="1"/>
  <c r="BK44" i="1"/>
  <c r="BI44" i="1"/>
  <c r="BG44" i="1"/>
  <c r="AZ44" i="1"/>
  <c r="AX44" i="1"/>
  <c r="AZ226" i="1"/>
  <c r="AX226" i="1"/>
  <c r="BK95" i="1"/>
  <c r="BI95" i="1"/>
  <c r="BG95" i="1"/>
  <c r="AZ95" i="1"/>
  <c r="AX95" i="1"/>
  <c r="AX115" i="1"/>
  <c r="AZ115" i="1"/>
  <c r="BG115" i="1"/>
  <c r="BI115" i="1"/>
  <c r="BK115" i="1"/>
  <c r="AZ171" i="1"/>
  <c r="AX171" i="1"/>
  <c r="AX73" i="1"/>
  <c r="AZ73" i="1"/>
  <c r="BG73" i="1"/>
  <c r="BI73" i="1"/>
  <c r="BK73" i="1"/>
  <c r="AX98" i="1"/>
  <c r="AZ98" i="1"/>
  <c r="BG98" i="1"/>
  <c r="BI98" i="1"/>
  <c r="BK98" i="1"/>
  <c r="AX208" i="1"/>
  <c r="AZ208" i="1"/>
  <c r="BG208" i="1"/>
  <c r="BI208" i="1"/>
  <c r="BK208" i="1"/>
  <c r="AX128" i="1"/>
  <c r="AZ128" i="1"/>
  <c r="BG128" i="1"/>
  <c r="BI128" i="1"/>
  <c r="BK128" i="1"/>
  <c r="AZ221" i="1"/>
  <c r="AX221" i="1"/>
  <c r="BK21" i="1"/>
  <c r="BI21" i="1"/>
  <c r="AX21" i="1"/>
  <c r="AZ21" i="1"/>
  <c r="BG21" i="1"/>
  <c r="BK67" i="1"/>
  <c r="BI67" i="1"/>
  <c r="AX67" i="1"/>
  <c r="AZ67" i="1"/>
  <c r="BG67" i="1"/>
  <c r="BK193" i="1"/>
  <c r="BI193" i="1"/>
  <c r="AX193" i="1"/>
  <c r="AZ193" i="1"/>
  <c r="BG193" i="1"/>
  <c r="BK43" i="1"/>
  <c r="BI43" i="1"/>
  <c r="AX43" i="1"/>
  <c r="AZ43" i="1"/>
  <c r="BG43" i="1"/>
  <c r="AX187" i="1"/>
  <c r="AZ187" i="1"/>
  <c r="BG187" i="1"/>
  <c r="BI187" i="1"/>
  <c r="BK187" i="1"/>
  <c r="BK194" i="1"/>
  <c r="BI194" i="1"/>
  <c r="AX194" i="1"/>
  <c r="AZ194" i="1"/>
  <c r="BG194" i="1"/>
  <c r="BK54" i="1"/>
  <c r="BI54" i="1"/>
  <c r="AX54" i="1"/>
  <c r="AZ54" i="1"/>
  <c r="BG54" i="1"/>
  <c r="AX222" i="1"/>
  <c r="AZ222" i="1"/>
  <c r="BG222" i="1"/>
  <c r="BI222" i="1"/>
  <c r="BK222" i="1"/>
  <c r="BK147" i="1"/>
  <c r="BI147" i="1"/>
  <c r="AX147" i="1"/>
  <c r="AZ147" i="1"/>
  <c r="BG147" i="1"/>
  <c r="AX151" i="1"/>
  <c r="AZ151" i="1"/>
  <c r="BG151" i="1"/>
  <c r="BI151" i="1"/>
  <c r="BK151" i="1"/>
  <c r="AX110" i="1"/>
  <c r="AZ110" i="1"/>
  <c r="BG110" i="1"/>
  <c r="BI110" i="1"/>
  <c r="BK110" i="1"/>
  <c r="AX38" i="1"/>
  <c r="AZ38" i="1"/>
  <c r="BG38" i="1"/>
  <c r="BI38" i="1"/>
  <c r="BK38" i="1"/>
  <c r="AX33" i="1"/>
  <c r="AZ33" i="1"/>
  <c r="BG33" i="1"/>
  <c r="BI33" i="1"/>
  <c r="BK33" i="1"/>
  <c r="AZ218" i="1"/>
  <c r="AX218" i="1"/>
  <c r="AX106" i="1"/>
  <c r="AZ106" i="1"/>
  <c r="BG106" i="1"/>
  <c r="BI106" i="1"/>
  <c r="BK106" i="1"/>
  <c r="AZ155" i="1"/>
  <c r="AX155" i="1"/>
  <c r="BK62" i="1"/>
  <c r="BI62" i="1"/>
  <c r="AW62" i="1"/>
  <c r="AX62" i="1"/>
  <c r="AZ62" i="1"/>
  <c r="BG62" i="1"/>
  <c r="AZ178" i="1"/>
  <c r="AX178" i="1"/>
  <c r="AX198" i="1"/>
  <c r="AZ198" i="1"/>
  <c r="BG198" i="1"/>
  <c r="BI198" i="1"/>
  <c r="BK198" i="1"/>
  <c r="AZ234" i="1"/>
  <c r="AX234" i="1"/>
  <c r="BK125" i="1"/>
  <c r="AW125" i="1"/>
  <c r="AX125" i="1"/>
  <c r="AZ125" i="1"/>
  <c r="BG125" i="1"/>
  <c r="BI125" i="1"/>
  <c r="BK37" i="1"/>
  <c r="AX37" i="1"/>
  <c r="AZ37" i="1"/>
  <c r="BG37" i="1"/>
  <c r="BI37" i="1"/>
  <c r="BK203" i="1"/>
  <c r="AX203" i="1"/>
  <c r="AZ203" i="1"/>
  <c r="BG203" i="1"/>
  <c r="BI203" i="1"/>
  <c r="BK40" i="1"/>
  <c r="AX40" i="1"/>
  <c r="AZ40" i="1"/>
  <c r="BG40" i="1"/>
  <c r="BI40" i="1"/>
  <c r="BK153" i="1"/>
  <c r="AX153" i="1"/>
  <c r="AZ153" i="1"/>
  <c r="BG153" i="1"/>
  <c r="BI153" i="1"/>
  <c r="BK113" i="1"/>
  <c r="AX113" i="1"/>
  <c r="AZ113" i="1"/>
  <c r="BG113" i="1"/>
  <c r="BI113" i="1"/>
  <c r="BK80" i="1"/>
  <c r="AX80" i="1"/>
  <c r="AZ80" i="1"/>
  <c r="BG80" i="1"/>
  <c r="BI80" i="1"/>
  <c r="BK168" i="1"/>
  <c r="AX168" i="1"/>
  <c r="AZ168" i="1"/>
  <c r="BG168" i="1"/>
  <c r="BI168" i="1"/>
  <c r="AX215" i="1"/>
  <c r="AZ215" i="1"/>
  <c r="BG215" i="1"/>
  <c r="BI215" i="1"/>
  <c r="BK215" i="1"/>
  <c r="BK42" i="1"/>
  <c r="AX42" i="1"/>
  <c r="AZ42" i="1"/>
  <c r="BG42" i="1"/>
  <c r="BI42" i="1"/>
  <c r="AX96" i="1"/>
  <c r="AZ96" i="1"/>
  <c r="BG96" i="1"/>
  <c r="BI96" i="1"/>
  <c r="BK96" i="1"/>
  <c r="AX87" i="1"/>
  <c r="AZ87" i="1"/>
  <c r="BG87" i="1"/>
  <c r="BI87" i="1"/>
  <c r="BK87" i="1"/>
  <c r="AX134" i="1"/>
  <c r="AZ134" i="1"/>
  <c r="BG134" i="1"/>
  <c r="BI134" i="1"/>
  <c r="BK134" i="1"/>
  <c r="AX15" i="1"/>
  <c r="AZ15" i="1"/>
  <c r="BG15" i="1"/>
  <c r="BI15" i="1"/>
  <c r="BK15" i="1"/>
  <c r="AX76" i="1"/>
  <c r="AZ76" i="1"/>
  <c r="BG76" i="1"/>
  <c r="BI76" i="1"/>
  <c r="BK76" i="1"/>
  <c r="AX140" i="1"/>
  <c r="AZ140" i="1"/>
  <c r="BG140" i="1"/>
  <c r="BI140" i="1"/>
  <c r="BK140" i="1"/>
  <c r="AX210" i="1"/>
  <c r="AZ210" i="1"/>
  <c r="BG210" i="1"/>
  <c r="BI210" i="1"/>
  <c r="BK210" i="1"/>
  <c r="AX83" i="1"/>
  <c r="AZ83" i="1"/>
  <c r="BG83" i="1"/>
  <c r="BI83" i="1"/>
  <c r="BK83" i="1"/>
  <c r="AX49" i="1"/>
  <c r="AZ49" i="1"/>
  <c r="BG49" i="1"/>
  <c r="BI49" i="1"/>
  <c r="BK49" i="1"/>
  <c r="AX56" i="1"/>
  <c r="AZ56" i="1"/>
  <c r="BG56" i="1"/>
  <c r="BI56" i="1"/>
  <c r="BK56" i="1"/>
  <c r="AX126" i="1"/>
  <c r="AZ126" i="1"/>
  <c r="BG126" i="1"/>
  <c r="BI126" i="1"/>
  <c r="BK126" i="1"/>
  <c r="AX141" i="1"/>
  <c r="AZ141" i="1"/>
  <c r="BG141" i="1"/>
  <c r="BI141" i="1"/>
  <c r="BK141" i="1"/>
  <c r="AX191" i="1"/>
  <c r="AZ191" i="1"/>
  <c r="BG191" i="1"/>
  <c r="BI191" i="1"/>
  <c r="BK191" i="1"/>
  <c r="AX108" i="1"/>
  <c r="AZ108" i="1"/>
  <c r="BG108" i="1"/>
  <c r="BI108" i="1"/>
  <c r="BK108" i="1"/>
  <c r="AX181" i="1"/>
  <c r="AZ181" i="1"/>
  <c r="BG181" i="1"/>
  <c r="BI181" i="1"/>
  <c r="BK181" i="1"/>
  <c r="AX53" i="1"/>
  <c r="AZ53" i="1"/>
  <c r="BG53" i="1"/>
  <c r="BI53" i="1"/>
  <c r="BK53" i="1"/>
  <c r="AX190" i="1"/>
  <c r="AZ190" i="1"/>
  <c r="BG190" i="1"/>
  <c r="BI190" i="1"/>
  <c r="BK190" i="1"/>
  <c r="AZ225" i="1"/>
  <c r="AX225" i="1"/>
  <c r="AX90" i="1"/>
  <c r="AZ90" i="1"/>
  <c r="BG90" i="1"/>
  <c r="BI90" i="1"/>
  <c r="BK90" i="1"/>
  <c r="AZ2" i="1"/>
  <c r="BG2" i="1"/>
  <c r="BI2" i="1"/>
  <c r="BK2" i="1"/>
  <c r="AZ162" i="1"/>
  <c r="AX162" i="1"/>
  <c r="AW61" i="1"/>
  <c r="AX236" i="1"/>
  <c r="AX10" i="1"/>
  <c r="AZ10" i="1"/>
  <c r="BG10" i="1"/>
  <c r="BI10" i="1"/>
  <c r="BK10" i="1"/>
  <c r="AX30" i="1"/>
  <c r="AZ30" i="1"/>
  <c r="BG30" i="1"/>
  <c r="BI30" i="1"/>
  <c r="BK30" i="1"/>
  <c r="AX57" i="1"/>
  <c r="AZ57" i="1"/>
  <c r="BG57" i="1"/>
  <c r="BI57" i="1"/>
  <c r="BK57" i="1"/>
  <c r="AZ188" i="1"/>
  <c r="AX188" i="1"/>
  <c r="AX196" i="1"/>
  <c r="AZ196" i="1"/>
  <c r="BG196" i="1"/>
  <c r="BI196" i="1"/>
  <c r="BK196" i="1"/>
  <c r="AX2" i="1"/>
  <c r="AX122" i="1"/>
  <c r="AZ122" i="1"/>
  <c r="BG122" i="1"/>
  <c r="BI122" i="1"/>
  <c r="BK122" i="1"/>
</calcChain>
</file>

<file path=xl/sharedStrings.xml><?xml version="1.0" encoding="utf-8"?>
<sst xmlns="http://schemas.openxmlformats.org/spreadsheetml/2006/main" count="6257" uniqueCount="2456">
  <si>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</si>
  <si>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</si>
  <si>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</si>
  <si>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</si>
  <si>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</si>
  <si>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</si>
  <si>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</si>
  <si>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</si>
  <si>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</si>
  <si>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</si>
  <si>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</si>
  <si>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</si>
  <si>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</si>
  <si>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</si>
  <si>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</si>
  <si>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</si>
  <si>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</si>
  <si>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</si>
  <si>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</si>
  <si>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</si>
  <si>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</si>
  <si>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</si>
  <si>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</si>
  <si>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</si>
  <si>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</si>
  <si>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</si>
  <si>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</si>
  <si>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</si>
  <si>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</si>
  <si>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</si>
  <si>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</si>
  <si>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</si>
  <si>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</si>
  <si>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</si>
  <si>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</si>
  <si>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</si>
  <si>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</si>
  <si>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</si>
  <si>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</si>
  <si>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</si>
  <si>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</si>
  <si>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</si>
  <si>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</si>
  <si>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</si>
  <si>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</si>
  <si>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</si>
  <si>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</si>
  <si>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</si>
  <si>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</si>
  <si>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</si>
  <si>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</si>
  <si>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</si>
  <si>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</si>
  <si>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</si>
  <si>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</si>
  <si>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</si>
  <si>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</si>
  <si>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</si>
  <si>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</si>
  <si>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</si>
  <si>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</si>
  <si>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</si>
  <si>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</si>
  <si>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</si>
  <si>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</si>
  <si>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</si>
  <si>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</si>
  <si>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</si>
  <si>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</si>
  <si>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</si>
  <si>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</si>
  <si>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</si>
  <si>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</si>
  <si>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</si>
  <si>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</si>
  <si>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</si>
  <si>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</si>
  <si>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</si>
  <si>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</si>
  <si>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</si>
  <si>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</si>
  <si>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</si>
  <si>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</si>
  <si>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</si>
  <si>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</si>
  <si>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</si>
  <si>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</si>
  <si>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</si>
  <si>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</si>
  <si>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</si>
  <si>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</si>
  <si>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</si>
  <si>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</si>
  <si>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</si>
  <si>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</si>
  <si>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</si>
  <si>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</si>
  <si>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</si>
  <si>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</si>
  <si>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</si>
  <si>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</si>
  <si>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</si>
  <si>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</si>
  <si>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</si>
  <si>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</si>
  <si>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</si>
  <si>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</si>
  <si>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</si>
  <si>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</si>
  <si>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</si>
  <si>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</si>
  <si>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</si>
  <si>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</si>
  <si>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</si>
  <si>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</si>
  <si>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</si>
  <si>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</si>
  <si>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</si>
  <si>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</si>
  <si>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</si>
  <si>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</si>
  <si>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</si>
  <si>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</si>
  <si>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</si>
  <si>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</si>
  <si>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</si>
  <si>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</si>
  <si>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</si>
  <si>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</si>
  <si>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</si>
  <si>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</si>
  <si>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</si>
  <si>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</si>
  <si>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</si>
  <si>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</si>
  <si>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</si>
  <si>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</si>
  <si>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</si>
  <si>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</si>
  <si>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</si>
  <si>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</si>
  <si>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</si>
  <si>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</si>
  <si>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</si>
  <si>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</si>
  <si>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</si>
  <si>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</si>
  <si>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</si>
  <si>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</si>
  <si>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</si>
  <si>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</si>
  <si>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</si>
  <si>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</si>
  <si>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</si>
  <si>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</si>
  <si>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</si>
  <si>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</si>
  <si>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</si>
  <si>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</si>
  <si>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</si>
  <si>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</si>
  <si>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</si>
  <si>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</si>
  <si>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</si>
  <si>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</si>
  <si>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</si>
  <si>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</si>
  <si>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</si>
  <si>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</si>
  <si>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</si>
  <si>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</si>
  <si>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</si>
  <si>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</si>
  <si>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</si>
  <si>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</si>
  <si>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</si>
  <si>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</si>
  <si>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</si>
  <si>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</si>
  <si>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</si>
  <si>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</si>
  <si>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</si>
  <si>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</si>
  <si>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</si>
  <si>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</si>
  <si>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</si>
  <si>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</si>
  <si>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</si>
  <si>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</si>
  <si>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</si>
  <si>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</si>
  <si>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</si>
  <si>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</si>
  <si>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</si>
  <si>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</si>
  <si>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</si>
  <si>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</si>
  <si>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</si>
  <si>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</si>
  <si>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</si>
  <si>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</si>
  <si>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</si>
  <si>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</si>
  <si>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</si>
  <si>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</si>
  <si>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</si>
  <si>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</si>
  <si>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</si>
  <si>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</si>
  <si>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</si>
  <si>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</si>
  <si>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</si>
  <si>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</si>
  <si>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</si>
  <si>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</si>
  <si>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</si>
  <si>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</si>
  <si>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</si>
  <si>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</si>
  <si>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</si>
  <si>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</si>
  <si>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</si>
  <si>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</si>
  <si>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</si>
  <si>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</si>
  <si>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</si>
  <si>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</si>
  <si>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</si>
  <si>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</si>
  <si>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</si>
  <si>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</si>
  <si>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</si>
  <si>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</si>
  <si>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</si>
  <si>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</si>
  <si>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</si>
  <si>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</si>
  <si>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</si>
  <si>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</si>
  <si>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</si>
  <si>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</si>
  <si>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</si>
  <si>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</si>
  <si>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</si>
  <si>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</si>
  <si>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</si>
  <si>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</si>
  <si>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</si>
  <si>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</si>
  <si>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</si>
  <si>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</si>
  <si>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</si>
  <si>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</si>
  <si>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</si>
  <si>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</si>
  <si>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</si>
  <si>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</si>
  <si>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</si>
  <si>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</si>
  <si>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</si>
  <si>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</si>
  <si>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</si>
  <si>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</si>
  <si>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</si>
  <si>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</si>
  <si>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</si>
  <si>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</si>
  <si>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</si>
  <si>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</si>
  <si>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</si>
  <si>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</si>
  <si>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</si>
  <si>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</si>
  <si>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</si>
  <si>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</si>
  <si>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</si>
  <si>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</si>
  <si>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</si>
  <si>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</si>
  <si>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</si>
  <si>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</si>
  <si>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</si>
  <si>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</si>
  <si>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</si>
  <si>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</si>
  <si>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</si>
  <si>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</si>
  <si>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</si>
  <si>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</si>
  <si>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</si>
  <si>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</si>
  <si>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</si>
  <si>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</si>
  <si>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</si>
  <si>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</si>
  <si>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</si>
  <si>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</si>
  <si>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</si>
  <si>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</si>
  <si>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</si>
  <si>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</si>
  <si>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</si>
  <si>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</si>
  <si>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</si>
  <si>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</si>
  <si>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</si>
  <si>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</si>
  <si>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</si>
  <si>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</si>
  <si>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</si>
  <si>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</si>
  <si>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</si>
  <si>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</si>
  <si>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</si>
  <si>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</si>
  <si>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</si>
  <si>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</si>
  <si>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</si>
  <si>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</si>
  <si>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</si>
  <si>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</si>
  <si>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</si>
  <si>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</si>
  <si>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</si>
  <si>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</si>
  <si>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</si>
  <si>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</si>
  <si>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</si>
  <si>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</si>
  <si>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</si>
  <si>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</si>
  <si>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</si>
  <si>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</si>
  <si>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</si>
  <si>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</si>
  <si>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</si>
  <si>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</si>
  <si>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</si>
  <si>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</si>
  <si>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</si>
  <si>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</si>
  <si>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</si>
  <si>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</si>
  <si>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</si>
  <si>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</si>
  <si>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</si>
  <si>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</si>
  <si>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</si>
  <si>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</si>
  <si>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</si>
  <si>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</si>
  <si>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</si>
  <si>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</si>
  <si>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</si>
  <si>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</si>
  <si>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</si>
  <si>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</si>
  <si>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</si>
  <si>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</si>
  <si>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</si>
  <si>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</si>
  <si>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</si>
  <si>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</si>
  <si>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</si>
  <si>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</si>
  <si>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</si>
  <si>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</si>
  <si>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</si>
  <si>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</si>
  <si>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</si>
  <si>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</si>
  <si>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</si>
  <si>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</si>
  <si>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</si>
  <si>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</si>
  <si>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</si>
  <si>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</si>
  <si>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</si>
  <si>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</si>
  <si>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</si>
  <si>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</si>
  <si>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</si>
  <si>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</si>
  <si>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</si>
  <si>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</si>
  <si>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</si>
  <si>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</si>
  <si>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</si>
  <si>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</si>
  <si>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</si>
  <si>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</si>
  <si>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</si>
  <si>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</si>
  <si>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</si>
  <si>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</si>
  <si>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</si>
  <si>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</si>
  <si>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</si>
  <si>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</si>
  <si>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</si>
  <si>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</si>
  <si>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</si>
  <si>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</si>
  <si>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</si>
  <si>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</si>
  <si>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</si>
  <si>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</si>
  <si>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</si>
  <si>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</si>
  <si>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</si>
  <si>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</si>
  <si>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</si>
  <si>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</si>
  <si>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</si>
  <si>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</si>
  <si>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</si>
  <si>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</si>
  <si>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</si>
  <si>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</si>
  <si>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</si>
  <si>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</si>
  <si>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</si>
  <si>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</si>
  <si>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</si>
  <si>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</si>
  <si>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</si>
  <si>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</si>
  <si>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</si>
  <si>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</si>
  <si>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</si>
  <si>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</si>
  <si>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</si>
  <si>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</si>
  <si>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</si>
  <si>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</si>
  <si>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</si>
  <si>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</si>
  <si>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</si>
  <si>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</si>
  <si>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</si>
  <si>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</si>
  <si>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</si>
  <si>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</si>
  <si>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</si>
  <si>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</si>
  <si>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</si>
  <si>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</si>
  <si>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</si>
  <si>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</si>
  <si>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</si>
  <si>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</si>
  <si>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</si>
  <si>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</si>
  <si>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</si>
  <si>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</si>
  <si>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</si>
  <si>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</si>
  <si>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</si>
  <si>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</si>
  <si>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</si>
  <si>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</si>
  <si>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</si>
  <si>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</si>
  <si>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</si>
  <si>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</si>
  <si>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</si>
  <si>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</si>
  <si>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</si>
  <si>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</si>
  <si>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</si>
  <si>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</si>
  <si>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</si>
  <si>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</si>
  <si>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</si>
  <si>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080-2236-1879(母)</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</si>
  <si>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</si>
  <si>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</si>
  <si>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</si>
  <si>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</si>
  <si>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</si>
  <si>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</si>
  <si>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</si>
  <si>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</si>
  <si>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</si>
  <si>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</si>
  <si>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</si>
  <si>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</si>
  <si>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</si>
  <si>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</si>
  <si>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</si>
  <si>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</si>
  <si>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</si>
  <si>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</si>
  <si>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</si>
  <si>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</si>
  <si>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</si>
  <si>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</si>
  <si>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</si>
  <si>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</si>
  <si>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</si>
  <si>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</si>
  <si>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</si>
  <si>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</si>
  <si>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</si>
  <si>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</si>
  <si>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</si>
  <si>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</si>
  <si>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</si>
  <si>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</si>
  <si>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</si>
  <si>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</si>
  <si>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</si>
  <si>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</si>
  <si>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</si>
  <si>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</si>
  <si>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</si>
  <si>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</si>
  <si>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</si>
  <si>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</si>
  <si>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</si>
  <si>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</si>
  <si>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</si>
  <si>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</si>
  <si>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</si>
  <si>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</si>
  <si>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</si>
  <si>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</si>
  <si>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</si>
  <si>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</si>
  <si>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</si>
  <si>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</si>
  <si>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</si>
  <si>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</si>
  <si>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</si>
  <si>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</si>
  <si>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</si>
  <si>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</si>
  <si>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</si>
  <si>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</si>
  <si>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</si>
  <si>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</si>
  <si>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</si>
  <si>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</si>
  <si>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</si>
  <si>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</si>
  <si>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</si>
  <si>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</si>
  <si>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</si>
  <si>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</si>
  <si>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</si>
  <si>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</si>
  <si>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</si>
  <si>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</si>
  <si>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</si>
  <si>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</si>
  <si>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</si>
  <si>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</si>
  <si>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</si>
  <si>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</si>
  <si>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</si>
  <si>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</si>
  <si>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</si>
  <si>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</si>
  <si>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</si>
  <si>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</si>
  <si>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</si>
  <si>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</si>
  <si>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</si>
  <si>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</si>
  <si>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</si>
  <si>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</si>
  <si>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</si>
  <si>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</si>
  <si>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</si>
  <si>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</si>
  <si>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</si>
  <si>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</si>
  <si>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</si>
  <si>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</si>
  <si>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</si>
  <si>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</si>
  <si>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</si>
  <si>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</si>
  <si>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</si>
  <si>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</si>
  <si>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</si>
  <si>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</si>
  <si>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</si>
  <si>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</si>
  <si>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</si>
  <si>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</si>
  <si>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</si>
  <si>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</si>
  <si>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</si>
  <si>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</si>
  <si>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</si>
  <si>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</si>
  <si>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</si>
  <si>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</si>
  <si>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</si>
  <si>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</si>
  <si>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</si>
  <si>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</si>
  <si>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</si>
  <si>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</si>
  <si>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</si>
  <si>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</si>
  <si>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</si>
  <si>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</si>
  <si>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</si>
  <si>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</si>
  <si>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</si>
  <si>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</si>
  <si>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</si>
  <si>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</si>
  <si>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</si>
  <si>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</si>
  <si>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</si>
  <si>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</si>
  <si>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</si>
  <si>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</si>
  <si>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</si>
  <si>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</si>
  <si>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</si>
  <si>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</si>
  <si>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</si>
  <si>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</si>
  <si>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</si>
  <si>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</si>
  <si>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</si>
  <si>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</si>
  <si>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</si>
  <si>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</si>
  <si>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</si>
  <si>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</si>
  <si>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</si>
  <si>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</si>
  <si>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</si>
  <si>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</si>
  <si>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</si>
  <si>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</si>
  <si>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</si>
  <si>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</si>
  <si>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</si>
  <si>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</si>
  <si>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</si>
  <si>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</si>
  <si>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</si>
  <si>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</si>
  <si>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</si>
  <si>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</si>
  <si>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</si>
  <si>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</si>
  <si>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</si>
  <si>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</si>
  <si>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</si>
  <si>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</si>
  <si>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</si>
  <si>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</si>
  <si>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</si>
  <si>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</si>
  <si>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</si>
  <si>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</si>
  <si>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</si>
  <si>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</si>
  <si>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</si>
  <si>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</si>
  <si>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</si>
  <si>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</si>
  <si>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</si>
  <si>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</si>
  <si>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</si>
  <si>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</si>
  <si>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</si>
  <si>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</si>
  <si>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</si>
  <si>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</si>
  <si>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</si>
  <si>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</si>
  <si>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</si>
  <si>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</si>
  <si>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</si>
  <si>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</si>
  <si>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</si>
  <si>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</si>
  <si>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</si>
  <si>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</si>
  <si>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</si>
  <si>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</si>
  <si>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</si>
  <si>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</si>
  <si>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</si>
  <si>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</si>
  <si>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</si>
  <si>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</si>
  <si>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</si>
  <si>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</si>
  <si>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</si>
  <si>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</si>
  <si>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</si>
  <si>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</si>
  <si>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</si>
  <si>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</si>
  <si>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</si>
  <si>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</si>
  <si>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</si>
  <si>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</si>
  <si>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</si>
  <si>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</si>
  <si>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</si>
  <si>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</si>
  <si>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</si>
  <si>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</si>
  <si>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</si>
  <si>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</si>
  <si>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</si>
  <si>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</si>
  <si>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</si>
  <si>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</si>
  <si>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</si>
  <si>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</si>
  <si>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</si>
  <si>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</si>
  <si>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</si>
  <si>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</si>
  <si>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</si>
  <si>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</si>
  <si>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</si>
  <si>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</si>
  <si>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</si>
  <si>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</si>
  <si>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</si>
  <si>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</si>
  <si>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</si>
  <si>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</si>
  <si>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</si>
  <si>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</si>
  <si>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</si>
  <si>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</si>
  <si>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</si>
  <si>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</si>
  <si>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</si>
  <si>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</si>
  <si>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</si>
  <si>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</si>
  <si>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</si>
  <si>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</si>
  <si>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</si>
  <si>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</si>
  <si>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</si>
  <si>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</si>
  <si>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</si>
  <si>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</si>
  <si>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</si>
  <si>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</si>
  <si>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</si>
  <si>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</si>
  <si>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</si>
  <si>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</si>
  <si>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</si>
  <si>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</si>
  <si>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</si>
  <si>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</si>
  <si>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</si>
  <si>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</si>
  <si>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</si>
  <si>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</si>
  <si>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</si>
  <si>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</si>
  <si>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</si>
  <si>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</si>
  <si>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</si>
  <si>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</si>
  <si>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</si>
  <si>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</si>
  <si>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</si>
  <si>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</si>
  <si>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</si>
  <si>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</si>
  <si>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</si>
  <si>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</si>
  <si>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</si>
  <si>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</si>
  <si>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</si>
  <si>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</si>
  <si>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</si>
  <si>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</si>
  <si>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</si>
  <si>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</si>
  <si>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</si>
  <si>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</si>
  <si>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</si>
  <si>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</si>
  <si>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</si>
  <si>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</si>
  <si>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</si>
  <si>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</si>
  <si>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</si>
  <si>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</si>
  <si>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</si>
  <si>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</si>
  <si>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</si>
  <si>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</si>
  <si>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</si>
  <si>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</si>
  <si>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</si>
  <si>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</si>
  <si>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</si>
  <si>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</si>
  <si>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</si>
  <si>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</si>
  <si>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</si>
  <si>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</si>
  <si>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</si>
  <si>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</si>
  <si>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</si>
  <si>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</si>
  <si>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</si>
  <si>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</si>
  <si>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</si>
  <si>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</si>
  <si>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</si>
  <si>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</si>
  <si>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</si>
  <si>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</si>
  <si>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</si>
  <si>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</si>
  <si>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</si>
  <si>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</si>
  <si>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</si>
  <si>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</si>
  <si>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</si>
  <si>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</si>
  <si>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</si>
  <si>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</si>
  <si>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</si>
  <si>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</si>
  <si>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</si>
  <si>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</si>
  <si>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</si>
  <si>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</si>
  <si>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</si>
  <si>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</si>
  <si>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</si>
  <si>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</si>
  <si>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</si>
  <si>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</si>
  <si>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</si>
  <si>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</si>
  <si>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</si>
  <si>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</si>
  <si>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</si>
  <si>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</si>
  <si>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</si>
  <si>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</si>
  <si>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</si>
  <si>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</si>
  <si>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</si>
  <si>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</si>
  <si>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</si>
  <si>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</si>
  <si>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</si>
  <si>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</si>
  <si>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</si>
  <si>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</si>
  <si>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</si>
  <si>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</si>
  <si>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</si>
  <si>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</si>
  <si>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</si>
  <si>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</si>
  <si>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</si>
  <si>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</si>
  <si>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</si>
  <si>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</si>
  <si>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</si>
  <si>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</si>
  <si>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</si>
  <si>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</si>
  <si>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</si>
  <si>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</si>
  <si>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</si>
  <si>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</si>
  <si>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</si>
  <si>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</si>
  <si>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</si>
  <si>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</si>
  <si>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</si>
  <si>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</si>
  <si>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</si>
  <si>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</si>
  <si>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</si>
  <si>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</si>
  <si>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</si>
  <si>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</si>
  <si>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</si>
  <si>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</si>
  <si>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</si>
  <si>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</si>
  <si>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</si>
  <si>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</si>
  <si>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</si>
  <si>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</si>
  <si>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</si>
  <si>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</si>
  <si>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</si>
  <si>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</si>
  <si>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</si>
  <si>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</si>
  <si>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</si>
  <si>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</si>
  <si>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</si>
  <si>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</si>
  <si>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</si>
  <si>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</si>
  <si>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</si>
  <si>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</si>
  <si>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</si>
  <si>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</si>
  <si>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</si>
  <si>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</si>
  <si>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</si>
  <si>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</si>
  <si>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</si>
  <si>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</si>
  <si>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</si>
  <si>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</si>
  <si>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</si>
  <si>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</si>
  <si>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</si>
  <si>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</si>
  <si>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</si>
  <si>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</si>
  <si>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</si>
  <si>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</si>
  <si>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</si>
  <si>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</si>
  <si>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</si>
  <si>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</si>
  <si>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</si>
  <si>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</si>
  <si>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</si>
  <si>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</si>
  <si>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</si>
  <si>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</si>
  <si>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</si>
  <si>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</si>
  <si>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</si>
  <si>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</si>
  <si>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</si>
  <si>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</si>
  <si>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</si>
  <si>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</si>
  <si>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</si>
  <si>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</si>
  <si>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</si>
  <si>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</si>
  <si>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</si>
  <si>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</si>
  <si>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</si>
  <si>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</si>
  <si>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</si>
  <si>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</si>
  <si>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</si>
  <si>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</si>
  <si>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</si>
  <si>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</si>
  <si>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</si>
  <si>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</si>
  <si>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</si>
  <si>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</si>
  <si>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</si>
  <si>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</si>
  <si>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</si>
  <si>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</si>
  <si>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</si>
  <si>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</si>
  <si>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</si>
  <si>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</si>
  <si>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</si>
  <si>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</si>
  <si>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</si>
  <si>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</si>
  <si>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</si>
  <si>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</si>
  <si>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</si>
  <si>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</si>
  <si>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</si>
  <si>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</si>
  <si>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</si>
  <si>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</si>
  <si>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</si>
  <si>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</si>
  <si>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</si>
  <si>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</si>
  <si>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</si>
  <si>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</si>
  <si>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</si>
  <si>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</si>
  <si>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</si>
  <si>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</si>
  <si>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</si>
  <si>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</si>
  <si>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</si>
  <si>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</si>
  <si>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</si>
  <si>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</si>
  <si>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</si>
  <si>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</si>
  <si>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</si>
  <si>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</si>
  <si>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</si>
  <si>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</si>
  <si>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</si>
  <si>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</si>
  <si>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</si>
  <si>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</si>
  <si>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</si>
  <si>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</si>
  <si>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</si>
  <si>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</si>
  <si>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</si>
  <si>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</si>
  <si>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</si>
  <si>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</si>
  <si>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</si>
  <si>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</si>
  <si>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</si>
  <si>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</si>
  <si>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</si>
  <si>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</si>
  <si>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</si>
  <si>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</si>
  <si>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</si>
  <si>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</si>
  <si>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</si>
  <si>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</si>
  <si>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</si>
  <si>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</si>
  <si>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</si>
  <si>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</si>
  <si>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</si>
  <si>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</si>
  <si>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</si>
  <si>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</si>
  <si>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</si>
  <si>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</si>
  <si>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</si>
  <si>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</si>
  <si>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</si>
  <si>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</si>
  <si>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</si>
  <si>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</si>
  <si>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</si>
  <si>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</si>
  <si>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</si>
  <si>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</si>
  <si>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</si>
  <si>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</si>
  <si>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</si>
  <si>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</si>
  <si>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</si>
  <si>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</si>
  <si>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</si>
  <si>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</si>
  <si>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</si>
  <si>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</si>
  <si>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</si>
  <si>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</si>
  <si>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</si>
  <si>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</si>
  <si>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</si>
  <si>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</si>
  <si>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</si>
  <si>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</si>
  <si>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</si>
  <si>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</si>
  <si>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</si>
  <si>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</si>
  <si>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</si>
  <si>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</si>
  <si>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</si>
  <si>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</si>
  <si>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</si>
  <si>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</si>
  <si>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</si>
  <si>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</si>
  <si>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</si>
  <si>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</si>
  <si>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</si>
  <si>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</si>
  <si>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</si>
  <si>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</si>
  <si>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</si>
  <si>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</si>
  <si>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</si>
  <si>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</si>
  <si>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</si>
  <si>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</si>
  <si>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</si>
  <si>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</si>
  <si>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</si>
  <si>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</si>
  <si>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</si>
  <si>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</si>
  <si>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</si>
  <si>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</si>
  <si>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</si>
  <si>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</si>
  <si>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</si>
  <si>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</si>
  <si>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</si>
  <si>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</si>
  <si>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</si>
  <si>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</si>
  <si>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</si>
  <si>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</si>
  <si>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</si>
  <si>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</si>
  <si>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</si>
  <si>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</si>
  <si>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</si>
  <si>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</si>
  <si>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</si>
  <si>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</si>
  <si>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</si>
  <si>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</si>
  <si>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</si>
  <si>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</si>
  <si>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</si>
  <si>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</si>
  <si>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</si>
  <si>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</si>
  <si>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</si>
  <si>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</si>
  <si>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</si>
  <si>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</si>
  <si>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</si>
  <si>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</si>
  <si>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</si>
  <si>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</si>
  <si>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</si>
  <si>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</si>
  <si>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</si>
  <si>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</si>
  <si>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</si>
  <si>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</si>
  <si>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</si>
  <si>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</si>
  <si>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</si>
  <si>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</si>
  <si>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</si>
  <si>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</si>
  <si>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</si>
  <si>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</si>
  <si>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</si>
  <si>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</si>
  <si>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</si>
  <si>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</si>
  <si>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</si>
  <si>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</si>
  <si>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</si>
  <si>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</si>
  <si>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</si>
  <si>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</si>
  <si>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</si>
  <si>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</si>
  <si>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</si>
  <si>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</si>
  <si>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</si>
  <si>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</si>
  <si>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</si>
  <si>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</si>
  <si>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</si>
  <si>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</si>
  <si>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</si>
  <si>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</si>
  <si>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</si>
  <si>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</si>
  <si>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</si>
  <si>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</si>
  <si>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</si>
  <si>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</si>
  <si>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</si>
  <si>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</si>
  <si>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</si>
  <si>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</si>
  <si>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</si>
  <si>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</si>
  <si>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</si>
  <si>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</si>
  <si>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</si>
  <si>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</si>
  <si>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</si>
  <si>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</si>
  <si>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</si>
  <si>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</si>
  <si>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</si>
  <si>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</si>
  <si>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</si>
  <si>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</si>
  <si>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</si>
  <si>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</si>
  <si>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</si>
  <si>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</si>
  <si>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</si>
  <si>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</si>
  <si>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</si>
  <si>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</si>
  <si>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</si>
  <si>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</si>
  <si>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</si>
  <si>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</si>
  <si>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</si>
  <si>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</si>
  <si>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</si>
  <si>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</si>
  <si>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</si>
  <si>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</si>
  <si>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</si>
  <si>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</si>
  <si>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</si>
  <si>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</si>
  <si>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</si>
  <si>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</si>
  <si>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</si>
  <si>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</si>
  <si>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</si>
  <si>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</si>
  <si>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</si>
  <si>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</si>
  <si>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</si>
  <si>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</si>
  <si>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</si>
  <si>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</si>
  <si>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</si>
  <si>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</si>
  <si>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</si>
  <si>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</si>
  <si>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</si>
  <si>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</si>
  <si>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</si>
  <si>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</si>
  <si>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</si>
  <si>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</si>
  <si>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</si>
  <si>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</si>
  <si>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</si>
  <si>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</si>
  <si>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</si>
  <si>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</si>
  <si>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</si>
  <si>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</si>
  <si>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</si>
  <si>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</si>
  <si>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</si>
  <si>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</si>
  <si>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</si>
  <si>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</si>
  <si>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</si>
  <si>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</si>
  <si>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</si>
  <si>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</si>
  <si>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</si>
  <si>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</si>
  <si>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</si>
  <si>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</si>
  <si>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</si>
  <si>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</si>
  <si>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</si>
  <si>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</si>
  <si>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</si>
  <si>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</si>
  <si>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</si>
  <si>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</si>
  <si>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</si>
  <si>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</si>
  <si>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</si>
  <si>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</si>
  <si>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</si>
  <si>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</si>
  <si>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</si>
  <si>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</si>
  <si>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</si>
  <si>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</si>
  <si>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</si>
  <si>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</si>
  <si>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</si>
  <si>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</si>
  <si>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</si>
  <si>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</si>
  <si>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</si>
  <si>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</si>
  <si>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</si>
  <si>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</si>
  <si>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</si>
  <si>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</si>
  <si>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</si>
  <si>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</si>
  <si>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</si>
  <si>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</si>
  <si>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</si>
  <si>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</si>
  <si>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</si>
  <si>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</si>
  <si>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</si>
  <si>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</si>
  <si>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</si>
  <si>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</si>
  <si>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</si>
  <si>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</si>
  <si>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</si>
  <si>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</si>
  <si>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</si>
  <si>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</si>
  <si>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</si>
  <si>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</si>
  <si>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</si>
  <si>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</si>
  <si>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</si>
  <si>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</si>
  <si>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</si>
  <si>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</si>
  <si>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</si>
  <si>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</si>
  <si>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</si>
  <si>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</si>
  <si>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</si>
  <si>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</si>
  <si>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</si>
  <si>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</si>
  <si>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</si>
  <si>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</si>
  <si>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</si>
  <si>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</si>
  <si>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</si>
  <si>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</si>
  <si>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</si>
  <si>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</si>
  <si>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</si>
  <si>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</si>
  <si>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</si>
  <si>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</si>
  <si>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</si>
  <si>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</si>
  <si>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</si>
  <si>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</si>
  <si>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</si>
  <si>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</si>
  <si>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</si>
  <si>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</si>
  <si>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</si>
  <si>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</si>
  <si>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</si>
  <si>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</si>
  <si>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</si>
  <si>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</si>
  <si>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</si>
  <si>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</si>
  <si>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</si>
  <si>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</si>
  <si>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</si>
  <si>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</si>
  <si>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</si>
  <si>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</si>
  <si>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</si>
  <si>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</si>
  <si>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</si>
  <si>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</si>
  <si>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</si>
  <si>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</si>
  <si>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</si>
  <si>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</si>
  <si>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</si>
  <si>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</si>
  <si>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</si>
  <si>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</si>
  <si>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</si>
  <si>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</si>
  <si>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</si>
  <si>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</si>
  <si>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</si>
  <si>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</si>
  <si>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</si>
  <si>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</si>
  <si>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</si>
  <si>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</si>
  <si>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</si>
  <si>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</si>
  <si>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</si>
  <si>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</si>
  <si>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</si>
  <si>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</si>
  <si>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</si>
  <si>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</si>
  <si>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</si>
  <si>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</si>
  <si>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</si>
  <si>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</si>
  <si>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</si>
  <si>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</si>
  <si>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</si>
  <si>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</si>
  <si>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</si>
  <si>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</si>
  <si>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</si>
  <si>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</si>
  <si>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</si>
  <si>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</si>
  <si>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</si>
  <si>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</si>
  <si>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</si>
  <si>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</si>
  <si>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</si>
  <si>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</si>
  <si>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</si>
  <si>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</si>
  <si>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</si>
  <si>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</si>
  <si>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</si>
  <si>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</si>
  <si>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</si>
  <si>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</si>
  <si>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</si>
  <si>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</si>
  <si>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</si>
  <si>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</si>
  <si>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</si>
  <si>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</si>
  <si>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</si>
  <si>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</si>
  <si>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</si>
  <si>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</si>
  <si>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</si>
  <si>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</si>
  <si>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</si>
  <si>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</si>
  <si>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</si>
  <si>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</si>
  <si>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</si>
  <si>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</si>
  <si>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</si>
  <si>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</si>
  <si>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</si>
  <si>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</si>
  <si>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</si>
  <si>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</si>
  <si>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</si>
  <si>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</si>
  <si>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</si>
  <si>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</si>
  <si>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</si>
  <si>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</si>
  <si>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</si>
  <si>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</si>
  <si>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</si>
  <si>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</si>
  <si>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</si>
  <si>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</si>
  <si>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</si>
  <si>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</si>
  <si>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</si>
  <si>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</si>
  <si>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</si>
  <si>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</si>
  <si>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</si>
  <si>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</si>
  <si>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</si>
  <si>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</si>
  <si>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</si>
  <si>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</si>
  <si>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</si>
  <si>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</si>
  <si>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</si>
  <si>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</si>
  <si>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</si>
  <si>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</si>
  <si>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</si>
  <si>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</si>
  <si>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</si>
  <si>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</si>
  <si>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</si>
  <si>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</si>
  <si>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</si>
  <si>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</si>
  <si>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</si>
  <si>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</si>
  <si>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</si>
  <si>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</si>
  <si>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</si>
  <si>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</si>
  <si>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</si>
  <si>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</si>
  <si>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</si>
  <si>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</si>
  <si>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</si>
  <si>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</si>
  <si>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</si>
  <si>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</si>
  <si>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</si>
  <si>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</si>
  <si>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</si>
  <si>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</si>
  <si>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</si>
  <si>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</si>
  <si>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</si>
  <si>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</si>
  <si>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</si>
  <si>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</si>
  <si>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</si>
  <si>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</si>
  <si>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</si>
  <si>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</si>
  <si>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</si>
  <si>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</si>
  <si>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</si>
  <si>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</si>
  <si>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</si>
  <si>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</si>
  <si>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</si>
  <si>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</si>
  <si>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</si>
  <si>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</si>
  <si>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</si>
  <si>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</si>
  <si>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</si>
  <si>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</si>
  <si>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</si>
  <si>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</si>
  <si>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</si>
  <si>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</si>
  <si>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</si>
  <si>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</si>
  <si>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</si>
  <si>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</si>
  <si>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</si>
  <si>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</si>
  <si>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</si>
  <si>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</si>
  <si>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</si>
  <si>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</si>
  <si>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</si>
  <si>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</si>
  <si>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</si>
  <si>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</si>
  <si>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</si>
  <si>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</si>
  <si>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</si>
  <si>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</si>
  <si>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</si>
  <si>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</si>
  <si>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</si>
  <si>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</si>
  <si>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</si>
  <si>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</si>
  <si>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</si>
  <si>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</si>
  <si>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</si>
  <si>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</si>
  <si>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</si>
  <si>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</si>
  <si>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</si>
  <si>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</si>
  <si>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</si>
  <si>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</si>
  <si>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</si>
  <si>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</si>
  <si>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</si>
  <si>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</si>
  <si>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</si>
  <si>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</si>
  <si>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</si>
  <si>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</si>
  <si>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</si>
  <si>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</si>
  <si>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</si>
  <si>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</si>
  <si>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</si>
  <si>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</si>
  <si>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</si>
  <si>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</si>
  <si>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</si>
  <si>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</si>
  <si>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</si>
  <si>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</si>
  <si>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</si>
  <si>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</si>
  <si>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</si>
  <si>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</si>
  <si>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</si>
  <si>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</si>
  <si>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</si>
  <si>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</si>
  <si>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</si>
  <si>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</si>
  <si>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</si>
  <si>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</si>
  <si>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</si>
  <si>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</si>
  <si>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</si>
  <si>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</si>
  <si>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</si>
  <si>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</si>
  <si>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</si>
  <si>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</si>
  <si>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</si>
  <si>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</si>
  <si>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</si>
  <si>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</si>
  <si>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</si>
  <si>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</si>
  <si>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</si>
  <si>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</si>
  <si>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</si>
  <si>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</si>
  <si>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</si>
  <si>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</si>
  <si>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</si>
  <si>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</si>
  <si>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</si>
  <si>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</si>
  <si>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</si>
  <si>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</si>
  <si>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</si>
  <si>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</si>
  <si>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</si>
  <si>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</si>
  <si>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</si>
  <si>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</si>
  <si>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</si>
  <si>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</si>
  <si>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</si>
  <si>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</si>
  <si>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</si>
  <si>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</si>
  <si>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</si>
  <si>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</si>
  <si>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</si>
  <si>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</si>
  <si>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</si>
  <si>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</si>
  <si>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</si>
  <si>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</si>
  <si>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</si>
  <si>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</si>
  <si>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</si>
  <si>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</si>
  <si>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</si>
  <si>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</si>
  <si>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</si>
  <si>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</si>
  <si>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</si>
  <si>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</si>
  <si>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</si>
  <si>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</si>
  <si>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</si>
  <si>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</si>
  <si>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</si>
  <si>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</si>
  <si>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</si>
  <si>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</si>
  <si>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</si>
  <si>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</si>
  <si>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</si>
  <si>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</si>
  <si>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</si>
  <si>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</si>
  <si>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</si>
  <si>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</si>
  <si>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</si>
  <si>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</si>
  <si>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</si>
  <si>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</si>
  <si>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</si>
  <si>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</si>
  <si>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</si>
  <si>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</si>
  <si>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</si>
  <si>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</si>
  <si>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</si>
  <si>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</si>
  <si>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</si>
  <si>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</si>
  <si>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</si>
  <si>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</si>
  <si>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</si>
  <si>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</si>
  <si>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</si>
  <si>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</si>
  <si>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</si>
  <si>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</si>
  <si>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</si>
  <si>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</si>
  <si>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</si>
  <si>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</si>
  <si>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</si>
  <si>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</si>
  <si>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</si>
  <si>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</si>
  <si>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</si>
  <si>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</si>
  <si>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</si>
  <si>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</si>
  <si>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</si>
  <si>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</si>
  <si>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</si>
  <si>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</si>
  <si>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</si>
  <si>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</si>
  <si>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</si>
  <si>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</si>
  <si>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</si>
  <si>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</si>
  <si>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</si>
  <si>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</si>
  <si>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</si>
  <si>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</si>
  <si>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</si>
  <si>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</si>
  <si>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</si>
  <si>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</si>
  <si>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</si>
  <si>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</si>
  <si>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</si>
  <si>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</si>
  <si>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</si>
  <si>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</si>
  <si>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</si>
  <si>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</si>
  <si>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</si>
  <si>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</si>
  <si>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</si>
  <si>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</si>
  <si>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</si>
  <si>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</si>
  <si>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</si>
  <si>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</si>
  <si>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</si>
  <si>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</si>
  <si>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</si>
  <si>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</si>
  <si>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</si>
  <si>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</si>
  <si>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</si>
  <si>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</si>
  <si>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</si>
  <si>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</si>
  <si>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</si>
  <si>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</si>
  <si>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</si>
  <si>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</si>
  <si>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</si>
  <si>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</si>
  <si>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</si>
  <si>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</si>
  <si>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</si>
  <si>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</si>
  <si>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</si>
  <si>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</si>
  <si>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</si>
  <si>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</si>
  <si>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</si>
  <si>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</si>
  <si>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</si>
  <si>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</si>
  <si>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</si>
  <si>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</si>
  <si>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</si>
  <si>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</si>
  <si>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</si>
  <si>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</si>
  <si>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</si>
  <si>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</si>
  <si>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</si>
  <si>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</si>
  <si>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</si>
  <si>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</si>
  <si>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</si>
  <si>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</si>
  <si>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</si>
  <si>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</si>
  <si>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</si>
  <si>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</si>
  <si>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</si>
  <si>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</si>
  <si>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</si>
  <si>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</si>
  <si>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</si>
  <si>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</si>
  <si>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</si>
  <si>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</si>
  <si>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</si>
  <si>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</si>
  <si>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</si>
  <si>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</si>
  <si>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</si>
  <si>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</si>
  <si>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</si>
  <si>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</si>
  <si>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</si>
  <si>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</si>
  <si>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</si>
  <si>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</si>
  <si>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</si>
  <si>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</si>
  <si>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</si>
  <si>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</si>
  <si>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</si>
  <si>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</si>
  <si>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</si>
  <si>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</si>
  <si>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</si>
  <si>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</si>
  <si>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</si>
  <si>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</si>
  <si>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</si>
  <si>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</si>
  <si>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</si>
  <si>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</si>
  <si>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</si>
  <si>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</si>
  <si>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</si>
  <si>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</si>
  <si>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</si>
  <si>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</si>
  <si>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</si>
  <si>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</si>
  <si>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</si>
  <si>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</si>
  <si>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</si>
  <si>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</si>
  <si>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</si>
  <si>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</si>
  <si>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</si>
  <si>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</si>
  <si>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</si>
  <si>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</si>
  <si>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</si>
  <si>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</si>
  <si>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</si>
  <si>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</si>
  <si>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</si>
  <si>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</si>
  <si>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</si>
  <si>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</si>
  <si>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</si>
  <si>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</si>
  <si>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</si>
  <si>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</si>
  <si>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</si>
  <si>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</si>
  <si>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</si>
  <si>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</si>
  <si>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</si>
  <si>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</si>
  <si>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</si>
  <si>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</si>
  <si>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</si>
  <si>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</si>
  <si>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</si>
  <si>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</si>
  <si>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</si>
  <si>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</si>
  <si>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</si>
  <si>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</si>
  <si>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</si>
  <si>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</si>
  <si>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</si>
  <si>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</si>
  <si>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</si>
  <si>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</si>
  <si>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</si>
  <si>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</si>
  <si>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</si>
  <si>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</si>
  <si>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</si>
  <si>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</si>
  <si>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</si>
  <si>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</si>
  <si>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</si>
  <si>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</si>
  <si>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</si>
  <si>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</si>
  <si>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</si>
  <si>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</si>
  <si>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</si>
  <si>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</si>
  <si>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</si>
  <si>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</si>
  <si>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</si>
  <si>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</si>
  <si>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</si>
  <si>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</si>
  <si>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</si>
  <si>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</si>
  <si>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</si>
  <si>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</si>
  <si>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</si>
  <si>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</si>
  <si>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</si>
  <si>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</si>
  <si>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</si>
  <si>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</si>
  <si>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</si>
  <si>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</si>
  <si>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</si>
  <si>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</si>
  <si>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</si>
  <si>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</si>
  <si>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</si>
  <si>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</si>
  <si>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</si>
  <si>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</si>
  <si>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</si>
  <si>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</si>
  <si>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</si>
  <si>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</si>
  <si>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</si>
  <si>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</si>
  <si>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</si>
  <si>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</si>
  <si>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</si>
  <si>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</si>
  <si>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</si>
  <si>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</si>
  <si>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</si>
  <si>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</si>
  <si>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</si>
  <si>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</si>
  <si>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</si>
  <si>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</si>
  <si>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</si>
  <si>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</si>
  <si>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</si>
  <si>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</si>
  <si>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</si>
  <si>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</si>
  <si>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</si>
  <si>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</si>
  <si>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</si>
  <si>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</si>
  <si>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</si>
  <si>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</si>
  <si>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</si>
  <si>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</si>
  <si>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</si>
  <si>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</si>
  <si>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</si>
  <si>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</si>
  <si>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</si>
  <si>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</si>
  <si>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</si>
  <si>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</si>
  <si>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</si>
  <si>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</si>
  <si>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</si>
  <si>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</si>
  <si>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</si>
  <si>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</si>
  <si>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</si>
  <si>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</si>
  <si>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</si>
  <si>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</si>
  <si>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</si>
  <si>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</si>
  <si>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</si>
  <si>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</si>
  <si>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</si>
  <si>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</si>
  <si>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</si>
  <si>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</si>
  <si>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</si>
  <si>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</si>
  <si>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</si>
  <si>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</si>
  <si>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</si>
  <si>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</si>
  <si>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</si>
  <si>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</si>
  <si>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</si>
  <si>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</si>
  <si>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</si>
  <si>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</si>
  <si>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</si>
  <si>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</si>
  <si>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</si>
  <si>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</si>
  <si>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</si>
  <si>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</si>
  <si>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</si>
  <si>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</si>
  <si>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</si>
  <si>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</si>
  <si>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</si>
  <si>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</si>
  <si>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</si>
  <si>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</si>
  <si>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</si>
  <si>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</si>
  <si>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</si>
  <si>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</si>
  <si>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</si>
  <si>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</si>
  <si>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</si>
  <si>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</si>
  <si>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</si>
  <si>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</si>
  <si>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</si>
  <si>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</si>
  <si>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</si>
  <si>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</si>
  <si>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</si>
  <si>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</si>
  <si>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</si>
  <si>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</si>
  <si>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</si>
  <si>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</si>
  <si>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</si>
  <si>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</si>
  <si>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</si>
  <si>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</si>
  <si>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</si>
  <si>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</si>
  <si>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</si>
  <si>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</si>
  <si>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</si>
  <si>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</si>
  <si>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</si>
  <si>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</si>
  <si>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</si>
  <si>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</si>
  <si>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</si>
  <si>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</si>
  <si>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</si>
  <si>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</si>
  <si>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</si>
  <si>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</si>
  <si>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</si>
  <si>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</si>
  <si>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</si>
  <si>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</si>
  <si>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</si>
  <si>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</si>
  <si>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</si>
  <si>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</si>
  <si>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</si>
  <si>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Calibri"/>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</si>
  <si>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</si>
  <si>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</si>
  <si>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</si>
  <si>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</si>
  <si>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</si>
  <si>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</si>
  <si>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</si>
  <si>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</si>
  <si>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</si>
  <si>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</si>
  <si>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</si>
  <si>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</si>
  <si>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</si>
  <si>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</si>
  <si>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</si>
  <si>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</si>
  <si>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</si>
  <si>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</si>
  <si>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</si>
  <si>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</si>
  <si>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</si>
  <si>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</si>
  <si>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</si>
  <si>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</si>
  <si>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</si>
  <si>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</si>
  <si>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</si>
  <si>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</si>
  <si>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</si>
  <si>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</si>
  <si>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</si>
  <si>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</si>
  <si>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</si>
  <si>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</si>
  <si>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</si>
  <si>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</si>
  <si>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</si>
  <si>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</si>
  <si>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</si>
  <si>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</si>
  <si>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</si>
  <si>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</si>
  <si>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</si>
  <si>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</si>
  <si>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</si>
  <si>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</si>
  <si>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</si>
  <si>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</si>
  <si>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</si>
  <si>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</si>
  <si>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</si>
  <si>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</si>
  <si>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</si>
  <si>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</si>
  <si>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</si>
  <si>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</si>
  <si>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</si>
  <si>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</si>
  <si>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</si>
  <si>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</si>
  <si>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</si>
  <si>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</si>
  <si>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</si>
  <si>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</si>
  <si>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</si>
  <si>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</si>
  <si>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</si>
  <si>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</si>
  <si>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</si>
  <si>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</si>
  <si>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</si>
  <si>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</si>
  <si>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</si>
  <si>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</si>
  <si>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</si>
  <si>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</si>
  <si>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</si>
  <si>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</si>
  <si>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</si>
  <si>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</si>
  <si>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</si>
  <si>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</si>
  <si>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</si>
  <si>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</si>
  <si>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</si>
  <si>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</si>
  <si>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</si>
  <si>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</si>
  <si>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</si>
  <si>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</si>
  <si>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</si>
  <si>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</si>
  <si>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</si>
  <si>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</si>
  <si>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</si>
  <si>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</si>
  <si>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</si>
  <si>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</si>
  <si>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</si>
  <si>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</si>
  <si>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</si>
  <si>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</si>
  <si>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</si>
  <si>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</si>
  <si>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</si>
  <si>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</si>
  <si>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</si>
  <si>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</si>
  <si>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</si>
  <si>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</si>
  <si>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</si>
  <si>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</si>
  <si>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</si>
  <si>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</si>
  <si>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</si>
  <si>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</si>
  <si>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</si>
  <si>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</si>
  <si>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</si>
  <si>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</si>
  <si>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</si>
  <si>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</si>
  <si>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</si>
  <si>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</si>
  <si>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</si>
  <si>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</si>
  <si>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</si>
  <si>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</si>
  <si>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</si>
  <si>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</si>
  <si>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</si>
  <si>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</si>
  <si>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</si>
  <si>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</si>
  <si>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</si>
  <si>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</si>
  <si>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</si>
  <si>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</si>
  <si>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</si>
  <si>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</si>
  <si>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</si>
  <si>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</si>
  <si>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</si>
  <si>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</si>
  <si>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</si>
  <si>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</si>
  <si>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</si>
  <si>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</si>
  <si>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</si>
  <si>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</si>
  <si>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</si>
  <si>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</si>
  <si>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</si>
  <si>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</si>
  <si>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</si>
  <si>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</si>
  <si>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</si>
  <si>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</si>
  <si>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</si>
  <si>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</si>
  <si>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</si>
  <si>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</si>
  <si>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</si>
  <si>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</si>
  <si>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</si>
  <si>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</si>
  <si>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</si>
  <si>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</si>
  <si>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</si>
  <si>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</si>
  <si>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</si>
  <si>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</si>
  <si>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</si>
  <si>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</si>
  <si>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</si>
  <si>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</si>
  <si>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</si>
  <si>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</si>
  <si>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</si>
  <si>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</si>
  <si>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</si>
  <si>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</si>
  <si>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</si>
  <si>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</si>
  <si>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</si>
  <si>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</si>
  <si>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</si>
  <si>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</si>
  <si>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</si>
  <si>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</si>
  <si>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</si>
  <si>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</si>
  <si>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</si>
  <si>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</si>
  <si>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</si>
  <si>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</si>
  <si>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</si>
  <si>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</si>
  <si>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</si>
  <si>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</si>
  <si>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</si>
  <si>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</si>
  <si>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</si>
  <si>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</si>
  <si>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</si>
  <si>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</si>
  <si>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</si>
  <si>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</si>
  <si>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</si>
  <si>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</si>
  <si>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</si>
  <si>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</si>
  <si>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</si>
  <si>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</si>
  <si>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</si>
  <si>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</si>
  <si>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</si>
  <si>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</si>
  <si>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</si>
  <si>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</si>
  <si>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</si>
  <si>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</si>
  <si>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</si>
  <si>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</si>
  <si>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</si>
  <si>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</si>
  <si>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</si>
  <si>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</si>
  <si>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</si>
  <si>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</si>
  <si>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</si>
  <si>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</si>
  <si>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</si>
  <si>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</si>
  <si>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</si>
  <si>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</si>
  <si>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</si>
  <si>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</si>
  <si>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</si>
  <si>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</si>
  <si>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</si>
  <si>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</si>
  <si>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</si>
  <si>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</si>
  <si>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</si>
  <si>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</si>
  <si>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</si>
  <si>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</si>
  <si>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</si>
  <si>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</si>
  <si>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</si>
  <si>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</si>
  <si>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</si>
  <si>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</si>
  <si>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</si>
  <si>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</si>
  <si>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</si>
  <si>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</si>
  <si>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</si>
  <si>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</si>
  <si>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</si>
  <si>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</si>
  <si>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</si>
  <si>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</si>
  <si>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</si>
  <si>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</si>
  <si>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</si>
  <si>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</si>
  <si>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</si>
  <si>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</si>
  <si>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</si>
  <si>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</si>
  <si>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</si>
  <si>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</si>
  <si>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</si>
  <si>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</si>
  <si>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</si>
  <si>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</si>
  <si>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</si>
  <si>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</si>
  <si>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</si>
  <si>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</si>
  <si>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</si>
  <si>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</si>
  <si>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</si>
  <si>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</si>
  <si>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</si>
  <si>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</si>
  <si>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</si>
  <si>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</si>
  <si>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</si>
  <si>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</si>
  <si>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</si>
  <si>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</si>
  <si>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</si>
  <si>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</si>
  <si>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</si>
  <si>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</si>
  <si>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</si>
  <si>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</si>
  <si>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</si>
  <si>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</si>
  <si>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</si>
  <si>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</si>
  <si>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</si>
  <si>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</si>
  <si>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</si>
  <si>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</si>
  <si>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</si>
  <si>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</si>
  <si>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</si>
  <si>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</si>
  <si>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</si>
  <si>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</si>
  <si>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</si>
  <si>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</si>
  <si>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</si>
  <si>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</si>
  <si>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</si>
  <si>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</si>
  <si>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</si>
  <si>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</si>
  <si>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</si>
  <si>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</si>
  <si>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</si>
  <si>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</si>
  <si>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</si>
  <si>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</si>
  <si>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</si>
  <si>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</si>
  <si>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</si>
  <si>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</si>
  <si>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</si>
  <si>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</si>
  <si>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</si>
  <si>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</si>
  <si>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</si>
  <si>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</si>
  <si>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</si>
  <si>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</si>
  <si>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</si>
  <si>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</si>
  <si>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</si>
  <si>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</si>
  <si>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</si>
  <si>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</si>
  <si>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</si>
  <si>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</si>
  <si>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</si>
  <si>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</si>
  <si>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</si>
  <si>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</si>
  <si>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</si>
  <si>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</si>
  <si>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</si>
  <si>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</si>
  <si>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</si>
  <si>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</si>
  <si>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</si>
  <si>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</si>
  <si>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</si>
  <si>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</si>
  <si>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</si>
  <si>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</si>
  <si>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</si>
  <si>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</si>
  <si>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</si>
  <si>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</si>
  <si>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</si>
  <si>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</si>
  <si>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</si>
  <si>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</si>
  <si>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</si>
  <si>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</si>
  <si>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</si>
  <si>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</si>
  <si>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</si>
  <si>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</si>
  <si>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</si>
  <si>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</si>
  <si>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</si>
  <si>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</si>
  <si>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090-9487-3105</t>
  </si>
  <si>
    <t>kagochan.s15@gmail.com</t>
  </si>
  <si>
    <t>2026年3月16日</t>
  </si>
  <si>
    <t>篭原 尚央 カゴハラ ナオ</t>
  </si>
  <si>
    <t>福岡市博多区諸岡 3-12-15-501</t>
  </si>
  <si>
    <t xml:space="preserve">篭原 </t>
  </si>
  <si>
    <t>尚央</t>
  </si>
  <si>
    <t>Gohara</t>
  </si>
  <si>
    <t xml:space="preserve">半田 </t>
  </si>
  <si>
    <t>陸</t>
  </si>
  <si>
    <t>Riku</t>
  </si>
  <si>
    <t>Handa</t>
  </si>
  <si>
    <t>090-9011-7288</t>
  </si>
  <si>
    <t>福岡市博多区竹下4丁目1-36-1104
（マンション名：アンピール竹下）</t>
  </si>
  <si>
    <t>FF ok</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</si>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</sst>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800]dddd\,\ mmmm\ dd\,\ yyyy"/>
    <numFmt numFmtId="165" formatCode="_(* #,##0_);_(* \(#,##0\);_(* &quot;-&quot;??_);_(@_)"/>
    <numFmt numFmtId="166" formatCode="dd/mm/yy"/>
  </numFmts>
  <fonts count="43">
    <font>
      <sz val="11"/>
      <color theme="1"/>
      <name val="Calibri"/>
      <family val="2"/>
      <scheme val="minor"/>
    </font>
    <font>
      <b/>
      <sz val="11"/>
      <name val="Calibri"/>
      <family val="2"/>
    </font>
    <font>
      <sz val="11"/>
      <color theme="1"/>
      <name val="Calibri"/>
      <family val="2"/>
    </font>
    <font>
      <u/>
      <sz val="11"/>
      <color theme="10"/>
      <name val="Calibri"/>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Calibri"/>
      <family val="2"/>
      <scheme val="minor"/>
    </font>
    <font>
      <b/>
      <sz val="11"/>
      <color theme="1"/>
      <name val="Calibri"/>
      <family val="2"/>
      <scheme val="minor"/>
    </font>
    <font>
      <b/>
      <sz val="12"/>
      <color theme="0"/>
      <name val="Calibri"/>
      <family val="2"/>
      <scheme val="minor"/>
    </font>
    <font>
      <b/>
      <sz val="11"/>
      <color theme="0"/>
      <name val="Calibri"/>
      <family val="2"/>
    </font>
    <font>
      <sz val="12"/>
      <color theme="0"/>
      <name val="Calibri"/>
      <family val="2"/>
      <scheme val="minor"/>
    </font>
    <font>
      <sz val="10"/>
      <name val="Arial"/>
      <family val="2"/>
    </font>
    <font>
      <b/>
      <sz val="12"/>
      <name val="Calibri"/>
      <family val="2"/>
      <scheme val="minor"/>
    </font>
    <font>
      <sz val="12"/>
      <name val="Calibri"/>
      <family val="2"/>
      <scheme val="minor"/>
    </font>
    <font>
      <b/>
      <sz val="11"/>
      <name val="Calibri"/>
      <family val="2"/>
    </font>
    <font>
      <sz val="11"/>
      <color theme="0"/>
      <name val="Calibri"/>
      <family val="2"/>
      <scheme val="minor"/>
    </font>
    <font>
      <sz val="10"/>
      <color theme="1"/>
      <name val="Arial Unicode MS"/>
    </font>
    <font>
      <i/>
      <sz val="11"/>
      <color theme="1"/>
      <name val="Calibri"/>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Calibri"/>
      <family val="2"/>
      <scheme val="minor"/>
    </font>
    <font>
      <u/>
      <sz val="11"/>
      <color rgb="FFFF0000"/>
      <name val="Calibri"/>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ont>
    <font>
      <sz val="12"/>
      <color rgb="FF333333"/>
      <name val="Arial"/>
    </font>
    <font>
      <sz val="11"/>
      <color theme="1"/>
      <name val="Aptos Light"/>
      <family val="2"/>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43" fontId="14" fillId="0" borderId="0"/>
    <xf numFmtId="0" fontId="23" fillId="17" borderId="0"/>
  </cellStyleXfs>
  <cellXfs count="305">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64"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64"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64" fontId="0" fillId="0" borderId="7" xfId="0" applyNumberFormat="1" applyBorder="1"/>
    <xf numFmtId="0" fontId="20" fillId="0" borderId="7" xfId="0" applyFont="1" applyBorder="1" applyAlignment="1">
      <alignment horizontal="center"/>
    </xf>
    <xf numFmtId="164" fontId="21" fillId="0" borderId="0" xfId="0" applyNumberFormat="1" applyFont="1"/>
    <xf numFmtId="165"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65"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66"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64"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66"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66"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cellXfs>
  <cellStyles count="5">
    <cellStyle name="Accent1" xfId="4" builtinId="29"/>
    <cellStyle name="Comma" xfId="3" builtinId="3"/>
    <cellStyle name="Hyperlink" xfId="1" builtinId="8"/>
    <cellStyle name="Normal" xfId="0" builtinId="0"/>
    <cellStyle name="Percent" xfId="2" builtinId="5"/>
  </cellStyles>
  <dxfs count="50">
    <dxf>
      <fill>
        <patternFill>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66"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66" formatCode="dd/mm/yy"/>
    </dxf>
    <dxf>
      <alignment horizontal="general" vertical="bottom" wrapText="1"/>
    </dxf>
    <dxf>
      <numFmt numFmtId="164"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28575</xdr:rowOff>
        </xdr:from>
        <xdr:to>
          <xdr:col>0</xdr:col>
          <xdr:colOff>1009650</xdr:colOff>
          <xdr:row>1</xdr:row>
          <xdr:rowOff>390525</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To Finance</a:t>
              </a:r>
            </a:p>
            <a:p>
              <a:pPr algn="ctr" rtl="0">
                <a:defRPr sz="1000"/>
              </a:pPr>
              <a:endParaRPr lang="en-US" sz="1100" b="0" i="0" u="none" strike="noStrike" baseline="0">
                <a:solidFill>
                  <a:srgbClr val="000000"/>
                </a:solidFill>
                <a:latin typeface="Calibri"/>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714375</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47625</xdr:colOff>
          <xdr:row>0</xdr:row>
          <xdr:rowOff>9525</xdr:rowOff>
        </xdr:from>
        <xdr:to>
          <xdr:col>10</xdr:col>
          <xdr:colOff>942975</xdr:colOff>
          <xdr:row>0</xdr:row>
          <xdr:rowOff>371475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808000"/>
                  </a:solidFill>
                  <a:latin typeface="Calibri"/>
                  <a:cs typeface="Calibri"/>
                </a:rPr>
                <a:t>Get All</a:t>
              </a:r>
            </a:p>
            <a:p>
              <a:pPr algn="ctr" rtl="0">
                <a:defRPr sz="1000"/>
              </a:pPr>
              <a:r>
                <a:rPr 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66675</xdr:colOff>
          <xdr:row>1</xdr:row>
          <xdr:rowOff>47625</xdr:rowOff>
        </xdr:from>
        <xdr:to>
          <xdr:col>10</xdr:col>
          <xdr:colOff>962025</xdr:colOff>
          <xdr:row>1</xdr:row>
          <xdr:rowOff>352425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Inject Gesha</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85725</xdr:rowOff>
        </xdr:from>
        <xdr:to>
          <xdr:col>4</xdr:col>
          <xdr:colOff>466725</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542925</xdr:colOff>
          <xdr:row>0</xdr:row>
          <xdr:rowOff>638175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123825</xdr:colOff>
          <xdr:row>10</xdr:row>
          <xdr:rowOff>47625</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12</xdr:row>
          <xdr:rowOff>28575</xdr:rowOff>
        </xdr:from>
        <xdr:to>
          <xdr:col>15</xdr:col>
          <xdr:colOff>523875</xdr:colOff>
          <xdr:row>12</xdr:row>
          <xdr:rowOff>142875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142875</xdr:colOff>
          <xdr:row>13</xdr:row>
          <xdr:rowOff>47625</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123825</xdr:colOff>
          <xdr:row>16</xdr:row>
          <xdr:rowOff>171450</xdr:rowOff>
        </xdr:from>
        <xdr:to>
          <xdr:col>15</xdr:col>
          <xdr:colOff>581025</xdr:colOff>
          <xdr:row>16</xdr:row>
          <xdr:rowOff>847725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85725</xdr:colOff>
          <xdr:row>19</xdr:row>
          <xdr:rowOff>76200</xdr:rowOff>
        </xdr:from>
        <xdr:to>
          <xdr:col>15</xdr:col>
          <xdr:colOff>561975</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28575</xdr:rowOff>
        </xdr:from>
        <xdr:to>
          <xdr:col>15</xdr:col>
          <xdr:colOff>561975</xdr:colOff>
          <xdr:row>20</xdr:row>
          <xdr:rowOff>142875</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104775</xdr:colOff>
          <xdr:row>18</xdr:row>
          <xdr:rowOff>47625</xdr:rowOff>
        </xdr:from>
        <xdr:to>
          <xdr:col>15</xdr:col>
          <xdr:colOff>523875</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64">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10">
      <pivotArea type="all" dataOnly="0" outline="0" fieldPosition="0"/>
    </format>
    <format dxfId="9">
      <pivotArea outline="0" collapsedLevelsAreSubtotals="1" fieldPosition="0"/>
    </format>
    <format dxfId="8">
      <pivotArea type="origin" dataOnly="0" labelOnly="1" outline="0" fieldPosition="0"/>
    </format>
    <format dxfId="7">
      <pivotArea field="43" type="button" dataOnly="0" labelOnly="1" outline="0" axis="axisCol" fieldPosition="0"/>
    </format>
    <format dxfId="6">
      <pivotArea type="topRight" dataOnly="0" labelOnly="1" outline="0" fieldPosition="0"/>
    </format>
    <format dxfId="5">
      <pivotArea field="9" type="button" dataOnly="0" labelOnly="1" outline="0" axis="axisRow" fieldPosition="0"/>
    </format>
    <format dxfId="4">
      <pivotArea dataOnly="0" labelOnly="1" fieldPosition="0">
        <references count="1">
          <reference field="9" count="0"/>
        </references>
      </pivotArea>
    </format>
    <format dxfId="3">
      <pivotArea dataOnly="0" labelOnly="1" grandRow="1" outline="0" fieldPosition="0"/>
    </format>
    <format dxfId="2">
      <pivotArea dataOnly="0" labelOnly="1" fieldPosition="0">
        <references count="1">
          <reference field="43" count="9">
            <x v="0"/>
            <x v="1"/>
            <x v="2"/>
            <x v="3"/>
            <x v="4"/>
            <x v="5"/>
            <x v="6"/>
            <x v="7"/>
            <x v="8"/>
          </reference>
        </references>
      </pivotArea>
    </format>
    <format dxfId="1">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dataCellStyle="Hyperlink"/>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1" totalsRowShown="0" headerRowDxfId="15">
  <autoFilter ref="A1:Z101"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dataCellStyle="Hyperlink"/>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268" Type="http://schemas.openxmlformats.org/officeDocument/2006/relationships/ctrlProp" Target="../ctrlProps/ctrlProp225.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 Id="rId107"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ctrlProp" Target="../ctrlProps/ctrlProp229.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0" Type="http://schemas.openxmlformats.org/officeDocument/2006/relationships/ctrlProp" Target="../ctrlProps/ctrlProp236.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drawing" Target="../drawings/drawing4.xm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table" Target="../tables/table2.xm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K1" zoomScale="115" zoomScaleNormal="115" workbookViewId="0">
      <pane ySplit="2" topLeftCell="A215" activePane="bottomLeft" state="frozen"/>
      <selection pane="bottomLeft" activeCell="L217" sqref="L217"/>
    </sheetView>
  </sheetViews>
  <sheetFormatPr defaultRowHeight="18" customHeight="1"/>
  <cols>
    <col min="1" max="1" width="16" customWidth="1"/>
    <col min="2" max="2" width="16.42578125" customWidth="1"/>
    <col min="3" max="3" width="11.85546875" customWidth="1"/>
    <col min="4" max="4" width="18.140625" customWidth="1"/>
    <col min="5" max="5" width="18.42578125" customWidth="1"/>
    <col min="6" max="6" width="16.85546875" hidden="1" customWidth="1"/>
    <col min="7" max="7" width="8" customWidth="1"/>
    <col min="8" max="8" width="7" customWidth="1"/>
    <col min="9" max="9" width="5.5703125" customWidth="1"/>
    <col min="10" max="10" width="24.7109375" customWidth="1"/>
    <col min="11" max="11" width="13.140625" bestFit="1" customWidth="1"/>
    <col min="12" max="12" width="16.140625" customWidth="1"/>
    <col min="13" max="13" width="10.85546875" customWidth="1"/>
    <col min="14" max="14" width="17.42578125" customWidth="1"/>
    <col min="15" max="17" width="15.42578125" customWidth="1"/>
    <col min="18" max="19" width="20.85546875" customWidth="1"/>
    <col min="20" max="20" width="38.28515625" customWidth="1"/>
    <col min="21" max="22" width="20.85546875" customWidth="1"/>
    <col min="23" max="23" width="14.42578125" customWidth="1"/>
    <col min="24" max="24" width="5.85546875" customWidth="1"/>
    <col min="25" max="25" width="45.42578125" customWidth="1"/>
    <col min="26" max="26" width="14.140625" customWidth="1"/>
    <col min="27" max="27" width="14.28515625" customWidth="1"/>
    <col min="28" max="28" width="28.42578125" customWidth="1"/>
    <col min="29" max="29" width="17.7109375" customWidth="1"/>
    <col min="30" max="30" width="18.28515625" customWidth="1"/>
    <col min="31" max="31" width="24" style="130" customWidth="1"/>
    <col min="32" max="32" width="21.7109375" hidden="1" customWidth="1"/>
    <col min="33" max="33" width="21.85546875" hidden="1" customWidth="1"/>
    <col min="34" max="34" width="21.5703125" hidden="1" customWidth="1"/>
    <col min="35" max="35" width="21.85546875" hidden="1" customWidth="1"/>
    <col min="36" max="36" width="65.85546875" hidden="1" customWidth="1"/>
    <col min="37" max="37" width="33.28515625" hidden="1" customWidth="1"/>
    <col min="38" max="38" width="18.140625" customWidth="1"/>
    <col min="39" max="39" width="19.28515625" customWidth="1"/>
    <col min="40" max="41" width="18.7109375" style="38" customWidth="1"/>
    <col min="42" max="42" width="23.140625" customWidth="1"/>
    <col min="43" max="43" width="17.42578125" customWidth="1"/>
    <col min="44" max="44" width="15.5703125" customWidth="1"/>
    <col min="45" max="45" width="22.28515625" customWidth="1"/>
    <col min="46" max="46" width="20.85546875" customWidth="1"/>
    <col min="47" max="47" width="12.140625" customWidth="1"/>
    <col min="48" max="48" width="11.42578125" customWidth="1"/>
    <col min="49" max="50" width="20.5703125" customWidth="1"/>
    <col min="51" max="51" width="15.85546875" customWidth="1"/>
    <col min="52" max="52" width="21" customWidth="1"/>
    <col min="53" max="53" width="21.5703125" customWidth="1"/>
    <col min="54" max="54" width="15.5703125" customWidth="1"/>
    <col min="55" max="57" width="20.140625" customWidth="1"/>
    <col min="58" max="58" width="17.7109375" customWidth="1"/>
    <col min="59" max="59" width="19.85546875" customWidth="1"/>
    <col min="60" max="60" width="18.28515625" customWidth="1"/>
    <col min="61" max="61" width="19.85546875" customWidth="1"/>
    <col min="62" max="63" width="19.42578125" customWidth="1"/>
    <col min="64" max="64" width="16.28515625" customWidth="1"/>
    <col min="65" max="65" width="14.42578125" customWidth="1"/>
    <col min="66" max="66" width="16.140625" customWidth="1"/>
    <col min="67" max="67" width="14.85546875" customWidth="1"/>
    <col min="68" max="68" width="18" customWidth="1"/>
    <col min="69" max="69" width="15.7109375" style="38" customWidth="1"/>
    <col min="70" max="70" width="13.2851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2029</v>
      </c>
      <c r="Q1" s="132" t="s">
        <v>2030</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1671</v>
      </c>
      <c r="W8" s="13" t="s">
        <v>1671</v>
      </c>
      <c r="Y8" t="s">
        <v>2167</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473</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1120</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875</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875</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3066</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t="s">
        <v>474</v>
      </c>
      <c r="Z57" t="s">
        <v>75</v>
      </c>
      <c r="AB57" t="s">
        <v>475</v>
      </c>
      <c r="AD57" s="130">
        <v>43862</v>
      </c>
      <c r="AE57"/>
      <c r="AG57" t="s">
        <v>76</v>
      </c>
      <c r="AI57" t="s">
        <v>475</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476</v>
      </c>
      <c r="D58" t="s">
        <v>477</v>
      </c>
      <c r="F58" t="s">
        <v>478</v>
      </c>
      <c r="G58" t="s">
        <v>479</v>
      </c>
      <c r="H58" t="s">
        <v>480</v>
      </c>
      <c r="I58" t="str">
        <f>IFERROR(HYPERLINK("#Finance!B" &amp; MATCH(A58, 'F 2025'!A:A, 0), "🔗 Go to finance"), "❌ ID introuvable")</f>
        <v>❌ ID introuvable</v>
      </c>
      <c r="V58" t="s">
        <v>481</v>
      </c>
      <c r="Y58" t="s">
        <v>482</v>
      </c>
      <c r="Z58" t="s">
        <v>75</v>
      </c>
      <c r="AD58" s="130"/>
      <c r="AE58"/>
      <c r="AG58" t="s">
        <v>76</v>
      </c>
      <c r="AM58" s="38"/>
      <c r="AO58" t="s">
        <v>479</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476</v>
      </c>
      <c r="D59" t="s">
        <v>483</v>
      </c>
      <c r="F59" t="s">
        <v>484</v>
      </c>
      <c r="G59" t="s">
        <v>485</v>
      </c>
      <c r="H59" t="s">
        <v>486</v>
      </c>
      <c r="I59" t="str">
        <f>IFERROR(HYPERLINK("#Finance!B" &amp; MATCH(A59, 'F 2025'!A:A, 0), "🔗 Go to finance"), "❌ ID introuvable")</f>
        <v>🔗 Go to finance</v>
      </c>
      <c r="J59" t="s">
        <v>196</v>
      </c>
      <c r="K59" t="s">
        <v>110</v>
      </c>
      <c r="L59" t="s">
        <v>487</v>
      </c>
      <c r="N59">
        <v>4</v>
      </c>
      <c r="O59">
        <v>19800</v>
      </c>
      <c r="R59">
        <v>0</v>
      </c>
      <c r="V59" t="s">
        <v>488</v>
      </c>
      <c r="W59" t="s">
        <v>488</v>
      </c>
      <c r="Z59" t="s">
        <v>75</v>
      </c>
      <c r="AB59" t="s">
        <v>489</v>
      </c>
      <c r="AD59" s="130">
        <v>45383</v>
      </c>
      <c r="AE59"/>
      <c r="AG59" t="s">
        <v>76</v>
      </c>
      <c r="AI59" t="s">
        <v>489</v>
      </c>
      <c r="AK59" t="s">
        <v>84</v>
      </c>
      <c r="AM59" s="38"/>
      <c r="AO59" t="s">
        <v>485</v>
      </c>
      <c r="AP59">
        <v>127</v>
      </c>
      <c r="AQ59" t="s">
        <v>485</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784</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490</v>
      </c>
      <c r="D60" t="s">
        <v>491</v>
      </c>
      <c r="F60" t="s">
        <v>492</v>
      </c>
      <c r="G60" t="s">
        <v>493</v>
      </c>
      <c r="H60" t="s">
        <v>494</v>
      </c>
      <c r="I60" t="str">
        <f>IFERROR(HYPERLINK("#Finance!B" &amp; MATCH(A60, 'F 2025'!A:A, 0), "🔗 Go to finance"), "❌ ID introuvable")</f>
        <v>🔗 Go to finance</v>
      </c>
      <c r="J60" t="s">
        <v>495</v>
      </c>
      <c r="K60" t="s">
        <v>110</v>
      </c>
      <c r="L60" t="s">
        <v>496</v>
      </c>
      <c r="N60">
        <v>4</v>
      </c>
      <c r="O60">
        <v>20500</v>
      </c>
      <c r="T60" s="130">
        <v>45629</v>
      </c>
      <c r="V60" s="246" t="s">
        <v>2077</v>
      </c>
      <c r="W60" s="291" t="s">
        <v>2449</v>
      </c>
      <c r="Y60">
        <v>9016650272</v>
      </c>
      <c r="Z60" t="s">
        <v>75</v>
      </c>
      <c r="AD60" s="130">
        <v>45566</v>
      </c>
      <c r="AE60"/>
      <c r="AG60" t="s">
        <v>76</v>
      </c>
      <c r="AJ60" s="13" t="s">
        <v>498</v>
      </c>
      <c r="AK60" t="s">
        <v>84</v>
      </c>
      <c r="AM60" s="38"/>
      <c r="AO60" t="s">
        <v>499</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601</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500</v>
      </c>
      <c r="D61" t="s">
        <v>491</v>
      </c>
      <c r="F61" t="s">
        <v>501</v>
      </c>
      <c r="G61" t="s">
        <v>502</v>
      </c>
      <c r="H61" t="s">
        <v>494</v>
      </c>
      <c r="I61" t="str">
        <f>IFERROR(HYPERLINK("#Finance!B" &amp; MATCH(A61, 'F 2025'!A:A, 0), "🔗 Go to finance"), "❌ ID introuvable")</f>
        <v>🔗 Go to finance</v>
      </c>
      <c r="J61" t="s">
        <v>495</v>
      </c>
      <c r="K61" t="s">
        <v>110</v>
      </c>
      <c r="L61" t="s">
        <v>503</v>
      </c>
      <c r="M61" t="s">
        <v>504</v>
      </c>
      <c r="N61">
        <v>4</v>
      </c>
      <c r="O61">
        <v>7000</v>
      </c>
      <c r="T61" s="130">
        <v>45629</v>
      </c>
      <c r="V61" s="246" t="s">
        <v>1404</v>
      </c>
      <c r="W61" t="s">
        <v>497</v>
      </c>
      <c r="Y61">
        <v>9016650272</v>
      </c>
      <c r="Z61" t="s">
        <v>75</v>
      </c>
      <c r="AD61" s="130">
        <v>45566</v>
      </c>
      <c r="AE61"/>
      <c r="AG61" t="s">
        <v>76</v>
      </c>
      <c r="AJ61" s="13" t="s">
        <v>498</v>
      </c>
      <c r="AK61" t="s">
        <v>84</v>
      </c>
      <c r="AM61" s="38"/>
      <c r="AO61" t="s">
        <v>499</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601</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505</v>
      </c>
      <c r="D62" t="s">
        <v>491</v>
      </c>
      <c r="F62" t="s">
        <v>506</v>
      </c>
      <c r="G62" t="s">
        <v>507</v>
      </c>
      <c r="H62" t="s">
        <v>494</v>
      </c>
      <c r="I62" t="str">
        <f>IFERROR(HYPERLINK("#Finance!B" &amp; MATCH(A62, 'F 2025'!A:A, 0), "🔗 Go to finance"), "❌ ID introuvable")</f>
        <v>🔗 Go to finance</v>
      </c>
      <c r="J62" t="s">
        <v>495</v>
      </c>
      <c r="K62" t="s">
        <v>117</v>
      </c>
      <c r="L62" t="s">
        <v>508</v>
      </c>
      <c r="M62" t="s">
        <v>509</v>
      </c>
      <c r="N62">
        <v>4</v>
      </c>
      <c r="O62">
        <v>9500</v>
      </c>
      <c r="T62" s="130">
        <v>45629</v>
      </c>
      <c r="V62" s="247" t="s">
        <v>2078</v>
      </c>
      <c r="W62" t="s">
        <v>497</v>
      </c>
      <c r="Y62">
        <v>9016650272</v>
      </c>
      <c r="Z62" t="s">
        <v>75</v>
      </c>
      <c r="AD62" s="130">
        <v>45566</v>
      </c>
      <c r="AE62"/>
      <c r="AG62" t="s">
        <v>76</v>
      </c>
      <c r="AJ62" s="13" t="s">
        <v>498</v>
      </c>
      <c r="AK62" t="s">
        <v>84</v>
      </c>
      <c r="AM62" s="38"/>
      <c r="AO62" t="s">
        <v>499</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601</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510</v>
      </c>
      <c r="D63" t="s">
        <v>511</v>
      </c>
      <c r="F63" t="s">
        <v>512</v>
      </c>
      <c r="G63" t="s">
        <v>513</v>
      </c>
      <c r="H63" t="s">
        <v>514</v>
      </c>
      <c r="I63" t="str">
        <f>IFERROR(HYPERLINK("#Finance!B" &amp; MATCH(A63, 'F 2025'!A:A, 0), "🔗 Go to finance"), "❌ ID introuvable")</f>
        <v>❌ ID introuvable</v>
      </c>
      <c r="L63" t="s">
        <v>90</v>
      </c>
      <c r="V63" t="s">
        <v>515</v>
      </c>
      <c r="Y63" t="s">
        <v>516</v>
      </c>
      <c r="Z63" t="s">
        <v>75</v>
      </c>
      <c r="AB63" t="s">
        <v>517</v>
      </c>
      <c r="AD63" s="130"/>
      <c r="AE63"/>
      <c r="AG63" t="s">
        <v>76</v>
      </c>
      <c r="AI63" t="s">
        <v>517</v>
      </c>
      <c r="AK63" t="s">
        <v>518</v>
      </c>
      <c r="AM63" s="38"/>
      <c r="AO63" t="s">
        <v>513</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519</v>
      </c>
      <c r="D64" t="s">
        <v>520</v>
      </c>
      <c r="F64" t="s">
        <v>521</v>
      </c>
      <c r="G64" t="s">
        <v>522</v>
      </c>
      <c r="H64" t="s">
        <v>523</v>
      </c>
      <c r="I64" t="str">
        <f>IFERROR(HYPERLINK("#Finance!B" &amp; MATCH(A64, 'F 2025'!A:A, 0), "🔗 Go to finance"), "❌ ID introuvable")</f>
        <v>🔗 Go to finance</v>
      </c>
      <c r="V64" t="s">
        <v>524</v>
      </c>
      <c r="Y64">
        <v>9074586973</v>
      </c>
      <c r="Z64" t="s">
        <v>75</v>
      </c>
      <c r="AB64" t="s">
        <v>525</v>
      </c>
      <c r="AD64" s="130"/>
      <c r="AE64"/>
      <c r="AG64" t="s">
        <v>76</v>
      </c>
      <c r="AI64" t="s">
        <v>525</v>
      </c>
      <c r="AK64" t="s">
        <v>84</v>
      </c>
      <c r="AM64" s="38"/>
      <c r="AO64" t="s">
        <v>522</v>
      </c>
      <c r="AP64">
        <v>124</v>
      </c>
      <c r="AQ64" t="s">
        <v>522</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526</v>
      </c>
      <c r="D65" t="s">
        <v>527</v>
      </c>
      <c r="F65" t="s">
        <v>528</v>
      </c>
      <c r="G65" t="s">
        <v>529</v>
      </c>
      <c r="H65" t="s">
        <v>530</v>
      </c>
      <c r="I65" t="str">
        <f>IFERROR(HYPERLINK("#Finance!B" &amp; MATCH(A65, 'F 2025'!A:A, 0), "🔗 Go to finance"), "❌ ID introuvable")</f>
        <v>❌ ID introuvable</v>
      </c>
      <c r="L65" t="s">
        <v>90</v>
      </c>
      <c r="V65" t="s">
        <v>531</v>
      </c>
      <c r="Y65" t="s">
        <v>532</v>
      </c>
      <c r="Z65" t="s">
        <v>75</v>
      </c>
      <c r="AB65" t="s">
        <v>533</v>
      </c>
      <c r="AD65" s="130">
        <v>43497</v>
      </c>
      <c r="AE65"/>
      <c r="AG65" t="s">
        <v>76</v>
      </c>
      <c r="AI65" t="s">
        <v>533</v>
      </c>
      <c r="AK65" t="s">
        <v>94</v>
      </c>
      <c r="AM65" s="38"/>
      <c r="AO65" t="s">
        <v>529</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534</v>
      </c>
      <c r="D66" t="s">
        <v>535</v>
      </c>
      <c r="F66" t="s">
        <v>536</v>
      </c>
      <c r="G66" t="s">
        <v>537</v>
      </c>
      <c r="H66" t="s">
        <v>538</v>
      </c>
      <c r="I66" t="str">
        <f>IFERROR(HYPERLINK("#Finance!B" &amp; MATCH(A66, 'F 2025'!A:A, 0), "🔗 Go to finance"), "❌ ID introuvable")</f>
        <v>❌ ID introuvable</v>
      </c>
      <c r="L66" t="s">
        <v>90</v>
      </c>
      <c r="V66" t="s">
        <v>539</v>
      </c>
      <c r="Z66" t="s">
        <v>75</v>
      </c>
      <c r="AD66" s="130"/>
      <c r="AE66"/>
      <c r="AG66" t="s">
        <v>76</v>
      </c>
      <c r="AK66" t="s">
        <v>540</v>
      </c>
      <c r="AM66" s="38"/>
      <c r="AO66" t="s">
        <v>537</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541</v>
      </c>
      <c r="D67" t="s">
        <v>542</v>
      </c>
      <c r="F67" t="s">
        <v>543</v>
      </c>
      <c r="G67" t="s">
        <v>544</v>
      </c>
      <c r="H67" t="s">
        <v>545</v>
      </c>
      <c r="I67" t="str">
        <f>IFERROR(HYPERLINK("#Finance!B" &amp; MATCH(A67, 'F 2025'!A:A, 0), "🔗 Go to finance"), "❌ ID introuvable")</f>
        <v>🔗 Go to finance</v>
      </c>
      <c r="V67" s="13" t="s">
        <v>546</v>
      </c>
      <c r="W67" t="s">
        <v>547</v>
      </c>
      <c r="Y67">
        <v>9068954683</v>
      </c>
      <c r="Z67" t="s">
        <v>75</v>
      </c>
      <c r="AB67" t="s">
        <v>548</v>
      </c>
      <c r="AD67" s="130">
        <v>44714</v>
      </c>
      <c r="AE67"/>
      <c r="AG67" t="s">
        <v>76</v>
      </c>
      <c r="AI67" t="s">
        <v>548</v>
      </c>
      <c r="AK67" t="s">
        <v>102</v>
      </c>
      <c r="AM67" s="38"/>
      <c r="AO67" t="s">
        <v>544</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549</v>
      </c>
      <c r="D68" t="s">
        <v>550</v>
      </c>
      <c r="F68" t="s">
        <v>551</v>
      </c>
      <c r="G68" t="s">
        <v>552</v>
      </c>
      <c r="H68" t="s">
        <v>553</v>
      </c>
      <c r="I68" t="str">
        <f>IFERROR(HYPERLINK("#Finance!B" &amp; MATCH(A68, 'F 2025'!A:A, 0), "🔗 Go to finance"), "❌ ID introuvable")</f>
        <v>🔗 Go to finance</v>
      </c>
      <c r="J68" t="s">
        <v>554</v>
      </c>
      <c r="K68" t="s">
        <v>117</v>
      </c>
      <c r="L68" t="s">
        <v>487</v>
      </c>
      <c r="N68">
        <v>2</v>
      </c>
      <c r="O68">
        <v>8800</v>
      </c>
      <c r="V68" t="s">
        <v>555</v>
      </c>
      <c r="W68" t="s">
        <v>556</v>
      </c>
      <c r="Y68" t="s">
        <v>557</v>
      </c>
      <c r="Z68" t="s">
        <v>75</v>
      </c>
      <c r="AB68" t="s">
        <v>558</v>
      </c>
      <c r="AD68" s="130">
        <v>43101</v>
      </c>
      <c r="AE68"/>
      <c r="AG68" t="s">
        <v>76</v>
      </c>
      <c r="AI68" t="s">
        <v>558</v>
      </c>
      <c r="AK68" t="s">
        <v>559</v>
      </c>
      <c r="AM68" s="38"/>
      <c r="AO68" t="s">
        <v>552</v>
      </c>
      <c r="AP68">
        <v>15</v>
      </c>
      <c r="AQ68" t="s">
        <v>552</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3066</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560</v>
      </c>
      <c r="D69" t="s">
        <v>561</v>
      </c>
      <c r="F69" t="s">
        <v>202</v>
      </c>
      <c r="G69" t="s">
        <v>562</v>
      </c>
      <c r="H69" t="s">
        <v>563</v>
      </c>
      <c r="I69" t="str">
        <f>IFERROR(HYPERLINK("#Finance!B" &amp; MATCH(A69, 'F 2025'!A:A, 0), "🔗 Go to finance"), "❌ ID introuvable")</f>
        <v>❌ ID introuvable</v>
      </c>
      <c r="L69" t="s">
        <v>90</v>
      </c>
      <c r="V69" t="s">
        <v>564</v>
      </c>
      <c r="Y69" t="s">
        <v>565</v>
      </c>
      <c r="Z69" t="s">
        <v>75</v>
      </c>
      <c r="AB69" t="s">
        <v>566</v>
      </c>
      <c r="AD69" s="130"/>
      <c r="AE69"/>
      <c r="AG69" t="s">
        <v>76</v>
      </c>
      <c r="AI69" t="s">
        <v>566</v>
      </c>
      <c r="AK69" t="s">
        <v>567</v>
      </c>
      <c r="AM69" s="38"/>
      <c r="AO69" t="s">
        <v>562</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568</v>
      </c>
      <c r="D70" t="s">
        <v>569</v>
      </c>
      <c r="F70" t="s">
        <v>570</v>
      </c>
      <c r="G70" t="s">
        <v>571</v>
      </c>
      <c r="H70" t="s">
        <v>572</v>
      </c>
      <c r="I70" t="str">
        <f>IFERROR(HYPERLINK("#Finance!B" &amp; MATCH(A70, 'F 2025'!A:A, 0), "🔗 Go to finance"), "❌ ID introuvable")</f>
        <v>❌ ID introuvable</v>
      </c>
      <c r="L70" t="s">
        <v>90</v>
      </c>
      <c r="V70" t="s">
        <v>573</v>
      </c>
      <c r="Y70" t="s">
        <v>574</v>
      </c>
      <c r="Z70" t="s">
        <v>75</v>
      </c>
      <c r="AB70" t="s">
        <v>575</v>
      </c>
      <c r="AD70" s="130"/>
      <c r="AE70"/>
      <c r="AG70" t="s">
        <v>76</v>
      </c>
      <c r="AI70" t="s">
        <v>575</v>
      </c>
      <c r="AK70" t="s">
        <v>94</v>
      </c>
      <c r="AM70" s="38"/>
      <c r="AO70" t="s">
        <v>571</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576</v>
      </c>
      <c r="D71" t="s">
        <v>444</v>
      </c>
      <c r="F71" t="s">
        <v>577</v>
      </c>
      <c r="G71" t="s">
        <v>578</v>
      </c>
      <c r="H71" t="s">
        <v>447</v>
      </c>
      <c r="I71" t="str">
        <f>IFERROR(HYPERLINK("#Finance!B" &amp; MATCH(A71, 'F 2025'!A:A, 0), "🔗 Go to finance"), "❌ ID introuvable")</f>
        <v>❌ ID introuvable</v>
      </c>
      <c r="L71" t="s">
        <v>102</v>
      </c>
      <c r="V71" t="s">
        <v>579</v>
      </c>
      <c r="Z71" t="s">
        <v>75</v>
      </c>
      <c r="AB71" t="s">
        <v>580</v>
      </c>
      <c r="AD71" s="130"/>
      <c r="AE71"/>
      <c r="AG71" t="s">
        <v>76</v>
      </c>
      <c r="AI71" t="s">
        <v>580</v>
      </c>
      <c r="AK71" t="s">
        <v>102</v>
      </c>
      <c r="AM71" s="38"/>
      <c r="AO71" t="s">
        <v>578</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581</v>
      </c>
      <c r="D72" t="s">
        <v>582</v>
      </c>
      <c r="F72" t="s">
        <v>583</v>
      </c>
      <c r="G72" t="s">
        <v>584</v>
      </c>
      <c r="H72" t="s">
        <v>585</v>
      </c>
      <c r="I72" t="str">
        <f>IFERROR(HYPERLINK("#Finance!B" &amp; MATCH(A72, 'F 2025'!A:A, 0), "🔗 Go to finance"), "❌ ID introuvable")</f>
        <v>🔗 Go to finance</v>
      </c>
      <c r="J72" t="s">
        <v>495</v>
      </c>
      <c r="K72" t="s">
        <v>110</v>
      </c>
      <c r="L72" t="s">
        <v>487</v>
      </c>
      <c r="N72">
        <v>4</v>
      </c>
      <c r="O72">
        <v>19800</v>
      </c>
      <c r="T72" s="130">
        <v>45146</v>
      </c>
      <c r="V72" t="s">
        <v>586</v>
      </c>
      <c r="W72" t="s">
        <v>586</v>
      </c>
      <c r="Y72">
        <v>9062983915</v>
      </c>
      <c r="Z72" t="s">
        <v>75</v>
      </c>
      <c r="AD72" s="130">
        <v>45108</v>
      </c>
      <c r="AE72"/>
      <c r="AG72" t="s">
        <v>76</v>
      </c>
      <c r="AK72" t="s">
        <v>84</v>
      </c>
      <c r="AM72" s="38"/>
      <c r="AO72" t="s">
        <v>584</v>
      </c>
      <c r="AP72">
        <v>112</v>
      </c>
      <c r="AQ72" t="s">
        <v>584</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1059</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587</v>
      </c>
      <c r="D73" t="s">
        <v>588</v>
      </c>
      <c r="F73" t="s">
        <v>589</v>
      </c>
      <c r="G73" t="s">
        <v>590</v>
      </c>
      <c r="H73" t="s">
        <v>591</v>
      </c>
      <c r="I73" t="str">
        <f>IFERROR(HYPERLINK("#Finance!B" &amp; MATCH(A73, 'F 2025'!A:A, 0), "🔗 Go to finance"), "❌ ID introuvable")</f>
        <v>🔗 Go to finance</v>
      </c>
      <c r="T73" s="38">
        <v>45906</v>
      </c>
      <c r="V73" t="s">
        <v>592</v>
      </c>
      <c r="W73" t="s">
        <v>593</v>
      </c>
      <c r="Y73" t="s">
        <v>594</v>
      </c>
      <c r="Z73" t="s">
        <v>75</v>
      </c>
      <c r="AB73" t="s">
        <v>595</v>
      </c>
      <c r="AD73" s="130">
        <v>43928</v>
      </c>
      <c r="AE73"/>
      <c r="AG73" t="s">
        <v>76</v>
      </c>
      <c r="AI73" t="s">
        <v>595</v>
      </c>
      <c r="AK73" t="s">
        <v>102</v>
      </c>
      <c r="AM73" s="38"/>
      <c r="AO73" t="s">
        <v>590</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596</v>
      </c>
      <c r="D74" t="s">
        <v>597</v>
      </c>
      <c r="F74" t="s">
        <v>598</v>
      </c>
      <c r="G74" t="s">
        <v>599</v>
      </c>
      <c r="H74" t="s">
        <v>600</v>
      </c>
      <c r="I74" t="str">
        <f>IFERROR(HYPERLINK("#Finance!B" &amp; MATCH(A74, 'F 2025'!A:A, 0), "🔗 Go to finance"), "❌ ID introuvable")</f>
        <v>❌ ID introuvable</v>
      </c>
      <c r="V74" t="s">
        <v>601</v>
      </c>
      <c r="Y74" t="s">
        <v>602</v>
      </c>
      <c r="Z74" t="s">
        <v>75</v>
      </c>
      <c r="AB74" t="s">
        <v>603</v>
      </c>
      <c r="AD74" s="130">
        <v>44301</v>
      </c>
      <c r="AE74"/>
      <c r="AG74" t="s">
        <v>76</v>
      </c>
      <c r="AI74" t="s">
        <v>603</v>
      </c>
      <c r="AK74" t="s">
        <v>362</v>
      </c>
      <c r="AM74" s="38"/>
      <c r="AO74" t="s">
        <v>599</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604</v>
      </c>
      <c r="D75" t="s">
        <v>178</v>
      </c>
      <c r="F75" t="s">
        <v>605</v>
      </c>
      <c r="G75" t="s">
        <v>606</v>
      </c>
      <c r="H75" t="s">
        <v>181</v>
      </c>
      <c r="I75" t="str">
        <f>IFERROR(HYPERLINK("#Finance!B" &amp; MATCH(A75, 'F 2025'!A:A, 0), "🔗 Go to finance"), "❌ ID introuvable")</f>
        <v>🔗 Go to finance</v>
      </c>
      <c r="J75" t="s">
        <v>109</v>
      </c>
      <c r="K75" t="s">
        <v>117</v>
      </c>
      <c r="L75" t="s">
        <v>503</v>
      </c>
      <c r="N75">
        <v>4</v>
      </c>
      <c r="O75">
        <v>6050</v>
      </c>
      <c r="T75" s="130">
        <v>45020</v>
      </c>
      <c r="V75" t="s">
        <v>607</v>
      </c>
      <c r="W75" t="s">
        <v>608</v>
      </c>
      <c r="Y75" t="s">
        <v>1917</v>
      </c>
      <c r="Z75" t="s">
        <v>75</v>
      </c>
      <c r="AB75" t="s">
        <v>609</v>
      </c>
      <c r="AD75" s="130">
        <v>45020</v>
      </c>
      <c r="AE75"/>
      <c r="AG75" t="s">
        <v>76</v>
      </c>
      <c r="AI75" t="s">
        <v>609</v>
      </c>
      <c r="AK75" t="s">
        <v>102</v>
      </c>
      <c r="AM75" s="38"/>
      <c r="AO75" t="s">
        <v>606</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1147</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610</v>
      </c>
      <c r="D76" t="s">
        <v>157</v>
      </c>
      <c r="F76" t="s">
        <v>611</v>
      </c>
      <c r="G76" t="s">
        <v>612</v>
      </c>
      <c r="H76" t="s">
        <v>613</v>
      </c>
      <c r="I76" t="str">
        <f>IFERROR(HYPERLINK("#Finance!B" &amp; MATCH(A76, 'F 2025'!A:A, 0), "🔗 Go to finance"), "❌ ID introuvable")</f>
        <v>❌ ID introuvable</v>
      </c>
      <c r="Y76" t="s">
        <v>614</v>
      </c>
      <c r="Z76" t="s">
        <v>75</v>
      </c>
      <c r="AD76" s="130"/>
      <c r="AE76"/>
      <c r="AG76" t="s">
        <v>76</v>
      </c>
      <c r="AM76" s="38"/>
      <c r="AO76" t="s">
        <v>612</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615</v>
      </c>
      <c r="D77" t="s">
        <v>616</v>
      </c>
      <c r="F77" t="s">
        <v>617</v>
      </c>
      <c r="G77" t="s">
        <v>618</v>
      </c>
      <c r="H77" t="s">
        <v>619</v>
      </c>
      <c r="I77" t="str">
        <f>IFERROR(HYPERLINK("#Finance!B" &amp; MATCH(A77, 'F 2025'!A:A, 0), "🔗 Go to finance"), "❌ ID introuvable")</f>
        <v>❌ ID introuvable</v>
      </c>
      <c r="L77" t="s">
        <v>90</v>
      </c>
      <c r="V77" t="s">
        <v>620</v>
      </c>
      <c r="Y77" t="s">
        <v>621</v>
      </c>
      <c r="Z77" t="s">
        <v>75</v>
      </c>
      <c r="AB77" t="s">
        <v>622</v>
      </c>
      <c r="AD77" s="130"/>
      <c r="AE77"/>
      <c r="AG77" t="s">
        <v>76</v>
      </c>
      <c r="AI77" t="s">
        <v>622</v>
      </c>
      <c r="AK77" t="s">
        <v>94</v>
      </c>
      <c r="AM77" s="38"/>
      <c r="AO77" t="s">
        <v>618</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623</v>
      </c>
      <c r="D78" t="s">
        <v>624</v>
      </c>
      <c r="F78" t="s">
        <v>625</v>
      </c>
      <c r="G78" t="s">
        <v>626</v>
      </c>
      <c r="H78" t="s">
        <v>627</v>
      </c>
      <c r="I78" t="str">
        <f>IFERROR(HYPERLINK("#Finance!B" &amp; MATCH(A78, 'F 2025'!A:A, 0), "🔗 Go to finance"), "❌ ID introuvable")</f>
        <v>❌ ID introuvable</v>
      </c>
      <c r="L78" t="s">
        <v>102</v>
      </c>
      <c r="V78" t="s">
        <v>628</v>
      </c>
      <c r="Y78" t="s">
        <v>629</v>
      </c>
      <c r="Z78" t="s">
        <v>75</v>
      </c>
      <c r="AB78" t="s">
        <v>630</v>
      </c>
      <c r="AD78" s="130"/>
      <c r="AE78"/>
      <c r="AG78" t="s">
        <v>76</v>
      </c>
      <c r="AI78" t="s">
        <v>630</v>
      </c>
      <c r="AK78" t="s">
        <v>290</v>
      </c>
      <c r="AM78" s="38"/>
      <c r="AO78" t="s">
        <v>626</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631</v>
      </c>
      <c r="D79" t="s">
        <v>632</v>
      </c>
      <c r="F79" t="s">
        <v>633</v>
      </c>
      <c r="G79" t="s">
        <v>634</v>
      </c>
      <c r="H79" t="s">
        <v>635</v>
      </c>
      <c r="I79" t="str">
        <f>IFERROR(HYPERLINK("#Finance!B" &amp; MATCH(A79, 'F 2025'!A:A, 0), "🔗 Go to finance"), "❌ ID introuvable")</f>
        <v>❌ ID introuvable</v>
      </c>
      <c r="V79" s="13" t="s">
        <v>2139</v>
      </c>
      <c r="W79" t="s">
        <v>636</v>
      </c>
      <c r="Y79" t="s">
        <v>2138</v>
      </c>
      <c r="Z79" t="s">
        <v>75</v>
      </c>
      <c r="AB79" t="s">
        <v>637</v>
      </c>
      <c r="AD79" s="130">
        <v>45450</v>
      </c>
      <c r="AE79"/>
      <c r="AG79" t="s">
        <v>76</v>
      </c>
      <c r="AI79" t="s">
        <v>637</v>
      </c>
      <c r="AK79" t="s">
        <v>102</v>
      </c>
      <c r="AM79" s="38"/>
      <c r="AO79" t="s">
        <v>634</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638</v>
      </c>
      <c r="D80" t="s">
        <v>639</v>
      </c>
      <c r="F80" t="s">
        <v>640</v>
      </c>
      <c r="G80" t="s">
        <v>641</v>
      </c>
      <c r="H80" t="s">
        <v>642</v>
      </c>
      <c r="I80" t="str">
        <f>IFERROR(HYPERLINK("#Finance!B" &amp; MATCH(A80, 'F 2025'!A:A, 0), "🔗 Go to finance"), "❌ ID introuvable")</f>
        <v>🔗 Go to finance</v>
      </c>
      <c r="V80" t="s">
        <v>643</v>
      </c>
      <c r="Y80">
        <v>8017659160</v>
      </c>
      <c r="Z80" t="s">
        <v>75</v>
      </c>
      <c r="AD80" s="130"/>
      <c r="AE80"/>
      <c r="AG80" t="s">
        <v>76</v>
      </c>
      <c r="AK80" t="s">
        <v>362</v>
      </c>
      <c r="AM80" s="38">
        <v>45748</v>
      </c>
      <c r="AO80" t="s">
        <v>641</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644</v>
      </c>
      <c r="D81" t="s">
        <v>645</v>
      </c>
      <c r="F81" t="s">
        <v>646</v>
      </c>
      <c r="G81" t="s">
        <v>647</v>
      </c>
      <c r="H81" t="s">
        <v>648</v>
      </c>
      <c r="I81" t="str">
        <f>IFERROR(HYPERLINK("#Finance!B" &amp; MATCH(A81, 'F 2025'!A:A, 0), "🔗 Go to finance"), "❌ ID introuvable")</f>
        <v>🔗 Go to finance</v>
      </c>
      <c r="J81" t="s">
        <v>109</v>
      </c>
      <c r="K81" t="s">
        <v>117</v>
      </c>
      <c r="L81" t="s">
        <v>238</v>
      </c>
      <c r="O81">
        <v>6050</v>
      </c>
      <c r="T81" s="130">
        <v>45528</v>
      </c>
      <c r="V81" t="s">
        <v>649</v>
      </c>
      <c r="W81" t="s">
        <v>650</v>
      </c>
      <c r="X81" t="s">
        <v>649</v>
      </c>
      <c r="Y81" t="s">
        <v>651</v>
      </c>
      <c r="Z81" t="s">
        <v>75</v>
      </c>
      <c r="AD81" s="130">
        <v>45444</v>
      </c>
      <c r="AE81"/>
      <c r="AG81" t="s">
        <v>76</v>
      </c>
      <c r="AK81" t="s">
        <v>102</v>
      </c>
      <c r="AM81" s="38" t="s">
        <v>2342</v>
      </c>
      <c r="AO81" t="s">
        <v>652</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653</v>
      </c>
      <c r="D82" t="s">
        <v>645</v>
      </c>
      <c r="F82" t="s">
        <v>654</v>
      </c>
      <c r="G82" t="s">
        <v>655</v>
      </c>
      <c r="H82" t="s">
        <v>648</v>
      </c>
      <c r="I82" t="str">
        <f>IFERROR(HYPERLINK("#Finance!B" &amp; MATCH(A82, 'F 2025'!A:A, 0), "🔗 Go to finance"), "❌ ID introuvable")</f>
        <v>🔗 Go to finance</v>
      </c>
      <c r="J82" t="s">
        <v>109</v>
      </c>
      <c r="K82" t="s">
        <v>117</v>
      </c>
      <c r="L82" t="s">
        <v>238</v>
      </c>
      <c r="O82">
        <v>6050</v>
      </c>
      <c r="T82" s="130">
        <v>45528</v>
      </c>
      <c r="V82" t="s">
        <v>656</v>
      </c>
      <c r="W82" t="s">
        <v>650</v>
      </c>
      <c r="X82" t="s">
        <v>649</v>
      </c>
      <c r="Y82" t="s">
        <v>651</v>
      </c>
      <c r="Z82" t="s">
        <v>75</v>
      </c>
      <c r="AD82" s="130">
        <v>45444</v>
      </c>
      <c r="AE82"/>
      <c r="AG82" t="s">
        <v>76</v>
      </c>
      <c r="AK82" t="s">
        <v>102</v>
      </c>
      <c r="AM82" s="38" t="s">
        <v>2342</v>
      </c>
      <c r="AO82" t="s">
        <v>652</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657</v>
      </c>
      <c r="D83" t="s">
        <v>658</v>
      </c>
      <c r="F83" t="s">
        <v>659</v>
      </c>
      <c r="G83" t="s">
        <v>660</v>
      </c>
      <c r="H83" t="s">
        <v>661</v>
      </c>
      <c r="I83" t="str">
        <f>IFERROR(HYPERLINK("#Finance!B" &amp; MATCH(A83, 'F 2025'!A:A, 0), "🔗 Go to finance"), "❌ ID introuvable")</f>
        <v>❌ ID introuvable</v>
      </c>
      <c r="L83" t="s">
        <v>662</v>
      </c>
      <c r="V83" t="s">
        <v>663</v>
      </c>
      <c r="Y83" t="s">
        <v>664</v>
      </c>
      <c r="Z83" t="s">
        <v>75</v>
      </c>
      <c r="AB83" t="s">
        <v>665</v>
      </c>
      <c r="AD83" s="130"/>
      <c r="AE83"/>
      <c r="AG83" t="s">
        <v>76</v>
      </c>
      <c r="AI83" t="s">
        <v>665</v>
      </c>
      <c r="AK83" t="s">
        <v>182</v>
      </c>
      <c r="AM83" s="38"/>
      <c r="AO83" t="s">
        <v>660</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666</v>
      </c>
      <c r="D84" t="s">
        <v>667</v>
      </c>
      <c r="F84" t="s">
        <v>668</v>
      </c>
      <c r="G84" t="s">
        <v>669</v>
      </c>
      <c r="H84" t="s">
        <v>670</v>
      </c>
      <c r="I84" t="str">
        <f>IFERROR(HYPERLINK("#Finance!B" &amp; MATCH(A84, 'F 2025'!A:A, 0), "🔗 Go to finance"), "❌ ID introuvable")</f>
        <v>❌ ID introuvable</v>
      </c>
      <c r="L84" t="s">
        <v>90</v>
      </c>
      <c r="V84" t="s">
        <v>671</v>
      </c>
      <c r="Y84" t="s">
        <v>672</v>
      </c>
      <c r="Z84" t="s">
        <v>75</v>
      </c>
      <c r="AB84" t="s">
        <v>673</v>
      </c>
      <c r="AD84" s="130"/>
      <c r="AE84"/>
      <c r="AG84" t="s">
        <v>76</v>
      </c>
      <c r="AI84" t="s">
        <v>673</v>
      </c>
      <c r="AK84" t="s">
        <v>126</v>
      </c>
      <c r="AM84" s="38"/>
      <c r="AO84" t="s">
        <v>669</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674</v>
      </c>
      <c r="D85" t="s">
        <v>675</v>
      </c>
      <c r="F85" t="s">
        <v>676</v>
      </c>
      <c r="G85" t="s">
        <v>677</v>
      </c>
      <c r="H85" t="s">
        <v>678</v>
      </c>
      <c r="I85" t="str">
        <f>IFERROR(HYPERLINK("#Finance!B" &amp; MATCH(A85, 'F 2025'!A:A, 0), "🔗 Go to finance"), "❌ ID introuvable")</f>
        <v>🔗 Go to finance</v>
      </c>
      <c r="J85" t="s">
        <v>196</v>
      </c>
      <c r="K85" t="s">
        <v>117</v>
      </c>
      <c r="L85" t="s">
        <v>487</v>
      </c>
      <c r="M85" t="s">
        <v>679</v>
      </c>
      <c r="N85">
        <v>2</v>
      </c>
      <c r="O85">
        <v>6050</v>
      </c>
      <c r="T85" s="130">
        <v>43101</v>
      </c>
      <c r="Y85" t="s">
        <v>680</v>
      </c>
      <c r="Z85" t="s">
        <v>75</v>
      </c>
      <c r="AB85" t="s">
        <v>681</v>
      </c>
      <c r="AD85" s="130">
        <v>43101</v>
      </c>
      <c r="AE85"/>
      <c r="AG85" t="s">
        <v>76</v>
      </c>
      <c r="AI85" t="s">
        <v>681</v>
      </c>
      <c r="AK85" t="s">
        <v>682</v>
      </c>
      <c r="AM85" s="38"/>
      <c r="AO85" t="s">
        <v>677</v>
      </c>
      <c r="AP85">
        <v>2</v>
      </c>
      <c r="AQ85" t="s">
        <v>677</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3066</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683</v>
      </c>
      <c r="D86" t="s">
        <v>684</v>
      </c>
      <c r="F86" t="s">
        <v>685</v>
      </c>
      <c r="G86" t="s">
        <v>686</v>
      </c>
      <c r="H86" t="s">
        <v>687</v>
      </c>
      <c r="I86" t="str">
        <f>IFERROR(HYPERLINK("#Finance!B" &amp; MATCH(A86, 'F 2025'!A:A, 0), "🔗 Go to finance"), "❌ ID introuvable")</f>
        <v>❌ ID introuvable</v>
      </c>
      <c r="L86" t="s">
        <v>132</v>
      </c>
      <c r="V86" t="s">
        <v>688</v>
      </c>
      <c r="W86" t="s">
        <v>689</v>
      </c>
      <c r="Y86" t="s">
        <v>690</v>
      </c>
      <c r="Z86" t="s">
        <v>75</v>
      </c>
      <c r="AB86" t="s">
        <v>691</v>
      </c>
      <c r="AD86" s="130"/>
      <c r="AE86"/>
      <c r="AG86" t="s">
        <v>76</v>
      </c>
      <c r="AI86" t="s">
        <v>691</v>
      </c>
      <c r="AK86" t="s">
        <v>132</v>
      </c>
      <c r="AM86" s="38"/>
      <c r="AO86" t="s">
        <v>686</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692</v>
      </c>
      <c r="D87" t="s">
        <v>693</v>
      </c>
      <c r="F87" t="s">
        <v>694</v>
      </c>
      <c r="G87" t="s">
        <v>695</v>
      </c>
      <c r="H87" t="s">
        <v>696</v>
      </c>
      <c r="I87" t="str">
        <f>IFERROR(HYPERLINK("#Finance!B" &amp; MATCH(A87, 'F 2025'!A:A, 0), "🔗 Go to finance"), "❌ ID introuvable")</f>
        <v>❌ ID introuvable</v>
      </c>
      <c r="L87" t="s">
        <v>90</v>
      </c>
      <c r="V87" t="s">
        <v>697</v>
      </c>
      <c r="Y87" t="s">
        <v>698</v>
      </c>
      <c r="Z87" t="s">
        <v>75</v>
      </c>
      <c r="AB87" t="s">
        <v>699</v>
      </c>
      <c r="AD87" s="130"/>
      <c r="AE87"/>
      <c r="AG87" t="s">
        <v>76</v>
      </c>
      <c r="AI87" t="s">
        <v>699</v>
      </c>
      <c r="AK87" t="s">
        <v>148</v>
      </c>
      <c r="AM87" s="38">
        <v>45745</v>
      </c>
      <c r="AO87" t="s">
        <v>695</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700</v>
      </c>
      <c r="D88" t="s">
        <v>701</v>
      </c>
      <c r="F88" t="s">
        <v>702</v>
      </c>
      <c r="G88" t="s">
        <v>703</v>
      </c>
      <c r="H88" t="s">
        <v>704</v>
      </c>
      <c r="I88" t="str">
        <f>IFERROR(HYPERLINK("#Finance!B" &amp; MATCH(A88, 'F 2025'!A:A, 0), "🔗 Go to finance"), "❌ ID introuvable")</f>
        <v>❌ ID introuvable</v>
      </c>
      <c r="L88" t="s">
        <v>662</v>
      </c>
      <c r="V88" t="s">
        <v>705</v>
      </c>
      <c r="Y88" t="s">
        <v>706</v>
      </c>
      <c r="Z88" t="s">
        <v>75</v>
      </c>
      <c r="AB88" t="s">
        <v>707</v>
      </c>
      <c r="AD88" s="130"/>
      <c r="AE88"/>
      <c r="AG88" t="s">
        <v>76</v>
      </c>
      <c r="AI88" t="s">
        <v>707</v>
      </c>
      <c r="AK88" t="s">
        <v>182</v>
      </c>
      <c r="AM88" s="38"/>
      <c r="AO88" t="s">
        <v>703</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708</v>
      </c>
      <c r="D89" t="s">
        <v>348</v>
      </c>
      <c r="F89" t="s">
        <v>709</v>
      </c>
      <c r="G89" t="s">
        <v>710</v>
      </c>
      <c r="H89" t="s">
        <v>351</v>
      </c>
      <c r="I89" t="str">
        <f>IFERROR(HYPERLINK("#Finance!B" &amp; MATCH(A89, 'F 2025'!A:A, 0), "🔗 Go to finance"), "❌ ID introuvable")</f>
        <v>🔗 Go to finance</v>
      </c>
      <c r="V89" t="s">
        <v>711</v>
      </c>
      <c r="Y89">
        <v>9098708927</v>
      </c>
      <c r="Z89" t="s">
        <v>75</v>
      </c>
      <c r="AB89" t="s">
        <v>712</v>
      </c>
      <c r="AD89" s="130">
        <v>45462</v>
      </c>
      <c r="AE89"/>
      <c r="AG89" t="s">
        <v>76</v>
      </c>
      <c r="AI89" t="s">
        <v>712</v>
      </c>
      <c r="AK89" t="s">
        <v>182</v>
      </c>
      <c r="AM89" s="38">
        <v>45747</v>
      </c>
      <c r="AO89" t="s">
        <v>710</v>
      </c>
      <c r="AP89">
        <v>147</v>
      </c>
      <c r="AQ89" t="s">
        <v>710</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713</v>
      </c>
      <c r="D90" t="s">
        <v>714</v>
      </c>
      <c r="F90" t="s">
        <v>715</v>
      </c>
      <c r="G90" t="s">
        <v>716</v>
      </c>
      <c r="H90" t="s">
        <v>717</v>
      </c>
      <c r="I90" t="str">
        <f>IFERROR(HYPERLINK("#Finance!B" &amp; MATCH(A90, 'F 2025'!A:A, 0), "🔗 Go to finance"), "❌ ID introuvable")</f>
        <v>❌ ID introuvable</v>
      </c>
      <c r="L90" t="s">
        <v>718</v>
      </c>
      <c r="V90" t="s">
        <v>719</v>
      </c>
      <c r="Y90">
        <v>9059615590</v>
      </c>
      <c r="Z90" t="s">
        <v>75</v>
      </c>
      <c r="AD90" s="130"/>
      <c r="AE90"/>
      <c r="AG90" t="s">
        <v>76</v>
      </c>
      <c r="AK90" t="s">
        <v>720</v>
      </c>
      <c r="AM90" s="38"/>
      <c r="AO90" t="s">
        <v>716</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721</v>
      </c>
      <c r="D91" t="s">
        <v>722</v>
      </c>
      <c r="F91" t="s">
        <v>723</v>
      </c>
      <c r="G91" t="s">
        <v>724</v>
      </c>
      <c r="H91" t="s">
        <v>725</v>
      </c>
      <c r="I91" t="str">
        <f>IFERROR(HYPERLINK("#Finance!B" &amp; MATCH(A91, 'F 2025'!A:A, 0), "🔗 Go to finance"), "❌ ID introuvable")</f>
        <v>🔗 Go to finance</v>
      </c>
      <c r="J91" t="s">
        <v>196</v>
      </c>
      <c r="K91" t="s">
        <v>110</v>
      </c>
      <c r="L91" t="s">
        <v>487</v>
      </c>
      <c r="N91">
        <v>12</v>
      </c>
      <c r="O91">
        <v>59400</v>
      </c>
      <c r="V91" t="s">
        <v>726</v>
      </c>
      <c r="W91" t="s">
        <v>726</v>
      </c>
      <c r="Z91" t="s">
        <v>75</v>
      </c>
      <c r="AB91" t="s">
        <v>727</v>
      </c>
      <c r="AD91" s="130">
        <v>45204</v>
      </c>
      <c r="AE91"/>
      <c r="AG91" t="s">
        <v>76</v>
      </c>
      <c r="AI91" t="s">
        <v>727</v>
      </c>
      <c r="AK91" t="s">
        <v>84</v>
      </c>
      <c r="AM91" s="38"/>
      <c r="AO91" t="s">
        <v>724</v>
      </c>
      <c r="AP91">
        <v>119</v>
      </c>
      <c r="AQ91" t="s">
        <v>724</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963</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728</v>
      </c>
      <c r="D92" t="s">
        <v>293</v>
      </c>
      <c r="F92" t="s">
        <v>729</v>
      </c>
      <c r="G92" t="s">
        <v>730</v>
      </c>
      <c r="H92" t="s">
        <v>296</v>
      </c>
      <c r="I92" t="str">
        <f>IFERROR(HYPERLINK("#Finance!B" &amp; MATCH(A92, 'F 2025'!A:A, 0), "🔗 Go to finance"), "❌ ID introuvable")</f>
        <v>❌ ID introuvable</v>
      </c>
      <c r="V92" t="s">
        <v>731</v>
      </c>
      <c r="Z92" t="s">
        <v>75</v>
      </c>
      <c r="AB92" t="s">
        <v>732</v>
      </c>
      <c r="AD92" s="130"/>
      <c r="AE92"/>
      <c r="AG92" t="s">
        <v>76</v>
      </c>
      <c r="AI92" t="s">
        <v>732</v>
      </c>
      <c r="AK92" t="s">
        <v>84</v>
      </c>
      <c r="AM92" s="38">
        <v>46022</v>
      </c>
      <c r="AO92" t="s">
        <v>730</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733</v>
      </c>
      <c r="D93" t="s">
        <v>734</v>
      </c>
      <c r="F93" t="s">
        <v>735</v>
      </c>
      <c r="G93" t="s">
        <v>736</v>
      </c>
      <c r="H93" t="s">
        <v>737</v>
      </c>
      <c r="I93" t="str">
        <f>IFERROR(HYPERLINK("#Finance!B" &amp; MATCH(A93, 'F 2025'!A:A, 0), "🔗 Go to finance"), "❌ ID introuvable")</f>
        <v>🔗 Go to finance</v>
      </c>
      <c r="L93" t="s">
        <v>72</v>
      </c>
      <c r="V93" t="s">
        <v>738</v>
      </c>
      <c r="Z93" t="s">
        <v>75</v>
      </c>
      <c r="AB93" t="s">
        <v>739</v>
      </c>
      <c r="AD93" s="130"/>
      <c r="AE93"/>
      <c r="AG93" t="s">
        <v>76</v>
      </c>
      <c r="AI93" t="s">
        <v>739</v>
      </c>
      <c r="AK93" t="s">
        <v>102</v>
      </c>
      <c r="AM93" s="38">
        <v>45716</v>
      </c>
      <c r="AO93" t="s">
        <v>736</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740</v>
      </c>
      <c r="D94" t="s">
        <v>741</v>
      </c>
      <c r="F94" t="s">
        <v>742</v>
      </c>
      <c r="G94" t="s">
        <v>743</v>
      </c>
      <c r="H94" t="s">
        <v>744</v>
      </c>
      <c r="I94" t="str">
        <f>IFERROR(HYPERLINK("#Finance!B" &amp; MATCH(A94, 'F 2025'!A:A, 0), "🔗 Go to finance"), "❌ ID introuvable")</f>
        <v>❌ ID introuvable</v>
      </c>
      <c r="L94" t="s">
        <v>90</v>
      </c>
      <c r="V94" t="s">
        <v>745</v>
      </c>
      <c r="W94" t="s">
        <v>745</v>
      </c>
      <c r="Y94" t="s">
        <v>746</v>
      </c>
      <c r="Z94" t="s">
        <v>75</v>
      </c>
      <c r="AB94" t="s">
        <v>747</v>
      </c>
      <c r="AD94" s="130"/>
      <c r="AE94"/>
      <c r="AG94" t="s">
        <v>76</v>
      </c>
      <c r="AI94" t="s">
        <v>747</v>
      </c>
      <c r="AK94" t="s">
        <v>748</v>
      </c>
      <c r="AM94" s="38"/>
      <c r="AO94" t="s">
        <v>743</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749</v>
      </c>
      <c r="D95" t="s">
        <v>750</v>
      </c>
      <c r="F95" t="s">
        <v>751</v>
      </c>
      <c r="G95" t="s">
        <v>752</v>
      </c>
      <c r="H95" t="s">
        <v>753</v>
      </c>
      <c r="I95" t="str">
        <f>IFERROR(HYPERLINK("#Finance!B" &amp; MATCH(A95, 'F 2025'!A:A, 0), "🔗 Go to finance"), "❌ ID introuvable")</f>
        <v>❌ ID introuvable</v>
      </c>
      <c r="L95" t="s">
        <v>102</v>
      </c>
      <c r="V95" t="s">
        <v>754</v>
      </c>
      <c r="Y95" t="s">
        <v>755</v>
      </c>
      <c r="Z95" t="s">
        <v>75</v>
      </c>
      <c r="AB95" t="s">
        <v>756</v>
      </c>
      <c r="AD95" s="130">
        <v>43927</v>
      </c>
      <c r="AE95"/>
      <c r="AG95" t="s">
        <v>76</v>
      </c>
      <c r="AI95" t="s">
        <v>756</v>
      </c>
      <c r="AK95" t="s">
        <v>290</v>
      </c>
      <c r="AM95" s="38"/>
      <c r="AO95" t="s">
        <v>752</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757</v>
      </c>
      <c r="D96" t="s">
        <v>684</v>
      </c>
      <c r="F96" t="s">
        <v>758</v>
      </c>
      <c r="G96" t="s">
        <v>759</v>
      </c>
      <c r="H96" t="s">
        <v>687</v>
      </c>
      <c r="I96" t="str">
        <f>IFERROR(HYPERLINK("#Finance!B" &amp; MATCH(A96, 'F 2025'!A:A, 0), "🔗 Go to finance"), "❌ ID introuvable")</f>
        <v>❌ ID introuvable</v>
      </c>
      <c r="V96" t="s">
        <v>760</v>
      </c>
      <c r="Y96" t="s">
        <v>761</v>
      </c>
      <c r="Z96" t="s">
        <v>75</v>
      </c>
      <c r="AD96" s="130"/>
      <c r="AE96"/>
      <c r="AG96" t="s">
        <v>76</v>
      </c>
      <c r="AM96" s="38"/>
      <c r="AO96" t="s">
        <v>759</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762</v>
      </c>
      <c r="D97" t="s">
        <v>763</v>
      </c>
      <c r="F97" t="s">
        <v>764</v>
      </c>
      <c r="G97" t="s">
        <v>765</v>
      </c>
      <c r="H97" t="s">
        <v>766</v>
      </c>
      <c r="I97" t="str">
        <f>IFERROR(HYPERLINK("#Finance!B" &amp; MATCH(A97, 'F 2025'!A:A, 0), "🔗 Go to finance"), "❌ ID introuvable")</f>
        <v>🔗 Go to finance</v>
      </c>
      <c r="J97" t="s">
        <v>109</v>
      </c>
      <c r="K97" t="s">
        <v>117</v>
      </c>
      <c r="L97" t="s">
        <v>111</v>
      </c>
      <c r="O97">
        <v>6600</v>
      </c>
      <c r="T97" s="130">
        <v>45476</v>
      </c>
      <c r="V97" t="s">
        <v>767</v>
      </c>
      <c r="Y97">
        <v>9028509461</v>
      </c>
      <c r="Z97" t="s">
        <v>75</v>
      </c>
      <c r="AB97" t="s">
        <v>768</v>
      </c>
      <c r="AD97" s="130">
        <v>45476</v>
      </c>
      <c r="AE97"/>
      <c r="AG97" t="s">
        <v>76</v>
      </c>
      <c r="AI97" t="s">
        <v>768</v>
      </c>
      <c r="AK97" t="s">
        <v>111</v>
      </c>
      <c r="AM97" s="38">
        <v>46112</v>
      </c>
      <c r="AO97" t="s">
        <v>765</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769</v>
      </c>
      <c r="D98" t="s">
        <v>157</v>
      </c>
      <c r="F98" t="s">
        <v>770</v>
      </c>
      <c r="G98" t="s">
        <v>771</v>
      </c>
      <c r="H98" t="s">
        <v>772</v>
      </c>
      <c r="I98" t="str">
        <f>IFERROR(HYPERLINK("#Finance!B" &amp; MATCH(A98, 'F 2025'!A:A, 0), "🔗 Go to finance"), "❌ ID introuvable")</f>
        <v>❌ ID introuvable</v>
      </c>
      <c r="Y98" t="s">
        <v>773</v>
      </c>
      <c r="Z98" t="s">
        <v>75</v>
      </c>
      <c r="AD98" s="130"/>
      <c r="AE98"/>
      <c r="AG98" t="s">
        <v>76</v>
      </c>
      <c r="AM98" s="38"/>
      <c r="AO98" t="s">
        <v>771</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774</v>
      </c>
      <c r="D99" t="s">
        <v>775</v>
      </c>
      <c r="F99" t="s">
        <v>776</v>
      </c>
      <c r="G99" t="s">
        <v>777</v>
      </c>
      <c r="H99" t="s">
        <v>778</v>
      </c>
      <c r="I99" t="str">
        <f>IFERROR(HYPERLINK("#Finance!B" &amp; MATCH(A99, 'F 2025'!A:A, 0), "🔗 Go to finance"), "❌ ID introuvable")</f>
        <v>❌ ID introuvable</v>
      </c>
      <c r="V99" t="s">
        <v>779</v>
      </c>
      <c r="Z99" t="s">
        <v>75</v>
      </c>
      <c r="AB99" t="s">
        <v>780</v>
      </c>
      <c r="AD99" s="130">
        <v>44652</v>
      </c>
      <c r="AE99"/>
      <c r="AG99" t="s">
        <v>76</v>
      </c>
      <c r="AI99" t="s">
        <v>780</v>
      </c>
      <c r="AK99" t="s">
        <v>102</v>
      </c>
      <c r="AM99" s="38"/>
      <c r="AO99" t="s">
        <v>777</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781</v>
      </c>
      <c r="F100" t="s">
        <v>782</v>
      </c>
      <c r="G100" t="s">
        <v>783</v>
      </c>
      <c r="H100" t="s">
        <v>784</v>
      </c>
      <c r="I100" t="str">
        <f>IFERROR(HYPERLINK("#Finance!B" &amp; MATCH(A100, 'F 2025'!A:A, 0), "🔗 Go to finance"), "❌ ID introuvable")</f>
        <v>❌ ID introuvable</v>
      </c>
      <c r="V100" t="s">
        <v>785</v>
      </c>
      <c r="W100" t="s">
        <v>785</v>
      </c>
      <c r="Z100" t="s">
        <v>75</v>
      </c>
      <c r="AD100" s="130"/>
      <c r="AE100"/>
      <c r="AG100" t="s">
        <v>76</v>
      </c>
      <c r="AK100" t="s">
        <v>401</v>
      </c>
      <c r="AM100" s="38">
        <v>45742</v>
      </c>
      <c r="AO100" t="s">
        <v>783</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781</v>
      </c>
      <c r="F101" t="s">
        <v>782</v>
      </c>
      <c r="G101" t="s">
        <v>783</v>
      </c>
      <c r="H101" t="s">
        <v>784</v>
      </c>
      <c r="I101" t="str">
        <f>IFERROR(HYPERLINK("#Finance!B" &amp; MATCH(A101, 'F 2025'!A:A, 0), "🔗 Go to finance"), "❌ ID introuvable")</f>
        <v>❌ ID introuvable</v>
      </c>
      <c r="V101" t="s">
        <v>785</v>
      </c>
      <c r="W101" t="s">
        <v>785</v>
      </c>
      <c r="Z101" t="s">
        <v>75</v>
      </c>
      <c r="AD101" s="130"/>
      <c r="AE101"/>
      <c r="AG101" t="s">
        <v>76</v>
      </c>
      <c r="AK101" t="s">
        <v>401</v>
      </c>
      <c r="AM101" s="38"/>
      <c r="AO101" t="s">
        <v>783</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786</v>
      </c>
      <c r="D102" t="s">
        <v>178</v>
      </c>
      <c r="F102" t="s">
        <v>605</v>
      </c>
      <c r="G102" t="s">
        <v>606</v>
      </c>
      <c r="H102" t="s">
        <v>181</v>
      </c>
      <c r="I102" t="str">
        <f>IFERROR(HYPERLINK("#Finance!B" &amp; MATCH(A102, 'F 2025'!A:A, 0), "🔗 Go to finance"), "❌ ID introuvable")</f>
        <v>🔗 Go to finance</v>
      </c>
      <c r="J102" t="s">
        <v>109</v>
      </c>
      <c r="K102" t="s">
        <v>117</v>
      </c>
      <c r="L102" t="s">
        <v>503</v>
      </c>
      <c r="O102">
        <v>6050</v>
      </c>
      <c r="T102" s="130">
        <v>45019</v>
      </c>
      <c r="V102" t="s">
        <v>608</v>
      </c>
      <c r="W102" t="s">
        <v>608</v>
      </c>
      <c r="Y102">
        <v>8085582012</v>
      </c>
      <c r="Z102" t="s">
        <v>75</v>
      </c>
      <c r="AB102" t="s">
        <v>609</v>
      </c>
      <c r="AD102" s="130">
        <v>45019</v>
      </c>
      <c r="AE102"/>
      <c r="AG102" t="s">
        <v>76</v>
      </c>
      <c r="AI102" t="s">
        <v>609</v>
      </c>
      <c r="AK102" t="s">
        <v>102</v>
      </c>
      <c r="AM102" s="38"/>
      <c r="AO102" t="s">
        <v>606</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1148</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787</v>
      </c>
      <c r="D103" t="s">
        <v>788</v>
      </c>
      <c r="F103" t="s">
        <v>789</v>
      </c>
      <c r="G103" t="s">
        <v>790</v>
      </c>
      <c r="H103" t="s">
        <v>791</v>
      </c>
      <c r="I103" t="str">
        <f>IFERROR(HYPERLINK("#Finance!B" &amp; MATCH(A103, 'F 2025'!A:A, 0), "🔗 Go to finance"), "❌ ID introuvable")</f>
        <v>❌ ID introuvable</v>
      </c>
      <c r="L103" t="s">
        <v>90</v>
      </c>
      <c r="V103" t="s">
        <v>792</v>
      </c>
      <c r="Y103" t="s">
        <v>793</v>
      </c>
      <c r="Z103" t="s">
        <v>75</v>
      </c>
      <c r="AB103" t="s">
        <v>794</v>
      </c>
      <c r="AD103" s="130"/>
      <c r="AE103"/>
      <c r="AG103" t="s">
        <v>76</v>
      </c>
      <c r="AI103" t="s">
        <v>794</v>
      </c>
      <c r="AK103" t="s">
        <v>354</v>
      </c>
      <c r="AM103" s="38"/>
      <c r="AO103" t="s">
        <v>790</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795</v>
      </c>
      <c r="D104" t="s">
        <v>796</v>
      </c>
      <c r="F104" t="s">
        <v>797</v>
      </c>
      <c r="G104" t="s">
        <v>798</v>
      </c>
      <c r="H104" t="s">
        <v>799</v>
      </c>
      <c r="I104" t="str">
        <f>IFERROR(HYPERLINK("#Finance!B" &amp; MATCH(A104, 'F 2025'!A:A, 0), "🔗 Go to finance"), "❌ ID introuvable")</f>
        <v>❌ ID introuvable</v>
      </c>
      <c r="L104" t="s">
        <v>72</v>
      </c>
      <c r="V104" t="s">
        <v>800</v>
      </c>
      <c r="Y104">
        <v>8039758545</v>
      </c>
      <c r="Z104" t="s">
        <v>75</v>
      </c>
      <c r="AB104" t="s">
        <v>801</v>
      </c>
      <c r="AD104" s="130">
        <v>44348</v>
      </c>
      <c r="AE104"/>
      <c r="AG104" t="s">
        <v>76</v>
      </c>
      <c r="AI104" t="s">
        <v>801</v>
      </c>
      <c r="AK104" t="s">
        <v>72</v>
      </c>
      <c r="AM104" s="38"/>
      <c r="AO104" t="s">
        <v>798</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802</v>
      </c>
      <c r="D105" t="s">
        <v>803</v>
      </c>
      <c r="F105" t="s">
        <v>804</v>
      </c>
      <c r="G105" t="s">
        <v>805</v>
      </c>
      <c r="H105" t="s">
        <v>563</v>
      </c>
      <c r="I105" t="str">
        <f>IFERROR(HYPERLINK("#Finance!B" &amp; MATCH(A105, 'F 2025'!A:A, 0), "🔗 Go to finance"), "❌ ID introuvable")</f>
        <v>❌ ID introuvable</v>
      </c>
      <c r="V105" t="s">
        <v>806</v>
      </c>
      <c r="Y105" t="s">
        <v>807</v>
      </c>
      <c r="Z105" t="s">
        <v>75</v>
      </c>
      <c r="AB105" t="s">
        <v>808</v>
      </c>
      <c r="AD105" s="130"/>
      <c r="AE105"/>
      <c r="AG105" t="s">
        <v>76</v>
      </c>
      <c r="AI105" t="s">
        <v>808</v>
      </c>
      <c r="AK105" t="s">
        <v>84</v>
      </c>
      <c r="AM105" s="38"/>
      <c r="AO105" t="s">
        <v>805</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809</v>
      </c>
      <c r="D106" t="s">
        <v>734</v>
      </c>
      <c r="F106" t="s">
        <v>810</v>
      </c>
      <c r="G106" t="s">
        <v>811</v>
      </c>
      <c r="H106" t="s">
        <v>737</v>
      </c>
      <c r="I106" t="str">
        <f>IFERROR(HYPERLINK("#Finance!B" &amp; MATCH(A106, 'F 2025'!A:A, 0), "🔗 Go to finance"), "❌ ID introuvable")</f>
        <v>🔗 Go to finance</v>
      </c>
      <c r="L106" t="s">
        <v>102</v>
      </c>
      <c r="V106" t="s">
        <v>738</v>
      </c>
      <c r="Y106" t="s">
        <v>812</v>
      </c>
      <c r="Z106" t="s">
        <v>75</v>
      </c>
      <c r="AB106" t="s">
        <v>739</v>
      </c>
      <c r="AD106" s="130"/>
      <c r="AE106"/>
      <c r="AG106" t="s">
        <v>76</v>
      </c>
      <c r="AI106" t="s">
        <v>739</v>
      </c>
      <c r="AK106" t="s">
        <v>102</v>
      </c>
      <c r="AM106" s="38">
        <v>45716</v>
      </c>
      <c r="AO106" t="s">
        <v>811</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813</v>
      </c>
      <c r="D107" t="s">
        <v>814</v>
      </c>
      <c r="F107" t="s">
        <v>815</v>
      </c>
      <c r="G107" t="s">
        <v>816</v>
      </c>
      <c r="H107" t="s">
        <v>817</v>
      </c>
      <c r="I107" t="str">
        <f>IFERROR(HYPERLINK("#Finance!B" &amp; MATCH(A107, 'F 2025'!A:A, 0), "🔗 Go to finance"), "❌ ID introuvable")</f>
        <v>❌ ID introuvable</v>
      </c>
      <c r="V107" t="s">
        <v>818</v>
      </c>
      <c r="Z107" t="s">
        <v>75</v>
      </c>
      <c r="AB107" t="s">
        <v>819</v>
      </c>
      <c r="AD107" s="130">
        <v>44930</v>
      </c>
      <c r="AE107"/>
      <c r="AG107" t="s">
        <v>76</v>
      </c>
      <c r="AI107" t="s">
        <v>819</v>
      </c>
      <c r="AK107" t="s">
        <v>362</v>
      </c>
      <c r="AM107" s="38"/>
      <c r="AO107" t="s">
        <v>816</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820</v>
      </c>
      <c r="D108" t="s">
        <v>821</v>
      </c>
      <c r="F108" t="s">
        <v>822</v>
      </c>
      <c r="G108" t="s">
        <v>823</v>
      </c>
      <c r="H108" t="s">
        <v>824</v>
      </c>
      <c r="I108" t="str">
        <f>IFERROR(HYPERLINK("#Finance!B" &amp; MATCH(A108, 'F 2025'!A:A, 0), "🔗 Go to finance"), "❌ ID introuvable")</f>
        <v>❌ ID introuvable</v>
      </c>
      <c r="Z108" t="s">
        <v>75</v>
      </c>
      <c r="AB108" t="s">
        <v>825</v>
      </c>
      <c r="AD108" s="130"/>
      <c r="AE108"/>
      <c r="AG108" t="s">
        <v>76</v>
      </c>
      <c r="AI108" t="s">
        <v>825</v>
      </c>
      <c r="AK108" t="s">
        <v>72</v>
      </c>
      <c r="AM108" s="38">
        <v>45716</v>
      </c>
      <c r="AO108" t="s">
        <v>823</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820</v>
      </c>
      <c r="D109" t="s">
        <v>542</v>
      </c>
      <c r="F109" t="s">
        <v>826</v>
      </c>
      <c r="G109" t="s">
        <v>827</v>
      </c>
      <c r="H109" t="s">
        <v>545</v>
      </c>
      <c r="I109" t="str">
        <f>IFERROR(HYPERLINK("#Finance!B" &amp; MATCH(A109, 'F 2025'!A:A, 0), "🔗 Go to finance"), "❌ ID introuvable")</f>
        <v>❌ ID introuvable</v>
      </c>
      <c r="V109" t="s">
        <v>828</v>
      </c>
      <c r="W109" t="s">
        <v>547</v>
      </c>
      <c r="Y109">
        <v>9068954683</v>
      </c>
      <c r="Z109" t="s">
        <v>75</v>
      </c>
      <c r="AB109" t="s">
        <v>829</v>
      </c>
      <c r="AD109" s="130">
        <v>44714</v>
      </c>
      <c r="AE109"/>
      <c r="AG109" t="s">
        <v>76</v>
      </c>
      <c r="AI109" t="s">
        <v>829</v>
      </c>
      <c r="AK109" t="s">
        <v>102</v>
      </c>
      <c r="AM109" s="38"/>
      <c r="AO109" t="s">
        <v>827</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820</v>
      </c>
      <c r="D110" t="s">
        <v>830</v>
      </c>
      <c r="F110" t="s">
        <v>831</v>
      </c>
      <c r="G110" t="s">
        <v>832</v>
      </c>
      <c r="H110" t="s">
        <v>833</v>
      </c>
      <c r="I110" t="str">
        <f>IFERROR(HYPERLINK("#Finance!B" &amp; MATCH(A110, 'F 2025'!A:A, 0), "🔗 Go to finance"), "❌ ID introuvable")</f>
        <v>🔗 Go to finance</v>
      </c>
      <c r="V110" t="s">
        <v>834</v>
      </c>
      <c r="W110" t="s">
        <v>835</v>
      </c>
      <c r="Y110" t="s">
        <v>836</v>
      </c>
      <c r="Z110" t="s">
        <v>75</v>
      </c>
      <c r="AB110" t="s">
        <v>837</v>
      </c>
      <c r="AD110" s="130"/>
      <c r="AE110"/>
      <c r="AG110" t="s">
        <v>76</v>
      </c>
      <c r="AI110" t="s">
        <v>837</v>
      </c>
      <c r="AK110" t="s">
        <v>362</v>
      </c>
      <c r="AM110" s="38"/>
      <c r="AO110" t="s">
        <v>832</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838</v>
      </c>
      <c r="D111" t="s">
        <v>839</v>
      </c>
      <c r="F111" t="s">
        <v>840</v>
      </c>
      <c r="G111" t="s">
        <v>841</v>
      </c>
      <c r="H111" t="s">
        <v>842</v>
      </c>
      <c r="I111" t="str">
        <f>IFERROR(HYPERLINK("#Finance!B" &amp; MATCH(A111, 'F 2025'!A:A, 0), "🔗 Go to finance"), "❌ ID introuvable")</f>
        <v>🔗 Go to finance</v>
      </c>
      <c r="J111" t="s">
        <v>196</v>
      </c>
      <c r="K111" t="s">
        <v>110</v>
      </c>
      <c r="L111" t="s">
        <v>197</v>
      </c>
      <c r="N111">
        <v>4</v>
      </c>
      <c r="O111">
        <v>17600</v>
      </c>
      <c r="R111">
        <v>17600</v>
      </c>
      <c r="T111" s="130">
        <v>43101</v>
      </c>
      <c r="V111" t="s">
        <v>843</v>
      </c>
      <c r="Y111" t="s">
        <v>844</v>
      </c>
      <c r="Z111" t="s">
        <v>75</v>
      </c>
      <c r="AB111" t="s">
        <v>845</v>
      </c>
      <c r="AD111" s="130">
        <v>43101</v>
      </c>
      <c r="AE111"/>
      <c r="AG111" t="s">
        <v>76</v>
      </c>
      <c r="AI111" t="s">
        <v>845</v>
      </c>
      <c r="AK111" t="s">
        <v>846</v>
      </c>
      <c r="AM111" s="38"/>
      <c r="AO111" t="s">
        <v>841</v>
      </c>
      <c r="AP111">
        <v>29</v>
      </c>
      <c r="AQ111" t="s">
        <v>841</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847</v>
      </c>
      <c r="D112" t="s">
        <v>848</v>
      </c>
      <c r="F112" t="s">
        <v>849</v>
      </c>
      <c r="G112" t="s">
        <v>850</v>
      </c>
      <c r="H112" t="s">
        <v>851</v>
      </c>
      <c r="I112" t="str">
        <f>IFERROR(HYPERLINK("#Finance!B" &amp; MATCH(A112, 'F 2025'!A:A, 0), "🔗 Go to finance"), "❌ ID introuvable")</f>
        <v>❌ ID introuvable</v>
      </c>
      <c r="V112" t="s">
        <v>852</v>
      </c>
      <c r="W112" t="s">
        <v>852</v>
      </c>
      <c r="Y112">
        <v>8015389137</v>
      </c>
      <c r="Z112" t="s">
        <v>75</v>
      </c>
      <c r="AB112" t="s">
        <v>853</v>
      </c>
      <c r="AD112" s="130"/>
      <c r="AE112"/>
      <c r="AG112" t="s">
        <v>76</v>
      </c>
      <c r="AI112" t="s">
        <v>853</v>
      </c>
      <c r="AK112" t="s">
        <v>84</v>
      </c>
      <c r="AM112" s="38"/>
      <c r="AO112" t="s">
        <v>850</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854</v>
      </c>
      <c r="D113" t="s">
        <v>855</v>
      </c>
      <c r="F113" t="s">
        <v>856</v>
      </c>
      <c r="G113" t="s">
        <v>857</v>
      </c>
      <c r="H113" t="s">
        <v>858</v>
      </c>
      <c r="I113" t="str">
        <f>IFERROR(HYPERLINK("#Finance!B" &amp; MATCH(A113, 'F 2025'!A:A, 0), "🔗 Go to finance"), "❌ ID introuvable")</f>
        <v>❌ ID introuvable</v>
      </c>
      <c r="V113" t="s">
        <v>859</v>
      </c>
      <c r="W113" t="s">
        <v>859</v>
      </c>
      <c r="Y113">
        <v>9028590381</v>
      </c>
      <c r="Z113" t="s">
        <v>75</v>
      </c>
      <c r="AB113" t="s">
        <v>860</v>
      </c>
      <c r="AD113" s="130"/>
      <c r="AE113"/>
      <c r="AG113" t="s">
        <v>76</v>
      </c>
      <c r="AI113" t="s">
        <v>860</v>
      </c>
      <c r="AK113" t="s">
        <v>102</v>
      </c>
      <c r="AM113" s="38"/>
      <c r="AO113" t="s">
        <v>857</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861</v>
      </c>
      <c r="D114" t="s">
        <v>855</v>
      </c>
      <c r="F114" t="s">
        <v>862</v>
      </c>
      <c r="G114" t="s">
        <v>863</v>
      </c>
      <c r="H114" t="s">
        <v>858</v>
      </c>
      <c r="I114" t="str">
        <f>IFERROR(HYPERLINK("#Finance!B" &amp; MATCH(A114, 'F 2025'!A:A, 0), "🔗 Go to finance"), "❌ ID introuvable")</f>
        <v>❌ ID introuvable</v>
      </c>
      <c r="L114" t="s">
        <v>72</v>
      </c>
      <c r="V114" t="s">
        <v>864</v>
      </c>
      <c r="Y114" t="s">
        <v>865</v>
      </c>
      <c r="Z114" t="s">
        <v>75</v>
      </c>
      <c r="AB114" t="s">
        <v>866</v>
      </c>
      <c r="AD114" s="130">
        <v>44294</v>
      </c>
      <c r="AE114"/>
      <c r="AG114" t="s">
        <v>76</v>
      </c>
      <c r="AI114" t="s">
        <v>866</v>
      </c>
      <c r="AK114" t="s">
        <v>450</v>
      </c>
      <c r="AM114" s="38"/>
      <c r="AO114" t="s">
        <v>863</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867</v>
      </c>
      <c r="D115" t="s">
        <v>868</v>
      </c>
      <c r="F115" t="s">
        <v>869</v>
      </c>
      <c r="G115" t="s">
        <v>870</v>
      </c>
      <c r="H115" t="s">
        <v>871</v>
      </c>
      <c r="I115" t="str">
        <f>IFERROR(HYPERLINK("#Finance!B" &amp; MATCH(A115, 'F 2025'!A:A, 0), "🔗 Go to finance"), "❌ ID introuvable")</f>
        <v>🔗 Go to finance</v>
      </c>
      <c r="J115" t="s">
        <v>196</v>
      </c>
      <c r="K115" t="s">
        <v>110</v>
      </c>
      <c r="L115" t="s">
        <v>508</v>
      </c>
      <c r="N115">
        <v>2</v>
      </c>
      <c r="O115">
        <v>9900</v>
      </c>
      <c r="P115" s="38">
        <v>45875</v>
      </c>
      <c r="V115" t="s">
        <v>872</v>
      </c>
      <c r="W115" s="13" t="s">
        <v>873</v>
      </c>
      <c r="X115" s="13"/>
      <c r="Y115" t="s">
        <v>874</v>
      </c>
      <c r="Z115" t="s">
        <v>75</v>
      </c>
      <c r="AB115" t="s">
        <v>875</v>
      </c>
      <c r="AD115" s="130">
        <v>45383</v>
      </c>
      <c r="AE115"/>
      <c r="AG115" t="s">
        <v>76</v>
      </c>
      <c r="AI115" t="s">
        <v>875</v>
      </c>
      <c r="AK115" t="s">
        <v>84</v>
      </c>
      <c r="AM115" s="38"/>
      <c r="AO115" t="s">
        <v>870</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784</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867</v>
      </c>
      <c r="D116" t="s">
        <v>868</v>
      </c>
      <c r="F116" t="s">
        <v>869</v>
      </c>
      <c r="G116" t="s">
        <v>870</v>
      </c>
      <c r="H116" t="s">
        <v>871</v>
      </c>
      <c r="I116" t="str">
        <f>IFERROR(HYPERLINK("#Finance!B" &amp; MATCH(A116, 'F 2025'!A:A, 0), "🔗 Go to finance"), "❌ ID introuvable")</f>
        <v>🔗 Go to finance</v>
      </c>
      <c r="J116" t="s">
        <v>495</v>
      </c>
      <c r="K116" t="s">
        <v>117</v>
      </c>
      <c r="L116" t="s">
        <v>508</v>
      </c>
      <c r="N116">
        <v>2</v>
      </c>
      <c r="O116">
        <v>3300</v>
      </c>
      <c r="T116" s="130">
        <v>45323</v>
      </c>
      <c r="V116" t="s">
        <v>872</v>
      </c>
      <c r="W116" s="13" t="s">
        <v>873</v>
      </c>
      <c r="X116" s="13"/>
      <c r="Y116" t="s">
        <v>874</v>
      </c>
      <c r="Z116" t="s">
        <v>75</v>
      </c>
      <c r="AB116" t="s">
        <v>875</v>
      </c>
      <c r="AD116" s="130">
        <v>45323</v>
      </c>
      <c r="AE116"/>
      <c r="AG116" t="s">
        <v>76</v>
      </c>
      <c r="AI116" t="s">
        <v>875</v>
      </c>
      <c r="AK116" t="s">
        <v>84</v>
      </c>
      <c r="AM116" s="38"/>
      <c r="AO116" t="s">
        <v>870</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844</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876</v>
      </c>
      <c r="D117" t="s">
        <v>877</v>
      </c>
      <c r="F117" t="s">
        <v>878</v>
      </c>
      <c r="G117" t="s">
        <v>879</v>
      </c>
      <c r="H117" t="s">
        <v>880</v>
      </c>
      <c r="I117" t="str">
        <f>IFERROR(HYPERLINK("#Finance!B" &amp; MATCH(A117, 'F 2025'!A:A, 0), "🔗 Go to finance"), "❌ ID introuvable")</f>
        <v>🔗 Go to finance</v>
      </c>
      <c r="J117" t="s">
        <v>196</v>
      </c>
      <c r="K117" t="s">
        <v>110</v>
      </c>
      <c r="L117" t="s">
        <v>508</v>
      </c>
      <c r="N117">
        <v>3</v>
      </c>
      <c r="O117">
        <v>14850</v>
      </c>
      <c r="R117">
        <v>0</v>
      </c>
      <c r="V117" t="s">
        <v>881</v>
      </c>
      <c r="W117" t="s">
        <v>881</v>
      </c>
      <c r="Z117" t="s">
        <v>75</v>
      </c>
      <c r="AB117" t="s">
        <v>882</v>
      </c>
      <c r="AD117" s="130">
        <v>45078</v>
      </c>
      <c r="AE117"/>
      <c r="AG117" t="s">
        <v>76</v>
      </c>
      <c r="AI117" t="s">
        <v>882</v>
      </c>
      <c r="AK117" t="s">
        <v>84</v>
      </c>
      <c r="AM117" s="38"/>
      <c r="AO117" t="s">
        <v>879</v>
      </c>
      <c r="AP117">
        <v>105</v>
      </c>
      <c r="AQ117" t="s">
        <v>879</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883</v>
      </c>
      <c r="D118" t="s">
        <v>421</v>
      </c>
      <c r="F118" t="s">
        <v>884</v>
      </c>
      <c r="G118" t="s">
        <v>885</v>
      </c>
      <c r="H118" t="s">
        <v>424</v>
      </c>
      <c r="I118" t="str">
        <f>IFERROR(HYPERLINK("#Finance!B" &amp; MATCH(A118, 'F 2025'!A:A, 0), "🔗 Go to finance"), "❌ ID introuvable")</f>
        <v>🔗 Go to finance</v>
      </c>
      <c r="J118" t="s">
        <v>109</v>
      </c>
      <c r="K118" t="s">
        <v>117</v>
      </c>
      <c r="L118" t="s">
        <v>503</v>
      </c>
      <c r="O118">
        <v>6050</v>
      </c>
      <c r="T118" s="130">
        <v>45566</v>
      </c>
      <c r="V118" t="s">
        <v>425</v>
      </c>
      <c r="Y118" t="s">
        <v>426</v>
      </c>
      <c r="Z118" t="s">
        <v>75</v>
      </c>
      <c r="AB118" t="s">
        <v>886</v>
      </c>
      <c r="AD118" s="130">
        <v>45566</v>
      </c>
      <c r="AE118"/>
      <c r="AG118" t="s">
        <v>76</v>
      </c>
      <c r="AI118" t="s">
        <v>886</v>
      </c>
      <c r="AK118" t="s">
        <v>102</v>
      </c>
      <c r="AM118" s="38"/>
      <c r="AO118" t="s">
        <v>885</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601</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887</v>
      </c>
      <c r="D119" t="s">
        <v>451</v>
      </c>
      <c r="F119" t="s">
        <v>888</v>
      </c>
      <c r="G119" t="s">
        <v>889</v>
      </c>
      <c r="H119" t="s">
        <v>454</v>
      </c>
      <c r="I119" t="str">
        <f>IFERROR(HYPERLINK("#Finance!B" &amp; MATCH(A119, 'F 2025'!A:A, 0), "🔗 Go to finance"), "❌ ID introuvable")</f>
        <v>❌ ID introuvable</v>
      </c>
      <c r="L119" t="s">
        <v>132</v>
      </c>
      <c r="Z119" t="s">
        <v>75</v>
      </c>
      <c r="AD119" s="130">
        <v>43922</v>
      </c>
      <c r="AE119"/>
      <c r="AG119" t="s">
        <v>76</v>
      </c>
      <c r="AK119" t="s">
        <v>458</v>
      </c>
      <c r="AM119" s="38"/>
      <c r="AO119" t="s">
        <v>889</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890</v>
      </c>
      <c r="D120" t="s">
        <v>891</v>
      </c>
      <c r="F120" t="s">
        <v>892</v>
      </c>
      <c r="G120" t="s">
        <v>893</v>
      </c>
      <c r="H120" t="s">
        <v>894</v>
      </c>
      <c r="I120" t="str">
        <f>IFERROR(HYPERLINK("#Finance!B" &amp; MATCH(A120, 'F 2025'!A:A, 0), "🔗 Go to finance"), "❌ ID introuvable")</f>
        <v>🔗 Go to finance</v>
      </c>
      <c r="J120" t="s">
        <v>109</v>
      </c>
      <c r="K120" t="s">
        <v>117</v>
      </c>
      <c r="L120" t="s">
        <v>503</v>
      </c>
      <c r="O120">
        <v>6050</v>
      </c>
      <c r="T120" s="130">
        <v>45536</v>
      </c>
      <c r="V120" s="13" t="s">
        <v>2049</v>
      </c>
      <c r="Y120" t="s">
        <v>895</v>
      </c>
      <c r="Z120" t="s">
        <v>75</v>
      </c>
      <c r="AD120" s="130">
        <v>45444</v>
      </c>
      <c r="AE120"/>
      <c r="AG120" t="s">
        <v>76</v>
      </c>
      <c r="AK120" t="s">
        <v>102</v>
      </c>
      <c r="AM120" s="38"/>
      <c r="AO120" t="s">
        <v>893</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723</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896</v>
      </c>
      <c r="D121" t="s">
        <v>897</v>
      </c>
      <c r="F121" t="s">
        <v>898</v>
      </c>
      <c r="G121" t="s">
        <v>899</v>
      </c>
      <c r="H121" t="s">
        <v>167</v>
      </c>
      <c r="I121" t="str">
        <f>IFERROR(HYPERLINK("#Finance!B" &amp; MATCH(A121, 'F 2025'!A:A, 0), "🔗 Go to finance"), "❌ ID introuvable")</f>
        <v>❌ ID introuvable</v>
      </c>
      <c r="V121" t="s">
        <v>900</v>
      </c>
      <c r="Y121" t="s">
        <v>901</v>
      </c>
      <c r="Z121" t="s">
        <v>75</v>
      </c>
      <c r="AD121" s="130"/>
      <c r="AE121"/>
      <c r="AG121" t="s">
        <v>76</v>
      </c>
      <c r="AM121" s="38"/>
      <c r="AO121" t="s">
        <v>899</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896</v>
      </c>
      <c r="D122" t="s">
        <v>902</v>
      </c>
      <c r="F122" t="s">
        <v>903</v>
      </c>
      <c r="G122" t="s">
        <v>904</v>
      </c>
      <c r="H122" t="s">
        <v>905</v>
      </c>
      <c r="I122" t="str">
        <f>IFERROR(HYPERLINK("#Finance!B" &amp; MATCH(A122, 'F 2025'!A:A, 0), "🔗 Go to finance"), "❌ ID introuvable")</f>
        <v>🔗 Go to finance</v>
      </c>
      <c r="J122" t="s">
        <v>196</v>
      </c>
      <c r="K122" t="s">
        <v>110</v>
      </c>
      <c r="L122" t="s">
        <v>487</v>
      </c>
      <c r="N122">
        <v>4</v>
      </c>
      <c r="O122">
        <v>17600</v>
      </c>
      <c r="V122" t="s">
        <v>906</v>
      </c>
      <c r="W122" t="s">
        <v>906</v>
      </c>
      <c r="Y122" t="s">
        <v>907</v>
      </c>
      <c r="Z122" t="s">
        <v>75</v>
      </c>
      <c r="AB122" t="s">
        <v>908</v>
      </c>
      <c r="AD122" s="130">
        <v>43101</v>
      </c>
      <c r="AE122"/>
      <c r="AG122" t="s">
        <v>76</v>
      </c>
      <c r="AI122" t="s">
        <v>908</v>
      </c>
      <c r="AK122" t="s">
        <v>300</v>
      </c>
      <c r="AM122" s="38"/>
      <c r="AO122" t="s">
        <v>904</v>
      </c>
      <c r="AP122">
        <v>22</v>
      </c>
      <c r="AQ122" t="s">
        <v>904</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3066</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909</v>
      </c>
      <c r="D123" t="s">
        <v>910</v>
      </c>
      <c r="F123" t="s">
        <v>911</v>
      </c>
      <c r="G123" t="s">
        <v>912</v>
      </c>
      <c r="H123" t="s">
        <v>913</v>
      </c>
      <c r="I123" t="str">
        <f>IFERROR(HYPERLINK("#Finance!B" &amp; MATCH(A123, 'F 2025'!A:A, 0), "🔗 Go to finance"), "❌ ID introuvable")</f>
        <v>❌ ID introuvable</v>
      </c>
      <c r="L123" t="s">
        <v>132</v>
      </c>
      <c r="V123" t="s">
        <v>914</v>
      </c>
      <c r="Y123" t="s">
        <v>915</v>
      </c>
      <c r="Z123" t="s">
        <v>75</v>
      </c>
      <c r="AD123" s="130"/>
      <c r="AE123"/>
      <c r="AG123" t="s">
        <v>76</v>
      </c>
      <c r="AK123" t="s">
        <v>132</v>
      </c>
      <c r="AM123" s="38"/>
      <c r="AO123" t="s">
        <v>912</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916</v>
      </c>
      <c r="D124" t="s">
        <v>119</v>
      </c>
      <c r="F124" t="s">
        <v>917</v>
      </c>
      <c r="G124" t="s">
        <v>918</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919</v>
      </c>
      <c r="AM124" s="38"/>
      <c r="AO124" t="s">
        <v>918</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920</v>
      </c>
      <c r="D125" t="s">
        <v>921</v>
      </c>
      <c r="F125" t="s">
        <v>922</v>
      </c>
      <c r="G125" t="s">
        <v>923</v>
      </c>
      <c r="H125" t="s">
        <v>924</v>
      </c>
      <c r="I125" t="str">
        <f>IFERROR(HYPERLINK("#Finance!B" &amp; MATCH(A125, 'F 2025'!A:A, 0), "🔗 Go to finance"), "❌ ID introuvable")</f>
        <v>🔗 Go to finance</v>
      </c>
      <c r="J125" t="s">
        <v>495</v>
      </c>
      <c r="K125" t="s">
        <v>117</v>
      </c>
      <c r="L125" t="s">
        <v>487</v>
      </c>
      <c r="M125" t="s">
        <v>925</v>
      </c>
      <c r="N125">
        <v>2</v>
      </c>
      <c r="O125">
        <v>9500</v>
      </c>
      <c r="T125" s="130">
        <v>45566</v>
      </c>
      <c r="V125" t="s">
        <v>926</v>
      </c>
      <c r="W125" t="s">
        <v>926</v>
      </c>
      <c r="Y125">
        <v>8031821943</v>
      </c>
      <c r="Z125" t="s">
        <v>75</v>
      </c>
      <c r="AD125" s="130">
        <v>45566</v>
      </c>
      <c r="AE125"/>
      <c r="AG125" t="s">
        <v>76</v>
      </c>
      <c r="AK125" t="s">
        <v>362</v>
      </c>
      <c r="AM125" s="38">
        <v>45960</v>
      </c>
      <c r="AO125" t="s">
        <v>923</v>
      </c>
      <c r="AP125">
        <v>155</v>
      </c>
      <c r="AQ125" t="s">
        <v>923</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927</v>
      </c>
      <c r="D126" t="s">
        <v>928</v>
      </c>
      <c r="F126" t="s">
        <v>929</v>
      </c>
      <c r="G126" t="s">
        <v>930</v>
      </c>
      <c r="H126" t="s">
        <v>931</v>
      </c>
      <c r="I126" t="str">
        <f>IFERROR(HYPERLINK("#Finance!B" &amp; MATCH(A126, 'F 2025'!A:A, 0), "🔗 Go to finance"), "❌ ID introuvable")</f>
        <v>❌ ID introuvable</v>
      </c>
      <c r="L126" t="s">
        <v>102</v>
      </c>
      <c r="V126" t="s">
        <v>932</v>
      </c>
      <c r="W126" t="s">
        <v>932</v>
      </c>
      <c r="Y126" t="s">
        <v>933</v>
      </c>
      <c r="Z126" t="s">
        <v>75</v>
      </c>
      <c r="AB126" t="s">
        <v>934</v>
      </c>
      <c r="AD126" s="130">
        <v>43866</v>
      </c>
      <c r="AE126"/>
      <c r="AG126" t="s">
        <v>76</v>
      </c>
      <c r="AI126" t="s">
        <v>934</v>
      </c>
      <c r="AK126" t="s">
        <v>182</v>
      </c>
      <c r="AM126" s="38"/>
      <c r="AO126" t="s">
        <v>930</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935</v>
      </c>
      <c r="D127" t="s">
        <v>936</v>
      </c>
      <c r="F127" t="s">
        <v>937</v>
      </c>
      <c r="G127" t="s">
        <v>938</v>
      </c>
      <c r="H127" t="s">
        <v>939</v>
      </c>
      <c r="I127" t="str">
        <f>IFERROR(HYPERLINK("#Finance!B" &amp; MATCH(A127, 'F 2025'!A:A, 0), "🔗 Go to finance"), "❌ ID introuvable")</f>
        <v>❌ ID introuvable</v>
      </c>
      <c r="L127" t="s">
        <v>90</v>
      </c>
      <c r="V127" t="s">
        <v>940</v>
      </c>
      <c r="W127" t="s">
        <v>941</v>
      </c>
      <c r="Z127" t="s">
        <v>75</v>
      </c>
      <c r="AB127" t="s">
        <v>942</v>
      </c>
      <c r="AD127" s="130"/>
      <c r="AE127"/>
      <c r="AG127" t="s">
        <v>76</v>
      </c>
      <c r="AI127" t="s">
        <v>942</v>
      </c>
      <c r="AK127" t="s">
        <v>148</v>
      </c>
      <c r="AM127" s="38"/>
      <c r="AO127" t="s">
        <v>938</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935</v>
      </c>
      <c r="D128" t="s">
        <v>436</v>
      </c>
      <c r="F128" t="s">
        <v>943</v>
      </c>
      <c r="G128" t="s">
        <v>944</v>
      </c>
      <c r="H128" t="s">
        <v>945</v>
      </c>
      <c r="I128" t="str">
        <f>IFERROR(HYPERLINK("#Finance!B" &amp; MATCH(A128, 'F 2025'!A:A, 0), "🔗 Go to finance"), "❌ ID introuvable")</f>
        <v>❌ ID introuvable</v>
      </c>
      <c r="L128" t="s">
        <v>90</v>
      </c>
      <c r="V128" t="s">
        <v>946</v>
      </c>
      <c r="Y128">
        <v>928829459</v>
      </c>
      <c r="Z128" t="s">
        <v>75</v>
      </c>
      <c r="AB128" t="s">
        <v>947</v>
      </c>
      <c r="AD128" s="130"/>
      <c r="AE128"/>
      <c r="AG128" t="s">
        <v>76</v>
      </c>
      <c r="AI128" t="s">
        <v>947</v>
      </c>
      <c r="AK128" t="s">
        <v>94</v>
      </c>
      <c r="AM128" s="38"/>
      <c r="AO128" t="s">
        <v>944</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926</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948</v>
      </c>
      <c r="D130" t="s">
        <v>949</v>
      </c>
      <c r="F130" t="s">
        <v>950</v>
      </c>
      <c r="G130" t="s">
        <v>951</v>
      </c>
      <c r="H130" t="s">
        <v>952</v>
      </c>
      <c r="I130" t="str">
        <f>IFERROR(HYPERLINK("#Finance!B" &amp; MATCH(A130, 'F 2025'!A:A, 0), "🔗 Go to finance"), "❌ ID introuvable")</f>
        <v>❌ ID introuvable</v>
      </c>
      <c r="V130" t="s">
        <v>953</v>
      </c>
      <c r="Z130" t="s">
        <v>75</v>
      </c>
      <c r="AB130" t="s">
        <v>954</v>
      </c>
      <c r="AD130" s="130">
        <v>45331</v>
      </c>
      <c r="AE130"/>
      <c r="AG130" t="s">
        <v>76</v>
      </c>
      <c r="AI130" t="s">
        <v>954</v>
      </c>
      <c r="AK130" t="s">
        <v>84</v>
      </c>
      <c r="AM130" s="38"/>
      <c r="AO130" t="s">
        <v>951</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955</v>
      </c>
      <c r="D131" t="s">
        <v>269</v>
      </c>
      <c r="F131" t="s">
        <v>956</v>
      </c>
      <c r="G131" t="s">
        <v>957</v>
      </c>
      <c r="H131" t="s">
        <v>272</v>
      </c>
      <c r="I131" t="str">
        <f>IFERROR(HYPERLINK("#Finance!B" &amp; MATCH(A131, 'F 2025'!A:A, 0), "🔗 Go to finance"), "❌ ID introuvable")</f>
        <v>❌ ID introuvable</v>
      </c>
      <c r="L131" t="s">
        <v>102</v>
      </c>
      <c r="V131" t="s">
        <v>273</v>
      </c>
      <c r="Z131" t="s">
        <v>75</v>
      </c>
      <c r="AB131" t="s">
        <v>958</v>
      </c>
      <c r="AD131" s="130">
        <v>44958</v>
      </c>
      <c r="AE131"/>
      <c r="AG131" t="s">
        <v>76</v>
      </c>
      <c r="AI131" t="s">
        <v>958</v>
      </c>
      <c r="AK131" t="s">
        <v>275</v>
      </c>
      <c r="AM131" s="38"/>
      <c r="AO131" t="s">
        <v>957</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959</v>
      </c>
      <c r="D132" t="s">
        <v>960</v>
      </c>
      <c r="F132" t="s">
        <v>961</v>
      </c>
      <c r="G132" t="s">
        <v>962</v>
      </c>
      <c r="H132" t="s">
        <v>963</v>
      </c>
      <c r="I132" t="str">
        <f>IFERROR(HYPERLINK("#Finance!B" &amp; MATCH(A132, 'F 2025'!A:A, 0), "🔗 Go to finance"), "❌ ID introuvable")</f>
        <v>❌ ID introuvable</v>
      </c>
      <c r="L132" t="s">
        <v>72</v>
      </c>
      <c r="V132" t="s">
        <v>964</v>
      </c>
      <c r="W132" t="s">
        <v>964</v>
      </c>
      <c r="Y132" t="s">
        <v>965</v>
      </c>
      <c r="Z132" t="s">
        <v>75</v>
      </c>
      <c r="AB132" t="s">
        <v>966</v>
      </c>
      <c r="AD132" s="130"/>
      <c r="AE132"/>
      <c r="AG132" t="s">
        <v>76</v>
      </c>
      <c r="AI132" t="s">
        <v>966</v>
      </c>
      <c r="AK132" t="s">
        <v>182</v>
      </c>
      <c r="AM132" s="38"/>
      <c r="AO132" t="s">
        <v>962</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967</v>
      </c>
      <c r="D133" t="s">
        <v>968</v>
      </c>
      <c r="F133" t="s">
        <v>969</v>
      </c>
      <c r="G133" t="s">
        <v>970</v>
      </c>
      <c r="H133" t="s">
        <v>971</v>
      </c>
      <c r="I133" t="str">
        <f>IFERROR(HYPERLINK("#Finance!B" &amp; MATCH(A133, 'F 2025'!A:A, 0), "🔗 Go to finance"), "❌ ID introuvable")</f>
        <v>❌ ID introuvable</v>
      </c>
      <c r="L133" t="s">
        <v>90</v>
      </c>
      <c r="V133" t="s">
        <v>972</v>
      </c>
      <c r="Y133" t="s">
        <v>973</v>
      </c>
      <c r="Z133" t="s">
        <v>75</v>
      </c>
      <c r="AB133" t="s">
        <v>974</v>
      </c>
      <c r="AD133" s="130"/>
      <c r="AE133"/>
      <c r="AG133" t="s">
        <v>76</v>
      </c>
      <c r="AI133" t="s">
        <v>974</v>
      </c>
      <c r="AK133" t="s">
        <v>94</v>
      </c>
      <c r="AM133" s="38"/>
      <c r="AO133" t="s">
        <v>970</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975</v>
      </c>
      <c r="D134" t="s">
        <v>976</v>
      </c>
      <c r="F134" t="s">
        <v>977</v>
      </c>
      <c r="G134" t="s">
        <v>978</v>
      </c>
      <c r="H134" t="s">
        <v>979</v>
      </c>
      <c r="I134" t="str">
        <f>IFERROR(HYPERLINK("#Finance!B" &amp; MATCH(A134, 'F 2025'!A:A, 0), "🔗 Go to finance"), "❌ ID introuvable")</f>
        <v>❌ ID introuvable</v>
      </c>
      <c r="L134" t="s">
        <v>102</v>
      </c>
      <c r="V134" t="s">
        <v>980</v>
      </c>
      <c r="Y134" t="s">
        <v>981</v>
      </c>
      <c r="Z134" t="s">
        <v>75</v>
      </c>
      <c r="AB134" t="s">
        <v>982</v>
      </c>
      <c r="AD134" s="130"/>
      <c r="AE134"/>
      <c r="AG134" t="s">
        <v>76</v>
      </c>
      <c r="AI134" t="s">
        <v>982</v>
      </c>
      <c r="AK134" t="s">
        <v>102</v>
      </c>
      <c r="AM134" s="38"/>
      <c r="AO134" t="s">
        <v>978</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983</v>
      </c>
      <c r="D135" t="s">
        <v>984</v>
      </c>
      <c r="F135" t="s">
        <v>985</v>
      </c>
      <c r="G135" t="s">
        <v>986</v>
      </c>
      <c r="H135" t="s">
        <v>987</v>
      </c>
      <c r="I135" t="str">
        <f>IFERROR(HYPERLINK("#Finance!B" &amp; MATCH(A135, 'F 2025'!A:A, 0), "🔗 Go to finance"), "❌ ID introuvable")</f>
        <v>❌ ID introuvable</v>
      </c>
      <c r="L135" t="s">
        <v>662</v>
      </c>
      <c r="V135" t="s">
        <v>988</v>
      </c>
      <c r="Y135">
        <v>8052152973</v>
      </c>
      <c r="Z135" t="s">
        <v>75</v>
      </c>
      <c r="AB135" t="s">
        <v>989</v>
      </c>
      <c r="AD135" s="130"/>
      <c r="AE135"/>
      <c r="AG135" t="s">
        <v>76</v>
      </c>
      <c r="AI135" t="s">
        <v>989</v>
      </c>
      <c r="AK135" t="s">
        <v>182</v>
      </c>
      <c r="AM135" s="38"/>
      <c r="AO135" t="s">
        <v>986</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990</v>
      </c>
      <c r="D136" t="s">
        <v>991</v>
      </c>
      <c r="F136" t="s">
        <v>992</v>
      </c>
      <c r="G136" t="s">
        <v>993</v>
      </c>
      <c r="H136" t="s">
        <v>994</v>
      </c>
      <c r="I136" t="str">
        <f>IFERROR(HYPERLINK("#Finance!B" &amp; MATCH(A136, 'F 2025'!A:A, 0), "🔗 Go to finance"), "❌ ID introuvable")</f>
        <v>🔗 Go to finance</v>
      </c>
      <c r="J136" t="s">
        <v>109</v>
      </c>
      <c r="K136" t="s">
        <v>110</v>
      </c>
      <c r="L136" t="s">
        <v>111</v>
      </c>
      <c r="O136">
        <v>13200</v>
      </c>
      <c r="T136" s="130">
        <v>45474</v>
      </c>
      <c r="V136" t="s">
        <v>995</v>
      </c>
      <c r="W136" t="s">
        <v>995</v>
      </c>
      <c r="Y136">
        <v>9087655862</v>
      </c>
      <c r="Z136" t="s">
        <v>75</v>
      </c>
      <c r="AB136" t="s">
        <v>996</v>
      </c>
      <c r="AD136" s="130">
        <v>45474</v>
      </c>
      <c r="AE136"/>
      <c r="AG136" t="s">
        <v>76</v>
      </c>
      <c r="AI136" t="s">
        <v>996</v>
      </c>
      <c r="AK136" t="s">
        <v>362</v>
      </c>
      <c r="AM136" s="38"/>
      <c r="AO136" t="s">
        <v>993</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693</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997</v>
      </c>
      <c r="D137" t="s">
        <v>998</v>
      </c>
      <c r="F137" t="s">
        <v>999</v>
      </c>
      <c r="G137" t="s">
        <v>1000</v>
      </c>
      <c r="H137" t="s">
        <v>1001</v>
      </c>
      <c r="I137" t="str">
        <f>IFERROR(HYPERLINK("#Finance!B" &amp; MATCH(A137, 'F 2025'!A:A, 0), "🔗 Go to finance"), "❌ ID introuvable")</f>
        <v>❌ ID introuvable</v>
      </c>
      <c r="V137" t="s">
        <v>1002</v>
      </c>
      <c r="W137" t="s">
        <v>1002</v>
      </c>
      <c r="Y137">
        <v>9059302430</v>
      </c>
      <c r="Z137" t="s">
        <v>75</v>
      </c>
      <c r="AB137" t="s">
        <v>1003</v>
      </c>
      <c r="AD137" s="130"/>
      <c r="AE137"/>
      <c r="AG137" t="s">
        <v>76</v>
      </c>
      <c r="AI137" t="s">
        <v>1003</v>
      </c>
      <c r="AK137" t="s">
        <v>362</v>
      </c>
      <c r="AM137" s="38"/>
      <c r="AO137" t="s">
        <v>1000</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1004</v>
      </c>
      <c r="D138" t="s">
        <v>1005</v>
      </c>
      <c r="F138" t="s">
        <v>1006</v>
      </c>
      <c r="G138" t="s">
        <v>1007</v>
      </c>
      <c r="H138" t="s">
        <v>1008</v>
      </c>
      <c r="I138" t="str">
        <f>IFERROR(HYPERLINK("#Finance!B" &amp; MATCH(A138, 'F 2025'!A:A, 0), "🔗 Go to finance"), "❌ ID introuvable")</f>
        <v>❌ ID introuvable</v>
      </c>
      <c r="V138" t="s">
        <v>1009</v>
      </c>
      <c r="Y138">
        <v>8085631952</v>
      </c>
      <c r="Z138" t="s">
        <v>75</v>
      </c>
      <c r="AB138" t="s">
        <v>1010</v>
      </c>
      <c r="AD138" s="130">
        <v>45111</v>
      </c>
      <c r="AE138"/>
      <c r="AG138" t="s">
        <v>76</v>
      </c>
      <c r="AI138" t="s">
        <v>1010</v>
      </c>
      <c r="AK138" t="s">
        <v>84</v>
      </c>
      <c r="AM138" s="38"/>
      <c r="AO138" t="s">
        <v>1007</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1004</v>
      </c>
      <c r="D139" t="s">
        <v>1011</v>
      </c>
      <c r="F139" t="s">
        <v>1012</v>
      </c>
      <c r="G139" t="s">
        <v>1013</v>
      </c>
      <c r="H139" t="s">
        <v>1014</v>
      </c>
      <c r="I139" t="str">
        <f>IFERROR(HYPERLINK("#Finance!B" &amp; MATCH(A139, 'F 2025'!A:A, 0), "🔗 Go to finance"), "❌ ID introuvable")</f>
        <v>❌ ID introuvable</v>
      </c>
      <c r="J139" t="s">
        <v>495</v>
      </c>
      <c r="K139" t="s">
        <v>110</v>
      </c>
      <c r="L139" t="s">
        <v>197</v>
      </c>
      <c r="N139">
        <v>4</v>
      </c>
      <c r="O139">
        <v>15600</v>
      </c>
      <c r="T139" s="130">
        <v>45535</v>
      </c>
      <c r="U139" s="38">
        <v>45808</v>
      </c>
      <c r="V139" t="s">
        <v>1015</v>
      </c>
      <c r="W139" t="s">
        <v>1015</v>
      </c>
      <c r="Y139">
        <v>9059387819</v>
      </c>
      <c r="Z139" t="s">
        <v>75</v>
      </c>
      <c r="AB139" t="s">
        <v>1016</v>
      </c>
      <c r="AD139" s="130">
        <v>45535</v>
      </c>
      <c r="AE139"/>
      <c r="AG139" t="s">
        <v>76</v>
      </c>
      <c r="AI139" t="s">
        <v>1016</v>
      </c>
      <c r="AK139" t="s">
        <v>846</v>
      </c>
      <c r="AM139" s="38">
        <v>45808</v>
      </c>
      <c r="AO139" t="s">
        <v>1013</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1017</v>
      </c>
      <c r="D140" t="s">
        <v>1018</v>
      </c>
      <c r="F140" t="s">
        <v>1019</v>
      </c>
      <c r="G140" t="s">
        <v>1020</v>
      </c>
      <c r="H140" t="s">
        <v>1021</v>
      </c>
      <c r="I140" t="str">
        <f>IFERROR(HYPERLINK("#Finance!B" &amp; MATCH(A140, 'F 2025'!A:A, 0), "🔗 Go to finance"), "❌ ID introuvable")</f>
        <v>❌ ID introuvable</v>
      </c>
      <c r="V140" t="s">
        <v>1022</v>
      </c>
      <c r="Z140" t="s">
        <v>75</v>
      </c>
      <c r="AB140" t="s">
        <v>1023</v>
      </c>
      <c r="AD140" s="130"/>
      <c r="AE140"/>
      <c r="AG140" t="s">
        <v>76</v>
      </c>
      <c r="AI140" t="s">
        <v>1023</v>
      </c>
      <c r="AK140" t="s">
        <v>102</v>
      </c>
      <c r="AM140" s="38"/>
      <c r="AO140" t="s">
        <v>1020</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1024</v>
      </c>
      <c r="D141" t="s">
        <v>1025</v>
      </c>
      <c r="F141" t="s">
        <v>1026</v>
      </c>
      <c r="G141" t="s">
        <v>1027</v>
      </c>
      <c r="H141" t="s">
        <v>1028</v>
      </c>
      <c r="I141" t="str">
        <f>IFERROR(HYPERLINK("#Finance!B" &amp; MATCH(A141, 'F 2025'!A:A, 0), "🔗 Go to finance"), "❌ ID introuvable")</f>
        <v>❌ ID introuvable</v>
      </c>
      <c r="L141" t="s">
        <v>90</v>
      </c>
      <c r="V141" t="s">
        <v>1029</v>
      </c>
      <c r="W141" t="s">
        <v>1030</v>
      </c>
      <c r="Y141">
        <v>8017344276</v>
      </c>
      <c r="Z141" t="s">
        <v>75</v>
      </c>
      <c r="AD141" s="130">
        <v>44019</v>
      </c>
      <c r="AE141"/>
      <c r="AG141" t="s">
        <v>76</v>
      </c>
      <c r="AK141" t="s">
        <v>148</v>
      </c>
      <c r="AM141" s="38"/>
      <c r="AO141" t="s">
        <v>1027</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1031</v>
      </c>
      <c r="D142" t="s">
        <v>1032</v>
      </c>
      <c r="F142" t="s">
        <v>1033</v>
      </c>
      <c r="G142" t="s">
        <v>1034</v>
      </c>
      <c r="H142" t="s">
        <v>1035</v>
      </c>
      <c r="I142" t="str">
        <f>IFERROR(HYPERLINK("#Finance!B" &amp; MATCH(A142, 'F 2025'!A:A, 0), "🔗 Go to finance"), "❌ ID introuvable")</f>
        <v>❌ ID introuvable</v>
      </c>
      <c r="L142" t="s">
        <v>72</v>
      </c>
      <c r="V142" t="s">
        <v>1036</v>
      </c>
      <c r="W142" t="s">
        <v>1037</v>
      </c>
      <c r="Y142" t="s">
        <v>1038</v>
      </c>
      <c r="Z142" t="s">
        <v>75</v>
      </c>
      <c r="AB142" t="s">
        <v>1039</v>
      </c>
      <c r="AD142" s="130"/>
      <c r="AE142"/>
      <c r="AG142" t="s">
        <v>76</v>
      </c>
      <c r="AI142" t="s">
        <v>1039</v>
      </c>
      <c r="AK142" t="s">
        <v>182</v>
      </c>
      <c r="AM142" s="38"/>
      <c r="AO142" t="s">
        <v>1034</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1040</v>
      </c>
      <c r="D143" t="s">
        <v>157</v>
      </c>
      <c r="F143" t="s">
        <v>1041</v>
      </c>
      <c r="G143" t="s">
        <v>1042</v>
      </c>
      <c r="H143" t="s">
        <v>1043</v>
      </c>
      <c r="I143" t="str">
        <f>IFERROR(HYPERLINK("#Finance!B" &amp; MATCH(A143, 'F 2025'!A:A, 0), "🔗 Go to finance"), "❌ ID introuvable")</f>
        <v>❌ ID introuvable</v>
      </c>
      <c r="V143" t="s">
        <v>1044</v>
      </c>
      <c r="Y143" t="s">
        <v>1045</v>
      </c>
      <c r="Z143" t="s">
        <v>75</v>
      </c>
      <c r="AD143" s="130"/>
      <c r="AE143"/>
      <c r="AG143" t="s">
        <v>76</v>
      </c>
      <c r="AM143" s="38"/>
      <c r="AO143" t="s">
        <v>1042</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1046</v>
      </c>
      <c r="D144" t="s">
        <v>1047</v>
      </c>
      <c r="F144" t="s">
        <v>1048</v>
      </c>
      <c r="G144" t="s">
        <v>1049</v>
      </c>
      <c r="H144" t="s">
        <v>1050</v>
      </c>
      <c r="I144" t="str">
        <f>IFERROR(HYPERLINK("#Finance!B" &amp; MATCH(A144, 'F 2025'!A:A, 0), "🔗 Go to finance"), "❌ ID introuvable")</f>
        <v>❌ ID introuvable</v>
      </c>
      <c r="L144" t="s">
        <v>90</v>
      </c>
      <c r="Y144" t="s">
        <v>1051</v>
      </c>
      <c r="Z144" t="s">
        <v>75</v>
      </c>
      <c r="AB144" t="s">
        <v>1052</v>
      </c>
      <c r="AD144" s="130"/>
      <c r="AE144"/>
      <c r="AG144" t="s">
        <v>76</v>
      </c>
      <c r="AI144" t="s">
        <v>1052</v>
      </c>
      <c r="AK144" t="s">
        <v>94</v>
      </c>
      <c r="AM144" s="38"/>
      <c r="AO144" t="s">
        <v>1049</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1053</v>
      </c>
      <c r="D145" t="s">
        <v>1054</v>
      </c>
      <c r="F145" t="s">
        <v>1055</v>
      </c>
      <c r="G145" t="s">
        <v>1056</v>
      </c>
      <c r="H145" t="s">
        <v>1057</v>
      </c>
      <c r="I145" t="str">
        <f>IFERROR(HYPERLINK("#Finance!B" &amp; MATCH(A145, 'F 2025'!A:A, 0), "🔗 Go to finance"), "❌ ID introuvable")</f>
        <v>🔗 Go to finance</v>
      </c>
      <c r="L145" t="s">
        <v>662</v>
      </c>
      <c r="V145" t="s">
        <v>1058</v>
      </c>
      <c r="Z145" t="s">
        <v>75</v>
      </c>
      <c r="AD145" s="130"/>
      <c r="AE145"/>
      <c r="AG145" t="s">
        <v>76</v>
      </c>
      <c r="AK145" t="s">
        <v>1059</v>
      </c>
      <c r="AM145" s="38">
        <v>45747</v>
      </c>
      <c r="AO145" t="s">
        <v>1056</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1060</v>
      </c>
      <c r="D146" t="s">
        <v>134</v>
      </c>
      <c r="F146" t="s">
        <v>1061</v>
      </c>
      <c r="G146" t="s">
        <v>1062</v>
      </c>
      <c r="H146" t="s">
        <v>137</v>
      </c>
      <c r="I146" t="str">
        <f>IFERROR(HYPERLINK("#Finance!B" &amp; MATCH(A146, 'F 2025'!A:A, 0), "🔗 Go to finance"), "❌ ID introuvable")</f>
        <v>🔗 Go to finance</v>
      </c>
      <c r="V146" t="s">
        <v>1063</v>
      </c>
      <c r="Z146" t="s">
        <v>75</v>
      </c>
      <c r="AB146" t="s">
        <v>1064</v>
      </c>
      <c r="AD146" s="130">
        <v>45018</v>
      </c>
      <c r="AE146"/>
      <c r="AG146" t="s">
        <v>76</v>
      </c>
      <c r="AI146" t="s">
        <v>1064</v>
      </c>
      <c r="AK146" t="s">
        <v>84</v>
      </c>
      <c r="AM146" s="38"/>
      <c r="AO146" t="s">
        <v>1062</v>
      </c>
      <c r="AP146">
        <v>99</v>
      </c>
      <c r="AQ146" t="s">
        <v>1062</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1065</v>
      </c>
      <c r="D147" t="s">
        <v>1066</v>
      </c>
      <c r="F147" t="s">
        <v>1067</v>
      </c>
      <c r="G147" t="s">
        <v>1068</v>
      </c>
      <c r="H147" t="s">
        <v>1069</v>
      </c>
      <c r="I147" t="str">
        <f>IFERROR(HYPERLINK("#Finance!B" &amp; MATCH(A147, 'F 2025'!A:A, 0), "🔗 Go to finance"), "❌ ID introuvable")</f>
        <v>❌ ID introuvable</v>
      </c>
      <c r="L147" t="s">
        <v>102</v>
      </c>
      <c r="V147" t="s">
        <v>1070</v>
      </c>
      <c r="Y147" t="s">
        <v>1071</v>
      </c>
      <c r="Z147" t="s">
        <v>75</v>
      </c>
      <c r="AB147" t="s">
        <v>1072</v>
      </c>
      <c r="AD147" s="130"/>
      <c r="AE147"/>
      <c r="AG147" t="s">
        <v>76</v>
      </c>
      <c r="AI147" t="s">
        <v>1072</v>
      </c>
      <c r="AK147" t="s">
        <v>102</v>
      </c>
      <c r="AM147" s="38"/>
      <c r="AO147" t="s">
        <v>1068</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1073</v>
      </c>
      <c r="D148" t="s">
        <v>1074</v>
      </c>
      <c r="F148" t="s">
        <v>1075</v>
      </c>
      <c r="G148" t="s">
        <v>1076</v>
      </c>
      <c r="H148" t="s">
        <v>1077</v>
      </c>
      <c r="I148" t="str">
        <f>IFERROR(HYPERLINK("#Finance!B" &amp; MATCH(A148, 'F 2025'!A:A, 0), "🔗 Go to finance"), "❌ ID introuvable")</f>
        <v>❌ ID introuvable</v>
      </c>
      <c r="V148" t="s">
        <v>1078</v>
      </c>
      <c r="W148" t="s">
        <v>1079</v>
      </c>
      <c r="Z148" t="s">
        <v>75</v>
      </c>
      <c r="AB148" t="s">
        <v>1080</v>
      </c>
      <c r="AD148" s="130"/>
      <c r="AE148"/>
      <c r="AG148" t="s">
        <v>76</v>
      </c>
      <c r="AI148" t="s">
        <v>1080</v>
      </c>
      <c r="AK148" t="s">
        <v>84</v>
      </c>
      <c r="AM148" s="38"/>
      <c r="AO148" t="s">
        <v>1076</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1081</v>
      </c>
      <c r="D149" t="s">
        <v>998</v>
      </c>
      <c r="F149" t="s">
        <v>1082</v>
      </c>
      <c r="G149" t="s">
        <v>1083</v>
      </c>
      <c r="H149" t="s">
        <v>1084</v>
      </c>
      <c r="I149" t="str">
        <f>IFERROR(HYPERLINK("#Finance!B" &amp; MATCH(A149, 'F 2025'!A:A, 0), "🔗 Go to finance"), "❌ ID introuvable")</f>
        <v>❌ ID introuvable</v>
      </c>
      <c r="V149" t="s">
        <v>1002</v>
      </c>
      <c r="W149" t="s">
        <v>1002</v>
      </c>
      <c r="Y149">
        <v>9059302430</v>
      </c>
      <c r="Z149" t="s">
        <v>75</v>
      </c>
      <c r="AB149" t="s">
        <v>1003</v>
      </c>
      <c r="AD149" s="130"/>
      <c r="AE149"/>
      <c r="AG149" t="s">
        <v>76</v>
      </c>
      <c r="AI149" t="s">
        <v>1003</v>
      </c>
      <c r="AK149" t="s">
        <v>362</v>
      </c>
      <c r="AM149" s="38"/>
      <c r="AO149" t="s">
        <v>1083</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1081</v>
      </c>
      <c r="D150" t="s">
        <v>1085</v>
      </c>
      <c r="F150" t="s">
        <v>1086</v>
      </c>
      <c r="G150" t="s">
        <v>1087</v>
      </c>
      <c r="H150" t="s">
        <v>1088</v>
      </c>
      <c r="I150" t="str">
        <f>IFERROR(HYPERLINK("#Finance!B" &amp; MATCH(A150, 'F 2025'!A:A, 0), "🔗 Go to finance"), "❌ ID introuvable")</f>
        <v>🔗 Go to finance</v>
      </c>
      <c r="J150" t="s">
        <v>109</v>
      </c>
      <c r="K150" t="s">
        <v>1089</v>
      </c>
      <c r="L150" t="s">
        <v>503</v>
      </c>
      <c r="O150">
        <v>6050</v>
      </c>
      <c r="R150">
        <v>17050</v>
      </c>
      <c r="T150" s="130">
        <v>45386</v>
      </c>
      <c r="V150" t="s">
        <v>1090</v>
      </c>
      <c r="W150" t="s">
        <v>1091</v>
      </c>
      <c r="Z150" t="s">
        <v>75</v>
      </c>
      <c r="AB150" t="s">
        <v>1092</v>
      </c>
      <c r="AD150" s="130">
        <v>45386</v>
      </c>
      <c r="AE150"/>
      <c r="AG150" t="s">
        <v>76</v>
      </c>
      <c r="AI150" t="s">
        <v>1092</v>
      </c>
      <c r="AK150" t="s">
        <v>111</v>
      </c>
      <c r="AM150" s="38"/>
      <c r="AO150" t="s">
        <v>1087</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781</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1093</v>
      </c>
      <c r="D151" t="s">
        <v>1094</v>
      </c>
      <c r="F151" t="s">
        <v>1095</v>
      </c>
      <c r="G151" t="s">
        <v>1096</v>
      </c>
      <c r="H151" t="s">
        <v>1097</v>
      </c>
      <c r="I151" t="str">
        <f>IFERROR(HYPERLINK("#Finance!B" &amp; MATCH(A151, 'F 2025'!A:A, 0), "🔗 Go to finance"), "❌ ID introuvable")</f>
        <v>❌ ID introuvable</v>
      </c>
      <c r="V151" t="s">
        <v>1098</v>
      </c>
      <c r="W151" t="s">
        <v>1098</v>
      </c>
      <c r="Z151" t="s">
        <v>75</v>
      </c>
      <c r="AB151" t="s">
        <v>1099</v>
      </c>
      <c r="AD151" s="130"/>
      <c r="AE151"/>
      <c r="AG151" t="s">
        <v>76</v>
      </c>
      <c r="AI151" t="s">
        <v>1099</v>
      </c>
      <c r="AK151" t="s">
        <v>182</v>
      </c>
      <c r="AM151" s="38">
        <v>45716</v>
      </c>
      <c r="AO151" t="s">
        <v>1096</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1100</v>
      </c>
      <c r="D152" t="s">
        <v>1101</v>
      </c>
      <c r="F152" t="s">
        <v>1102</v>
      </c>
      <c r="G152" t="s">
        <v>1103</v>
      </c>
      <c r="H152" t="s">
        <v>1104</v>
      </c>
      <c r="I152" t="str">
        <f>IFERROR(HYPERLINK("#Finance!B" &amp; MATCH(A152, 'F 2025'!A:A, 0), "🔗 Go to finance"), "❌ ID introuvable")</f>
        <v>❌ ID introuvable</v>
      </c>
      <c r="L152" t="s">
        <v>132</v>
      </c>
      <c r="V152" t="s">
        <v>1105</v>
      </c>
      <c r="Y152" t="s">
        <v>1106</v>
      </c>
      <c r="Z152" t="s">
        <v>75</v>
      </c>
      <c r="AD152" s="130">
        <v>43557</v>
      </c>
      <c r="AE152"/>
      <c r="AG152" t="s">
        <v>76</v>
      </c>
      <c r="AK152" t="s">
        <v>132</v>
      </c>
      <c r="AM152" s="38"/>
      <c r="AO152" t="s">
        <v>1103</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1107</v>
      </c>
      <c r="D153" t="s">
        <v>1108</v>
      </c>
      <c r="F153" t="s">
        <v>1109</v>
      </c>
      <c r="G153" t="s">
        <v>1110</v>
      </c>
      <c r="H153" t="s">
        <v>1111</v>
      </c>
      <c r="I153" t="str">
        <f>IFERROR(HYPERLINK("#Finance!B" &amp; MATCH(A153, 'F 2025'!A:A, 0), "🔗 Go to finance"), "❌ ID introuvable")</f>
        <v>❌ ID introuvable</v>
      </c>
      <c r="L153" t="s">
        <v>102</v>
      </c>
      <c r="V153" t="s">
        <v>1112</v>
      </c>
      <c r="W153" t="s">
        <v>1112</v>
      </c>
      <c r="Y153" t="s">
        <v>1113</v>
      </c>
      <c r="Z153" t="s">
        <v>75</v>
      </c>
      <c r="AB153" t="s">
        <v>1114</v>
      </c>
      <c r="AD153" s="130">
        <v>44013</v>
      </c>
      <c r="AE153"/>
      <c r="AG153" t="s">
        <v>76</v>
      </c>
      <c r="AI153" t="s">
        <v>1114</v>
      </c>
      <c r="AK153" t="s">
        <v>1115</v>
      </c>
      <c r="AM153" s="38"/>
      <c r="AO153" t="s">
        <v>1110</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1107</v>
      </c>
      <c r="D154" t="s">
        <v>1116</v>
      </c>
      <c r="F154" t="s">
        <v>1117</v>
      </c>
      <c r="G154" t="s">
        <v>1118</v>
      </c>
      <c r="H154" t="s">
        <v>1119</v>
      </c>
      <c r="I154" t="str">
        <f>IFERROR(HYPERLINK("#Finance!B" &amp; MATCH(A154, 'F 2025'!A:A, 0), "🔗 Go to finance"), "❌ ID introuvable")</f>
        <v>🔗 Go to finance</v>
      </c>
      <c r="J154" t="s">
        <v>109</v>
      </c>
      <c r="K154" t="s">
        <v>110</v>
      </c>
      <c r="L154" t="s">
        <v>197</v>
      </c>
      <c r="O154">
        <v>19800</v>
      </c>
      <c r="T154" s="130">
        <v>45383</v>
      </c>
      <c r="V154" t="s">
        <v>1120</v>
      </c>
      <c r="W154" t="s">
        <v>1120</v>
      </c>
      <c r="Y154">
        <v>8060969127</v>
      </c>
      <c r="Z154" t="s">
        <v>75</v>
      </c>
      <c r="AD154" s="130">
        <v>45383</v>
      </c>
      <c r="AE154"/>
      <c r="AG154" t="s">
        <v>76</v>
      </c>
      <c r="AK154" t="s">
        <v>84</v>
      </c>
      <c r="AM154" s="38"/>
      <c r="AO154" t="s">
        <v>1118</v>
      </c>
      <c r="AP154">
        <v>149</v>
      </c>
      <c r="AQ154" t="s">
        <v>1118</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784</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1121</v>
      </c>
      <c r="D155" t="s">
        <v>1122</v>
      </c>
      <c r="F155" t="s">
        <v>1123</v>
      </c>
      <c r="G155" t="s">
        <v>1124</v>
      </c>
      <c r="H155" t="s">
        <v>1125</v>
      </c>
      <c r="I155" t="str">
        <f>IFERROR(HYPERLINK("#Finance!B" &amp; MATCH(A155, 'F 2025'!A:A, 0), "🔗 Go to finance"), "❌ ID introuvable")</f>
        <v>🔗 Go to finance</v>
      </c>
      <c r="J155" t="s">
        <v>109</v>
      </c>
      <c r="K155" t="s">
        <v>110</v>
      </c>
      <c r="L155" t="s">
        <v>508</v>
      </c>
      <c r="O155">
        <v>9900</v>
      </c>
      <c r="T155" s="130">
        <v>45383</v>
      </c>
      <c r="U155" s="38">
        <v>45808</v>
      </c>
      <c r="V155" t="s">
        <v>1126</v>
      </c>
      <c r="W155" t="s">
        <v>1126</v>
      </c>
      <c r="Z155" t="s">
        <v>75</v>
      </c>
      <c r="AB155" t="s">
        <v>1127</v>
      </c>
      <c r="AD155" s="130">
        <v>45383</v>
      </c>
      <c r="AE155"/>
      <c r="AG155" t="s">
        <v>76</v>
      </c>
      <c r="AI155" t="s">
        <v>1127</v>
      </c>
      <c r="AK155" t="s">
        <v>1128</v>
      </c>
      <c r="AM155" s="38">
        <v>45808</v>
      </c>
      <c r="AO155" t="s">
        <v>1124</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1129</v>
      </c>
      <c r="D156" t="s">
        <v>1130</v>
      </c>
      <c r="F156" t="s">
        <v>1131</v>
      </c>
      <c r="G156" t="s">
        <v>1132</v>
      </c>
      <c r="H156" t="s">
        <v>1133</v>
      </c>
      <c r="I156" t="str">
        <f>IFERROR(HYPERLINK("#Finance!B" &amp; MATCH(A156, 'F 2025'!A:A, 0), "🔗 Go to finance"), "❌ ID introuvable")</f>
        <v>❌ ID introuvable</v>
      </c>
      <c r="Y156">
        <v>8086374057</v>
      </c>
      <c r="Z156" t="s">
        <v>75</v>
      </c>
      <c r="AB156" t="s">
        <v>1134</v>
      </c>
      <c r="AD156" s="130">
        <v>45477</v>
      </c>
      <c r="AE156"/>
      <c r="AG156" t="s">
        <v>76</v>
      </c>
      <c r="AI156" t="s">
        <v>1134</v>
      </c>
      <c r="AK156" t="s">
        <v>1135</v>
      </c>
      <c r="AM156" s="38"/>
      <c r="AO156" t="s">
        <v>1132</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1136</v>
      </c>
      <c r="D157" t="s">
        <v>1137</v>
      </c>
      <c r="F157" t="s">
        <v>1138</v>
      </c>
      <c r="G157" t="s">
        <v>1139</v>
      </c>
      <c r="H157" t="s">
        <v>1140</v>
      </c>
      <c r="I157" t="str">
        <f>IFERROR(HYPERLINK("#Finance!B" &amp; MATCH(A157, 'F 2025'!A:A, 0), "🔗 Go to finance"), "❌ ID introuvable")</f>
        <v>❌ ID introuvable</v>
      </c>
      <c r="L157" t="s">
        <v>90</v>
      </c>
      <c r="V157" t="s">
        <v>1141</v>
      </c>
      <c r="Y157">
        <v>9074553720</v>
      </c>
      <c r="Z157" t="s">
        <v>75</v>
      </c>
      <c r="AB157" t="s">
        <v>1142</v>
      </c>
      <c r="AD157" s="130"/>
      <c r="AE157"/>
      <c r="AG157" t="s">
        <v>76</v>
      </c>
      <c r="AI157" t="s">
        <v>1142</v>
      </c>
      <c r="AK157" t="s">
        <v>232</v>
      </c>
      <c r="AM157" s="38"/>
      <c r="AO157" t="s">
        <v>1139</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1143</v>
      </c>
      <c r="D158" t="s">
        <v>803</v>
      </c>
      <c r="F158" t="s">
        <v>1144</v>
      </c>
      <c r="G158" t="s">
        <v>1145</v>
      </c>
      <c r="H158" t="s">
        <v>1146</v>
      </c>
      <c r="I158" t="str">
        <f>IFERROR(HYPERLINK("#Finance!B" &amp; MATCH(A158, 'F 2025'!A:A, 0), "🔗 Go to finance"), "❌ ID introuvable")</f>
        <v>❌ ID introuvable</v>
      </c>
      <c r="L158" t="s">
        <v>90</v>
      </c>
      <c r="V158" t="s">
        <v>1147</v>
      </c>
      <c r="Y158" t="s">
        <v>1148</v>
      </c>
      <c r="Z158" t="s">
        <v>75</v>
      </c>
      <c r="AB158" t="s">
        <v>1149</v>
      </c>
      <c r="AD158" s="130"/>
      <c r="AE158"/>
      <c r="AG158" t="s">
        <v>76</v>
      </c>
      <c r="AI158" t="s">
        <v>1149</v>
      </c>
      <c r="AK158" t="s">
        <v>1150</v>
      </c>
      <c r="AM158" s="38"/>
      <c r="AO158" t="s">
        <v>1145</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1151</v>
      </c>
      <c r="D159" t="s">
        <v>561</v>
      </c>
      <c r="F159" t="s">
        <v>1152</v>
      </c>
      <c r="G159" t="s">
        <v>1153</v>
      </c>
      <c r="H159" t="s">
        <v>563</v>
      </c>
      <c r="I159" t="str">
        <f>IFERROR(HYPERLINK("#Finance!B" &amp; MATCH(A159, 'F 2025'!A:A, 0), "🔗 Go to finance"), "❌ ID introuvable")</f>
        <v>❌ ID introuvable</v>
      </c>
      <c r="V159" t="s">
        <v>1154</v>
      </c>
      <c r="W159" t="s">
        <v>1154</v>
      </c>
      <c r="Z159" t="s">
        <v>75</v>
      </c>
      <c r="AB159" t="s">
        <v>1155</v>
      </c>
      <c r="AD159" s="130"/>
      <c r="AE159"/>
      <c r="AG159" t="s">
        <v>76</v>
      </c>
      <c r="AI159" t="s">
        <v>1155</v>
      </c>
      <c r="AK159" t="s">
        <v>72</v>
      </c>
      <c r="AM159" s="38"/>
      <c r="AO159" t="s">
        <v>1153</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1156</v>
      </c>
      <c r="D160" t="s">
        <v>1157</v>
      </c>
      <c r="H160" t="s">
        <v>1158</v>
      </c>
      <c r="I160" t="str">
        <f>IFERROR(HYPERLINK("#Finance!B" &amp; MATCH(A160, 'F 2025'!A:A, 0), "🔗 Go to finance"), "❌ ID introuvable")</f>
        <v>❌ ID introuvable</v>
      </c>
      <c r="V160" t="s">
        <v>1159</v>
      </c>
      <c r="Y160" t="s">
        <v>1160</v>
      </c>
      <c r="Z160" t="s">
        <v>75</v>
      </c>
      <c r="AB160" t="s">
        <v>1161</v>
      </c>
      <c r="AD160" s="130"/>
      <c r="AE160"/>
      <c r="AG160" t="s">
        <v>76</v>
      </c>
      <c r="AI160" t="s">
        <v>1161</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1121</v>
      </c>
      <c r="D161" t="s">
        <v>1122</v>
      </c>
      <c r="F161" t="s">
        <v>1123</v>
      </c>
      <c r="G161" t="s">
        <v>1124</v>
      </c>
      <c r="H161" t="s">
        <v>1125</v>
      </c>
      <c r="I161" t="str">
        <f>IFERROR(HYPERLINK("#Finance!B" &amp; MATCH(A161, 'F 2025'!A:A, 0), "🔗 Go to finance"), "❌ ID introuvable")</f>
        <v>🔗 Go to finance</v>
      </c>
      <c r="J161" t="s">
        <v>109</v>
      </c>
      <c r="K161" t="s">
        <v>117</v>
      </c>
      <c r="L161" t="s">
        <v>508</v>
      </c>
      <c r="O161">
        <v>3300</v>
      </c>
      <c r="T161" s="130">
        <v>45383</v>
      </c>
      <c r="U161" s="38">
        <v>45808</v>
      </c>
      <c r="V161" t="s">
        <v>1126</v>
      </c>
      <c r="W161" t="s">
        <v>1126</v>
      </c>
      <c r="Z161" t="s">
        <v>75</v>
      </c>
      <c r="AB161" t="s">
        <v>1127</v>
      </c>
      <c r="AD161" s="130">
        <v>45383</v>
      </c>
      <c r="AE161"/>
      <c r="AG161" t="s">
        <v>76</v>
      </c>
      <c r="AI161" t="s">
        <v>1127</v>
      </c>
      <c r="AK161" t="s">
        <v>1128</v>
      </c>
      <c r="AM161" s="38">
        <v>45808</v>
      </c>
      <c r="AO161" t="s">
        <v>1124</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1156</v>
      </c>
      <c r="D162" t="s">
        <v>1162</v>
      </c>
      <c r="F162" t="s">
        <v>1163</v>
      </c>
      <c r="G162" t="s">
        <v>1164</v>
      </c>
      <c r="H162" t="s">
        <v>627</v>
      </c>
      <c r="I162" t="str">
        <f>IFERROR(HYPERLINK("#Finance!B" &amp; MATCH(A162, 'F 2025'!A:A, 0), "🔗 Go to finance"), "❌ ID introuvable")</f>
        <v>🔗 Go to finance</v>
      </c>
      <c r="J162" t="s">
        <v>109</v>
      </c>
      <c r="K162" t="s">
        <v>110</v>
      </c>
      <c r="L162" t="s">
        <v>111</v>
      </c>
      <c r="O162">
        <v>23100</v>
      </c>
      <c r="T162" s="130">
        <v>45200</v>
      </c>
      <c r="U162" s="38">
        <v>45747</v>
      </c>
      <c r="V162" t="s">
        <v>1165</v>
      </c>
      <c r="W162" t="s">
        <v>1166</v>
      </c>
      <c r="Y162">
        <v>8017065206</v>
      </c>
      <c r="Z162" t="s">
        <v>75</v>
      </c>
      <c r="AB162" t="s">
        <v>1167</v>
      </c>
      <c r="AD162" s="130">
        <v>45200</v>
      </c>
      <c r="AE162"/>
      <c r="AG162" t="s">
        <v>76</v>
      </c>
      <c r="AI162" t="s">
        <v>1167</v>
      </c>
      <c r="AK162" t="s">
        <v>362</v>
      </c>
      <c r="AM162" s="38">
        <v>45747</v>
      </c>
      <c r="AO162" t="s">
        <v>1164</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1168</v>
      </c>
      <c r="D163" t="s">
        <v>1169</v>
      </c>
      <c r="F163" t="s">
        <v>1170</v>
      </c>
      <c r="G163" t="s">
        <v>1171</v>
      </c>
      <c r="H163" t="s">
        <v>1172</v>
      </c>
      <c r="I163" t="str">
        <f>IFERROR(HYPERLINK("#Finance!B" &amp; MATCH(A163, 'F 2025'!A:A, 0), "🔗 Go to finance"), "❌ ID introuvable")</f>
        <v>🔗 Go to finance</v>
      </c>
      <c r="J163" t="s">
        <v>196</v>
      </c>
      <c r="K163" t="s">
        <v>110</v>
      </c>
      <c r="L163" t="s">
        <v>508</v>
      </c>
      <c r="N163">
        <v>4</v>
      </c>
      <c r="O163">
        <v>19800</v>
      </c>
      <c r="V163" t="s">
        <v>1173</v>
      </c>
      <c r="Y163">
        <v>9029626992</v>
      </c>
      <c r="Z163" t="s">
        <v>75</v>
      </c>
      <c r="AB163" t="s">
        <v>1174</v>
      </c>
      <c r="AD163" s="130">
        <v>45413</v>
      </c>
      <c r="AE163"/>
      <c r="AG163" t="s">
        <v>76</v>
      </c>
      <c r="AI163" t="s">
        <v>1174</v>
      </c>
      <c r="AK163" t="s">
        <v>84</v>
      </c>
      <c r="AM163" s="38"/>
      <c r="AO163" t="s">
        <v>1171</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1175</v>
      </c>
      <c r="D164" t="s">
        <v>1176</v>
      </c>
      <c r="F164" t="s">
        <v>1177</v>
      </c>
      <c r="G164" t="s">
        <v>1178</v>
      </c>
      <c r="H164" t="s">
        <v>1179</v>
      </c>
      <c r="I164" t="str">
        <f>IFERROR(HYPERLINK("#Finance!B" &amp; MATCH(A164, 'F 2025'!A:A, 0), "🔗 Go to finance"), "❌ ID introuvable")</f>
        <v>❌ ID introuvable</v>
      </c>
      <c r="L164" t="s">
        <v>662</v>
      </c>
      <c r="V164" t="s">
        <v>1180</v>
      </c>
      <c r="W164" t="s">
        <v>1181</v>
      </c>
      <c r="Y164" t="s">
        <v>1182</v>
      </c>
      <c r="Z164" t="s">
        <v>75</v>
      </c>
      <c r="AB164" t="s">
        <v>1183</v>
      </c>
      <c r="AD164" s="130">
        <v>44228</v>
      </c>
      <c r="AE164"/>
      <c r="AG164" t="s">
        <v>76</v>
      </c>
      <c r="AI164" t="s">
        <v>1183</v>
      </c>
      <c r="AK164" t="s">
        <v>182</v>
      </c>
      <c r="AM164" s="38"/>
      <c r="AO164" t="s">
        <v>1178</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1184</v>
      </c>
      <c r="D165" t="s">
        <v>1185</v>
      </c>
      <c r="F165" t="s">
        <v>1186</v>
      </c>
      <c r="G165" t="s">
        <v>1187</v>
      </c>
      <c r="H165" t="s">
        <v>1188</v>
      </c>
      <c r="I165" t="str">
        <f>IFERROR(HYPERLINK("#Finance!B" &amp; MATCH(A165, 'F 2025'!A:A, 0), "🔗 Go to finance"), "❌ ID introuvable")</f>
        <v>❌ ID introuvable</v>
      </c>
      <c r="L165" t="s">
        <v>102</v>
      </c>
      <c r="V165" t="s">
        <v>1189</v>
      </c>
      <c r="W165" t="s">
        <v>1189</v>
      </c>
      <c r="Z165" t="s">
        <v>75</v>
      </c>
      <c r="AB165" t="s">
        <v>1190</v>
      </c>
      <c r="AD165" s="130">
        <v>44758</v>
      </c>
      <c r="AE165"/>
      <c r="AG165" t="s">
        <v>76</v>
      </c>
      <c r="AI165" t="s">
        <v>1190</v>
      </c>
      <c r="AK165" t="s">
        <v>102</v>
      </c>
      <c r="AM165" s="38"/>
      <c r="AO165" t="s">
        <v>1187</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1191</v>
      </c>
      <c r="D166" t="s">
        <v>1192</v>
      </c>
      <c r="F166" t="s">
        <v>1193</v>
      </c>
      <c r="G166" t="s">
        <v>1194</v>
      </c>
      <c r="H166" t="s">
        <v>1195</v>
      </c>
      <c r="I166" t="str">
        <f>IFERROR(HYPERLINK("#Finance!B" &amp; MATCH(A166, 'F 2025'!A:A, 0), "🔗 Go to finance"), "❌ ID introuvable")</f>
        <v>❌ ID introuvable</v>
      </c>
      <c r="L166" t="s">
        <v>102</v>
      </c>
      <c r="V166" t="s">
        <v>1196</v>
      </c>
      <c r="W166" t="s">
        <v>1197</v>
      </c>
      <c r="Y166" t="s">
        <v>1198</v>
      </c>
      <c r="Z166" t="s">
        <v>75</v>
      </c>
      <c r="AB166" t="s">
        <v>1199</v>
      </c>
      <c r="AD166" s="130">
        <v>43845</v>
      </c>
      <c r="AE166"/>
      <c r="AG166" t="s">
        <v>76</v>
      </c>
      <c r="AI166" t="s">
        <v>1199</v>
      </c>
      <c r="AK166" t="s">
        <v>102</v>
      </c>
      <c r="AM166" s="38"/>
      <c r="AO166" t="s">
        <v>1194</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1191</v>
      </c>
      <c r="D167" t="s">
        <v>1200</v>
      </c>
      <c r="F167" t="s">
        <v>1201</v>
      </c>
      <c r="G167" t="s">
        <v>1202</v>
      </c>
      <c r="H167" t="s">
        <v>833</v>
      </c>
      <c r="I167" t="str">
        <f>IFERROR(HYPERLINK("#Finance!B" &amp; MATCH(A167, 'F 2025'!A:A, 0), "🔗 Go to finance"), "❌ ID introuvable")</f>
        <v>🔗 Go to finance</v>
      </c>
      <c r="J167" t="s">
        <v>109</v>
      </c>
      <c r="K167" t="s">
        <v>117</v>
      </c>
      <c r="L167" t="s">
        <v>503</v>
      </c>
      <c r="O167">
        <v>12100</v>
      </c>
      <c r="T167" s="38">
        <v>45716</v>
      </c>
      <c r="U167" s="38"/>
      <c r="V167" t="s">
        <v>835</v>
      </c>
      <c r="W167" t="s">
        <v>835</v>
      </c>
      <c r="Y167" t="s">
        <v>836</v>
      </c>
      <c r="Z167" t="s">
        <v>75</v>
      </c>
      <c r="AB167" t="s">
        <v>837</v>
      </c>
      <c r="AD167" s="130">
        <v>45352</v>
      </c>
      <c r="AE167"/>
      <c r="AG167" t="s">
        <v>76</v>
      </c>
      <c r="AI167" t="s">
        <v>837</v>
      </c>
      <c r="AK167" t="s">
        <v>362</v>
      </c>
      <c r="AM167" s="38">
        <v>45716</v>
      </c>
      <c r="AO167" t="s">
        <v>1202</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1203</v>
      </c>
      <c r="D168" t="s">
        <v>1204</v>
      </c>
      <c r="F168" t="s">
        <v>1205</v>
      </c>
      <c r="G168" t="s">
        <v>1206</v>
      </c>
      <c r="H168" t="s">
        <v>1207</v>
      </c>
      <c r="I168" t="str">
        <f>IFERROR(HYPERLINK("#Finance!B" &amp; MATCH(A168, 'F 2025'!A:A, 0), "🔗 Go to finance"), "❌ ID introuvable")</f>
        <v>❌ ID introuvable</v>
      </c>
      <c r="V168" t="s">
        <v>1208</v>
      </c>
      <c r="Y168">
        <v>9027172239</v>
      </c>
      <c r="Z168" t="s">
        <v>75</v>
      </c>
      <c r="AB168" t="s">
        <v>1209</v>
      </c>
      <c r="AD168" s="130">
        <v>44713</v>
      </c>
      <c r="AE168"/>
      <c r="AG168" t="s">
        <v>76</v>
      </c>
      <c r="AI168" t="s">
        <v>1209</v>
      </c>
      <c r="AK168" t="s">
        <v>1135</v>
      </c>
      <c r="AM168" s="38"/>
      <c r="AO168" t="s">
        <v>1206</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1191</v>
      </c>
      <c r="D169" t="s">
        <v>1200</v>
      </c>
      <c r="E169" t="s">
        <v>1200</v>
      </c>
      <c r="F169" t="s">
        <v>1201</v>
      </c>
      <c r="G169" t="s">
        <v>1202</v>
      </c>
      <c r="H169" t="s">
        <v>833</v>
      </c>
      <c r="I169" t="str">
        <f>IFERROR(HYPERLINK("#Finance!B" &amp; MATCH(A169, 'F 2025'!A:A, 0), "🔗 Go to finance"), "❌ ID introuvable")</f>
        <v>🔗 Go to finance</v>
      </c>
      <c r="J169" t="s">
        <v>109</v>
      </c>
      <c r="K169" t="s">
        <v>1210</v>
      </c>
      <c r="L169" t="s">
        <v>503</v>
      </c>
      <c r="O169">
        <v>7000</v>
      </c>
      <c r="P169" s="38">
        <v>45875</v>
      </c>
      <c r="T169" s="130">
        <v>45352</v>
      </c>
      <c r="U169" s="38">
        <v>45716</v>
      </c>
      <c r="V169" t="s">
        <v>835</v>
      </c>
      <c r="W169" t="s">
        <v>835</v>
      </c>
      <c r="Y169" t="s">
        <v>836</v>
      </c>
      <c r="Z169" t="s">
        <v>75</v>
      </c>
      <c r="AB169" t="s">
        <v>837</v>
      </c>
      <c r="AD169" s="130">
        <v>45352</v>
      </c>
      <c r="AE169" s="38">
        <v>45716</v>
      </c>
      <c r="AF169" s="38"/>
      <c r="AG169" t="s">
        <v>1202</v>
      </c>
      <c r="AJ169" t="s">
        <v>117</v>
      </c>
      <c r="AK169">
        <v>4</v>
      </c>
      <c r="AL169" t="s">
        <v>1211</v>
      </c>
      <c r="AM169">
        <v>2024</v>
      </c>
      <c r="AN169"/>
      <c r="AO169"/>
      <c r="AS169">
        <v>364</v>
      </c>
      <c r="AT169" t="s">
        <v>1212</v>
      </c>
      <c r="AW169" t="s">
        <v>1213</v>
      </c>
      <c r="AX169">
        <v>210000</v>
      </c>
      <c r="AY169" t="s">
        <v>1214</v>
      </c>
      <c r="AZ169" t="s">
        <v>1215</v>
      </c>
      <c r="BA169" t="s">
        <v>1216</v>
      </c>
      <c r="BD169">
        <v>7000</v>
      </c>
      <c r="BE169" t="s">
        <v>1217</v>
      </c>
      <c r="BF169" t="s">
        <v>1216</v>
      </c>
      <c r="BG169">
        <v>0</v>
      </c>
      <c r="BH169" s="38">
        <v>45716</v>
      </c>
      <c r="BP169" s="38"/>
    </row>
    <row r="170" spans="1:68" ht="18" customHeight="1">
      <c r="A170">
        <v>138</v>
      </c>
      <c r="B170" t="s">
        <v>103</v>
      </c>
      <c r="C170" t="s">
        <v>1218</v>
      </c>
      <c r="D170" t="s">
        <v>1122</v>
      </c>
      <c r="F170" t="s">
        <v>1219</v>
      </c>
      <c r="G170" t="s">
        <v>1220</v>
      </c>
      <c r="H170" t="s">
        <v>1125</v>
      </c>
      <c r="I170" t="str">
        <f>IFERROR(HYPERLINK("#Finance!B" &amp; MATCH(A170, 'F 2025'!A:A, 0), "🔗 Go to finance"), "❌ ID introuvable")</f>
        <v>🔗 Go to finance</v>
      </c>
      <c r="J170" t="s">
        <v>109</v>
      </c>
      <c r="K170" t="s">
        <v>117</v>
      </c>
      <c r="L170" t="s">
        <v>1221</v>
      </c>
      <c r="O170">
        <v>6600</v>
      </c>
      <c r="R170">
        <v>17600</v>
      </c>
      <c r="T170" s="130">
        <v>45415</v>
      </c>
      <c r="V170" t="s">
        <v>1126</v>
      </c>
      <c r="W170" t="s">
        <v>1126</v>
      </c>
      <c r="Z170" t="s">
        <v>75</v>
      </c>
      <c r="AB170" t="s">
        <v>1127</v>
      </c>
      <c r="AD170" s="130">
        <v>45383</v>
      </c>
      <c r="AE170"/>
      <c r="AG170" t="s">
        <v>76</v>
      </c>
      <c r="AI170" t="s">
        <v>1127</v>
      </c>
      <c r="AK170" t="s">
        <v>111</v>
      </c>
      <c r="AM170" s="38"/>
      <c r="AO170" t="s">
        <v>1220</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784</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631</v>
      </c>
      <c r="D171" t="s">
        <v>632</v>
      </c>
      <c r="F171" t="s">
        <v>1222</v>
      </c>
      <c r="G171" t="s">
        <v>1223</v>
      </c>
      <c r="H171" t="s">
        <v>635</v>
      </c>
      <c r="I171" t="str">
        <f>IFERROR(HYPERLINK("#Finance!B" &amp; MATCH(A171, 'F 2025'!A:A, 0), "🔗 Go to finance"), "❌ ID introuvable")</f>
        <v>🔗 Go to finance</v>
      </c>
      <c r="J171" t="s">
        <v>109</v>
      </c>
      <c r="K171" t="s">
        <v>117</v>
      </c>
      <c r="L171" t="s">
        <v>503</v>
      </c>
      <c r="O171">
        <v>6050</v>
      </c>
      <c r="R171">
        <v>17050</v>
      </c>
      <c r="T171" s="130">
        <v>45444</v>
      </c>
      <c r="V171" s="13" t="s">
        <v>636</v>
      </c>
      <c r="W171" t="s">
        <v>636</v>
      </c>
      <c r="Y171">
        <v>9086635651</v>
      </c>
      <c r="Z171" t="s">
        <v>75</v>
      </c>
      <c r="AB171" t="s">
        <v>1224</v>
      </c>
      <c r="AD171" s="130">
        <v>45444</v>
      </c>
      <c r="AE171"/>
      <c r="AG171" t="s">
        <v>76</v>
      </c>
      <c r="AI171" t="s">
        <v>1224</v>
      </c>
      <c r="AK171" t="s">
        <v>102</v>
      </c>
      <c r="AM171" s="38"/>
      <c r="AO171" t="s">
        <v>1223</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723</v>
      </c>
      <c r="BB171" t="str">
        <f>_xlfn.CONCAT(Table1[[#This Row],[t]]," ",Table1[[#This Row],[Last Name]])</f>
        <v>Kosuke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1225</v>
      </c>
      <c r="D172" t="s">
        <v>302</v>
      </c>
      <c r="F172" t="s">
        <v>1226</v>
      </c>
      <c r="G172" t="s">
        <v>1227</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1227</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1228</v>
      </c>
      <c r="D173" t="s">
        <v>1229</v>
      </c>
      <c r="F173" t="s">
        <v>1230</v>
      </c>
      <c r="G173" t="s">
        <v>1231</v>
      </c>
      <c r="H173" t="s">
        <v>1232</v>
      </c>
      <c r="I173" t="str">
        <f>IFERROR(HYPERLINK("#Finance!B" &amp; MATCH(A173, 'F 2025'!A:A, 0), "🔗 Go to finance"), "❌ ID introuvable")</f>
        <v>🔗 Go to finance</v>
      </c>
      <c r="J173" t="s">
        <v>196</v>
      </c>
      <c r="K173" t="s">
        <v>110</v>
      </c>
      <c r="L173" t="s">
        <v>197</v>
      </c>
      <c r="N173">
        <v>4</v>
      </c>
      <c r="O173">
        <v>17600</v>
      </c>
      <c r="R173">
        <v>0</v>
      </c>
      <c r="Y173" t="s">
        <v>1233</v>
      </c>
      <c r="Z173" t="s">
        <v>75</v>
      </c>
      <c r="AB173" t="s">
        <v>1234</v>
      </c>
      <c r="AD173" s="130">
        <v>43101</v>
      </c>
      <c r="AE173"/>
      <c r="AG173" t="s">
        <v>76</v>
      </c>
      <c r="AI173" t="s">
        <v>1234</v>
      </c>
      <c r="AK173" t="s">
        <v>300</v>
      </c>
      <c r="AM173" s="38">
        <v>45900</v>
      </c>
      <c r="AO173" t="s">
        <v>1231</v>
      </c>
      <c r="AP173">
        <v>10</v>
      </c>
      <c r="AQ173" t="s">
        <v>1231</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1228</v>
      </c>
      <c r="D174" t="s">
        <v>157</v>
      </c>
      <c r="F174" t="s">
        <v>1230</v>
      </c>
      <c r="G174" t="s">
        <v>1235</v>
      </c>
      <c r="H174" t="s">
        <v>1236</v>
      </c>
      <c r="I174" t="str">
        <f>IFERROR(HYPERLINK("#Finance!B" &amp; MATCH(A174, 'F 2025'!A:A, 0), "🔗 Go to finance"), "❌ ID introuvable")</f>
        <v>❌ ID introuvable</v>
      </c>
      <c r="V174" t="s">
        <v>1237</v>
      </c>
      <c r="Y174" t="s">
        <v>1238</v>
      </c>
      <c r="Z174" t="s">
        <v>75</v>
      </c>
      <c r="AD174" s="130"/>
      <c r="AE174"/>
      <c r="AG174" t="s">
        <v>76</v>
      </c>
      <c r="AM174" s="38"/>
      <c r="AO174" t="s">
        <v>1235</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1239</v>
      </c>
      <c r="D175" t="s">
        <v>1240</v>
      </c>
      <c r="F175" t="s">
        <v>1241</v>
      </c>
      <c r="G175" t="s">
        <v>1242</v>
      </c>
      <c r="H175" t="s">
        <v>1243</v>
      </c>
      <c r="I175" t="str">
        <f>IFERROR(HYPERLINK("#Finance!B" &amp; MATCH(A175, 'F 2025'!A:A, 0), "🔗 Go to finance"), "❌ ID introuvable")</f>
        <v>🔗 Go to finance</v>
      </c>
      <c r="J175" t="s">
        <v>495</v>
      </c>
      <c r="K175" t="s">
        <v>110</v>
      </c>
      <c r="L175" t="s">
        <v>487</v>
      </c>
      <c r="N175">
        <v>3</v>
      </c>
      <c r="O175">
        <v>15000</v>
      </c>
      <c r="T175" s="130">
        <v>45201</v>
      </c>
      <c r="V175" t="s">
        <v>1244</v>
      </c>
      <c r="Y175">
        <v>9066451205</v>
      </c>
      <c r="Z175" t="s">
        <v>75</v>
      </c>
      <c r="AB175" t="s">
        <v>1245</v>
      </c>
      <c r="AD175" s="130">
        <v>45201</v>
      </c>
      <c r="AE175"/>
      <c r="AG175" t="s">
        <v>76</v>
      </c>
      <c r="AI175" t="s">
        <v>1245</v>
      </c>
      <c r="AK175" t="s">
        <v>84</v>
      </c>
      <c r="AM175" s="38"/>
      <c r="AO175" t="s">
        <v>1242</v>
      </c>
      <c r="AP175">
        <v>120</v>
      </c>
      <c r="AQ175" t="s">
        <v>1242</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966</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1246</v>
      </c>
      <c r="D176" t="s">
        <v>763</v>
      </c>
      <c r="F176" t="s">
        <v>1247</v>
      </c>
      <c r="G176" t="s">
        <v>1248</v>
      </c>
      <c r="H176" t="s">
        <v>766</v>
      </c>
      <c r="I176" t="str">
        <f>IFERROR(HYPERLINK("#Finance!B" &amp; MATCH(A176, 'F 2025'!A:A, 0), "🔗 Go to finance"), "❌ ID introuvable")</f>
        <v>❌ ID introuvable</v>
      </c>
      <c r="Y176" t="s">
        <v>1249</v>
      </c>
      <c r="Z176" t="s">
        <v>75</v>
      </c>
      <c r="AD176" s="130"/>
      <c r="AE176"/>
      <c r="AG176" t="s">
        <v>76</v>
      </c>
      <c r="AM176" s="38"/>
      <c r="AO176" t="s">
        <v>1248</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1250</v>
      </c>
      <c r="F177" t="s">
        <v>1251</v>
      </c>
      <c r="G177" t="s">
        <v>1252</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1252</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1253</v>
      </c>
      <c r="D178" t="s">
        <v>184</v>
      </c>
      <c r="F178" t="s">
        <v>1254</v>
      </c>
      <c r="G178" t="s">
        <v>1255</v>
      </c>
      <c r="H178" t="s">
        <v>187</v>
      </c>
      <c r="I178" t="str">
        <f>IFERROR(HYPERLINK("#Finance!B" &amp; MATCH(A178, 'F 2025'!A:A, 0), "🔗 Go to finance"), "❌ ID introuvable")</f>
        <v>🔗 Go to finance</v>
      </c>
      <c r="J178" t="s">
        <v>109</v>
      </c>
      <c r="K178" t="s">
        <v>117</v>
      </c>
      <c r="L178" t="s">
        <v>503</v>
      </c>
      <c r="O178">
        <v>6050</v>
      </c>
      <c r="R178">
        <v>46200</v>
      </c>
      <c r="S178" t="s">
        <v>1256</v>
      </c>
      <c r="T178" s="130">
        <v>45020</v>
      </c>
      <c r="V178" t="s">
        <v>188</v>
      </c>
      <c r="W178" t="s">
        <v>189</v>
      </c>
      <c r="Y178">
        <v>9048027828</v>
      </c>
      <c r="Z178" t="s">
        <v>75</v>
      </c>
      <c r="AB178" t="s">
        <v>1257</v>
      </c>
      <c r="AD178" s="130">
        <v>45020</v>
      </c>
      <c r="AE178"/>
      <c r="AG178" t="s">
        <v>76</v>
      </c>
      <c r="AI178" t="s">
        <v>1257</v>
      </c>
      <c r="AK178" t="s">
        <v>111</v>
      </c>
      <c r="AM178" s="38">
        <v>45961</v>
      </c>
      <c r="AO178" t="s">
        <v>1255</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1258</v>
      </c>
      <c r="D179" t="s">
        <v>1259</v>
      </c>
      <c r="F179" t="s">
        <v>1260</v>
      </c>
      <c r="G179" t="s">
        <v>1261</v>
      </c>
      <c r="H179" t="s">
        <v>1262</v>
      </c>
      <c r="I179" t="str">
        <f>IFERROR(HYPERLINK("#Finance!B" &amp; MATCH(A179, 'F 2025'!A:A, 0), "🔗 Go to finance"), "❌ ID introuvable")</f>
        <v>🔗 Go to finance</v>
      </c>
      <c r="J179" t="s">
        <v>495</v>
      </c>
      <c r="K179" t="s">
        <v>110</v>
      </c>
      <c r="L179" t="s">
        <v>508</v>
      </c>
      <c r="N179">
        <v>2</v>
      </c>
      <c r="O179">
        <v>9900</v>
      </c>
      <c r="T179" s="130">
        <v>45323</v>
      </c>
      <c r="V179" t="s">
        <v>1263</v>
      </c>
      <c r="W179" t="s">
        <v>1263</v>
      </c>
      <c r="Y179">
        <v>9053836589</v>
      </c>
      <c r="Z179" t="s">
        <v>75</v>
      </c>
      <c r="AB179" t="s">
        <v>1264</v>
      </c>
      <c r="AD179" s="130">
        <v>45323</v>
      </c>
      <c r="AE179"/>
      <c r="AG179" t="s">
        <v>76</v>
      </c>
      <c r="AI179" t="s">
        <v>1264</v>
      </c>
      <c r="AK179" t="s">
        <v>84</v>
      </c>
      <c r="AM179" s="38"/>
      <c r="AO179" t="s">
        <v>1261</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844</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1258</v>
      </c>
      <c r="D180" t="s">
        <v>1259</v>
      </c>
      <c r="F180" t="s">
        <v>1260</v>
      </c>
      <c r="G180" t="s">
        <v>1261</v>
      </c>
      <c r="H180" t="s">
        <v>1262</v>
      </c>
      <c r="I180" t="str">
        <f>IFERROR(HYPERLINK("#Finance!B" &amp; MATCH(A180, 'F 2025'!A:A, 0), "🔗 Go to finance"), "❌ ID introuvable")</f>
        <v>🔗 Go to finance</v>
      </c>
      <c r="J180" t="s">
        <v>495</v>
      </c>
      <c r="K180" t="s">
        <v>117</v>
      </c>
      <c r="L180" t="s">
        <v>508</v>
      </c>
      <c r="N180">
        <v>2</v>
      </c>
      <c r="O180">
        <v>3300</v>
      </c>
      <c r="T180" s="130">
        <v>45323</v>
      </c>
      <c r="V180" t="s">
        <v>1263</v>
      </c>
      <c r="W180" t="s">
        <v>1263</v>
      </c>
      <c r="Y180">
        <v>9053836589</v>
      </c>
      <c r="Z180" t="s">
        <v>75</v>
      </c>
      <c r="AB180" t="s">
        <v>1264</v>
      </c>
      <c r="AD180" s="130">
        <v>45323</v>
      </c>
      <c r="AE180"/>
      <c r="AG180" t="s">
        <v>76</v>
      </c>
      <c r="AI180" t="s">
        <v>1264</v>
      </c>
      <c r="AK180" t="s">
        <v>84</v>
      </c>
      <c r="AM180" s="38"/>
      <c r="AO180" t="s">
        <v>1261</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844</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1265</v>
      </c>
      <c r="D181" t="s">
        <v>1266</v>
      </c>
      <c r="F181" t="s">
        <v>1267</v>
      </c>
      <c r="G181" t="s">
        <v>1268</v>
      </c>
      <c r="H181" t="s">
        <v>1269</v>
      </c>
      <c r="I181" t="str">
        <f>IFERROR(HYPERLINK("#Finance!B" &amp; MATCH(A181, 'F 2025'!A:A, 0), "🔗 Go to finance"), "❌ ID introuvable")</f>
        <v>❌ ID introuvable</v>
      </c>
      <c r="L181" t="s">
        <v>72</v>
      </c>
      <c r="V181" t="s">
        <v>1270</v>
      </c>
      <c r="Y181" t="s">
        <v>1271</v>
      </c>
      <c r="Z181" t="s">
        <v>75</v>
      </c>
      <c r="AB181" t="s">
        <v>1272</v>
      </c>
      <c r="AD181" s="130">
        <v>43871</v>
      </c>
      <c r="AE181"/>
      <c r="AG181" t="s">
        <v>76</v>
      </c>
      <c r="AI181" t="s">
        <v>1272</v>
      </c>
      <c r="AK181" t="s">
        <v>84</v>
      </c>
      <c r="AM181" s="38"/>
      <c r="AO181" t="s">
        <v>1268</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1273</v>
      </c>
      <c r="D182" t="s">
        <v>1274</v>
      </c>
      <c r="F182" t="s">
        <v>1275</v>
      </c>
      <c r="G182" t="s">
        <v>1276</v>
      </c>
      <c r="H182" t="s">
        <v>1277</v>
      </c>
      <c r="I182" t="str">
        <f>IFERROR(HYPERLINK("#Finance!B" &amp; MATCH(A182, 'F 2025'!A:A, 0), "🔗 Go to finance"), "❌ ID introuvable")</f>
        <v>🔗 Go to finance</v>
      </c>
      <c r="J182" t="s">
        <v>109</v>
      </c>
      <c r="K182" t="s">
        <v>110</v>
      </c>
      <c r="L182" t="s">
        <v>487</v>
      </c>
      <c r="O182">
        <v>33300</v>
      </c>
      <c r="T182" s="130">
        <v>45691</v>
      </c>
      <c r="V182" t="s">
        <v>1278</v>
      </c>
      <c r="W182" t="s">
        <v>1278</v>
      </c>
      <c r="Z182" t="s">
        <v>75</v>
      </c>
      <c r="AB182" t="s">
        <v>1279</v>
      </c>
      <c r="AD182" s="130">
        <v>45691</v>
      </c>
      <c r="AE182"/>
      <c r="AG182" t="s">
        <v>76</v>
      </c>
      <c r="AI182" t="s">
        <v>1279</v>
      </c>
      <c r="AK182" t="s">
        <v>84</v>
      </c>
      <c r="AM182" s="38">
        <v>46011</v>
      </c>
      <c r="AO182" t="s">
        <v>1276</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1280</v>
      </c>
      <c r="D183" t="s">
        <v>910</v>
      </c>
      <c r="F183" t="s">
        <v>1281</v>
      </c>
      <c r="G183" t="s">
        <v>1282</v>
      </c>
      <c r="H183" t="s">
        <v>913</v>
      </c>
      <c r="I183" t="str">
        <f>IFERROR(HYPERLINK("#Finance!B" &amp; MATCH(A183, 'F 2025'!A:A, 0), "🔗 Go to finance"), "❌ ID introuvable")</f>
        <v>🔗 Go to finance</v>
      </c>
      <c r="J183" t="s">
        <v>109</v>
      </c>
      <c r="K183" t="s">
        <v>117</v>
      </c>
      <c r="L183" t="s">
        <v>503</v>
      </c>
      <c r="O183">
        <v>19800</v>
      </c>
      <c r="T183" s="130">
        <v>45475</v>
      </c>
      <c r="V183" s="13" t="s">
        <v>1283</v>
      </c>
      <c r="W183" t="s">
        <v>1278</v>
      </c>
      <c r="Z183" t="s">
        <v>75</v>
      </c>
      <c r="AB183" t="s">
        <v>1279</v>
      </c>
      <c r="AD183" s="130">
        <v>45475</v>
      </c>
      <c r="AE183"/>
      <c r="AG183" t="s">
        <v>76</v>
      </c>
      <c r="AI183" t="s">
        <v>1284</v>
      </c>
      <c r="AK183" t="s">
        <v>84</v>
      </c>
      <c r="AM183" s="38">
        <v>45961</v>
      </c>
      <c r="AO183" t="s">
        <v>1282</v>
      </c>
      <c r="AP183">
        <v>143</v>
      </c>
      <c r="AQ183" t="s">
        <v>1282</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1285</v>
      </c>
      <c r="D184" t="s">
        <v>734</v>
      </c>
      <c r="F184" t="s">
        <v>1286</v>
      </c>
      <c r="G184" t="s">
        <v>1287</v>
      </c>
      <c r="H184" t="s">
        <v>1288</v>
      </c>
      <c r="I184" t="str">
        <f>IFERROR(HYPERLINK("#Finance!B" &amp; MATCH(A184, 'F 2025'!A:A, 0), "🔗 Go to finance"), "❌ ID introuvable")</f>
        <v>❌ ID introuvable</v>
      </c>
      <c r="L184" t="s">
        <v>90</v>
      </c>
      <c r="V184" t="s">
        <v>1283</v>
      </c>
      <c r="W184" t="s">
        <v>1283</v>
      </c>
      <c r="Z184" t="s">
        <v>75</v>
      </c>
      <c r="AB184" t="s">
        <v>1284</v>
      </c>
      <c r="AD184" s="130"/>
      <c r="AE184"/>
      <c r="AG184" t="s">
        <v>76</v>
      </c>
      <c r="AI184" t="s">
        <v>1289</v>
      </c>
      <c r="AK184" t="s">
        <v>148</v>
      </c>
      <c r="AM184" s="38"/>
      <c r="AO184" t="s">
        <v>1287</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1290</v>
      </c>
      <c r="D185" t="s">
        <v>1032</v>
      </c>
      <c r="F185" t="s">
        <v>1291</v>
      </c>
      <c r="G185" t="s">
        <v>1292</v>
      </c>
      <c r="H185" t="s">
        <v>1035</v>
      </c>
      <c r="I185" t="str">
        <f>IFERROR(HYPERLINK("#Finance!B" &amp; MATCH(A185, 'F 2025'!A:A, 0), "🔗 Go to finance"), "❌ ID introuvable")</f>
        <v>🔗 Go to finance</v>
      </c>
      <c r="J185" t="s">
        <v>196</v>
      </c>
      <c r="K185" t="s">
        <v>110</v>
      </c>
      <c r="L185" t="s">
        <v>197</v>
      </c>
      <c r="N185">
        <v>4</v>
      </c>
      <c r="O185">
        <v>14800</v>
      </c>
      <c r="V185" t="s">
        <v>1293</v>
      </c>
      <c r="Y185" t="s">
        <v>1294</v>
      </c>
      <c r="Z185" t="s">
        <v>75</v>
      </c>
      <c r="AB185" t="s">
        <v>1289</v>
      </c>
      <c r="AD185" s="130">
        <v>43101</v>
      </c>
      <c r="AE185"/>
      <c r="AG185" t="s">
        <v>76</v>
      </c>
      <c r="AI185" t="s">
        <v>1295</v>
      </c>
      <c r="AK185" t="s">
        <v>1296</v>
      </c>
      <c r="AM185" s="38"/>
      <c r="AO185" t="s">
        <v>1292</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3066</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1297</v>
      </c>
      <c r="D186" t="s">
        <v>1298</v>
      </c>
      <c r="F186" t="s">
        <v>1299</v>
      </c>
      <c r="G186" t="s">
        <v>1300</v>
      </c>
      <c r="H186" t="s">
        <v>1301</v>
      </c>
      <c r="I186" t="str">
        <f>IFERROR(HYPERLINK("#Finance!B" &amp; MATCH(A186, 'F 2025'!A:A, 0), "🔗 Go to finance"), "❌ ID introuvable")</f>
        <v>❌ ID introuvable</v>
      </c>
      <c r="L186" t="s">
        <v>90</v>
      </c>
      <c r="V186" t="s">
        <v>1302</v>
      </c>
      <c r="Y186" t="s">
        <v>1038</v>
      </c>
      <c r="Z186" t="s">
        <v>75</v>
      </c>
      <c r="AB186" t="s">
        <v>1295</v>
      </c>
      <c r="AD186" s="130"/>
      <c r="AE186"/>
      <c r="AG186" t="s">
        <v>76</v>
      </c>
      <c r="AI186" t="s">
        <v>1303</v>
      </c>
      <c r="AK186" t="s">
        <v>148</v>
      </c>
      <c r="AM186" s="38"/>
      <c r="AO186" t="s">
        <v>1300</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1297</v>
      </c>
      <c r="D187" t="s">
        <v>277</v>
      </c>
      <c r="F187" t="s">
        <v>1304</v>
      </c>
      <c r="G187" t="s">
        <v>1305</v>
      </c>
      <c r="H187" t="s">
        <v>280</v>
      </c>
      <c r="I187" t="str">
        <f>IFERROR(HYPERLINK("#Finance!B" &amp; MATCH(A187, 'F 2025'!A:A, 0), "🔗 Go to finance"), "❌ ID introuvable")</f>
        <v>❌ ID introuvable</v>
      </c>
      <c r="L187" t="s">
        <v>90</v>
      </c>
      <c r="V187" t="s">
        <v>1306</v>
      </c>
      <c r="W187" t="s">
        <v>1306</v>
      </c>
      <c r="Y187" t="s">
        <v>1307</v>
      </c>
      <c r="Z187" t="s">
        <v>75</v>
      </c>
      <c r="AB187" t="s">
        <v>1303</v>
      </c>
      <c r="AD187" s="130"/>
      <c r="AE187"/>
      <c r="AG187" t="s">
        <v>76</v>
      </c>
      <c r="AI187" t="s">
        <v>1308</v>
      </c>
      <c r="AK187" t="s">
        <v>94</v>
      </c>
      <c r="AM187" s="38"/>
      <c r="AO187" t="s">
        <v>1305</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1309</v>
      </c>
      <c r="D188" t="s">
        <v>763</v>
      </c>
      <c r="F188" t="s">
        <v>1310</v>
      </c>
      <c r="G188" t="s">
        <v>1311</v>
      </c>
      <c r="H188" t="s">
        <v>766</v>
      </c>
      <c r="I188" t="str">
        <f>IFERROR(HYPERLINK("#Finance!B" &amp; MATCH(A188, 'F 2025'!A:A, 0), "🔗 Go to finance"), "❌ ID introuvable")</f>
        <v>🔗 Go to finance</v>
      </c>
      <c r="J188" t="s">
        <v>109</v>
      </c>
      <c r="K188" t="s">
        <v>117</v>
      </c>
      <c r="L188" t="s">
        <v>111</v>
      </c>
      <c r="O188">
        <v>6600</v>
      </c>
      <c r="T188" s="130">
        <v>45536</v>
      </c>
      <c r="V188" s="13" t="s">
        <v>1312</v>
      </c>
      <c r="W188" t="s">
        <v>281</v>
      </c>
      <c r="Y188" t="s">
        <v>282</v>
      </c>
      <c r="Z188" t="s">
        <v>75</v>
      </c>
      <c r="AB188" t="s">
        <v>1308</v>
      </c>
      <c r="AD188" s="130">
        <v>45536</v>
      </c>
      <c r="AE188"/>
      <c r="AG188" t="s">
        <v>76</v>
      </c>
      <c r="AI188" t="s">
        <v>1313</v>
      </c>
      <c r="AK188" t="s">
        <v>102</v>
      </c>
      <c r="AM188" s="38"/>
      <c r="AO188" t="s">
        <v>1311</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631</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1309</v>
      </c>
      <c r="D189" t="s">
        <v>1314</v>
      </c>
      <c r="F189" t="s">
        <v>1315</v>
      </c>
      <c r="G189" t="s">
        <v>1316</v>
      </c>
      <c r="H189" t="s">
        <v>1317</v>
      </c>
      <c r="I189" t="str">
        <f>IFERROR(HYPERLINK("#Finance!B" &amp; MATCH(A189, 'F 2025'!A:A, 0), "🔗 Go to finance"), "❌ ID introuvable")</f>
        <v>❌ ID introuvable</v>
      </c>
      <c r="L189" t="s">
        <v>102</v>
      </c>
      <c r="V189" t="s">
        <v>1312</v>
      </c>
      <c r="Z189" t="s">
        <v>75</v>
      </c>
      <c r="AB189" t="s">
        <v>1313</v>
      </c>
      <c r="AD189" s="130">
        <v>44746</v>
      </c>
      <c r="AE189"/>
      <c r="AG189" t="s">
        <v>76</v>
      </c>
      <c r="AK189" t="s">
        <v>102</v>
      </c>
      <c r="AM189" s="38"/>
      <c r="AO189" t="s">
        <v>1316</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1309</v>
      </c>
      <c r="D190" t="s">
        <v>1314</v>
      </c>
      <c r="F190" t="s">
        <v>1315</v>
      </c>
      <c r="G190" t="s">
        <v>1316</v>
      </c>
      <c r="H190" t="s">
        <v>1317</v>
      </c>
      <c r="I190" t="str">
        <f>IFERROR(HYPERLINK("#Finance!B" &amp; MATCH(A190, 'F 2025'!A:A, 0), "🔗 Go to finance"), "❌ ID introuvable")</f>
        <v>❌ ID introuvable</v>
      </c>
      <c r="L190" t="s">
        <v>102</v>
      </c>
      <c r="V190" t="s">
        <v>1318</v>
      </c>
      <c r="W190" t="s">
        <v>1318</v>
      </c>
      <c r="Z190" t="s">
        <v>75</v>
      </c>
      <c r="AB190" t="s">
        <v>1319</v>
      </c>
      <c r="AD190" s="130">
        <v>44758</v>
      </c>
      <c r="AE190"/>
      <c r="AG190" t="s">
        <v>76</v>
      </c>
      <c r="AI190" t="s">
        <v>1319</v>
      </c>
      <c r="AK190" t="s">
        <v>102</v>
      </c>
      <c r="AM190" s="38"/>
      <c r="AO190" t="s">
        <v>1316</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1320</v>
      </c>
      <c r="D191" t="s">
        <v>1321</v>
      </c>
      <c r="F191" t="s">
        <v>1322</v>
      </c>
      <c r="G191" t="s">
        <v>1323</v>
      </c>
      <c r="H191" t="s">
        <v>1324</v>
      </c>
      <c r="I191" t="str">
        <f>IFERROR(HYPERLINK("#Finance!B" &amp; MATCH(A191, 'F 2025'!A:A, 0), "🔗 Go to finance"), "❌ ID introuvable")</f>
        <v>❌ ID introuvable</v>
      </c>
      <c r="L191" t="s">
        <v>90</v>
      </c>
      <c r="V191" t="s">
        <v>1325</v>
      </c>
      <c r="W191" t="s">
        <v>1325</v>
      </c>
      <c r="Y191" t="s">
        <v>1326</v>
      </c>
      <c r="Z191" t="s">
        <v>75</v>
      </c>
      <c r="AB191" t="s">
        <v>1327</v>
      </c>
      <c r="AD191" s="130"/>
      <c r="AE191"/>
      <c r="AG191" t="s">
        <v>76</v>
      </c>
      <c r="AI191" t="s">
        <v>1327</v>
      </c>
      <c r="AK191" t="s">
        <v>401</v>
      </c>
      <c r="AM191" s="38"/>
      <c r="AO191" t="s">
        <v>1323</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1328</v>
      </c>
      <c r="D192" t="s">
        <v>1329</v>
      </c>
      <c r="F192" t="s">
        <v>1330</v>
      </c>
      <c r="G192" t="s">
        <v>1331</v>
      </c>
      <c r="H192" t="s">
        <v>1332</v>
      </c>
      <c r="I192" t="str">
        <f>IFERROR(HYPERLINK("#Finance!B" &amp; MATCH(A192, 'F 2025'!A:A, 0), "🔗 Go to finance"), "❌ ID introuvable")</f>
        <v>❌ ID introuvable</v>
      </c>
      <c r="L192" t="s">
        <v>102</v>
      </c>
      <c r="V192" t="s">
        <v>1333</v>
      </c>
      <c r="W192" t="s">
        <v>1333</v>
      </c>
      <c r="Z192" t="s">
        <v>75</v>
      </c>
      <c r="AB192" t="s">
        <v>1334</v>
      </c>
      <c r="AD192" s="130">
        <v>44348</v>
      </c>
      <c r="AE192"/>
      <c r="AG192" t="s">
        <v>76</v>
      </c>
      <c r="AI192" t="s">
        <v>1334</v>
      </c>
      <c r="AK192" t="s">
        <v>1335</v>
      </c>
      <c r="AM192" s="38"/>
      <c r="AO192" t="s">
        <v>1331</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1336</v>
      </c>
      <c r="D193" t="s">
        <v>1337</v>
      </c>
      <c r="F193" t="s">
        <v>1338</v>
      </c>
      <c r="G193" t="s">
        <v>1339</v>
      </c>
      <c r="H193" t="s">
        <v>1340</v>
      </c>
      <c r="I193" t="str">
        <f>IFERROR(HYPERLINK("#Finance!B" &amp; MATCH(A193, 'F 2025'!A:A, 0), "🔗 Go to finance"), "❌ ID introuvable")</f>
        <v>❌ ID introuvable</v>
      </c>
      <c r="L193" t="s">
        <v>102</v>
      </c>
      <c r="V193" t="s">
        <v>1341</v>
      </c>
      <c r="Y193" t="s">
        <v>1342</v>
      </c>
      <c r="Z193" t="s">
        <v>75</v>
      </c>
      <c r="AB193" t="s">
        <v>1343</v>
      </c>
      <c r="AD193" s="130"/>
      <c r="AE193"/>
      <c r="AG193" t="s">
        <v>76</v>
      </c>
      <c r="AI193" t="s">
        <v>1343</v>
      </c>
      <c r="AK193" t="s">
        <v>102</v>
      </c>
      <c r="AM193" s="38"/>
      <c r="AO193" t="s">
        <v>1339</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1336</v>
      </c>
      <c r="D194" t="s">
        <v>381</v>
      </c>
      <c r="F194" t="s">
        <v>1344</v>
      </c>
      <c r="G194" t="s">
        <v>1345</v>
      </c>
      <c r="H194" t="s">
        <v>1346</v>
      </c>
      <c r="I194" t="str">
        <f>IFERROR(HYPERLINK("#Finance!B" &amp; MATCH(A194, 'F 2025'!A:A, 0), "🔗 Go to finance"), "❌ ID introuvable")</f>
        <v>❌ ID introuvable</v>
      </c>
      <c r="L194" t="s">
        <v>90</v>
      </c>
      <c r="V194" t="s">
        <v>1347</v>
      </c>
      <c r="Y194" t="s">
        <v>1348</v>
      </c>
      <c r="Z194" t="s">
        <v>75</v>
      </c>
      <c r="AB194" t="s">
        <v>1349</v>
      </c>
      <c r="AD194" s="130"/>
      <c r="AE194"/>
      <c r="AG194" t="s">
        <v>76</v>
      </c>
      <c r="AI194" t="s">
        <v>1349</v>
      </c>
      <c r="AK194" t="s">
        <v>1350</v>
      </c>
      <c r="AM194" s="38"/>
      <c r="AO194" t="s">
        <v>1345</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1351</v>
      </c>
      <c r="D195" t="s">
        <v>2065</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1351</v>
      </c>
      <c r="D196" t="s">
        <v>157</v>
      </c>
      <c r="F196" t="s">
        <v>840</v>
      </c>
      <c r="G196" t="s">
        <v>1352</v>
      </c>
      <c r="H196" t="s">
        <v>1353</v>
      </c>
      <c r="I196" t="str">
        <f>IFERROR(HYPERLINK("#Finance!B" &amp; MATCH(A196, 'F 2025'!A:A, 0), "🔗 Go to finance"), "❌ ID introuvable")</f>
        <v>❌ ID introuvable</v>
      </c>
      <c r="V196" t="s">
        <v>1354</v>
      </c>
      <c r="W196" t="s">
        <v>1354</v>
      </c>
      <c r="Y196" t="s">
        <v>1355</v>
      </c>
      <c r="Z196" t="s">
        <v>75</v>
      </c>
      <c r="AD196" s="130"/>
      <c r="AE196"/>
      <c r="AG196" t="s">
        <v>76</v>
      </c>
      <c r="AM196" s="38"/>
      <c r="AO196" t="s">
        <v>1352</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1351</v>
      </c>
      <c r="D197" t="s">
        <v>1356</v>
      </c>
      <c r="F197" t="s">
        <v>1357</v>
      </c>
      <c r="G197" t="s">
        <v>1358</v>
      </c>
      <c r="H197" t="s">
        <v>1359</v>
      </c>
      <c r="I197" t="str">
        <f>IFERROR(HYPERLINK("#Finance!B" &amp; MATCH(A197, 'F 2025'!A:A, 0), "🔗 Go to finance"), "❌ ID introuvable")</f>
        <v>🔗 Go to finance</v>
      </c>
      <c r="J197" t="s">
        <v>196</v>
      </c>
      <c r="K197" t="s">
        <v>110</v>
      </c>
      <c r="L197" t="s">
        <v>496</v>
      </c>
      <c r="N197">
        <v>4</v>
      </c>
      <c r="O197">
        <v>19800</v>
      </c>
      <c r="R197">
        <v>0</v>
      </c>
      <c r="Y197">
        <v>8017866884</v>
      </c>
      <c r="Z197" t="s">
        <v>75</v>
      </c>
      <c r="AB197" t="s">
        <v>1360</v>
      </c>
      <c r="AD197" s="130">
        <v>45383</v>
      </c>
      <c r="AE197"/>
      <c r="AG197" t="s">
        <v>76</v>
      </c>
      <c r="AI197" t="s">
        <v>1360</v>
      </c>
      <c r="AK197" t="s">
        <v>84</v>
      </c>
      <c r="AM197" s="38">
        <v>45698</v>
      </c>
      <c r="AO197" t="s">
        <v>1358</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1361</v>
      </c>
      <c r="D198" t="s">
        <v>1362</v>
      </c>
      <c r="F198" t="s">
        <v>1363</v>
      </c>
      <c r="G198" t="s">
        <v>1364</v>
      </c>
      <c r="H198" t="s">
        <v>1365</v>
      </c>
      <c r="I198" t="str">
        <f>IFERROR(HYPERLINK("#Finance!B" &amp; MATCH(A198, 'F 2025'!A:A, 0), "🔗 Go to finance"), "❌ ID introuvable")</f>
        <v>❌ ID introuvable</v>
      </c>
      <c r="L198" t="s">
        <v>90</v>
      </c>
      <c r="V198" t="s">
        <v>1366</v>
      </c>
      <c r="Y198" t="s">
        <v>1367</v>
      </c>
      <c r="Z198" t="s">
        <v>75</v>
      </c>
      <c r="AB198" t="s">
        <v>1368</v>
      </c>
      <c r="AD198" s="130"/>
      <c r="AE198"/>
      <c r="AG198" t="s">
        <v>76</v>
      </c>
      <c r="AI198" t="s">
        <v>1368</v>
      </c>
      <c r="AK198" t="s">
        <v>540</v>
      </c>
      <c r="AM198" s="38"/>
      <c r="AO198" t="s">
        <v>1364</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1369</v>
      </c>
      <c r="D199" t="s">
        <v>1370</v>
      </c>
      <c r="F199" t="s">
        <v>1371</v>
      </c>
      <c r="G199" t="s">
        <v>1372</v>
      </c>
      <c r="H199" t="s">
        <v>1373</v>
      </c>
      <c r="I199" t="str">
        <f>IFERROR(HYPERLINK("#Finance!B" &amp; MATCH(A199, 'F 2025'!A:A, 0), "🔗 Go to finance"), "❌ ID introuvable")</f>
        <v>❌ ID introuvable</v>
      </c>
      <c r="L199" t="s">
        <v>90</v>
      </c>
      <c r="V199" t="s">
        <v>1374</v>
      </c>
      <c r="W199" t="s">
        <v>1374</v>
      </c>
      <c r="Y199" t="s">
        <v>1375</v>
      </c>
      <c r="Z199" t="s">
        <v>75</v>
      </c>
      <c r="AB199" t="s">
        <v>1376</v>
      </c>
      <c r="AD199" s="130"/>
      <c r="AE199"/>
      <c r="AG199" t="s">
        <v>76</v>
      </c>
      <c r="AI199" t="s">
        <v>1376</v>
      </c>
      <c r="AK199" t="s">
        <v>354</v>
      </c>
      <c r="AM199" s="38"/>
      <c r="AO199" t="s">
        <v>1372</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1377</v>
      </c>
      <c r="D200" t="s">
        <v>1378</v>
      </c>
      <c r="F200" t="s">
        <v>1379</v>
      </c>
      <c r="G200" t="s">
        <v>1380</v>
      </c>
      <c r="H200" t="s">
        <v>1381</v>
      </c>
      <c r="I200" t="str">
        <f>IFERROR(HYPERLINK("#Finance!B" &amp; MATCH(A200, 'F 2025'!A:A, 0), "🔗 Go to finance"), "❌ ID introuvable")</f>
        <v>❌ ID introuvable</v>
      </c>
      <c r="V200" t="s">
        <v>1382</v>
      </c>
      <c r="Y200" t="s">
        <v>1383</v>
      </c>
      <c r="Z200" t="s">
        <v>75</v>
      </c>
      <c r="AD200" s="130"/>
      <c r="AE200"/>
      <c r="AG200" t="s">
        <v>76</v>
      </c>
      <c r="AM200" s="38"/>
      <c r="AO200" t="s">
        <v>1380</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1384</v>
      </c>
      <c r="D201" t="s">
        <v>1385</v>
      </c>
      <c r="F201" t="s">
        <v>1386</v>
      </c>
      <c r="G201" t="s">
        <v>1387</v>
      </c>
      <c r="H201" t="s">
        <v>1388</v>
      </c>
      <c r="I201" t="str">
        <f>IFERROR(HYPERLINK("#Finance!B" &amp; MATCH(A201, 'F 2025'!A:A, 0), "🔗 Go to finance"), "❌ ID introuvable")</f>
        <v>❌ ID introuvable</v>
      </c>
      <c r="V201" t="s">
        <v>1389</v>
      </c>
      <c r="Y201">
        <v>8034773326</v>
      </c>
      <c r="Z201" t="s">
        <v>75</v>
      </c>
      <c r="AB201" t="s">
        <v>1390</v>
      </c>
      <c r="AD201" s="130">
        <v>45079</v>
      </c>
      <c r="AE201"/>
      <c r="AG201" t="s">
        <v>76</v>
      </c>
      <c r="AI201" t="s">
        <v>1390</v>
      </c>
      <c r="AK201" t="s">
        <v>362</v>
      </c>
      <c r="AM201" s="38"/>
      <c r="AO201" t="s">
        <v>1387</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1391</v>
      </c>
      <c r="D202" t="s">
        <v>381</v>
      </c>
      <c r="F202" t="s">
        <v>1392</v>
      </c>
      <c r="G202" t="s">
        <v>1393</v>
      </c>
      <c r="H202" t="s">
        <v>384</v>
      </c>
      <c r="I202" t="str">
        <f>IFERROR(HYPERLINK("#Finance!B" &amp; MATCH(A202, 'F 2025'!A:A, 0), "🔗 Go to finance"), "❌ ID introuvable")</f>
        <v>🔗 Go to finance</v>
      </c>
      <c r="J202" t="s">
        <v>109</v>
      </c>
      <c r="K202" t="s">
        <v>110</v>
      </c>
      <c r="L202" t="s">
        <v>111</v>
      </c>
      <c r="O202">
        <v>6050</v>
      </c>
      <c r="T202" s="130">
        <v>45022</v>
      </c>
      <c r="V202" t="s">
        <v>1394</v>
      </c>
      <c r="Y202">
        <v>9043563891</v>
      </c>
      <c r="Z202" t="s">
        <v>75</v>
      </c>
      <c r="AB202" t="s">
        <v>1395</v>
      </c>
      <c r="AD202" s="130">
        <v>45022</v>
      </c>
      <c r="AE202"/>
      <c r="AG202" t="s">
        <v>76</v>
      </c>
      <c r="AI202" t="s">
        <v>1395</v>
      </c>
      <c r="AK202" t="s">
        <v>182</v>
      </c>
      <c r="AM202" s="38"/>
      <c r="AO202" t="s">
        <v>1393</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1145</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1391</v>
      </c>
      <c r="D203" t="s">
        <v>1396</v>
      </c>
      <c r="F203" t="s">
        <v>1397</v>
      </c>
      <c r="G203" t="s">
        <v>1398</v>
      </c>
      <c r="H203" t="s">
        <v>1399</v>
      </c>
      <c r="I203" t="str">
        <f>IFERROR(HYPERLINK("#Finance!B" &amp; MATCH(A203, 'F 2025'!A:A, 0), "🔗 Go to finance"), "❌ ID introuvable")</f>
        <v>❌ ID introuvable</v>
      </c>
      <c r="L203" t="s">
        <v>90</v>
      </c>
      <c r="V203" t="s">
        <v>1400</v>
      </c>
      <c r="W203" t="s">
        <v>1400</v>
      </c>
      <c r="Y203">
        <v>8017441415</v>
      </c>
      <c r="Z203" t="s">
        <v>75</v>
      </c>
      <c r="AB203" t="s">
        <v>1401</v>
      </c>
      <c r="AD203" s="130">
        <v>44713</v>
      </c>
      <c r="AE203"/>
      <c r="AG203" t="s">
        <v>76</v>
      </c>
      <c r="AI203" t="s">
        <v>1401</v>
      </c>
      <c r="AK203" t="s">
        <v>148</v>
      </c>
      <c r="AM203" s="38"/>
      <c r="AO203" t="s">
        <v>1398</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1402</v>
      </c>
      <c r="D204" t="s">
        <v>1116</v>
      </c>
      <c r="F204" t="s">
        <v>1310</v>
      </c>
      <c r="G204" t="s">
        <v>1403</v>
      </c>
      <c r="H204" t="s">
        <v>1119</v>
      </c>
      <c r="I204" t="str">
        <f>IFERROR(HYPERLINK("#Finance!B" &amp; MATCH(A204, 'F 2025'!A:A, 0), "🔗 Go to finance"), "❌ ID introuvable")</f>
        <v>🔗 Go to finance</v>
      </c>
      <c r="J204" t="s">
        <v>495</v>
      </c>
      <c r="K204" t="s">
        <v>117</v>
      </c>
      <c r="L204" t="s">
        <v>503</v>
      </c>
      <c r="M204" t="s">
        <v>504</v>
      </c>
      <c r="N204">
        <v>4</v>
      </c>
      <c r="O204">
        <v>6600</v>
      </c>
      <c r="T204" s="130">
        <v>44927</v>
      </c>
      <c r="V204" s="13" t="s">
        <v>2225</v>
      </c>
      <c r="W204" t="s">
        <v>1405</v>
      </c>
      <c r="Z204" t="s">
        <v>75</v>
      </c>
      <c r="AB204" t="s">
        <v>1406</v>
      </c>
      <c r="AD204" s="130">
        <v>44927</v>
      </c>
      <c r="AE204"/>
      <c r="AG204" t="s">
        <v>76</v>
      </c>
      <c r="AI204" t="s">
        <v>1406</v>
      </c>
      <c r="AK204" t="s">
        <v>102</v>
      </c>
      <c r="AM204" s="38"/>
      <c r="AO204" t="s">
        <v>1403</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1240</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1407</v>
      </c>
      <c r="D205" t="s">
        <v>119</v>
      </c>
      <c r="F205" t="s">
        <v>1408</v>
      </c>
      <c r="G205" t="s">
        <v>1409</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1409</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1410</v>
      </c>
      <c r="D206" t="s">
        <v>1192</v>
      </c>
      <c r="F206" t="s">
        <v>1411</v>
      </c>
      <c r="G206" t="s">
        <v>1412</v>
      </c>
      <c r="H206" t="s">
        <v>1195</v>
      </c>
      <c r="I206" t="str">
        <f>IFERROR(HYPERLINK("#Finance!B" &amp; MATCH(A206, 'F 2025'!A:A, 0), "🔗 Go to finance"), "❌ ID introuvable")</f>
        <v>❌ ID introuvable</v>
      </c>
      <c r="L206" t="s">
        <v>102</v>
      </c>
      <c r="V206" t="s">
        <v>1196</v>
      </c>
      <c r="W206" t="s">
        <v>1197</v>
      </c>
      <c r="Y206" t="s">
        <v>1198</v>
      </c>
      <c r="Z206" t="s">
        <v>75</v>
      </c>
      <c r="AB206" t="s">
        <v>1199</v>
      </c>
      <c r="AD206" s="130">
        <v>43845</v>
      </c>
      <c r="AE206"/>
      <c r="AG206" t="s">
        <v>76</v>
      </c>
      <c r="AI206" t="s">
        <v>1199</v>
      </c>
      <c r="AK206" t="s">
        <v>102</v>
      </c>
      <c r="AM206" s="38"/>
      <c r="AO206" t="s">
        <v>1412</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1413</v>
      </c>
      <c r="D207" t="s">
        <v>1414</v>
      </c>
      <c r="F207" t="s">
        <v>1415</v>
      </c>
      <c r="G207" t="s">
        <v>1416</v>
      </c>
      <c r="H207" t="s">
        <v>1417</v>
      </c>
      <c r="I207" t="str">
        <f>IFERROR(HYPERLINK("#Finance!B" &amp; MATCH(A207, 'F 2025'!A:A, 0), "🔗 Go to finance"), "❌ ID introuvable")</f>
        <v>🔗 Go to finance</v>
      </c>
      <c r="J207" t="s">
        <v>495</v>
      </c>
      <c r="K207" t="s">
        <v>110</v>
      </c>
      <c r="L207" t="s">
        <v>197</v>
      </c>
      <c r="N207">
        <v>4</v>
      </c>
      <c r="O207">
        <v>19800</v>
      </c>
      <c r="T207" s="130">
        <v>45017</v>
      </c>
      <c r="V207" t="s">
        <v>1418</v>
      </c>
      <c r="Y207">
        <v>8029871908</v>
      </c>
      <c r="Z207" t="s">
        <v>75</v>
      </c>
      <c r="AB207" t="s">
        <v>1419</v>
      </c>
      <c r="AD207" s="130">
        <v>45017</v>
      </c>
      <c r="AE207"/>
      <c r="AG207" t="s">
        <v>76</v>
      </c>
      <c r="AI207" t="s">
        <v>1419</v>
      </c>
      <c r="AK207" t="s">
        <v>300</v>
      </c>
      <c r="AM207" s="38"/>
      <c r="AO207" t="s">
        <v>1416</v>
      </c>
      <c r="AP207">
        <v>95</v>
      </c>
      <c r="AQ207" t="s">
        <v>1416</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1150</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1413</v>
      </c>
      <c r="D208" t="s">
        <v>855</v>
      </c>
      <c r="F208" t="s">
        <v>1420</v>
      </c>
      <c r="G208" t="s">
        <v>1421</v>
      </c>
      <c r="H208" t="s">
        <v>858</v>
      </c>
      <c r="I208" t="str">
        <f>IFERROR(HYPERLINK("#Finance!B" &amp; MATCH(A208, 'F 2025'!A:A, 0), "🔗 Go to finance"), "❌ ID introuvable")</f>
        <v>❌ ID introuvable</v>
      </c>
      <c r="V208" t="s">
        <v>1422</v>
      </c>
      <c r="Z208" t="s">
        <v>75</v>
      </c>
      <c r="AB208" t="s">
        <v>1423</v>
      </c>
      <c r="AD208" s="130">
        <v>44935</v>
      </c>
      <c r="AE208"/>
      <c r="AG208" t="s">
        <v>76</v>
      </c>
      <c r="AI208" t="s">
        <v>1423</v>
      </c>
      <c r="AK208" t="s">
        <v>362</v>
      </c>
      <c r="AM208" s="38"/>
      <c r="AO208" t="s">
        <v>1421</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1413</v>
      </c>
      <c r="D209" t="s">
        <v>902</v>
      </c>
      <c r="F209" t="s">
        <v>1424</v>
      </c>
      <c r="G209" t="s">
        <v>1425</v>
      </c>
      <c r="H209" t="s">
        <v>1426</v>
      </c>
      <c r="I209" t="str">
        <f>IFERROR(HYPERLINK("#Finance!B" &amp; MATCH(A209, 'F 2025'!A:A, 0), "🔗 Go to finance"), "❌ ID introuvable")</f>
        <v>❌ ID introuvable</v>
      </c>
      <c r="L209" t="s">
        <v>662</v>
      </c>
      <c r="V209" t="s">
        <v>1427</v>
      </c>
      <c r="Y209" t="s">
        <v>1428</v>
      </c>
      <c r="Z209" t="s">
        <v>75</v>
      </c>
      <c r="AB209" t="s">
        <v>1429</v>
      </c>
      <c r="AD209" s="130"/>
      <c r="AE209"/>
      <c r="AG209" t="s">
        <v>76</v>
      </c>
      <c r="AI209" t="s">
        <v>1429</v>
      </c>
      <c r="AK209" t="s">
        <v>182</v>
      </c>
      <c r="AM209" s="38"/>
      <c r="AO209" t="s">
        <v>1425</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1430</v>
      </c>
      <c r="D210" t="s">
        <v>157</v>
      </c>
      <c r="F210" t="s">
        <v>1431</v>
      </c>
      <c r="G210" t="s">
        <v>1432</v>
      </c>
      <c r="H210" t="s">
        <v>1433</v>
      </c>
      <c r="I210" t="str">
        <f>IFERROR(HYPERLINK("#Finance!B" &amp; MATCH(A210, 'F 2025'!A:A, 0), "🔗 Go to finance"), "❌ ID introuvable")</f>
        <v>❌ ID introuvable</v>
      </c>
      <c r="V210" t="s">
        <v>1434</v>
      </c>
      <c r="Z210" t="s">
        <v>75</v>
      </c>
      <c r="AD210" s="130"/>
      <c r="AE210"/>
      <c r="AG210" t="s">
        <v>76</v>
      </c>
      <c r="AM210" s="38"/>
      <c r="AO210" t="s">
        <v>1432</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1435</v>
      </c>
      <c r="D211" t="s">
        <v>855</v>
      </c>
      <c r="F211" t="s">
        <v>1436</v>
      </c>
      <c r="G211" t="s">
        <v>1437</v>
      </c>
      <c r="H211" t="s">
        <v>858</v>
      </c>
      <c r="I211" t="str">
        <f>IFERROR(HYPERLINK("#Finance!B" &amp; MATCH(A211, 'F 2025'!A:A, 0), "🔗 Go to finance"), "❌ ID introuvable")</f>
        <v>❌ ID introuvable</v>
      </c>
      <c r="L211" t="s">
        <v>72</v>
      </c>
      <c r="V211" t="s">
        <v>864</v>
      </c>
      <c r="Y211" t="s">
        <v>865</v>
      </c>
      <c r="Z211" t="s">
        <v>75</v>
      </c>
      <c r="AB211" t="s">
        <v>1438</v>
      </c>
      <c r="AD211" s="130">
        <v>44294</v>
      </c>
      <c r="AE211"/>
      <c r="AG211" t="s">
        <v>76</v>
      </c>
      <c r="AI211" t="s">
        <v>1438</v>
      </c>
      <c r="AK211" t="s">
        <v>102</v>
      </c>
      <c r="AM211" s="38"/>
      <c r="AO211" t="s">
        <v>1437</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1439</v>
      </c>
      <c r="D212" t="s">
        <v>277</v>
      </c>
      <c r="F212" t="s">
        <v>1440</v>
      </c>
      <c r="G212" t="s">
        <v>1441</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1441</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1442</v>
      </c>
      <c r="Y213">
        <v>8085705979</v>
      </c>
      <c r="Z213" t="s">
        <v>75</v>
      </c>
      <c r="AB213" t="s">
        <v>1443</v>
      </c>
      <c r="AD213" s="130">
        <v>45465</v>
      </c>
      <c r="AE213"/>
      <c r="AG213" t="s">
        <v>76</v>
      </c>
      <c r="AI213" t="s">
        <v>1443</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1444</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1290</v>
      </c>
      <c r="D215" t="s">
        <v>1445</v>
      </c>
      <c r="F215" t="s">
        <v>202</v>
      </c>
      <c r="G215" t="s">
        <v>1446</v>
      </c>
      <c r="H215" t="s">
        <v>1447</v>
      </c>
      <c r="I215" t="str">
        <f>IFERROR(HYPERLINK("#Finance!B" &amp; MATCH(A215, 'F 2025'!A:A, 0), "🔗 Go to finance"), "❌ ID introuvable")</f>
        <v>❌ ID introuvable</v>
      </c>
      <c r="L215" t="s">
        <v>90</v>
      </c>
      <c r="V215" t="s">
        <v>1448</v>
      </c>
      <c r="Y215" t="s">
        <v>1449</v>
      </c>
      <c r="Z215" t="s">
        <v>75</v>
      </c>
      <c r="AB215" t="s">
        <v>1450</v>
      </c>
      <c r="AD215" s="130"/>
      <c r="AE215"/>
      <c r="AG215" t="s">
        <v>76</v>
      </c>
      <c r="AI215" t="s">
        <v>1450</v>
      </c>
      <c r="AK215" t="s">
        <v>1451</v>
      </c>
      <c r="AM215" s="38"/>
      <c r="AO215" t="s">
        <v>1446</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1290</v>
      </c>
      <c r="D216" t="s">
        <v>1452</v>
      </c>
      <c r="F216" t="s">
        <v>1453</v>
      </c>
      <c r="G216" t="s">
        <v>1454</v>
      </c>
      <c r="H216" t="s">
        <v>1455</v>
      </c>
      <c r="I216" t="str">
        <f>IFERROR(HYPERLINK("#Finance!B" &amp; MATCH(A216, 'F 2025'!A:A, 0), "🔗 Go to finance"), "❌ ID introuvable")</f>
        <v>❌ ID introuvable</v>
      </c>
      <c r="V216" t="s">
        <v>1456</v>
      </c>
      <c r="Y216">
        <v>8033080335</v>
      </c>
      <c r="Z216" t="s">
        <v>75</v>
      </c>
      <c r="AB216" t="s">
        <v>1457</v>
      </c>
      <c r="AD216" s="130"/>
      <c r="AE216"/>
      <c r="AG216" t="s">
        <v>76</v>
      </c>
      <c r="AI216" t="s">
        <v>1457</v>
      </c>
      <c r="AK216" t="s">
        <v>1128</v>
      </c>
      <c r="AM216" s="38"/>
      <c r="AO216" t="s">
        <v>1454</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1458</v>
      </c>
      <c r="F217" t="s">
        <v>1459</v>
      </c>
      <c r="G217" t="s">
        <v>1460</v>
      </c>
      <c r="H217" t="s">
        <v>1461</v>
      </c>
      <c r="I217" t="str">
        <f>IFERROR(HYPERLINK("#Finance!B" &amp; MATCH(A217, 'F 2025'!A:A, 0), "🔗 Go to finance"), "❌ ID introuvable")</f>
        <v>❌ ID introuvable</v>
      </c>
      <c r="J217" t="s">
        <v>495</v>
      </c>
      <c r="K217" t="s">
        <v>117</v>
      </c>
      <c r="L217" t="s">
        <v>508</v>
      </c>
      <c r="M217" t="s">
        <v>509</v>
      </c>
      <c r="N217">
        <v>4</v>
      </c>
      <c r="O217">
        <v>9500</v>
      </c>
      <c r="T217" s="130">
        <v>45694</v>
      </c>
      <c r="V217" t="s">
        <v>1462</v>
      </c>
      <c r="W217" t="s">
        <v>1462</v>
      </c>
      <c r="Y217" t="s">
        <v>1463</v>
      </c>
      <c r="Z217" t="s">
        <v>75</v>
      </c>
      <c r="AD217" s="130">
        <v>45658</v>
      </c>
      <c r="AE217"/>
      <c r="AG217" t="s">
        <v>76</v>
      </c>
      <c r="AM217" s="38"/>
      <c r="AO217" t="s">
        <v>1460</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509</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1290</v>
      </c>
      <c r="D218" t="s">
        <v>1464</v>
      </c>
      <c r="F218" t="s">
        <v>1465</v>
      </c>
      <c r="G218" t="s">
        <v>1466</v>
      </c>
      <c r="H218" t="s">
        <v>1467</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784</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1468</v>
      </c>
      <c r="H219" t="s">
        <v>1469</v>
      </c>
      <c r="I219" t="str">
        <f>IFERROR(HYPERLINK("#Finance!B" &amp; MATCH(A219, 'F 2025'!A:A, 0), "🔗 Go to finance"), "❌ ID introuvable")</f>
        <v>❌ ID introuvable</v>
      </c>
      <c r="O219">
        <v>6600</v>
      </c>
      <c r="V219" s="13" t="s">
        <v>1470</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1471</v>
      </c>
      <c r="D220" t="s">
        <v>741</v>
      </c>
      <c r="F220" t="s">
        <v>1472</v>
      </c>
      <c r="G220" t="s">
        <v>1473</v>
      </c>
      <c r="H220" t="s">
        <v>744</v>
      </c>
      <c r="I220" t="str">
        <f>IFERROR(HYPERLINK("#Finance!B" &amp; MATCH(A220, 'F 2025'!A:A, 0), "🔗 Go to finance"), "❌ ID introuvable")</f>
        <v>🔗 Go to finance</v>
      </c>
      <c r="J220" t="s">
        <v>109</v>
      </c>
      <c r="K220" t="s">
        <v>117</v>
      </c>
      <c r="L220" t="s">
        <v>111</v>
      </c>
      <c r="O220">
        <v>6600</v>
      </c>
      <c r="T220" s="130">
        <v>45780</v>
      </c>
      <c r="V220" s="13" t="s">
        <v>1474</v>
      </c>
      <c r="Y220" t="s">
        <v>1475</v>
      </c>
      <c r="Z220" t="s">
        <v>75</v>
      </c>
      <c r="AA220" t="s">
        <v>1475</v>
      </c>
      <c r="AB220" s="40" t="s">
        <v>1476</v>
      </c>
      <c r="AD220" s="130">
        <v>45780</v>
      </c>
      <c r="AE220"/>
      <c r="AG220" t="s">
        <v>76</v>
      </c>
      <c r="AI220" s="40" t="s">
        <v>1476</v>
      </c>
      <c r="AK220" t="s">
        <v>1477</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1478</v>
      </c>
      <c r="D221" s="36" t="s">
        <v>1479</v>
      </c>
      <c r="F221" t="s">
        <v>1480</v>
      </c>
      <c r="G221" s="36" t="s">
        <v>1481</v>
      </c>
      <c r="H221" t="s">
        <v>1482</v>
      </c>
      <c r="I221" t="str">
        <f>IFERROR(HYPERLINK("#Finance!B" &amp; MATCH(A221, 'F 2025'!A:A, 0), "🔗 Go to finance"), "❌ ID introuvable")</f>
        <v>🔗 Go to finance</v>
      </c>
      <c r="J221" t="s">
        <v>109</v>
      </c>
      <c r="K221" t="s">
        <v>117</v>
      </c>
      <c r="L221" t="s">
        <v>111</v>
      </c>
      <c r="O221">
        <v>6600</v>
      </c>
      <c r="R221">
        <v>13200</v>
      </c>
      <c r="S221" t="s">
        <v>1483</v>
      </c>
      <c r="T221" s="130">
        <v>45754</v>
      </c>
      <c r="V221" s="24" t="s">
        <v>1484</v>
      </c>
      <c r="Z221" t="s">
        <v>75</v>
      </c>
      <c r="AA221" t="s">
        <v>1485</v>
      </c>
      <c r="AB221" s="40" t="s">
        <v>1486</v>
      </c>
      <c r="AD221" s="130">
        <v>45754</v>
      </c>
      <c r="AE221"/>
      <c r="AG221" t="s">
        <v>76</v>
      </c>
      <c r="AI221" s="40" t="s">
        <v>1486</v>
      </c>
      <c r="AJ221" s="40"/>
      <c r="AK221" t="s">
        <v>1477</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1487</v>
      </c>
      <c r="D222" t="s">
        <v>1488</v>
      </c>
      <c r="F222" t="s">
        <v>1489</v>
      </c>
      <c r="G222" s="35" t="s">
        <v>1490</v>
      </c>
      <c r="H222" t="s">
        <v>1491</v>
      </c>
      <c r="I222" t="str">
        <f>IFERROR(HYPERLINK("#Finance!B" &amp; MATCH(A222, 'F 2025'!A:A, 0), "🔗 Go to finance"), "❌ ID introuvable")</f>
        <v>🔗 Go to finance</v>
      </c>
      <c r="J222" t="s">
        <v>495</v>
      </c>
      <c r="K222" t="s">
        <v>110</v>
      </c>
      <c r="L222" t="s">
        <v>508</v>
      </c>
      <c r="N222">
        <v>4</v>
      </c>
      <c r="O222">
        <v>19800</v>
      </c>
      <c r="T222" s="130">
        <v>45750</v>
      </c>
      <c r="V222" s="13" t="s">
        <v>1492</v>
      </c>
      <c r="Y222" t="s">
        <v>1493</v>
      </c>
      <c r="Z222" t="s">
        <v>75</v>
      </c>
      <c r="AB222" t="s">
        <v>1494</v>
      </c>
      <c r="AD222" s="130">
        <v>45786</v>
      </c>
      <c r="AE222"/>
      <c r="AG222" t="s">
        <v>76</v>
      </c>
      <c r="AI222" t="s">
        <v>1494</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1471</v>
      </c>
      <c r="D223" t="s">
        <v>1495</v>
      </c>
      <c r="F223" t="s">
        <v>1472</v>
      </c>
      <c r="G223" s="36" t="s">
        <v>1496</v>
      </c>
      <c r="H223" t="s">
        <v>1497</v>
      </c>
      <c r="I223" t="str">
        <f>IFERROR(HYPERLINK("#Finance!B" &amp; MATCH(A223, 'F 2025'!A:A, 0), "🔗 Go to finance"), "❌ ID introuvable")</f>
        <v>❌ ID introuvable</v>
      </c>
      <c r="J223" t="s">
        <v>109</v>
      </c>
      <c r="K223" t="s">
        <v>117</v>
      </c>
      <c r="L223" t="s">
        <v>111</v>
      </c>
      <c r="O223">
        <v>6600</v>
      </c>
      <c r="T223" s="130">
        <v>45750</v>
      </c>
      <c r="V223" s="13" t="s">
        <v>1498</v>
      </c>
      <c r="W223" s="13" t="s">
        <v>1498</v>
      </c>
      <c r="X223" s="13"/>
      <c r="Y223" t="s">
        <v>1475</v>
      </c>
      <c r="Z223" t="s">
        <v>75</v>
      </c>
      <c r="AA223" t="s">
        <v>1475</v>
      </c>
      <c r="AB223" t="s">
        <v>1499</v>
      </c>
      <c r="AD223" s="130">
        <v>45750</v>
      </c>
      <c r="AE223"/>
      <c r="AG223" t="s">
        <v>76</v>
      </c>
      <c r="AI223" t="s">
        <v>1499</v>
      </c>
      <c r="AK223" t="s">
        <v>1477</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1500</v>
      </c>
      <c r="D224" t="s">
        <v>1501</v>
      </c>
      <c r="F224" t="s">
        <v>1502</v>
      </c>
      <c r="G224" t="s">
        <v>1503</v>
      </c>
      <c r="H224" t="s">
        <v>1504</v>
      </c>
      <c r="I224" t="str">
        <f>IFERROR(HYPERLINK("#Finance!B" &amp; MATCH(A224, 'F 2025'!A:A, 0), "🔗 Go to finance"), "❌ ID introuvable")</f>
        <v>🔗 Go to finance</v>
      </c>
      <c r="J224" t="s">
        <v>495</v>
      </c>
      <c r="K224" t="s">
        <v>117</v>
      </c>
      <c r="L224" t="s">
        <v>503</v>
      </c>
      <c r="M224" t="s">
        <v>504</v>
      </c>
      <c r="N224">
        <v>4</v>
      </c>
      <c r="O224">
        <v>7000</v>
      </c>
      <c r="T224" s="130">
        <v>45723</v>
      </c>
      <c r="V224" t="s">
        <v>1505</v>
      </c>
      <c r="Y224" t="s">
        <v>1506</v>
      </c>
      <c r="Z224" t="s">
        <v>75</v>
      </c>
      <c r="AB224" t="s">
        <v>1507</v>
      </c>
      <c r="AD224" s="130">
        <v>45723</v>
      </c>
      <c r="AE224"/>
      <c r="AG224" t="s">
        <v>76</v>
      </c>
      <c r="AI224" t="s">
        <v>1507</v>
      </c>
      <c r="AK224" t="s">
        <v>1477</v>
      </c>
      <c r="AM224" s="38"/>
      <c r="AO224" t="s">
        <v>1508</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444</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1509</v>
      </c>
      <c r="D225" t="s">
        <v>1510</v>
      </c>
      <c r="F225" t="s">
        <v>1511</v>
      </c>
      <c r="G225" t="s">
        <v>1512</v>
      </c>
      <c r="H225" t="s">
        <v>1513</v>
      </c>
      <c r="I225" t="str">
        <f>IFERROR(HYPERLINK("#Finance!B" &amp; MATCH(A225, 'F 2025'!A:A, 0), "🔗 Go to finance"), "❌ ID introuvable")</f>
        <v>🔗 Go to finance</v>
      </c>
      <c r="J225" t="s">
        <v>109</v>
      </c>
      <c r="K225" t="s">
        <v>117</v>
      </c>
      <c r="L225" t="s">
        <v>503</v>
      </c>
      <c r="O225">
        <v>7000</v>
      </c>
      <c r="T225" s="130">
        <v>45768</v>
      </c>
      <c r="V225" s="13" t="s">
        <v>1514</v>
      </c>
      <c r="Z225" t="s">
        <v>75</v>
      </c>
      <c r="AA225" t="s">
        <v>1515</v>
      </c>
      <c r="AB225" s="40" t="s">
        <v>1516</v>
      </c>
      <c r="AD225" s="130">
        <v>45768</v>
      </c>
      <c r="AE225"/>
      <c r="AG225" t="s">
        <v>76</v>
      </c>
      <c r="AI225" s="40" t="s">
        <v>1516</v>
      </c>
      <c r="AK225" t="s">
        <v>1477</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399</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1517</v>
      </c>
      <c r="D226" t="s">
        <v>1518</v>
      </c>
      <c r="F226" t="s">
        <v>1519</v>
      </c>
      <c r="G226" t="s">
        <v>1520</v>
      </c>
      <c r="H226" t="s">
        <v>1521</v>
      </c>
      <c r="I226" t="str">
        <f>IFERROR(HYPERLINK("#Finance!B" &amp; MATCH(A226, 'F 2025'!A:A, 0), "🔗 Go to finance"), "❌ ID introuvable")</f>
        <v>🔗 Go to finance</v>
      </c>
      <c r="J226" t="s">
        <v>109</v>
      </c>
      <c r="K226" t="s">
        <v>117</v>
      </c>
      <c r="L226" t="s">
        <v>503</v>
      </c>
      <c r="N226">
        <v>4</v>
      </c>
      <c r="O226">
        <v>7000</v>
      </c>
      <c r="P226" s="38">
        <v>45997</v>
      </c>
      <c r="T226" s="130">
        <v>45773</v>
      </c>
      <c r="V226" s="13" t="s">
        <v>1522</v>
      </c>
      <c r="W226" s="13" t="s">
        <v>1522</v>
      </c>
      <c r="Y226" s="37" t="s">
        <v>1523</v>
      </c>
      <c r="Z226" t="s">
        <v>75</v>
      </c>
      <c r="AB226" s="40" t="s">
        <v>1524</v>
      </c>
      <c r="AD226" s="130">
        <v>45773</v>
      </c>
      <c r="AE226"/>
      <c r="AG226" t="s">
        <v>76</v>
      </c>
      <c r="AI226" s="40" t="s">
        <v>1524</v>
      </c>
      <c r="AK226" t="s">
        <v>1477</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394</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66</v>
      </c>
      <c r="C227" t="s">
        <v>1525</v>
      </c>
      <c r="D227" t="s">
        <v>1526</v>
      </c>
      <c r="F227" t="s">
        <v>1527</v>
      </c>
      <c r="G227" t="s">
        <v>1528</v>
      </c>
      <c r="H227" t="s">
        <v>1529</v>
      </c>
      <c r="I227" t="str">
        <f>IFERROR(HYPERLINK("#Finance!B" &amp; MATCH(A227, 'F 2025'!A:A, 0), "🔗 Go to finance"), "❌ ID introuvable")</f>
        <v>🔗 Go to finance</v>
      </c>
      <c r="J227" t="s">
        <v>109</v>
      </c>
      <c r="K227" t="s">
        <v>117</v>
      </c>
      <c r="L227" t="s">
        <v>503</v>
      </c>
      <c r="N227">
        <v>4</v>
      </c>
      <c r="O227">
        <v>7000</v>
      </c>
      <c r="T227" s="130">
        <v>45773</v>
      </c>
      <c r="V227" s="13"/>
      <c r="W227" t="s">
        <v>1530</v>
      </c>
      <c r="Y227" t="s">
        <v>1531</v>
      </c>
      <c r="Z227" t="s">
        <v>75</v>
      </c>
      <c r="AB227" s="40" t="s">
        <v>1532</v>
      </c>
      <c r="AD227" s="130">
        <v>45773</v>
      </c>
      <c r="AE227"/>
      <c r="AG227" t="s">
        <v>76</v>
      </c>
      <c r="AI227" s="40" t="s">
        <v>1532</v>
      </c>
      <c r="AK227" t="s">
        <v>1477</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t="str">
        <f ca="1">IF(B227="Y", IF(Table1[[#This Row],[Stop]]="", TODAY() - Table1[[#This Row],[Joining Date]], Table1[[#This Row],[Stop]] - Table1[[#This Row],[Joining Date]]), "")</f>
        <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1533</v>
      </c>
      <c r="D228" s="179" t="s">
        <v>855</v>
      </c>
      <c r="F228" t="s">
        <v>1534</v>
      </c>
      <c r="G228" t="s">
        <v>1535</v>
      </c>
      <c r="H228" t="s">
        <v>1536</v>
      </c>
      <c r="I228" s="13" t="str">
        <f>IFERROR(HYPERLINK("#Finance!B" &amp; MATCH(A228, 'F 2025'!A:A, 0), "🔗 Go to finance"), "❌ ID introuvable")</f>
        <v>🔗 Go to finance</v>
      </c>
      <c r="J228" t="s">
        <v>109</v>
      </c>
      <c r="K228" t="s">
        <v>117</v>
      </c>
      <c r="L228" t="s">
        <v>503</v>
      </c>
      <c r="N228">
        <v>4</v>
      </c>
      <c r="O228">
        <v>7000</v>
      </c>
      <c r="P228" s="38">
        <v>45997</v>
      </c>
      <c r="T228" s="38">
        <v>45778</v>
      </c>
      <c r="V228" s="13" t="s">
        <v>1537</v>
      </c>
      <c r="W228" s="4" t="s">
        <v>1537</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46167</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1391</v>
      </c>
      <c r="D229" s="179" t="s">
        <v>491</v>
      </c>
      <c r="F229" t="s">
        <v>1538</v>
      </c>
      <c r="G229" t="s">
        <v>1539</v>
      </c>
      <c r="H229" t="s">
        <v>494</v>
      </c>
      <c r="I229" s="13" t="str">
        <f>IFERROR(HYPERLINK("#Finance!B" &amp; MATCH(A229, 'F 2025'!A:A, 0), "🔗 Go to finance"), "❌ ID introuvable")</f>
        <v>🔗 Go to finance</v>
      </c>
      <c r="J229" t="s">
        <v>109</v>
      </c>
      <c r="K229" t="s">
        <v>117</v>
      </c>
      <c r="L229" t="s">
        <v>503</v>
      </c>
      <c r="N229">
        <v>4</v>
      </c>
      <c r="O229">
        <v>7000</v>
      </c>
      <c r="T229" s="38">
        <v>45778</v>
      </c>
      <c r="V229" s="13" t="s">
        <v>1540</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46167</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1541</v>
      </c>
      <c r="D230" t="s">
        <v>1542</v>
      </c>
      <c r="F230" t="s">
        <v>1543</v>
      </c>
      <c r="G230" t="s">
        <v>1544</v>
      </c>
      <c r="H230" t="s">
        <v>1545</v>
      </c>
      <c r="I230" s="204" t="str">
        <f>IFERROR(HYPERLINK("#Finance!B" &amp; MATCH(A230, 'F 2025'!A:A, 0), "🔗 Go to finance"), "❌ ID introuvable")</f>
        <v>🔗 Go to finance</v>
      </c>
      <c r="J230" t="s">
        <v>109</v>
      </c>
      <c r="K230" t="s">
        <v>1546</v>
      </c>
      <c r="L230" t="s">
        <v>111</v>
      </c>
      <c r="N230">
        <v>4</v>
      </c>
      <c r="O230">
        <v>12100</v>
      </c>
      <c r="P230" s="38">
        <v>45997</v>
      </c>
      <c r="T230" s="38">
        <v>45814</v>
      </c>
      <c r="V230" s="176" t="s">
        <v>1547</v>
      </c>
      <c r="W230" t="s">
        <v>1548</v>
      </c>
      <c r="Y230" t="s">
        <v>1549</v>
      </c>
      <c r="AB230" s="40" t="s">
        <v>1550</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353</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103</v>
      </c>
      <c r="C231" t="s">
        <v>1525</v>
      </c>
      <c r="D231" t="s">
        <v>1551</v>
      </c>
      <c r="F231" t="s">
        <v>1552</v>
      </c>
      <c r="G231" t="s">
        <v>1553</v>
      </c>
      <c r="H231" t="s">
        <v>1553</v>
      </c>
      <c r="I231" s="204" t="str">
        <f>IFERROR(HYPERLINK("#Finance!B" &amp; MATCH(A231, 'F 2025'!A:A, 0), "🔗 Go to finance"), "❌ ID introuvable")</f>
        <v>🔗 Go to finance</v>
      </c>
      <c r="J231" t="s">
        <v>1956</v>
      </c>
      <c r="K231" t="s">
        <v>1554</v>
      </c>
      <c r="L231" t="s">
        <v>464</v>
      </c>
      <c r="N231">
        <v>4</v>
      </c>
      <c r="O231">
        <v>9500</v>
      </c>
      <c r="P231" s="38">
        <v>45997</v>
      </c>
      <c r="T231" s="38">
        <v>45808</v>
      </c>
      <c r="V231" s="13" t="s">
        <v>2056</v>
      </c>
      <c r="W231" s="13" t="s">
        <v>1555</v>
      </c>
      <c r="Y231" t="s">
        <v>1556</v>
      </c>
      <c r="AB231" s="40" t="s">
        <v>1557</v>
      </c>
      <c r="AD231" s="130">
        <v>45811</v>
      </c>
      <c r="AE231"/>
      <c r="AI231" s="40"/>
      <c r="AM231" s="175"/>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f ca="1">IF(B231="Y", IF(Table1[[#This Row],[Stop]]="", TODAY() - Table1[[#This Row],[Joining Date]], Table1[[#This Row],[Stop]] - Table1[[#This Row],[Joining Date]]), "")</f>
        <v>356</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str">
        <f>IF(Table1[[#This Row],[Stop]]="","",(IF(Table1[[#This Row],[Joining Date]]="","",IF(Table1[[#This Row],[Joining Date]]&lt;='KPI+Pivot'!$CP$1,Table1[[#This Row],[Stop]],""))))</f>
        <v/>
      </c>
    </row>
    <row r="232" spans="1:68" ht="18" customHeight="1">
      <c r="A232">
        <v>174</v>
      </c>
      <c r="B232" t="s">
        <v>103</v>
      </c>
      <c r="C232" t="s">
        <v>149</v>
      </c>
      <c r="D232" t="s">
        <v>750</v>
      </c>
      <c r="F232" t="s">
        <v>1558</v>
      </c>
      <c r="G232" t="s">
        <v>1559</v>
      </c>
      <c r="H232" t="s">
        <v>753</v>
      </c>
      <c r="I232" s="13" t="str">
        <f>IFERROR(HYPERLINK("#Finance!B" &amp; MATCH(A232, 'F 2025'!A:A, 0), "🔗 Go to finance"), "❌ ID introuvable")</f>
        <v>🔗 Go to finance</v>
      </c>
      <c r="J232" t="s">
        <v>109</v>
      </c>
      <c r="K232" t="s">
        <v>1560</v>
      </c>
      <c r="L232" t="s">
        <v>503</v>
      </c>
      <c r="N232">
        <v>4</v>
      </c>
      <c r="O232">
        <v>7000</v>
      </c>
      <c r="P232" s="38">
        <v>45997</v>
      </c>
      <c r="T232" s="38">
        <v>45843</v>
      </c>
      <c r="V232" s="13" t="s">
        <v>1561</v>
      </c>
      <c r="W232" s="13" t="s">
        <v>1561</v>
      </c>
      <c r="Y232" s="216" t="s">
        <v>1563</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324</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1941</v>
      </c>
      <c r="D233" t="s">
        <v>1938</v>
      </c>
      <c r="F233" t="s">
        <v>1939</v>
      </c>
      <c r="G233" t="s">
        <v>1940</v>
      </c>
      <c r="H233" t="s">
        <v>1373</v>
      </c>
      <c r="I233" s="13" t="str">
        <f>IFERROR(HYPERLINK("#Finance!B" &amp; MATCH(A233, 'F 2025'!A:A, 0), "🔗 Go to finance"), "❌ ID introuvable")</f>
        <v>🔗 Go to finance</v>
      </c>
      <c r="J233" t="s">
        <v>109</v>
      </c>
      <c r="K233" t="s">
        <v>1560</v>
      </c>
      <c r="L233" t="s">
        <v>111</v>
      </c>
      <c r="N233">
        <v>4</v>
      </c>
      <c r="O233">
        <v>6600</v>
      </c>
      <c r="T233" s="38">
        <v>45847</v>
      </c>
      <c r="V233" s="67" t="s">
        <v>1762</v>
      </c>
      <c r="Y233" s="86" t="s">
        <v>1763</v>
      </c>
      <c r="AB233" t="s">
        <v>1942</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320</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1982</v>
      </c>
      <c r="D234" t="s">
        <v>1983</v>
      </c>
      <c r="F234" t="s">
        <v>1981</v>
      </c>
      <c r="G234" s="49" t="s">
        <v>1980</v>
      </c>
      <c r="H234" t="s">
        <v>1979</v>
      </c>
      <c r="I234" s="13" t="str">
        <f>IFERROR(HYPERLINK("#Finance!B" &amp; MATCH(A234, 'F 2025'!A:A, 0), "🔗 Go to finance"), "❌ ID introuvable")</f>
        <v>🔗 Go to finance</v>
      </c>
      <c r="J234" t="s">
        <v>109</v>
      </c>
      <c r="K234" t="s">
        <v>1560</v>
      </c>
      <c r="L234" t="s">
        <v>111</v>
      </c>
      <c r="N234">
        <v>4</v>
      </c>
      <c r="O234">
        <v>6600</v>
      </c>
      <c r="T234" s="38">
        <v>45857</v>
      </c>
      <c r="V234" s="13" t="s">
        <v>1932</v>
      </c>
      <c r="AB234" t="s">
        <v>1985</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2011</v>
      </c>
      <c r="D235" t="s">
        <v>2012</v>
      </c>
      <c r="G235" s="49" t="s">
        <v>2009</v>
      </c>
      <c r="H235" t="s">
        <v>2010</v>
      </c>
      <c r="I235" s="13" t="str">
        <f>IFERROR(HYPERLINK("#Finance!B" &amp; MATCH(A235, 'F 2025'!A:A, 0), "🔗 Go to finance"), "❌ ID introuvable")</f>
        <v>🔗 Go to finance</v>
      </c>
      <c r="J235" t="s">
        <v>109</v>
      </c>
      <c r="K235" t="s">
        <v>1560</v>
      </c>
      <c r="L235" t="s">
        <v>503</v>
      </c>
      <c r="N235">
        <v>4</v>
      </c>
      <c r="O235">
        <v>7000</v>
      </c>
      <c r="T235" s="38">
        <v>45901</v>
      </c>
      <c r="V235" s="13" t="s">
        <v>2008</v>
      </c>
      <c r="Y235" s="49" t="s">
        <v>1801</v>
      </c>
      <c r="AB235" t="s">
        <v>2013</v>
      </c>
      <c r="AD235" s="130">
        <v>45928</v>
      </c>
      <c r="AI235" s="40"/>
      <c r="AM235" s="175"/>
      <c r="BP235" s="175" t="str">
        <f>IF(Table1[[#This Row],[Stop]]="","",(IF(Table1[[#This Row],[Joining Date]]="","",IF(Table1[[#This Row],[Joining Date]]&lt;='KPI+Pivot'!$CP$1,Table1[[#This Row],[Stop]],""))))</f>
        <v/>
      </c>
    </row>
    <row r="236" spans="1:68" ht="18" customHeight="1">
      <c r="A236">
        <v>178</v>
      </c>
      <c r="B236" t="s">
        <v>103</v>
      </c>
      <c r="C236" t="s">
        <v>587</v>
      </c>
      <c r="D236" t="s">
        <v>588</v>
      </c>
      <c r="F236" t="s">
        <v>589</v>
      </c>
      <c r="G236" t="s">
        <v>590</v>
      </c>
      <c r="H236" t="s">
        <v>591</v>
      </c>
      <c r="I236" s="204" t="str">
        <f>IFERROR(HYPERLINK("#Finance!B" &amp; MATCH(A236, 'F 2025'!A:A, 0), "🔗 Go to finance"), "❌ ID introuvable")</f>
        <v>🔗 Go to finance</v>
      </c>
      <c r="J236" t="s">
        <v>109</v>
      </c>
      <c r="K236" s="227" t="s">
        <v>1560</v>
      </c>
      <c r="L236" s="227" t="s">
        <v>503</v>
      </c>
      <c r="N236" s="227">
        <v>4</v>
      </c>
      <c r="O236">
        <v>7000</v>
      </c>
      <c r="T236" s="38">
        <v>45906</v>
      </c>
      <c r="V236" t="s">
        <v>592</v>
      </c>
      <c r="W236" s="13" t="s">
        <v>593</v>
      </c>
      <c r="Y236" t="s">
        <v>594</v>
      </c>
      <c r="Z236" t="s">
        <v>75</v>
      </c>
      <c r="AB236" t="s">
        <v>595</v>
      </c>
      <c r="AD236" s="130">
        <v>43928</v>
      </c>
      <c r="AE236"/>
      <c r="AG236" t="s">
        <v>76</v>
      </c>
      <c r="AI236" t="s">
        <v>595</v>
      </c>
      <c r="AK236" t="s">
        <v>102</v>
      </c>
      <c r="AM236" s="38"/>
      <c r="AO236" t="s">
        <v>590</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631</v>
      </c>
      <c r="D237" t="s">
        <v>2035</v>
      </c>
      <c r="G237" t="s">
        <v>2034</v>
      </c>
      <c r="H237" t="s">
        <v>2036</v>
      </c>
      <c r="I237" s="204" t="str">
        <f>IFERROR(HYPERLINK("#Finance!B" &amp; MATCH(A237, 'F 2025'!A:A, 0), "🔗 Go to finance"), "❌ ID introuvable")</f>
        <v>🔗 Go to finance</v>
      </c>
      <c r="J237" t="s">
        <v>109</v>
      </c>
      <c r="K237" s="227" t="s">
        <v>1560</v>
      </c>
      <c r="L237" t="s">
        <v>1221</v>
      </c>
      <c r="N237">
        <v>4</v>
      </c>
      <c r="O237">
        <v>6600</v>
      </c>
      <c r="P237" s="38">
        <v>45997</v>
      </c>
      <c r="T237" s="38">
        <v>45878</v>
      </c>
      <c r="V237" t="s">
        <v>2037</v>
      </c>
      <c r="Y237" s="241" t="s">
        <v>2025</v>
      </c>
      <c r="AB237" t="s">
        <v>2038</v>
      </c>
    </row>
    <row r="238" spans="1:68" ht="18" customHeight="1">
      <c r="A238">
        <v>181</v>
      </c>
      <c r="B238" t="s">
        <v>103</v>
      </c>
      <c r="C238" t="s">
        <v>2101</v>
      </c>
      <c r="D238" t="s">
        <v>491</v>
      </c>
      <c r="F238" t="s">
        <v>1291</v>
      </c>
      <c r="G238" t="s">
        <v>2100</v>
      </c>
      <c r="H238" t="s">
        <v>494</v>
      </c>
      <c r="I238" s="204" t="str">
        <f>IFERROR(HYPERLINK("#Finance!B" &amp; MATCH(A238, 'F 2025'!A:A, 0), "🔗 Go to finance"), "❌ ID introuvable")</f>
        <v>🔗 Go to finance</v>
      </c>
      <c r="J238" t="s">
        <v>109</v>
      </c>
      <c r="K238" t="s">
        <v>1560</v>
      </c>
      <c r="L238" t="s">
        <v>197</v>
      </c>
      <c r="N238">
        <v>4</v>
      </c>
      <c r="O238">
        <v>9500</v>
      </c>
      <c r="T238" s="38">
        <v>45934</v>
      </c>
      <c r="V238" t="s">
        <v>2098</v>
      </c>
      <c r="Y238" t="s">
        <v>2099</v>
      </c>
      <c r="AB238" s="40" t="s">
        <v>2097</v>
      </c>
    </row>
    <row r="239" spans="1:68" ht="18" customHeight="1">
      <c r="A239">
        <v>182</v>
      </c>
      <c r="B239" t="s">
        <v>103</v>
      </c>
      <c r="C239" t="s">
        <v>2285</v>
      </c>
      <c r="D239" t="s">
        <v>1273</v>
      </c>
      <c r="G239" s="256" t="s">
        <v>2071</v>
      </c>
      <c r="H239" s="256" t="s">
        <v>2115</v>
      </c>
      <c r="I239" s="204" t="str">
        <f>IFERROR(HYPERLINK("#Finance!B" &amp; MATCH(A239, 'F 2025'!A:A, 0), "🔗 Go to finance"), "❌ ID introuvable")</f>
        <v>🔗 Go to finance</v>
      </c>
      <c r="J239" t="s">
        <v>109</v>
      </c>
      <c r="K239" t="s">
        <v>1560</v>
      </c>
      <c r="L239" s="227" t="s">
        <v>503</v>
      </c>
      <c r="N239">
        <v>4</v>
      </c>
      <c r="O239">
        <v>7000</v>
      </c>
      <c r="T239" s="38">
        <v>45911</v>
      </c>
      <c r="V239" s="243" t="s">
        <v>2112</v>
      </c>
      <c r="Y239" s="256" t="s">
        <v>2073</v>
      </c>
      <c r="AB239" s="40" t="s">
        <v>2074</v>
      </c>
    </row>
    <row r="240" spans="1:68" ht="18" customHeight="1">
      <c r="A240">
        <v>183</v>
      </c>
      <c r="B240" t="s">
        <v>103</v>
      </c>
      <c r="C240" t="s">
        <v>67</v>
      </c>
      <c r="D240" t="s">
        <v>2116</v>
      </c>
      <c r="G240" t="s">
        <v>2067</v>
      </c>
      <c r="H240" t="s">
        <v>2117</v>
      </c>
      <c r="I240" s="204" t="str">
        <f>IFERROR(HYPERLINK("#Finance!B" &amp; MATCH(A240, 'F 2025'!A:A, 0), "🔗 Go to finance"), "❌ ID introuvable")</f>
        <v>🔗 Go to finance</v>
      </c>
      <c r="J240" t="s">
        <v>109</v>
      </c>
      <c r="K240" t="s">
        <v>1560</v>
      </c>
      <c r="L240" s="227" t="s">
        <v>503</v>
      </c>
      <c r="N240">
        <v>4</v>
      </c>
      <c r="O240">
        <v>7000</v>
      </c>
      <c r="P240" s="38">
        <v>45997</v>
      </c>
      <c r="T240" s="38">
        <v>45911</v>
      </c>
      <c r="V240" s="243" t="s">
        <v>2108</v>
      </c>
      <c r="Y240" t="s">
        <v>2066</v>
      </c>
      <c r="AB240" s="40" t="s">
        <v>2069</v>
      </c>
    </row>
    <row r="241" spans="1:39" ht="18" customHeight="1">
      <c r="A241">
        <v>184</v>
      </c>
      <c r="B241" t="s">
        <v>103</v>
      </c>
      <c r="C241" t="s">
        <v>2127</v>
      </c>
      <c r="D241" t="s">
        <v>561</v>
      </c>
      <c r="G241" s="256" t="s">
        <v>2085</v>
      </c>
      <c r="H241" t="s">
        <v>563</v>
      </c>
      <c r="J241" t="s">
        <v>109</v>
      </c>
      <c r="K241" t="s">
        <v>1560</v>
      </c>
      <c r="L241" s="227" t="s">
        <v>503</v>
      </c>
      <c r="N241">
        <v>4</v>
      </c>
      <c r="O241">
        <v>7000</v>
      </c>
      <c r="P241" s="38">
        <v>45997</v>
      </c>
      <c r="T241" s="38">
        <v>45934</v>
      </c>
      <c r="V241" s="256" t="s">
        <v>2087</v>
      </c>
      <c r="Y241" s="258" t="s">
        <v>2090</v>
      </c>
      <c r="Z241" s="258"/>
      <c r="AB241" s="40" t="s">
        <v>2131</v>
      </c>
    </row>
    <row r="242" spans="1:39" ht="18" customHeight="1">
      <c r="A242">
        <v>185</v>
      </c>
      <c r="B242" t="s">
        <v>103</v>
      </c>
      <c r="C242" t="s">
        <v>2126</v>
      </c>
      <c r="D242" t="s">
        <v>2128</v>
      </c>
      <c r="G242" s="256" t="s">
        <v>2080</v>
      </c>
      <c r="H242" s="256" t="s">
        <v>2129</v>
      </c>
      <c r="J242" t="s">
        <v>109</v>
      </c>
      <c r="K242" t="s">
        <v>1560</v>
      </c>
      <c r="L242" s="227" t="s">
        <v>503</v>
      </c>
      <c r="N242">
        <v>4</v>
      </c>
      <c r="O242">
        <v>7000</v>
      </c>
      <c r="P242" s="38">
        <v>45997</v>
      </c>
      <c r="T242" s="38">
        <v>45934</v>
      </c>
      <c r="V242" s="259" t="s">
        <v>2084</v>
      </c>
      <c r="Y242" s="256" t="s">
        <v>2083</v>
      </c>
      <c r="AB242" s="40" t="s">
        <v>2130</v>
      </c>
    </row>
    <row r="243" spans="1:39" ht="18" customHeight="1">
      <c r="A243">
        <v>186</v>
      </c>
      <c r="B243" t="s">
        <v>66</v>
      </c>
      <c r="C243" t="s">
        <v>1328</v>
      </c>
      <c r="D243" t="s">
        <v>234</v>
      </c>
      <c r="H243" s="256" t="s">
        <v>237</v>
      </c>
      <c r="J243" t="s">
        <v>109</v>
      </c>
      <c r="K243" t="s">
        <v>1560</v>
      </c>
      <c r="L243" s="227" t="s">
        <v>503</v>
      </c>
      <c r="N243">
        <v>4</v>
      </c>
      <c r="O243">
        <v>7000</v>
      </c>
      <c r="T243" s="38">
        <v>45934</v>
      </c>
      <c r="V243" s="176" t="s">
        <v>2111</v>
      </c>
      <c r="Y243" s="266" t="s">
        <v>2110</v>
      </c>
      <c r="AM243" s="38">
        <v>46053</v>
      </c>
    </row>
    <row r="244" spans="1:39" ht="18" customHeight="1">
      <c r="A244">
        <v>187</v>
      </c>
      <c r="B244" t="s">
        <v>66</v>
      </c>
      <c r="C244" t="s">
        <v>2286</v>
      </c>
      <c r="H244" s="256" t="s">
        <v>2148</v>
      </c>
      <c r="J244" t="s">
        <v>109</v>
      </c>
      <c r="K244" t="s">
        <v>1560</v>
      </c>
      <c r="L244" s="227" t="s">
        <v>503</v>
      </c>
      <c r="N244">
        <v>4</v>
      </c>
      <c r="O244">
        <v>7000</v>
      </c>
      <c r="P244" s="38">
        <v>45997</v>
      </c>
      <c r="T244" s="38">
        <v>45965</v>
      </c>
      <c r="V244" s="256" t="s">
        <v>2149</v>
      </c>
      <c r="W244" s="13" t="s">
        <v>2194</v>
      </c>
      <c r="Y244" s="256" t="s">
        <v>2150</v>
      </c>
      <c r="AB244" s="40" t="s">
        <v>2197</v>
      </c>
      <c r="AM244" s="38">
        <v>46110</v>
      </c>
    </row>
    <row r="245" spans="1:39" ht="18" customHeight="1">
      <c r="A245">
        <v>188</v>
      </c>
      <c r="B245" t="s">
        <v>66</v>
      </c>
      <c r="C245" t="s">
        <v>949</v>
      </c>
      <c r="D245" t="s">
        <v>2280</v>
      </c>
      <c r="G245" t="s">
        <v>2244</v>
      </c>
      <c r="H245" t="s">
        <v>952</v>
      </c>
      <c r="J245" t="s">
        <v>109</v>
      </c>
      <c r="K245" t="s">
        <v>1560</v>
      </c>
      <c r="L245" t="s">
        <v>197</v>
      </c>
      <c r="N245">
        <v>4</v>
      </c>
      <c r="O245">
        <v>9500</v>
      </c>
      <c r="T245" s="38">
        <v>45662</v>
      </c>
      <c r="V245" t="s">
        <v>2247</v>
      </c>
      <c r="Y245" t="s">
        <v>2246</v>
      </c>
      <c r="AB245" s="40" t="s">
        <v>2245</v>
      </c>
      <c r="AM245" s="38">
        <v>46203</v>
      </c>
    </row>
    <row r="246" spans="1:39" ht="18.75" customHeight="1">
      <c r="A246">
        <v>189</v>
      </c>
      <c r="B246" t="s">
        <v>103</v>
      </c>
      <c r="C246" s="275" t="s">
        <v>1169</v>
      </c>
      <c r="D246" s="275" t="s">
        <v>2261</v>
      </c>
      <c r="E246" s="275"/>
      <c r="F246" s="275" t="s">
        <v>2231</v>
      </c>
      <c r="G246" s="275" t="s">
        <v>2230</v>
      </c>
      <c r="H246" s="275" t="s">
        <v>2230</v>
      </c>
      <c r="I246" s="275"/>
      <c r="J246" t="s">
        <v>109</v>
      </c>
      <c r="K246" t="s">
        <v>1560</v>
      </c>
      <c r="L246" t="s">
        <v>197</v>
      </c>
      <c r="N246">
        <v>4</v>
      </c>
      <c r="O246">
        <v>7600</v>
      </c>
      <c r="T246" s="38">
        <v>46058</v>
      </c>
      <c r="V246" s="275" t="s">
        <v>2231</v>
      </c>
      <c r="W246" s="275"/>
      <c r="Y246" s="275" t="s">
        <v>2232</v>
      </c>
      <c r="AB246" s="40" t="s">
        <v>2262</v>
      </c>
    </row>
    <row r="247" spans="1:39" ht="18" customHeight="1">
      <c r="A247">
        <v>190</v>
      </c>
      <c r="B247" t="s">
        <v>103</v>
      </c>
      <c r="C247" t="s">
        <v>2283</v>
      </c>
      <c r="D247" t="s">
        <v>364</v>
      </c>
      <c r="G247" s="278" t="s">
        <v>2226</v>
      </c>
      <c r="H247" s="278" t="s">
        <v>2226</v>
      </c>
      <c r="J247" t="s">
        <v>109</v>
      </c>
      <c r="O247">
        <v>14050</v>
      </c>
      <c r="T247" s="38">
        <v>46055</v>
      </c>
      <c r="V247" s="278" t="s">
        <v>2227</v>
      </c>
      <c r="Y247" s="278" t="s">
        <v>2228</v>
      </c>
    </row>
    <row r="248" spans="1:39" ht="18" customHeight="1">
      <c r="A248">
        <v>191</v>
      </c>
      <c r="B248" t="s">
        <v>103</v>
      </c>
      <c r="C248" t="s">
        <v>2391</v>
      </c>
      <c r="D248" t="s">
        <v>2339</v>
      </c>
      <c r="G248" s="256" t="s">
        <v>2288</v>
      </c>
      <c r="H248" s="256" t="s">
        <v>2290</v>
      </c>
      <c r="J248" t="s">
        <v>109</v>
      </c>
      <c r="O248">
        <v>12100</v>
      </c>
      <c r="V248" s="256" t="s">
        <v>2268</v>
      </c>
      <c r="W248" s="256"/>
      <c r="Y248" s="256" t="s">
        <v>2267</v>
      </c>
      <c r="AB248" s="40" t="s">
        <v>2348</v>
      </c>
    </row>
    <row r="249" spans="1:39" ht="18" customHeight="1">
      <c r="A249">
        <v>191</v>
      </c>
      <c r="B249" t="s">
        <v>103</v>
      </c>
      <c r="C249" t="s">
        <v>2287</v>
      </c>
      <c r="D249" t="s">
        <v>2339</v>
      </c>
      <c r="G249" s="256" t="s">
        <v>2288</v>
      </c>
      <c r="H249" s="256" t="s">
        <v>2289</v>
      </c>
      <c r="J249" t="s">
        <v>109</v>
      </c>
      <c r="O249">
        <v>12100</v>
      </c>
      <c r="T249" s="282"/>
      <c r="AB249" s="40" t="s">
        <v>2348</v>
      </c>
    </row>
    <row r="250" spans="1:39" ht="18" customHeight="1">
      <c r="A250">
        <v>193</v>
      </c>
      <c r="B250" t="s">
        <v>103</v>
      </c>
      <c r="C250" t="s">
        <v>2281</v>
      </c>
      <c r="D250" t="s">
        <v>2282</v>
      </c>
      <c r="G250" t="s">
        <v>2344</v>
      </c>
      <c r="H250" s="256" t="s">
        <v>2284</v>
      </c>
      <c r="J250" t="s">
        <v>109</v>
      </c>
      <c r="O250">
        <v>7000</v>
      </c>
      <c r="V250" s="176" t="s">
        <v>2269</v>
      </c>
      <c r="Y250" s="266" t="s">
        <v>2266</v>
      </c>
    </row>
    <row r="251" spans="1:39" ht="18" customHeight="1">
      <c r="A251">
        <v>194</v>
      </c>
      <c r="B251" t="s">
        <v>103</v>
      </c>
      <c r="C251" t="s">
        <v>2320</v>
      </c>
      <c r="D251" t="s">
        <v>2319</v>
      </c>
      <c r="G251" s="256" t="s">
        <v>2316</v>
      </c>
      <c r="H251" s="256" t="s">
        <v>2373</v>
      </c>
      <c r="J251" t="s">
        <v>109</v>
      </c>
      <c r="K251" t="s">
        <v>1546</v>
      </c>
      <c r="L251" t="s">
        <v>197</v>
      </c>
      <c r="O251">
        <v>20500</v>
      </c>
      <c r="T251" t="s">
        <v>2321</v>
      </c>
      <c r="V251" s="256" t="s">
        <v>2307</v>
      </c>
      <c r="Y251" s="266" t="s">
        <v>2298</v>
      </c>
      <c r="AB251" s="281" t="s">
        <v>2306</v>
      </c>
    </row>
    <row r="252" spans="1:39" ht="18" customHeight="1">
      <c r="A252">
        <v>195</v>
      </c>
      <c r="B252" t="s">
        <v>103</v>
      </c>
      <c r="C252" s="280" t="s">
        <v>2322</v>
      </c>
      <c r="D252" s="280" t="s">
        <v>1314</v>
      </c>
      <c r="H252" s="56"/>
      <c r="J252" t="s">
        <v>109</v>
      </c>
      <c r="K252" t="s">
        <v>2323</v>
      </c>
      <c r="L252" t="s">
        <v>197</v>
      </c>
      <c r="O252" t="s">
        <v>2323</v>
      </c>
      <c r="T252" t="s">
        <v>2321</v>
      </c>
    </row>
    <row r="253" spans="1:39" ht="18" customHeight="1">
      <c r="A253">
        <v>196</v>
      </c>
      <c r="B253" t="s">
        <v>103</v>
      </c>
      <c r="C253" t="s">
        <v>2335</v>
      </c>
      <c r="D253" t="s">
        <v>491</v>
      </c>
      <c r="G253" s="56" t="s">
        <v>494</v>
      </c>
      <c r="H253" s="56" t="s">
        <v>2334</v>
      </c>
      <c r="J253" t="s">
        <v>109</v>
      </c>
      <c r="K253" t="s">
        <v>110</v>
      </c>
      <c r="O253">
        <v>20500</v>
      </c>
      <c r="T253" s="38">
        <v>46081</v>
      </c>
      <c r="V253" s="67" t="s">
        <v>2301</v>
      </c>
      <c r="Y253" s="86" t="s">
        <v>2302</v>
      </c>
      <c r="AB253" t="s">
        <v>2336</v>
      </c>
    </row>
    <row r="254" spans="1:39" ht="18" customHeight="1">
      <c r="A254">
        <v>197</v>
      </c>
      <c r="B254" t="s">
        <v>103</v>
      </c>
      <c r="C254" s="280" t="s">
        <v>196</v>
      </c>
      <c r="D254" t="s">
        <v>2436</v>
      </c>
      <c r="G254" s="280" t="s">
        <v>2434</v>
      </c>
      <c r="H254" s="280" t="s">
        <v>2435</v>
      </c>
      <c r="J254" t="s">
        <v>109</v>
      </c>
      <c r="K254" t="s">
        <v>110</v>
      </c>
      <c r="O254">
        <v>20500</v>
      </c>
      <c r="T254" s="38">
        <v>46143</v>
      </c>
      <c r="V254" s="243" t="s">
        <v>2430</v>
      </c>
      <c r="Y254" s="292" t="s">
        <v>2377</v>
      </c>
      <c r="AB254" s="293" t="s">
        <v>2433</v>
      </c>
    </row>
    <row r="255" spans="1:39" ht="18" customHeight="1">
      <c r="A255">
        <v>198</v>
      </c>
      <c r="B255" t="s">
        <v>103</v>
      </c>
      <c r="C255" s="294" t="s">
        <v>2439</v>
      </c>
      <c r="D255" s="294" t="s">
        <v>2440</v>
      </c>
      <c r="G255" s="294" t="s">
        <v>2437</v>
      </c>
      <c r="H255" s="294" t="s">
        <v>2438</v>
      </c>
      <c r="J255" t="s">
        <v>109</v>
      </c>
      <c r="K255" t="s">
        <v>1560</v>
      </c>
      <c r="L255" s="227" t="s">
        <v>503</v>
      </c>
      <c r="O255">
        <v>7000</v>
      </c>
      <c r="T255" s="38">
        <v>46144</v>
      </c>
      <c r="V255" t="s">
        <v>2390</v>
      </c>
      <c r="Y255" t="s">
        <v>2441</v>
      </c>
      <c r="AB255" s="40" t="s">
        <v>2442</v>
      </c>
    </row>
    <row r="260" spans="3:4" ht="18" customHeight="1">
      <c r="C260" s="275"/>
      <c r="D260" s="275"/>
    </row>
  </sheetData>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3" r:id="rId60" name="DeleteBtn_18">
              <controlPr defaultSize="0" print="0" autoFill="0" autoPict="0" macro="[0]!DeleteCustomer">
                <anchor moveWithCells="1" sizeWithCells="1">
                  <from>
                    <xdr:col>39</xdr:col>
                    <xdr:colOff>0</xdr:colOff>
                    <xdr:row>18</xdr:row>
                    <xdr:rowOff>0</xdr:rowOff>
                  </from>
                  <to>
                    <xdr:col>40</xdr:col>
                    <xdr:colOff>0</xdr:colOff>
                    <xdr:row>19</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57150</xdr:colOff>
                    <xdr:row>1</xdr:row>
                    <xdr:rowOff>28575</xdr:rowOff>
                  </from>
                  <to>
                    <xdr:col>0</xdr:col>
                    <xdr:colOff>1009650</xdr:colOff>
                    <xdr:row>1</xdr:row>
                    <xdr:rowOff>390525</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D72"/>
  <sheetViews>
    <sheetView topLeftCell="N42" zoomScaleNormal="100" workbookViewId="0">
      <selection activeCell="V52" sqref="V52"/>
    </sheetView>
  </sheetViews>
  <sheetFormatPr defaultRowHeight="15"/>
  <cols>
    <col min="15" max="15" width="21" customWidth="1"/>
  </cols>
  <sheetData>
    <row r="1" spans="1:30">
      <c r="J1" t="s">
        <v>109</v>
      </c>
      <c r="L1" t="s">
        <v>2257</v>
      </c>
      <c r="M1" t="s">
        <v>2258</v>
      </c>
      <c r="N1" t="s">
        <v>2259</v>
      </c>
      <c r="O1" t="s">
        <v>2260</v>
      </c>
      <c r="P1" t="s">
        <v>2291</v>
      </c>
      <c r="Q1" t="s">
        <v>2260</v>
      </c>
      <c r="S1" t="s">
        <v>2310</v>
      </c>
      <c r="T1" t="s">
        <v>2260</v>
      </c>
      <c r="U1" t="s">
        <v>1566</v>
      </c>
      <c r="V1" t="s">
        <v>1840</v>
      </c>
      <c r="W1" t="s">
        <v>2260</v>
      </c>
      <c r="X1" t="s">
        <v>1566</v>
      </c>
      <c r="Y1" t="s">
        <v>1841</v>
      </c>
      <c r="Z1" t="s">
        <v>2260</v>
      </c>
      <c r="AA1" t="s">
        <v>1566</v>
      </c>
      <c r="AB1" t="s">
        <v>2311</v>
      </c>
      <c r="AC1" t="s">
        <v>2260</v>
      </c>
      <c r="AD1" t="s">
        <v>1566</v>
      </c>
    </row>
    <row r="2" spans="1:30" hidden="1">
      <c r="A2" s="168">
        <v>125</v>
      </c>
      <c r="B2" s="168" t="s">
        <v>66</v>
      </c>
      <c r="C2" s="168" t="s">
        <v>200</v>
      </c>
      <c r="D2" s="168" t="s">
        <v>201</v>
      </c>
      <c r="E2" s="168"/>
      <c r="F2" s="168" t="s">
        <v>202</v>
      </c>
      <c r="G2" s="168" t="s">
        <v>203</v>
      </c>
      <c r="H2" s="168" t="s">
        <v>204</v>
      </c>
      <c r="I2" s="168">
        <v>14850</v>
      </c>
      <c r="J2" s="168" t="s">
        <v>196</v>
      </c>
      <c r="L2" s="168">
        <v>14850</v>
      </c>
      <c r="M2">
        <v>3500</v>
      </c>
      <c r="N2">
        <f>M2+L2</f>
        <v>18350</v>
      </c>
      <c r="P2">
        <f>I2</f>
        <v>14850</v>
      </c>
      <c r="S2">
        <f t="shared" ref="S2:S7" si="0">L2</f>
        <v>14850</v>
      </c>
      <c r="V2">
        <v>14850</v>
      </c>
    </row>
    <row r="3" spans="1:30" hidden="1">
      <c r="A3">
        <v>133</v>
      </c>
      <c r="B3" t="s">
        <v>66</v>
      </c>
      <c r="C3" t="s">
        <v>233</v>
      </c>
      <c r="D3" t="s">
        <v>234</v>
      </c>
      <c r="F3" t="s">
        <v>235</v>
      </c>
      <c r="G3" t="s">
        <v>236</v>
      </c>
      <c r="H3" t="s">
        <v>237</v>
      </c>
      <c r="I3">
        <v>6050</v>
      </c>
      <c r="J3" t="s">
        <v>109</v>
      </c>
      <c r="L3">
        <v>6050</v>
      </c>
      <c r="M3">
        <v>3500</v>
      </c>
      <c r="N3">
        <f t="shared" ref="N3:N60" si="1">M3+L3</f>
        <v>9550</v>
      </c>
      <c r="P3">
        <f t="shared" ref="P3:P62" si="2">I3</f>
        <v>6050</v>
      </c>
      <c r="S3">
        <f t="shared" si="0"/>
        <v>6050</v>
      </c>
      <c r="V3">
        <v>6050</v>
      </c>
    </row>
    <row r="4" spans="1:30">
      <c r="A4" s="168">
        <v>30</v>
      </c>
      <c r="B4" s="168" t="s">
        <v>103</v>
      </c>
      <c r="C4" s="168" t="s">
        <v>292</v>
      </c>
      <c r="D4" s="168" t="s">
        <v>293</v>
      </c>
      <c r="E4" s="168"/>
      <c r="F4" s="168" t="s">
        <v>294</v>
      </c>
      <c r="G4" s="168" t="s">
        <v>295</v>
      </c>
      <c r="H4" s="168" t="s">
        <v>296</v>
      </c>
      <c r="I4" s="168">
        <v>10900</v>
      </c>
      <c r="J4" s="168" t="s">
        <v>196</v>
      </c>
      <c r="L4" s="168">
        <v>10900</v>
      </c>
      <c r="M4">
        <v>3500</v>
      </c>
      <c r="N4">
        <f t="shared" si="1"/>
        <v>14400</v>
      </c>
      <c r="P4">
        <f t="shared" si="2"/>
        <v>10900</v>
      </c>
      <c r="S4">
        <f t="shared" si="0"/>
        <v>10900</v>
      </c>
      <c r="V4">
        <v>10900</v>
      </c>
      <c r="Y4">
        <v>10900</v>
      </c>
    </row>
    <row r="5" spans="1:30" ht="7.5" customHeight="1">
      <c r="A5" s="168">
        <v>113</v>
      </c>
      <c r="B5" s="168" t="s">
        <v>103</v>
      </c>
      <c r="C5" s="168" t="s">
        <v>412</v>
      </c>
      <c r="D5" s="168" t="s">
        <v>413</v>
      </c>
      <c r="E5" s="168"/>
      <c r="F5" s="168" t="s">
        <v>414</v>
      </c>
      <c r="G5" s="168" t="s">
        <v>415</v>
      </c>
      <c r="H5" s="168" t="s">
        <v>416</v>
      </c>
      <c r="I5" s="168">
        <v>6050</v>
      </c>
      <c r="J5" s="168" t="s">
        <v>109</v>
      </c>
      <c r="L5" s="168">
        <v>6050</v>
      </c>
      <c r="M5">
        <v>3500</v>
      </c>
      <c r="N5">
        <f t="shared" si="1"/>
        <v>9550</v>
      </c>
      <c r="P5">
        <f t="shared" si="2"/>
        <v>6050</v>
      </c>
      <c r="S5">
        <f t="shared" si="0"/>
        <v>6050</v>
      </c>
      <c r="V5">
        <v>6050</v>
      </c>
      <c r="Y5">
        <v>6050</v>
      </c>
    </row>
    <row r="6" spans="1:30">
      <c r="A6">
        <v>49</v>
      </c>
      <c r="B6" t="s">
        <v>103</v>
      </c>
      <c r="C6" t="s">
        <v>883</v>
      </c>
      <c r="D6" t="s">
        <v>421</v>
      </c>
      <c r="F6" t="s">
        <v>884</v>
      </c>
      <c r="G6" t="s">
        <v>885</v>
      </c>
      <c r="H6" t="s">
        <v>424</v>
      </c>
      <c r="I6" s="168">
        <v>6050</v>
      </c>
      <c r="J6" s="168" t="s">
        <v>109</v>
      </c>
      <c r="L6" s="168">
        <v>6050</v>
      </c>
      <c r="M6">
        <v>3500</v>
      </c>
      <c r="N6">
        <f t="shared" si="1"/>
        <v>9550</v>
      </c>
      <c r="P6">
        <f t="shared" si="2"/>
        <v>6050</v>
      </c>
      <c r="S6">
        <f t="shared" si="0"/>
        <v>6050</v>
      </c>
      <c r="V6">
        <v>6050</v>
      </c>
      <c r="Y6">
        <v>6050</v>
      </c>
    </row>
    <row r="7" spans="1:30">
      <c r="A7" s="168">
        <v>49</v>
      </c>
      <c r="B7" s="168" t="s">
        <v>103</v>
      </c>
      <c r="C7" t="s">
        <v>420</v>
      </c>
      <c r="D7" t="s">
        <v>421</v>
      </c>
      <c r="F7" t="s">
        <v>422</v>
      </c>
      <c r="G7" t="s">
        <v>423</v>
      </c>
      <c r="H7" t="s">
        <v>424</v>
      </c>
      <c r="I7">
        <v>6600</v>
      </c>
      <c r="J7" s="168" t="s">
        <v>109</v>
      </c>
      <c r="L7">
        <v>6600</v>
      </c>
      <c r="M7">
        <v>3500</v>
      </c>
      <c r="N7">
        <f t="shared" si="1"/>
        <v>10100</v>
      </c>
      <c r="P7">
        <f t="shared" si="2"/>
        <v>6600</v>
      </c>
      <c r="S7">
        <f t="shared" si="0"/>
        <v>6600</v>
      </c>
      <c r="V7">
        <v>6600</v>
      </c>
      <c r="Y7">
        <v>6600</v>
      </c>
    </row>
    <row r="8" spans="1:30">
      <c r="A8" s="168">
        <v>127</v>
      </c>
      <c r="B8" s="168" t="s">
        <v>103</v>
      </c>
      <c r="C8" s="168" t="s">
        <v>476</v>
      </c>
      <c r="D8" s="168" t="s">
        <v>483</v>
      </c>
      <c r="E8" s="168"/>
      <c r="F8" s="168" t="s">
        <v>484</v>
      </c>
      <c r="G8" s="168" t="s">
        <v>485</v>
      </c>
      <c r="H8" s="168" t="s">
        <v>486</v>
      </c>
      <c r="I8" s="168">
        <v>19800</v>
      </c>
      <c r="J8" s="168" t="s">
        <v>196</v>
      </c>
      <c r="L8" s="168">
        <v>19800</v>
      </c>
      <c r="M8">
        <v>3500</v>
      </c>
      <c r="N8">
        <f t="shared" si="1"/>
        <v>23300</v>
      </c>
      <c r="P8" s="160">
        <v>0</v>
      </c>
      <c r="S8" s="160">
        <v>12900</v>
      </c>
      <c r="T8" t="s">
        <v>2357</v>
      </c>
      <c r="V8">
        <v>12900</v>
      </c>
      <c r="Y8">
        <v>12900</v>
      </c>
    </row>
    <row r="9" spans="1:30">
      <c r="A9" s="168">
        <v>15</v>
      </c>
      <c r="B9" s="168" t="s">
        <v>103</v>
      </c>
      <c r="C9" s="168" t="s">
        <v>549</v>
      </c>
      <c r="D9" s="168" t="s">
        <v>550</v>
      </c>
      <c r="E9" s="168"/>
      <c r="F9" s="168" t="s">
        <v>551</v>
      </c>
      <c r="G9" s="168" t="s">
        <v>552</v>
      </c>
      <c r="H9" s="168" t="s">
        <v>553</v>
      </c>
      <c r="I9" s="168">
        <v>8800</v>
      </c>
      <c r="J9" s="168" t="s">
        <v>554</v>
      </c>
      <c r="L9" s="168">
        <v>8800</v>
      </c>
      <c r="M9">
        <v>3500</v>
      </c>
      <c r="N9">
        <f t="shared" si="1"/>
        <v>12300</v>
      </c>
      <c r="P9">
        <f t="shared" si="2"/>
        <v>8800</v>
      </c>
      <c r="S9">
        <f t="shared" ref="S9:S15" si="3">L9</f>
        <v>8800</v>
      </c>
      <c r="V9">
        <v>8800</v>
      </c>
      <c r="Y9">
        <v>8800</v>
      </c>
    </row>
    <row r="10" spans="1:30">
      <c r="A10">
        <v>112</v>
      </c>
      <c r="B10" t="s">
        <v>103</v>
      </c>
      <c r="C10" t="s">
        <v>581</v>
      </c>
      <c r="D10" t="s">
        <v>582</v>
      </c>
      <c r="F10" t="s">
        <v>583</v>
      </c>
      <c r="G10" t="s">
        <v>584</v>
      </c>
      <c r="H10" t="s">
        <v>585</v>
      </c>
      <c r="I10">
        <v>19800</v>
      </c>
      <c r="J10" s="168" t="s">
        <v>495</v>
      </c>
      <c r="L10">
        <v>19800</v>
      </c>
      <c r="M10">
        <v>3500</v>
      </c>
      <c r="N10">
        <f t="shared" si="1"/>
        <v>23300</v>
      </c>
      <c r="P10">
        <f t="shared" si="2"/>
        <v>19800</v>
      </c>
      <c r="S10">
        <f t="shared" si="3"/>
        <v>19800</v>
      </c>
      <c r="T10" s="197" t="s">
        <v>2413</v>
      </c>
      <c r="V10">
        <v>19800</v>
      </c>
      <c r="W10" s="197" t="s">
        <v>2412</v>
      </c>
      <c r="X10">
        <v>36600</v>
      </c>
      <c r="Y10" s="197">
        <v>1500</v>
      </c>
    </row>
    <row r="11" spans="1:30" hidden="1">
      <c r="A11" s="168">
        <v>104</v>
      </c>
      <c r="B11" s="168" t="s">
        <v>66</v>
      </c>
      <c r="C11" s="168" t="s">
        <v>786</v>
      </c>
      <c r="D11" s="168" t="s">
        <v>178</v>
      </c>
      <c r="E11" s="168"/>
      <c r="F11" s="168" t="s">
        <v>605</v>
      </c>
      <c r="G11" s="168" t="s">
        <v>606</v>
      </c>
      <c r="H11" s="168" t="s">
        <v>181</v>
      </c>
      <c r="I11" s="168">
        <v>6600</v>
      </c>
      <c r="J11" s="168" t="s">
        <v>109</v>
      </c>
      <c r="L11" s="168">
        <v>6600</v>
      </c>
      <c r="M11">
        <v>3500</v>
      </c>
      <c r="N11">
        <f t="shared" si="1"/>
        <v>10100</v>
      </c>
      <c r="P11">
        <f t="shared" si="2"/>
        <v>6600</v>
      </c>
      <c r="S11">
        <f t="shared" si="3"/>
        <v>6600</v>
      </c>
      <c r="V11">
        <v>6600</v>
      </c>
      <c r="Y11">
        <v>0</v>
      </c>
    </row>
    <row r="12" spans="1:30">
      <c r="A12">
        <v>104</v>
      </c>
      <c r="B12" s="168" t="s">
        <v>103</v>
      </c>
      <c r="C12" t="s">
        <v>604</v>
      </c>
      <c r="D12" t="s">
        <v>178</v>
      </c>
      <c r="F12" t="s">
        <v>1582</v>
      </c>
      <c r="G12" s="217" t="s">
        <v>1583</v>
      </c>
      <c r="H12" t="s">
        <v>181</v>
      </c>
      <c r="I12" s="168">
        <v>6050</v>
      </c>
      <c r="J12" s="168" t="s">
        <v>109</v>
      </c>
      <c r="L12" s="168">
        <v>6050</v>
      </c>
      <c r="M12">
        <v>3500</v>
      </c>
      <c r="N12">
        <f t="shared" si="1"/>
        <v>9550</v>
      </c>
      <c r="P12">
        <f t="shared" si="2"/>
        <v>6050</v>
      </c>
      <c r="S12">
        <f t="shared" si="3"/>
        <v>6050</v>
      </c>
      <c r="V12">
        <v>6050</v>
      </c>
      <c r="Y12">
        <v>6600</v>
      </c>
    </row>
    <row r="13" spans="1:30" ht="11.25" hidden="1" customHeight="1">
      <c r="A13" s="168">
        <v>152</v>
      </c>
      <c r="B13" s="168" t="s">
        <v>66</v>
      </c>
      <c r="C13" s="168" t="s">
        <v>653</v>
      </c>
      <c r="D13" s="168" t="s">
        <v>645</v>
      </c>
      <c r="E13" s="168"/>
      <c r="F13" s="168" t="s">
        <v>654</v>
      </c>
      <c r="G13" s="168" t="s">
        <v>655</v>
      </c>
      <c r="H13" s="168" t="s">
        <v>648</v>
      </c>
      <c r="I13" s="168">
        <v>6050</v>
      </c>
      <c r="J13" s="168" t="s">
        <v>109</v>
      </c>
      <c r="L13" s="168">
        <v>6050</v>
      </c>
      <c r="M13">
        <v>3500</v>
      </c>
      <c r="N13">
        <f t="shared" si="1"/>
        <v>9550</v>
      </c>
      <c r="P13">
        <f t="shared" si="2"/>
        <v>6050</v>
      </c>
      <c r="S13">
        <f t="shared" si="3"/>
        <v>6050</v>
      </c>
      <c r="V13">
        <v>6050</v>
      </c>
      <c r="Y13">
        <v>6050</v>
      </c>
    </row>
    <row r="14" spans="1:30" ht="12.75" hidden="1" customHeight="1">
      <c r="A14" s="168">
        <v>152</v>
      </c>
      <c r="B14" s="168" t="s">
        <v>66</v>
      </c>
      <c r="C14" t="s">
        <v>644</v>
      </c>
      <c r="D14" t="s">
        <v>645</v>
      </c>
      <c r="F14" t="s">
        <v>646</v>
      </c>
      <c r="G14" t="s">
        <v>647</v>
      </c>
      <c r="H14" t="s">
        <v>648</v>
      </c>
      <c r="I14">
        <v>6050</v>
      </c>
      <c r="J14" s="168" t="s">
        <v>109</v>
      </c>
      <c r="L14">
        <v>6050</v>
      </c>
      <c r="M14">
        <v>3500</v>
      </c>
      <c r="N14">
        <f t="shared" si="1"/>
        <v>9550</v>
      </c>
      <c r="P14">
        <f t="shared" si="2"/>
        <v>6050</v>
      </c>
      <c r="S14">
        <f t="shared" si="3"/>
        <v>6050</v>
      </c>
      <c r="V14">
        <v>6050</v>
      </c>
      <c r="Y14">
        <v>6050</v>
      </c>
    </row>
    <row r="15" spans="1:30">
      <c r="A15">
        <v>2</v>
      </c>
      <c r="B15" t="s">
        <v>103</v>
      </c>
      <c r="C15" t="s">
        <v>674</v>
      </c>
      <c r="D15" t="s">
        <v>675</v>
      </c>
      <c r="F15" t="s">
        <v>676</v>
      </c>
      <c r="G15" t="s">
        <v>677</v>
      </c>
      <c r="H15" t="s">
        <v>678</v>
      </c>
      <c r="I15" s="168">
        <v>6050</v>
      </c>
      <c r="J15" s="168" t="s">
        <v>196</v>
      </c>
      <c r="L15" s="168">
        <v>6050</v>
      </c>
      <c r="M15">
        <v>3500</v>
      </c>
      <c r="N15">
        <f t="shared" si="1"/>
        <v>9550</v>
      </c>
      <c r="P15">
        <f t="shared" si="2"/>
        <v>6050</v>
      </c>
      <c r="S15">
        <f t="shared" si="3"/>
        <v>6050</v>
      </c>
      <c r="V15">
        <v>6050</v>
      </c>
      <c r="Y15">
        <v>6050</v>
      </c>
    </row>
    <row r="16" spans="1:30">
      <c r="A16">
        <v>119</v>
      </c>
      <c r="B16" t="s">
        <v>103</v>
      </c>
      <c r="C16" t="s">
        <v>721</v>
      </c>
      <c r="D16" t="s">
        <v>722</v>
      </c>
      <c r="F16" t="s">
        <v>723</v>
      </c>
      <c r="G16" t="s">
        <v>724</v>
      </c>
      <c r="H16" t="s">
        <v>725</v>
      </c>
      <c r="I16" s="168">
        <v>59400</v>
      </c>
      <c r="J16" s="168" t="s">
        <v>196</v>
      </c>
      <c r="L16" s="168">
        <v>0</v>
      </c>
      <c r="M16">
        <v>3500</v>
      </c>
      <c r="N16">
        <f t="shared" si="1"/>
        <v>3500</v>
      </c>
      <c r="P16" s="160">
        <v>0</v>
      </c>
      <c r="S16" s="160">
        <v>0</v>
      </c>
      <c r="V16" s="197">
        <v>59400</v>
      </c>
      <c r="W16" t="s">
        <v>2398</v>
      </c>
      <c r="Y16">
        <v>59400</v>
      </c>
    </row>
    <row r="17" spans="1:29" ht="21.75" hidden="1" customHeight="1">
      <c r="A17">
        <v>129</v>
      </c>
      <c r="B17" t="s">
        <v>66</v>
      </c>
      <c r="C17" t="s">
        <v>762</v>
      </c>
      <c r="D17" t="s">
        <v>763</v>
      </c>
      <c r="F17" t="s">
        <v>764</v>
      </c>
      <c r="G17" t="s">
        <v>765</v>
      </c>
      <c r="H17" t="s">
        <v>766</v>
      </c>
      <c r="I17" s="168">
        <v>6600</v>
      </c>
      <c r="J17" s="168" t="s">
        <v>109</v>
      </c>
      <c r="L17" s="168">
        <v>6600</v>
      </c>
      <c r="M17">
        <v>3500</v>
      </c>
      <c r="N17">
        <f t="shared" si="1"/>
        <v>10100</v>
      </c>
      <c r="P17">
        <f t="shared" si="2"/>
        <v>6600</v>
      </c>
      <c r="S17">
        <f t="shared" ref="S17:S29" si="4">L17</f>
        <v>6600</v>
      </c>
      <c r="V17">
        <v>6600</v>
      </c>
      <c r="Y17">
        <v>6600</v>
      </c>
    </row>
    <row r="18" spans="1:29">
      <c r="A18" s="168">
        <v>137</v>
      </c>
      <c r="B18" s="168" t="s">
        <v>103</v>
      </c>
      <c r="C18" s="168" t="s">
        <v>1191</v>
      </c>
      <c r="D18" s="168" t="s">
        <v>1200</v>
      </c>
      <c r="E18" s="168" t="s">
        <v>1200</v>
      </c>
      <c r="F18" s="168" t="s">
        <v>1201</v>
      </c>
      <c r="G18" s="168" t="s">
        <v>1202</v>
      </c>
      <c r="H18" s="168" t="s">
        <v>833</v>
      </c>
      <c r="I18" s="168">
        <v>7000</v>
      </c>
      <c r="J18" s="168" t="s">
        <v>109</v>
      </c>
      <c r="L18" s="168">
        <v>7000</v>
      </c>
      <c r="M18">
        <v>3500</v>
      </c>
      <c r="N18">
        <f t="shared" si="1"/>
        <v>10500</v>
      </c>
      <c r="P18">
        <f t="shared" si="2"/>
        <v>7000</v>
      </c>
      <c r="S18">
        <f t="shared" si="4"/>
        <v>7000</v>
      </c>
      <c r="V18">
        <v>7000</v>
      </c>
      <c r="Y18">
        <v>7000</v>
      </c>
    </row>
    <row r="19" spans="1:29" hidden="1">
      <c r="A19">
        <v>29</v>
      </c>
      <c r="B19" t="s">
        <v>66</v>
      </c>
      <c r="C19" t="s">
        <v>838</v>
      </c>
      <c r="D19" t="s">
        <v>839</v>
      </c>
      <c r="F19" t="s">
        <v>840</v>
      </c>
      <c r="G19" t="s">
        <v>841</v>
      </c>
      <c r="H19" t="s">
        <v>842</v>
      </c>
      <c r="I19" s="168">
        <v>17600</v>
      </c>
      <c r="J19" s="168" t="s">
        <v>196</v>
      </c>
      <c r="L19" s="168">
        <v>17600</v>
      </c>
      <c r="M19">
        <v>3500</v>
      </c>
      <c r="N19">
        <f t="shared" si="1"/>
        <v>21100</v>
      </c>
      <c r="P19">
        <f t="shared" si="2"/>
        <v>17600</v>
      </c>
      <c r="S19">
        <f t="shared" si="4"/>
        <v>17600</v>
      </c>
      <c r="V19">
        <v>17600</v>
      </c>
      <c r="Y19">
        <v>17600</v>
      </c>
    </row>
    <row r="20" spans="1:29">
      <c r="A20" s="168">
        <v>135</v>
      </c>
      <c r="B20" s="168" t="s">
        <v>103</v>
      </c>
      <c r="C20" s="168" t="s">
        <v>867</v>
      </c>
      <c r="D20" s="168" t="s">
        <v>868</v>
      </c>
      <c r="E20" s="168"/>
      <c r="F20" s="168" t="s">
        <v>869</v>
      </c>
      <c r="G20" s="168" t="s">
        <v>870</v>
      </c>
      <c r="H20" s="168" t="s">
        <v>871</v>
      </c>
      <c r="I20" s="168">
        <v>9900</v>
      </c>
      <c r="J20" s="168" t="s">
        <v>495</v>
      </c>
      <c r="L20" s="168">
        <v>9900</v>
      </c>
      <c r="M20">
        <v>3500</v>
      </c>
      <c r="N20">
        <f t="shared" si="1"/>
        <v>13400</v>
      </c>
      <c r="P20">
        <f t="shared" si="2"/>
        <v>9900</v>
      </c>
      <c r="S20">
        <f t="shared" si="4"/>
        <v>9900</v>
      </c>
      <c r="V20">
        <v>16875</v>
      </c>
      <c r="W20" t="s">
        <v>2400</v>
      </c>
      <c r="Y20">
        <v>0</v>
      </c>
    </row>
    <row r="21" spans="1:29">
      <c r="A21" s="168">
        <v>135</v>
      </c>
      <c r="B21" s="168" t="s">
        <v>103</v>
      </c>
      <c r="C21" s="168" t="s">
        <v>867</v>
      </c>
      <c r="D21" s="168" t="s">
        <v>868</v>
      </c>
      <c r="E21" s="168"/>
      <c r="F21" s="168" t="s">
        <v>869</v>
      </c>
      <c r="G21" s="168" t="s">
        <v>870</v>
      </c>
      <c r="H21" s="168" t="s">
        <v>871</v>
      </c>
      <c r="I21" s="168">
        <v>3300</v>
      </c>
      <c r="J21" s="168" t="s">
        <v>495</v>
      </c>
      <c r="L21" s="168">
        <v>3300</v>
      </c>
      <c r="N21">
        <f t="shared" si="1"/>
        <v>3300</v>
      </c>
      <c r="P21">
        <f t="shared" si="2"/>
        <v>3300</v>
      </c>
      <c r="S21">
        <f t="shared" si="4"/>
        <v>3300</v>
      </c>
      <c r="V21">
        <v>0</v>
      </c>
    </row>
    <row r="22" spans="1:29" hidden="1">
      <c r="A22">
        <v>105</v>
      </c>
      <c r="B22" t="s">
        <v>66</v>
      </c>
      <c r="C22" t="s">
        <v>876</v>
      </c>
      <c r="D22" t="s">
        <v>877</v>
      </c>
      <c r="F22" t="s">
        <v>878</v>
      </c>
      <c r="G22" t="s">
        <v>879</v>
      </c>
      <c r="H22" t="s">
        <v>880</v>
      </c>
      <c r="I22" s="168">
        <v>14850</v>
      </c>
      <c r="J22" s="168" t="s">
        <v>196</v>
      </c>
      <c r="L22" s="168">
        <v>14850</v>
      </c>
      <c r="M22">
        <v>3500</v>
      </c>
      <c r="N22">
        <f t="shared" si="1"/>
        <v>18350</v>
      </c>
      <c r="P22">
        <f t="shared" si="2"/>
        <v>14850</v>
      </c>
      <c r="S22">
        <f t="shared" si="4"/>
        <v>14850</v>
      </c>
      <c r="V22">
        <v>14850</v>
      </c>
      <c r="Y22">
        <v>14850</v>
      </c>
    </row>
    <row r="23" spans="1:29">
      <c r="A23" s="168">
        <v>157</v>
      </c>
      <c r="B23" s="168" t="s">
        <v>103</v>
      </c>
      <c r="C23" s="168" t="s">
        <v>890</v>
      </c>
      <c r="D23" s="168" t="s">
        <v>891</v>
      </c>
      <c r="E23" s="168"/>
      <c r="F23" s="168" t="s">
        <v>892</v>
      </c>
      <c r="G23" s="168" t="s">
        <v>893</v>
      </c>
      <c r="H23" s="168" t="s">
        <v>894</v>
      </c>
      <c r="I23" s="168">
        <v>11700</v>
      </c>
      <c r="J23" s="168" t="s">
        <v>109</v>
      </c>
      <c r="L23" s="168">
        <v>11700</v>
      </c>
      <c r="M23">
        <v>3500</v>
      </c>
      <c r="N23">
        <f t="shared" si="1"/>
        <v>15200</v>
      </c>
      <c r="P23">
        <f t="shared" si="2"/>
        <v>11700</v>
      </c>
      <c r="S23">
        <f t="shared" si="4"/>
        <v>11700</v>
      </c>
      <c r="V23">
        <v>11700</v>
      </c>
      <c r="Y23">
        <v>11700</v>
      </c>
    </row>
    <row r="24" spans="1:29">
      <c r="A24">
        <v>22</v>
      </c>
      <c r="B24" t="s">
        <v>103</v>
      </c>
      <c r="C24" t="s">
        <v>896</v>
      </c>
      <c r="D24" t="s">
        <v>902</v>
      </c>
      <c r="F24" t="s">
        <v>903</v>
      </c>
      <c r="G24" t="s">
        <v>904</v>
      </c>
      <c r="H24" t="s">
        <v>905</v>
      </c>
      <c r="I24" s="168">
        <v>17600</v>
      </c>
      <c r="J24" s="168" t="s">
        <v>196</v>
      </c>
      <c r="L24" s="168">
        <v>17600</v>
      </c>
      <c r="M24">
        <v>3500</v>
      </c>
      <c r="N24">
        <f t="shared" si="1"/>
        <v>21100</v>
      </c>
      <c r="P24">
        <f t="shared" si="2"/>
        <v>17600</v>
      </c>
      <c r="S24">
        <f t="shared" si="4"/>
        <v>17600</v>
      </c>
      <c r="V24">
        <v>17600</v>
      </c>
      <c r="Y24">
        <v>17600</v>
      </c>
    </row>
    <row r="25" spans="1:29">
      <c r="A25">
        <v>139</v>
      </c>
      <c r="B25" t="s">
        <v>103</v>
      </c>
      <c r="C25" t="s">
        <v>990</v>
      </c>
      <c r="D25" t="s">
        <v>991</v>
      </c>
      <c r="F25" t="s">
        <v>992</v>
      </c>
      <c r="G25" t="s">
        <v>993</v>
      </c>
      <c r="H25" t="s">
        <v>994</v>
      </c>
      <c r="I25" s="168">
        <v>12100</v>
      </c>
      <c r="J25" s="168" t="s">
        <v>109</v>
      </c>
      <c r="L25" s="168">
        <v>12100</v>
      </c>
      <c r="M25">
        <v>3500</v>
      </c>
      <c r="N25">
        <f t="shared" si="1"/>
        <v>15600</v>
      </c>
      <c r="P25">
        <f t="shared" si="2"/>
        <v>12100</v>
      </c>
      <c r="S25">
        <f t="shared" si="4"/>
        <v>12100</v>
      </c>
      <c r="V25">
        <v>12100</v>
      </c>
      <c r="Y25">
        <v>12100</v>
      </c>
      <c r="AB25" s="197">
        <v>14300</v>
      </c>
      <c r="AC25" t="s">
        <v>2448</v>
      </c>
    </row>
    <row r="26" spans="1:29">
      <c r="A26">
        <v>149</v>
      </c>
      <c r="B26" t="s">
        <v>103</v>
      </c>
      <c r="C26" t="s">
        <v>1107</v>
      </c>
      <c r="D26" t="s">
        <v>1116</v>
      </c>
      <c r="F26" t="s">
        <v>1117</v>
      </c>
      <c r="G26" t="s">
        <v>1118</v>
      </c>
      <c r="H26" t="s">
        <v>1119</v>
      </c>
      <c r="I26" s="168">
        <v>19800</v>
      </c>
      <c r="J26" s="168" t="s">
        <v>196</v>
      </c>
      <c r="L26" s="168">
        <v>19800</v>
      </c>
      <c r="M26">
        <v>3500</v>
      </c>
      <c r="N26">
        <f t="shared" si="1"/>
        <v>23300</v>
      </c>
      <c r="P26">
        <f t="shared" si="2"/>
        <v>19800</v>
      </c>
      <c r="S26">
        <f t="shared" si="4"/>
        <v>19800</v>
      </c>
      <c r="V26">
        <v>19800</v>
      </c>
      <c r="Y26">
        <v>19800</v>
      </c>
    </row>
    <row r="27" spans="1:29">
      <c r="A27" s="168">
        <v>138</v>
      </c>
      <c r="B27" s="168" t="s">
        <v>103</v>
      </c>
      <c r="C27" s="168" t="s">
        <v>1218</v>
      </c>
      <c r="D27" s="168" t="s">
        <v>1122</v>
      </c>
      <c r="E27" s="168"/>
      <c r="F27" s="168" t="s">
        <v>1219</v>
      </c>
      <c r="G27" s="168" t="s">
        <v>1220</v>
      </c>
      <c r="H27" s="168" t="s">
        <v>1125</v>
      </c>
      <c r="I27" s="168">
        <v>6600</v>
      </c>
      <c r="J27" s="168" t="s">
        <v>109</v>
      </c>
      <c r="L27" s="168">
        <v>6600</v>
      </c>
      <c r="M27">
        <v>3500</v>
      </c>
      <c r="N27">
        <f t="shared" si="1"/>
        <v>10100</v>
      </c>
      <c r="P27">
        <f t="shared" si="2"/>
        <v>6600</v>
      </c>
      <c r="S27">
        <f t="shared" si="4"/>
        <v>6600</v>
      </c>
      <c r="V27">
        <v>6600</v>
      </c>
      <c r="Y27">
        <v>6600</v>
      </c>
    </row>
    <row r="28" spans="1:29">
      <c r="A28">
        <v>140</v>
      </c>
      <c r="B28" t="s">
        <v>103</v>
      </c>
      <c r="C28" t="s">
        <v>631</v>
      </c>
      <c r="D28" t="s">
        <v>632</v>
      </c>
      <c r="F28" t="s">
        <v>1222</v>
      </c>
      <c r="G28" t="s">
        <v>1223</v>
      </c>
      <c r="H28" t="s">
        <v>635</v>
      </c>
      <c r="I28" s="168">
        <v>6050</v>
      </c>
      <c r="J28" s="168" t="s">
        <v>109</v>
      </c>
      <c r="L28" s="168">
        <v>6050</v>
      </c>
      <c r="M28">
        <v>3500</v>
      </c>
      <c r="N28">
        <f t="shared" si="1"/>
        <v>9550</v>
      </c>
      <c r="P28">
        <f t="shared" si="2"/>
        <v>6050</v>
      </c>
      <c r="S28">
        <f t="shared" si="4"/>
        <v>6050</v>
      </c>
      <c r="V28">
        <v>6050</v>
      </c>
      <c r="Y28">
        <v>6050</v>
      </c>
    </row>
    <row r="29" spans="1:29">
      <c r="A29">
        <v>120</v>
      </c>
      <c r="B29" t="s">
        <v>103</v>
      </c>
      <c r="C29" t="s">
        <v>1239</v>
      </c>
      <c r="D29" t="s">
        <v>1240</v>
      </c>
      <c r="F29" t="s">
        <v>1241</v>
      </c>
      <c r="G29" t="s">
        <v>1242</v>
      </c>
      <c r="H29" t="s">
        <v>1243</v>
      </c>
      <c r="I29" s="168">
        <v>15000</v>
      </c>
      <c r="J29" s="168" t="s">
        <v>495</v>
      </c>
      <c r="L29" s="168">
        <v>15000</v>
      </c>
      <c r="M29">
        <v>3500</v>
      </c>
      <c r="N29">
        <f t="shared" si="1"/>
        <v>18500</v>
      </c>
      <c r="P29">
        <f t="shared" si="2"/>
        <v>15000</v>
      </c>
      <c r="S29">
        <f t="shared" si="4"/>
        <v>15000</v>
      </c>
      <c r="V29">
        <v>15000</v>
      </c>
      <c r="Y29">
        <v>15000</v>
      </c>
    </row>
    <row r="30" spans="1:29">
      <c r="A30" s="168">
        <v>134</v>
      </c>
      <c r="B30" s="168" t="s">
        <v>103</v>
      </c>
      <c r="C30" s="168" t="s">
        <v>1258</v>
      </c>
      <c r="D30" s="168" t="s">
        <v>1259</v>
      </c>
      <c r="E30" s="168"/>
      <c r="F30" s="168" t="s">
        <v>1260</v>
      </c>
      <c r="G30" s="168" t="s">
        <v>1261</v>
      </c>
      <c r="H30" s="168" t="s">
        <v>1262</v>
      </c>
      <c r="I30" s="168">
        <v>9900</v>
      </c>
      <c r="J30" s="168" t="s">
        <v>495</v>
      </c>
      <c r="L30" s="168">
        <v>9900</v>
      </c>
      <c r="M30">
        <v>3500</v>
      </c>
      <c r="N30">
        <f t="shared" si="1"/>
        <v>13400</v>
      </c>
      <c r="P30">
        <v>13200</v>
      </c>
      <c r="S30" s="160">
        <v>16500</v>
      </c>
      <c r="T30" t="s">
        <v>2333</v>
      </c>
      <c r="V30">
        <v>16500</v>
      </c>
      <c r="Y30">
        <v>16500</v>
      </c>
    </row>
    <row r="31" spans="1:29">
      <c r="A31">
        <v>20</v>
      </c>
      <c r="B31" t="s">
        <v>103</v>
      </c>
      <c r="C31" t="s">
        <v>1290</v>
      </c>
      <c r="D31" t="s">
        <v>1032</v>
      </c>
      <c r="F31" t="s">
        <v>1291</v>
      </c>
      <c r="G31" t="s">
        <v>1292</v>
      </c>
      <c r="H31" t="s">
        <v>1035</v>
      </c>
      <c r="I31" s="168">
        <v>14800</v>
      </c>
      <c r="J31" s="168" t="s">
        <v>196</v>
      </c>
      <c r="L31" s="168">
        <v>14800</v>
      </c>
      <c r="M31">
        <v>3500</v>
      </c>
      <c r="N31">
        <f t="shared" si="1"/>
        <v>18300</v>
      </c>
      <c r="P31">
        <f>I31</f>
        <v>14800</v>
      </c>
      <c r="S31">
        <f t="shared" ref="S31:S60" si="5">L31</f>
        <v>14800</v>
      </c>
      <c r="V31">
        <v>14800</v>
      </c>
      <c r="Y31">
        <v>14800</v>
      </c>
    </row>
    <row r="32" spans="1:29">
      <c r="A32" s="168">
        <v>142</v>
      </c>
      <c r="B32" s="168" t="s">
        <v>103</v>
      </c>
      <c r="C32" s="168" t="s">
        <v>1309</v>
      </c>
      <c r="D32" s="168" t="s">
        <v>763</v>
      </c>
      <c r="E32" s="168"/>
      <c r="F32" s="168" t="s">
        <v>1310</v>
      </c>
      <c r="G32" s="168" t="s">
        <v>1311</v>
      </c>
      <c r="H32" s="168" t="s">
        <v>766</v>
      </c>
      <c r="I32" s="168">
        <v>6600</v>
      </c>
      <c r="J32" s="168" t="s">
        <v>109</v>
      </c>
      <c r="L32" s="168">
        <v>6600</v>
      </c>
      <c r="M32">
        <v>3500</v>
      </c>
      <c r="N32">
        <f t="shared" si="1"/>
        <v>10100</v>
      </c>
      <c r="P32">
        <f t="shared" si="2"/>
        <v>6600</v>
      </c>
      <c r="S32">
        <f t="shared" si="5"/>
        <v>6600</v>
      </c>
      <c r="V32">
        <v>6600</v>
      </c>
      <c r="Y32">
        <v>6600</v>
      </c>
    </row>
    <row r="33" spans="1:29">
      <c r="A33" s="168">
        <v>100</v>
      </c>
      <c r="B33" s="168" t="s">
        <v>103</v>
      </c>
      <c r="C33" s="168" t="s">
        <v>1391</v>
      </c>
      <c r="D33" s="168" t="s">
        <v>381</v>
      </c>
      <c r="E33" s="168"/>
      <c r="F33" s="168" t="s">
        <v>1392</v>
      </c>
      <c r="G33" s="168" t="s">
        <v>1393</v>
      </c>
      <c r="H33" s="168" t="s">
        <v>384</v>
      </c>
      <c r="I33" s="168">
        <v>6050</v>
      </c>
      <c r="J33" s="168" t="s">
        <v>109</v>
      </c>
      <c r="L33" s="168">
        <v>6050</v>
      </c>
      <c r="M33">
        <v>3500</v>
      </c>
      <c r="N33">
        <f t="shared" si="1"/>
        <v>9550</v>
      </c>
      <c r="P33">
        <f t="shared" si="2"/>
        <v>6050</v>
      </c>
      <c r="S33">
        <f t="shared" si="5"/>
        <v>6050</v>
      </c>
      <c r="V33">
        <v>6050</v>
      </c>
      <c r="Y33">
        <v>6050</v>
      </c>
    </row>
    <row r="34" spans="1:29">
      <c r="A34">
        <v>121</v>
      </c>
      <c r="B34" t="s">
        <v>103</v>
      </c>
      <c r="C34" t="s">
        <v>1402</v>
      </c>
      <c r="D34" t="s">
        <v>1116</v>
      </c>
      <c r="F34" t="s">
        <v>1310</v>
      </c>
      <c r="G34" t="s">
        <v>1403</v>
      </c>
      <c r="H34" t="s">
        <v>1119</v>
      </c>
      <c r="I34" s="168">
        <v>6600</v>
      </c>
      <c r="J34" s="168" t="s">
        <v>1956</v>
      </c>
      <c r="L34" s="168">
        <v>17600</v>
      </c>
      <c r="M34">
        <v>3500</v>
      </c>
      <c r="N34">
        <f t="shared" si="1"/>
        <v>21100</v>
      </c>
      <c r="O34" t="s">
        <v>2264</v>
      </c>
      <c r="P34">
        <f t="shared" si="2"/>
        <v>6600</v>
      </c>
      <c r="S34">
        <f t="shared" si="5"/>
        <v>17600</v>
      </c>
      <c r="V34">
        <v>17600</v>
      </c>
      <c r="Y34">
        <v>17600</v>
      </c>
    </row>
    <row r="35" spans="1:29">
      <c r="A35" s="168">
        <v>95</v>
      </c>
      <c r="B35" s="168" t="s">
        <v>103</v>
      </c>
      <c r="C35" s="168" t="s">
        <v>1413</v>
      </c>
      <c r="D35" s="168" t="s">
        <v>1414</v>
      </c>
      <c r="E35" s="168"/>
      <c r="F35" s="168" t="s">
        <v>1415</v>
      </c>
      <c r="G35" s="168" t="s">
        <v>1416</v>
      </c>
      <c r="H35" s="168" t="s">
        <v>1417</v>
      </c>
      <c r="I35" s="168">
        <v>19800</v>
      </c>
      <c r="J35" s="168" t="s">
        <v>109</v>
      </c>
      <c r="L35" s="168">
        <v>19800</v>
      </c>
      <c r="M35">
        <v>3500</v>
      </c>
      <c r="N35">
        <f t="shared" si="1"/>
        <v>23300</v>
      </c>
      <c r="P35">
        <f t="shared" si="2"/>
        <v>19800</v>
      </c>
      <c r="S35">
        <f t="shared" si="5"/>
        <v>19800</v>
      </c>
      <c r="V35">
        <v>19800</v>
      </c>
      <c r="Y35">
        <v>19800</v>
      </c>
    </row>
    <row r="36" spans="1:29">
      <c r="A36">
        <v>151</v>
      </c>
      <c r="B36" t="s">
        <v>103</v>
      </c>
      <c r="C36" t="s">
        <v>1290</v>
      </c>
      <c r="D36" t="s">
        <v>1464</v>
      </c>
      <c r="H36" t="s">
        <v>1467</v>
      </c>
      <c r="I36" s="168">
        <v>19800</v>
      </c>
      <c r="J36" s="168" t="s">
        <v>196</v>
      </c>
      <c r="L36" s="168">
        <v>19800</v>
      </c>
      <c r="M36">
        <v>3500</v>
      </c>
      <c r="N36">
        <f t="shared" si="1"/>
        <v>23300</v>
      </c>
      <c r="P36">
        <f t="shared" si="2"/>
        <v>19800</v>
      </c>
      <c r="S36">
        <f t="shared" si="5"/>
        <v>19800</v>
      </c>
      <c r="V36">
        <v>19800</v>
      </c>
      <c r="Y36">
        <v>19800</v>
      </c>
    </row>
    <row r="37" spans="1:29">
      <c r="A37" s="168">
        <v>160</v>
      </c>
      <c r="B37" s="168" t="s">
        <v>103</v>
      </c>
      <c r="C37" t="s">
        <v>490</v>
      </c>
      <c r="D37" t="s">
        <v>491</v>
      </c>
      <c r="F37" t="s">
        <v>492</v>
      </c>
      <c r="G37" t="s">
        <v>493</v>
      </c>
      <c r="H37" t="s">
        <v>494</v>
      </c>
      <c r="I37" s="217">
        <v>9500</v>
      </c>
      <c r="J37" t="s">
        <v>109</v>
      </c>
      <c r="L37" s="217">
        <v>20500</v>
      </c>
      <c r="M37">
        <v>3500</v>
      </c>
      <c r="N37">
        <f t="shared" si="1"/>
        <v>24000</v>
      </c>
      <c r="P37">
        <f t="shared" si="2"/>
        <v>9500</v>
      </c>
      <c r="S37">
        <f t="shared" si="5"/>
        <v>20500</v>
      </c>
      <c r="V37">
        <v>20500</v>
      </c>
      <c r="Y37">
        <v>20500</v>
      </c>
    </row>
    <row r="38" spans="1:29">
      <c r="A38" s="168">
        <v>160</v>
      </c>
      <c r="B38" s="168" t="s">
        <v>103</v>
      </c>
      <c r="C38" s="168" t="s">
        <v>500</v>
      </c>
      <c r="D38" s="168" t="s">
        <v>491</v>
      </c>
      <c r="E38" s="168"/>
      <c r="F38" s="168" t="s">
        <v>501</v>
      </c>
      <c r="G38" s="168" t="s">
        <v>502</v>
      </c>
      <c r="H38" s="168" t="s">
        <v>494</v>
      </c>
      <c r="I38" s="217">
        <v>7000</v>
      </c>
      <c r="J38" t="s">
        <v>109</v>
      </c>
      <c r="L38" s="217">
        <v>7000</v>
      </c>
      <c r="M38">
        <v>3500</v>
      </c>
      <c r="N38">
        <f t="shared" si="1"/>
        <v>10500</v>
      </c>
      <c r="P38">
        <f t="shared" si="2"/>
        <v>7000</v>
      </c>
      <c r="S38">
        <f t="shared" si="5"/>
        <v>7000</v>
      </c>
      <c r="V38">
        <v>7000</v>
      </c>
      <c r="W38" s="197" t="s">
        <v>2414</v>
      </c>
      <c r="Y38">
        <v>7900</v>
      </c>
      <c r="AB38" s="197">
        <v>7600</v>
      </c>
    </row>
    <row r="39" spans="1:29">
      <c r="A39" s="168">
        <v>160</v>
      </c>
      <c r="B39" s="168" t="s">
        <v>103</v>
      </c>
      <c r="C39" t="s">
        <v>505</v>
      </c>
      <c r="D39" t="s">
        <v>491</v>
      </c>
      <c r="F39" t="s">
        <v>506</v>
      </c>
      <c r="G39" t="s">
        <v>507</v>
      </c>
      <c r="H39" t="s">
        <v>494</v>
      </c>
      <c r="I39" s="217">
        <v>20500</v>
      </c>
      <c r="J39" t="s">
        <v>109</v>
      </c>
      <c r="L39" s="217">
        <v>9500</v>
      </c>
      <c r="M39">
        <v>3500</v>
      </c>
      <c r="N39">
        <f t="shared" si="1"/>
        <v>13000</v>
      </c>
      <c r="P39">
        <f t="shared" si="2"/>
        <v>20500</v>
      </c>
      <c r="S39">
        <f t="shared" si="5"/>
        <v>9500</v>
      </c>
      <c r="V39">
        <v>9500</v>
      </c>
      <c r="Y39">
        <v>9500</v>
      </c>
    </row>
    <row r="40" spans="1:29">
      <c r="A40">
        <v>165</v>
      </c>
      <c r="B40" t="s">
        <v>103</v>
      </c>
      <c r="C40" t="s">
        <v>1471</v>
      </c>
      <c r="D40" t="s">
        <v>741</v>
      </c>
      <c r="F40" t="s">
        <v>1472</v>
      </c>
      <c r="G40" t="s">
        <v>1473</v>
      </c>
      <c r="H40" t="s">
        <v>744</v>
      </c>
      <c r="I40" s="168">
        <v>6600</v>
      </c>
      <c r="J40" t="s">
        <v>109</v>
      </c>
      <c r="L40" s="168">
        <v>6600</v>
      </c>
      <c r="M40">
        <v>3500</v>
      </c>
      <c r="N40">
        <f t="shared" si="1"/>
        <v>10100</v>
      </c>
      <c r="P40">
        <f t="shared" si="2"/>
        <v>6600</v>
      </c>
      <c r="S40">
        <f t="shared" si="5"/>
        <v>6600</v>
      </c>
      <c r="V40">
        <v>6600</v>
      </c>
      <c r="Y40">
        <v>6600</v>
      </c>
    </row>
    <row r="41" spans="1:29">
      <c r="A41" s="168"/>
      <c r="B41" s="168" t="s">
        <v>103</v>
      </c>
      <c r="C41" s="168" t="s">
        <v>1471</v>
      </c>
      <c r="D41" s="168" t="s">
        <v>1495</v>
      </c>
      <c r="E41" s="168"/>
      <c r="F41" s="168" t="s">
        <v>1472</v>
      </c>
      <c r="G41" s="168" t="s">
        <v>1496</v>
      </c>
      <c r="H41" s="168" t="s">
        <v>1497</v>
      </c>
      <c r="I41" s="168">
        <v>7000</v>
      </c>
      <c r="J41" t="s">
        <v>109</v>
      </c>
      <c r="L41" s="168">
        <v>7000</v>
      </c>
      <c r="M41">
        <v>3500</v>
      </c>
      <c r="N41">
        <f t="shared" si="1"/>
        <v>10500</v>
      </c>
      <c r="P41">
        <f t="shared" si="2"/>
        <v>7000</v>
      </c>
      <c r="S41">
        <f t="shared" si="5"/>
        <v>7000</v>
      </c>
      <c r="V41">
        <v>7000</v>
      </c>
      <c r="Y41">
        <v>7000</v>
      </c>
    </row>
    <row r="42" spans="1:29">
      <c r="A42">
        <v>166</v>
      </c>
      <c r="B42" t="s">
        <v>103</v>
      </c>
      <c r="C42" t="s">
        <v>1500</v>
      </c>
      <c r="D42" t="s">
        <v>1501</v>
      </c>
      <c r="F42" t="s">
        <v>1502</v>
      </c>
      <c r="G42" t="s">
        <v>1503</v>
      </c>
      <c r="H42" t="s">
        <v>1504</v>
      </c>
      <c r="I42" s="168">
        <v>7000</v>
      </c>
      <c r="J42" t="s">
        <v>109</v>
      </c>
      <c r="L42" s="168">
        <v>7000</v>
      </c>
      <c r="M42">
        <v>3500</v>
      </c>
      <c r="N42">
        <f t="shared" si="1"/>
        <v>10500</v>
      </c>
      <c r="P42">
        <f t="shared" si="2"/>
        <v>7000</v>
      </c>
      <c r="S42">
        <f t="shared" si="5"/>
        <v>7000</v>
      </c>
      <c r="V42">
        <v>7000</v>
      </c>
      <c r="Y42">
        <v>7000</v>
      </c>
    </row>
    <row r="43" spans="1:29" hidden="1">
      <c r="A43" s="168">
        <v>167</v>
      </c>
      <c r="B43" s="168" t="s">
        <v>66</v>
      </c>
      <c r="C43" s="168" t="s">
        <v>1509</v>
      </c>
      <c r="D43" s="168" t="s">
        <v>1510</v>
      </c>
      <c r="E43" s="168"/>
      <c r="F43" s="168" t="s">
        <v>1511</v>
      </c>
      <c r="G43" s="168" t="s">
        <v>1512</v>
      </c>
      <c r="H43" s="168" t="s">
        <v>1513</v>
      </c>
      <c r="I43" s="168">
        <v>7000</v>
      </c>
      <c r="J43" t="s">
        <v>109</v>
      </c>
      <c r="L43" s="218">
        <v>7000</v>
      </c>
      <c r="M43" s="197">
        <v>3500</v>
      </c>
      <c r="N43" s="197">
        <f t="shared" si="1"/>
        <v>10500</v>
      </c>
      <c r="O43" t="s">
        <v>2265</v>
      </c>
      <c r="P43">
        <f t="shared" si="2"/>
        <v>7000</v>
      </c>
      <c r="S43">
        <f t="shared" si="5"/>
        <v>7000</v>
      </c>
      <c r="V43">
        <v>7000</v>
      </c>
      <c r="Y43">
        <v>7000</v>
      </c>
    </row>
    <row r="44" spans="1:29">
      <c r="A44">
        <v>168</v>
      </c>
      <c r="B44" t="s">
        <v>103</v>
      </c>
      <c r="C44" t="s">
        <v>1517</v>
      </c>
      <c r="D44" t="s">
        <v>1518</v>
      </c>
      <c r="F44" t="s">
        <v>1519</v>
      </c>
      <c r="G44" t="s">
        <v>1520</v>
      </c>
      <c r="H44" t="s">
        <v>1521</v>
      </c>
      <c r="I44" s="168">
        <v>7000</v>
      </c>
      <c r="J44" t="s">
        <v>109</v>
      </c>
      <c r="L44" s="168">
        <v>7000</v>
      </c>
      <c r="M44">
        <v>3500</v>
      </c>
      <c r="N44">
        <f t="shared" si="1"/>
        <v>10500</v>
      </c>
      <c r="P44">
        <f t="shared" si="2"/>
        <v>7000</v>
      </c>
      <c r="S44">
        <f t="shared" si="5"/>
        <v>7000</v>
      </c>
      <c r="V44">
        <v>7000</v>
      </c>
      <c r="Y44">
        <v>7000</v>
      </c>
    </row>
    <row r="45" spans="1:29">
      <c r="A45" s="168">
        <v>169</v>
      </c>
      <c r="B45" s="168" t="s">
        <v>103</v>
      </c>
      <c r="C45" s="168" t="s">
        <v>1525</v>
      </c>
      <c r="D45" s="168" t="s">
        <v>1526</v>
      </c>
      <c r="E45" s="168"/>
      <c r="F45" s="168" t="s">
        <v>1527</v>
      </c>
      <c r="G45" s="168" t="s">
        <v>1528</v>
      </c>
      <c r="H45" s="168" t="s">
        <v>1529</v>
      </c>
      <c r="I45" s="168">
        <v>7000</v>
      </c>
      <c r="J45" t="s">
        <v>109</v>
      </c>
      <c r="L45" s="168">
        <v>7000</v>
      </c>
      <c r="M45">
        <v>3500</v>
      </c>
      <c r="N45">
        <f t="shared" si="1"/>
        <v>10500</v>
      </c>
      <c r="P45">
        <f t="shared" si="2"/>
        <v>7000</v>
      </c>
      <c r="S45">
        <f t="shared" si="5"/>
        <v>7000</v>
      </c>
      <c r="V45">
        <v>7000</v>
      </c>
      <c r="Y45">
        <v>7000</v>
      </c>
      <c r="AB45" s="197">
        <v>0</v>
      </c>
      <c r="AC45" t="s">
        <v>2425</v>
      </c>
    </row>
    <row r="46" spans="1:29">
      <c r="A46">
        <v>170</v>
      </c>
      <c r="B46" t="s">
        <v>103</v>
      </c>
      <c r="C46" t="s">
        <v>1533</v>
      </c>
      <c r="D46" t="s">
        <v>855</v>
      </c>
      <c r="F46" t="s">
        <v>1534</v>
      </c>
      <c r="G46" t="s">
        <v>1535</v>
      </c>
      <c r="H46" t="s">
        <v>1536</v>
      </c>
      <c r="I46" s="168">
        <v>7000</v>
      </c>
      <c r="J46" t="s">
        <v>109</v>
      </c>
      <c r="L46" s="168">
        <v>7000</v>
      </c>
      <c r="M46">
        <v>3500</v>
      </c>
      <c r="N46">
        <f t="shared" si="1"/>
        <v>10500</v>
      </c>
      <c r="P46">
        <f t="shared" si="2"/>
        <v>7000</v>
      </c>
      <c r="S46">
        <f t="shared" si="5"/>
        <v>7000</v>
      </c>
      <c r="V46">
        <v>7000</v>
      </c>
      <c r="Y46">
        <v>7000</v>
      </c>
    </row>
    <row r="47" spans="1:29">
      <c r="A47" s="168">
        <v>171</v>
      </c>
      <c r="B47" s="168" t="s">
        <v>103</v>
      </c>
      <c r="C47" s="168" t="s">
        <v>1391</v>
      </c>
      <c r="D47" s="168" t="s">
        <v>491</v>
      </c>
      <c r="E47" s="168"/>
      <c r="F47" s="168" t="s">
        <v>1538</v>
      </c>
      <c r="G47" s="168" t="s">
        <v>1539</v>
      </c>
      <c r="H47" s="168" t="s">
        <v>494</v>
      </c>
      <c r="I47" s="168">
        <v>7000</v>
      </c>
      <c r="J47" t="s">
        <v>109</v>
      </c>
      <c r="L47" s="168">
        <v>7000</v>
      </c>
      <c r="M47">
        <v>3500</v>
      </c>
      <c r="N47">
        <f t="shared" si="1"/>
        <v>10500</v>
      </c>
      <c r="P47">
        <f t="shared" si="2"/>
        <v>7000</v>
      </c>
      <c r="S47">
        <f t="shared" si="5"/>
        <v>7000</v>
      </c>
      <c r="V47">
        <v>7000</v>
      </c>
      <c r="Y47">
        <v>12100</v>
      </c>
    </row>
    <row r="48" spans="1:29">
      <c r="A48">
        <v>172</v>
      </c>
      <c r="B48" t="s">
        <v>103</v>
      </c>
      <c r="C48" t="s">
        <v>1541</v>
      </c>
      <c r="D48" t="s">
        <v>1542</v>
      </c>
      <c r="F48" t="s">
        <v>1543</v>
      </c>
      <c r="G48" t="s">
        <v>1544</v>
      </c>
      <c r="H48" t="s">
        <v>1545</v>
      </c>
      <c r="I48" s="168">
        <v>12100</v>
      </c>
      <c r="J48" t="s">
        <v>109</v>
      </c>
      <c r="L48" s="168">
        <v>12100</v>
      </c>
      <c r="M48">
        <v>3500</v>
      </c>
      <c r="N48">
        <f t="shared" si="1"/>
        <v>15600</v>
      </c>
      <c r="P48">
        <f t="shared" si="2"/>
        <v>12100</v>
      </c>
      <c r="S48">
        <f t="shared" si="5"/>
        <v>12100</v>
      </c>
      <c r="V48">
        <v>12100</v>
      </c>
      <c r="Y48">
        <v>9500</v>
      </c>
    </row>
    <row r="49" spans="1:29">
      <c r="A49" s="168">
        <v>173</v>
      </c>
      <c r="B49" s="168" t="s">
        <v>103</v>
      </c>
      <c r="C49" s="168" t="s">
        <v>1525</v>
      </c>
      <c r="D49" s="168" t="s">
        <v>1551</v>
      </c>
      <c r="E49" s="168"/>
      <c r="F49" s="168" t="s">
        <v>1552</v>
      </c>
      <c r="G49" s="168" t="s">
        <v>1553</v>
      </c>
      <c r="H49" s="168" t="s">
        <v>1553</v>
      </c>
      <c r="I49" s="168">
        <v>9500</v>
      </c>
      <c r="J49" t="s">
        <v>109</v>
      </c>
      <c r="L49" s="168">
        <v>9500</v>
      </c>
      <c r="M49">
        <v>3500</v>
      </c>
      <c r="N49">
        <f t="shared" si="1"/>
        <v>13000</v>
      </c>
      <c r="P49">
        <f t="shared" si="2"/>
        <v>9500</v>
      </c>
      <c r="S49">
        <f t="shared" si="5"/>
        <v>9500</v>
      </c>
      <c r="V49">
        <v>9500</v>
      </c>
      <c r="Y49">
        <v>7000</v>
      </c>
    </row>
    <row r="50" spans="1:29">
      <c r="A50">
        <v>174</v>
      </c>
      <c r="B50" t="s">
        <v>103</v>
      </c>
      <c r="C50" t="s">
        <v>750</v>
      </c>
      <c r="D50" t="s">
        <v>149</v>
      </c>
      <c r="F50" t="s">
        <v>1558</v>
      </c>
      <c r="G50" t="s">
        <v>1559</v>
      </c>
      <c r="H50" t="s">
        <v>753</v>
      </c>
      <c r="I50" s="168">
        <v>7000</v>
      </c>
      <c r="J50" t="s">
        <v>109</v>
      </c>
      <c r="L50" s="168">
        <v>7000</v>
      </c>
      <c r="M50">
        <v>3500</v>
      </c>
      <c r="N50">
        <f t="shared" si="1"/>
        <v>10500</v>
      </c>
      <c r="P50">
        <f t="shared" si="2"/>
        <v>7000</v>
      </c>
      <c r="S50">
        <f t="shared" si="5"/>
        <v>7000</v>
      </c>
      <c r="V50">
        <v>7000</v>
      </c>
      <c r="Y50">
        <v>7000</v>
      </c>
    </row>
    <row r="51" spans="1:29">
      <c r="A51" s="168">
        <v>175</v>
      </c>
      <c r="B51" s="168" t="s">
        <v>103</v>
      </c>
      <c r="C51" s="168" t="s">
        <v>1938</v>
      </c>
      <c r="D51" s="168" t="s">
        <v>1941</v>
      </c>
      <c r="E51" s="168"/>
      <c r="F51" s="168" t="s">
        <v>1939</v>
      </c>
      <c r="G51" s="168" t="s">
        <v>1940</v>
      </c>
      <c r="H51" s="168" t="s">
        <v>1373</v>
      </c>
      <c r="I51" s="168">
        <v>6600</v>
      </c>
      <c r="J51" t="s">
        <v>109</v>
      </c>
      <c r="L51" s="168">
        <v>6600</v>
      </c>
      <c r="M51">
        <v>3500</v>
      </c>
      <c r="N51">
        <f t="shared" si="1"/>
        <v>10100</v>
      </c>
      <c r="P51">
        <f t="shared" si="2"/>
        <v>6600</v>
      </c>
      <c r="S51">
        <f t="shared" si="5"/>
        <v>6600</v>
      </c>
      <c r="V51">
        <v>6600</v>
      </c>
      <c r="Y51">
        <v>6600</v>
      </c>
    </row>
    <row r="52" spans="1:29">
      <c r="A52" s="233">
        <v>177</v>
      </c>
      <c r="B52" s="233" t="s">
        <v>103</v>
      </c>
      <c r="C52" s="233" t="s">
        <v>2011</v>
      </c>
      <c r="D52" s="233" t="s">
        <v>2012</v>
      </c>
      <c r="E52" s="233"/>
      <c r="F52" s="227" t="s">
        <v>2041</v>
      </c>
      <c r="G52" s="227" t="s">
        <v>2009</v>
      </c>
      <c r="H52" s="227" t="s">
        <v>2010</v>
      </c>
      <c r="I52" s="168">
        <v>7000</v>
      </c>
      <c r="J52" t="s">
        <v>109</v>
      </c>
      <c r="L52" s="168">
        <v>7000</v>
      </c>
      <c r="M52">
        <v>3500</v>
      </c>
      <c r="N52">
        <f t="shared" si="1"/>
        <v>10500</v>
      </c>
      <c r="P52">
        <f t="shared" si="2"/>
        <v>7000</v>
      </c>
      <c r="S52">
        <f t="shared" si="5"/>
        <v>7000</v>
      </c>
      <c r="V52">
        <v>7000</v>
      </c>
      <c r="Y52">
        <v>7000</v>
      </c>
    </row>
    <row r="53" spans="1:29">
      <c r="A53">
        <v>178</v>
      </c>
      <c r="B53" t="s">
        <v>103</v>
      </c>
      <c r="C53" t="s">
        <v>587</v>
      </c>
      <c r="D53" t="s">
        <v>588</v>
      </c>
      <c r="F53" t="s">
        <v>589</v>
      </c>
      <c r="G53" t="s">
        <v>590</v>
      </c>
      <c r="H53" t="s">
        <v>591</v>
      </c>
      <c r="I53" s="168">
        <v>7000</v>
      </c>
      <c r="J53" t="s">
        <v>109</v>
      </c>
      <c r="L53" s="168">
        <v>7000</v>
      </c>
      <c r="M53">
        <v>3500</v>
      </c>
      <c r="N53">
        <f t="shared" si="1"/>
        <v>10500</v>
      </c>
      <c r="P53">
        <f t="shared" si="2"/>
        <v>7000</v>
      </c>
      <c r="S53">
        <f t="shared" si="5"/>
        <v>7000</v>
      </c>
      <c r="V53" s="197">
        <v>17250</v>
      </c>
      <c r="W53" s="197" t="s">
        <v>2399</v>
      </c>
      <c r="Y53" s="197">
        <v>8800</v>
      </c>
      <c r="Z53" t="s">
        <v>2424</v>
      </c>
      <c r="AB53" s="197">
        <v>7600</v>
      </c>
    </row>
    <row r="54" spans="1:29">
      <c r="A54">
        <v>179</v>
      </c>
      <c r="B54" t="s">
        <v>103</v>
      </c>
      <c r="C54" t="s">
        <v>631</v>
      </c>
      <c r="D54" t="s">
        <v>2035</v>
      </c>
      <c r="F54" t="s">
        <v>2039</v>
      </c>
      <c r="G54" t="s">
        <v>2034</v>
      </c>
      <c r="H54" t="s">
        <v>2036</v>
      </c>
      <c r="I54" s="168">
        <v>6600</v>
      </c>
      <c r="J54" t="s">
        <v>109</v>
      </c>
      <c r="L54" s="236">
        <v>6600</v>
      </c>
      <c r="M54">
        <v>3500</v>
      </c>
      <c r="N54" t="s">
        <v>2343</v>
      </c>
      <c r="P54">
        <f t="shared" si="2"/>
        <v>6600</v>
      </c>
      <c r="S54">
        <f t="shared" si="5"/>
        <v>6600</v>
      </c>
      <c r="V54">
        <v>6600</v>
      </c>
      <c r="Y54">
        <v>6600</v>
      </c>
      <c r="AB54" s="197">
        <v>7800</v>
      </c>
      <c r="AC54" t="s">
        <v>2447</v>
      </c>
    </row>
    <row r="55" spans="1:29">
      <c r="A55">
        <v>181</v>
      </c>
      <c r="B55" t="s">
        <v>103</v>
      </c>
      <c r="C55" t="s">
        <v>2101</v>
      </c>
      <c r="D55" t="s">
        <v>491</v>
      </c>
      <c r="F55" t="s">
        <v>2133</v>
      </c>
      <c r="G55" t="s">
        <v>2132</v>
      </c>
      <c r="H55" t="s">
        <v>494</v>
      </c>
      <c r="I55">
        <v>9500</v>
      </c>
      <c r="J55" t="s">
        <v>109</v>
      </c>
      <c r="L55" s="236">
        <v>22750</v>
      </c>
      <c r="M55">
        <v>3500</v>
      </c>
      <c r="N55">
        <f t="shared" si="1"/>
        <v>26250</v>
      </c>
      <c r="P55">
        <f t="shared" si="2"/>
        <v>9500</v>
      </c>
      <c r="S55">
        <f t="shared" si="5"/>
        <v>22750</v>
      </c>
      <c r="V55">
        <v>22750</v>
      </c>
      <c r="Y55">
        <v>22750</v>
      </c>
    </row>
    <row r="56" spans="1:29">
      <c r="A56" s="168">
        <v>182</v>
      </c>
      <c r="B56" t="s">
        <v>103</v>
      </c>
      <c r="C56" t="s">
        <v>1273</v>
      </c>
      <c r="D56" t="s">
        <v>1085</v>
      </c>
      <c r="F56" s="256" t="s">
        <v>2118</v>
      </c>
      <c r="G56" s="256" t="s">
        <v>2071</v>
      </c>
      <c r="H56" s="256" t="s">
        <v>2115</v>
      </c>
      <c r="I56" s="168">
        <v>7000</v>
      </c>
      <c r="J56" t="s">
        <v>109</v>
      </c>
      <c r="L56" s="168">
        <v>7000</v>
      </c>
      <c r="M56">
        <v>3500</v>
      </c>
      <c r="N56">
        <f t="shared" si="1"/>
        <v>10500</v>
      </c>
      <c r="P56">
        <f t="shared" si="2"/>
        <v>7000</v>
      </c>
      <c r="S56">
        <f t="shared" si="5"/>
        <v>7000</v>
      </c>
      <c r="V56">
        <v>7000</v>
      </c>
      <c r="Y56">
        <v>7000</v>
      </c>
    </row>
    <row r="57" spans="1:29">
      <c r="A57" s="168">
        <v>183</v>
      </c>
      <c r="B57" t="s">
        <v>103</v>
      </c>
      <c r="C57" t="s">
        <v>67</v>
      </c>
      <c r="D57" t="s">
        <v>2116</v>
      </c>
      <c r="F57" t="s">
        <v>2119</v>
      </c>
      <c r="G57" t="s">
        <v>2067</v>
      </c>
      <c r="H57" t="s">
        <v>2117</v>
      </c>
      <c r="I57" s="168">
        <v>7000</v>
      </c>
      <c r="J57" t="s">
        <v>109</v>
      </c>
      <c r="L57" s="168">
        <v>7000</v>
      </c>
      <c r="M57">
        <v>3500</v>
      </c>
      <c r="N57">
        <f t="shared" si="1"/>
        <v>10500</v>
      </c>
      <c r="P57">
        <f t="shared" si="2"/>
        <v>7000</v>
      </c>
      <c r="S57">
        <f t="shared" si="5"/>
        <v>7000</v>
      </c>
      <c r="V57">
        <v>7000</v>
      </c>
      <c r="Y57">
        <v>7000</v>
      </c>
    </row>
    <row r="58" spans="1:29">
      <c r="A58" s="168">
        <v>184</v>
      </c>
      <c r="B58" t="s">
        <v>103</v>
      </c>
      <c r="C58" t="s">
        <v>561</v>
      </c>
      <c r="D58" t="s">
        <v>2127</v>
      </c>
      <c r="G58" s="256" t="s">
        <v>2085</v>
      </c>
      <c r="H58" t="s">
        <v>563</v>
      </c>
      <c r="I58" s="168">
        <v>7000</v>
      </c>
      <c r="J58" t="s">
        <v>109</v>
      </c>
      <c r="L58" s="168">
        <v>7000</v>
      </c>
      <c r="M58">
        <v>3500</v>
      </c>
      <c r="N58">
        <f t="shared" si="1"/>
        <v>10500</v>
      </c>
      <c r="P58">
        <f t="shared" si="2"/>
        <v>7000</v>
      </c>
      <c r="S58">
        <f t="shared" si="5"/>
        <v>7000</v>
      </c>
      <c r="V58">
        <v>7000</v>
      </c>
      <c r="Y58">
        <v>7000</v>
      </c>
    </row>
    <row r="59" spans="1:29">
      <c r="A59" s="168">
        <v>185</v>
      </c>
      <c r="B59" t="s">
        <v>103</v>
      </c>
      <c r="C59" t="s">
        <v>2128</v>
      </c>
      <c r="D59" t="s">
        <v>2126</v>
      </c>
      <c r="G59" s="256" t="s">
        <v>2080</v>
      </c>
      <c r="H59" s="256" t="s">
        <v>2129</v>
      </c>
      <c r="I59" s="168">
        <v>7000</v>
      </c>
      <c r="J59" t="s">
        <v>109</v>
      </c>
      <c r="L59" s="168">
        <v>7000</v>
      </c>
      <c r="M59">
        <v>3500</v>
      </c>
      <c r="N59">
        <f t="shared" si="1"/>
        <v>10500</v>
      </c>
      <c r="P59">
        <f t="shared" si="2"/>
        <v>7000</v>
      </c>
      <c r="S59">
        <f t="shared" si="5"/>
        <v>7000</v>
      </c>
      <c r="V59">
        <v>7000</v>
      </c>
      <c r="Y59">
        <v>7000</v>
      </c>
    </row>
    <row r="60" spans="1:29" ht="18" hidden="1" customHeight="1">
      <c r="A60" s="168">
        <v>186</v>
      </c>
      <c r="B60" t="s">
        <v>66</v>
      </c>
      <c r="H60" s="256" t="s">
        <v>237</v>
      </c>
      <c r="I60" s="168">
        <v>7000</v>
      </c>
      <c r="J60" t="s">
        <v>109</v>
      </c>
      <c r="L60" s="168">
        <v>7000</v>
      </c>
      <c r="M60">
        <v>3500</v>
      </c>
      <c r="N60">
        <f t="shared" si="1"/>
        <v>10500</v>
      </c>
      <c r="P60">
        <f t="shared" si="2"/>
        <v>7000</v>
      </c>
      <c r="S60">
        <f t="shared" si="5"/>
        <v>7000</v>
      </c>
      <c r="V60">
        <v>7000</v>
      </c>
      <c r="Y60">
        <v>7000</v>
      </c>
    </row>
    <row r="61" spans="1:29" ht="18.75" hidden="1" customHeight="1">
      <c r="A61">
        <v>187</v>
      </c>
      <c r="B61" t="s">
        <v>66</v>
      </c>
      <c r="C61" t="s">
        <v>2286</v>
      </c>
      <c r="H61" s="256" t="s">
        <v>2148</v>
      </c>
      <c r="I61" s="168">
        <v>7000</v>
      </c>
      <c r="J61" t="s">
        <v>109</v>
      </c>
      <c r="L61" s="168">
        <v>7000</v>
      </c>
      <c r="M61">
        <v>3500</v>
      </c>
      <c r="N61">
        <f>M61+L61</f>
        <v>10500</v>
      </c>
      <c r="O61" t="s">
        <v>2263</v>
      </c>
      <c r="P61">
        <f t="shared" si="2"/>
        <v>7000</v>
      </c>
      <c r="S61" s="271">
        <v>7000</v>
      </c>
      <c r="T61" t="s">
        <v>2382</v>
      </c>
      <c r="V61">
        <v>7000</v>
      </c>
      <c r="Y61">
        <v>7000</v>
      </c>
    </row>
    <row r="62" spans="1:29">
      <c r="A62">
        <v>188</v>
      </c>
      <c r="B62" t="s">
        <v>103</v>
      </c>
      <c r="C62" t="s">
        <v>949</v>
      </c>
      <c r="D62" t="s">
        <v>2280</v>
      </c>
      <c r="G62" t="s">
        <v>2244</v>
      </c>
      <c r="H62" t="s">
        <v>952</v>
      </c>
      <c r="I62" s="168">
        <v>9500</v>
      </c>
      <c r="J62" t="s">
        <v>109</v>
      </c>
      <c r="L62" s="168">
        <v>9500</v>
      </c>
      <c r="P62">
        <f t="shared" si="2"/>
        <v>9500</v>
      </c>
      <c r="S62">
        <f>L62</f>
        <v>9500</v>
      </c>
      <c r="V62">
        <v>9500</v>
      </c>
      <c r="Y62">
        <v>9500</v>
      </c>
      <c r="AB62" s="295"/>
      <c r="AC62" t="s">
        <v>2454</v>
      </c>
    </row>
    <row r="63" spans="1:29">
      <c r="A63">
        <v>189</v>
      </c>
      <c r="B63" t="s">
        <v>103</v>
      </c>
      <c r="C63" s="275" t="s">
        <v>1169</v>
      </c>
      <c r="D63" s="275" t="s">
        <v>2261</v>
      </c>
      <c r="E63" s="275"/>
      <c r="F63" s="275" t="s">
        <v>2231</v>
      </c>
      <c r="G63" s="275" t="s">
        <v>2230</v>
      </c>
      <c r="H63" s="275" t="s">
        <v>2230</v>
      </c>
      <c r="I63" s="275">
        <v>6600</v>
      </c>
      <c r="J63" t="s">
        <v>109</v>
      </c>
      <c r="P63">
        <v>7600</v>
      </c>
      <c r="Q63" t="s">
        <v>2338</v>
      </c>
      <c r="S63">
        <v>7600</v>
      </c>
      <c r="T63" s="197" t="s">
        <v>2381</v>
      </c>
      <c r="V63">
        <v>7600</v>
      </c>
      <c r="Y63">
        <v>7600</v>
      </c>
    </row>
    <row r="64" spans="1:29" ht="14.25" customHeight="1">
      <c r="A64">
        <v>190</v>
      </c>
      <c r="B64" t="s">
        <v>103</v>
      </c>
      <c r="C64" t="s">
        <v>2283</v>
      </c>
      <c r="D64" t="s">
        <v>364</v>
      </c>
      <c r="G64" s="278" t="s">
        <v>2226</v>
      </c>
      <c r="H64" s="278" t="s">
        <v>2226</v>
      </c>
      <c r="I64" s="168">
        <v>13200</v>
      </c>
      <c r="J64" t="s">
        <v>109</v>
      </c>
      <c r="L64">
        <v>13200</v>
      </c>
      <c r="M64" t="s">
        <v>2340</v>
      </c>
      <c r="P64" s="197">
        <v>13200</v>
      </c>
      <c r="Q64" t="s">
        <v>2341</v>
      </c>
      <c r="S64">
        <v>13200</v>
      </c>
      <c r="T64" t="s">
        <v>2397</v>
      </c>
      <c r="V64">
        <v>13200</v>
      </c>
      <c r="Y64">
        <v>13200</v>
      </c>
    </row>
    <row r="65" spans="1:26">
      <c r="A65">
        <v>191</v>
      </c>
      <c r="B65" t="s">
        <v>103</v>
      </c>
      <c r="C65" t="s">
        <v>561</v>
      </c>
      <c r="D65" t="s">
        <v>2287</v>
      </c>
      <c r="G65" s="256" t="s">
        <v>2288</v>
      </c>
      <c r="H65" s="256" t="s">
        <v>2290</v>
      </c>
      <c r="I65" s="168">
        <v>12100</v>
      </c>
      <c r="J65" t="s">
        <v>109</v>
      </c>
      <c r="L65" t="s">
        <v>1587</v>
      </c>
      <c r="P65">
        <v>12100</v>
      </c>
      <c r="Q65" t="s">
        <v>2340</v>
      </c>
      <c r="S65">
        <v>12100</v>
      </c>
      <c r="T65" t="s">
        <v>2397</v>
      </c>
      <c r="V65">
        <v>12100</v>
      </c>
      <c r="Y65">
        <v>12100</v>
      </c>
    </row>
    <row r="66" spans="1:26">
      <c r="A66">
        <v>191</v>
      </c>
      <c r="B66" t="s">
        <v>103</v>
      </c>
      <c r="C66" t="s">
        <v>561</v>
      </c>
      <c r="G66" s="256" t="s">
        <v>2288</v>
      </c>
      <c r="H66" s="256" t="s">
        <v>2289</v>
      </c>
      <c r="I66" s="168">
        <v>12100</v>
      </c>
      <c r="J66" t="s">
        <v>109</v>
      </c>
      <c r="L66" t="s">
        <v>1587</v>
      </c>
      <c r="P66">
        <v>12100</v>
      </c>
      <c r="Q66" t="s">
        <v>2340</v>
      </c>
      <c r="S66">
        <v>12100</v>
      </c>
      <c r="T66" t="s">
        <v>2397</v>
      </c>
      <c r="V66">
        <v>12100</v>
      </c>
      <c r="Y66">
        <v>12100</v>
      </c>
    </row>
    <row r="67" spans="1:26">
      <c r="A67">
        <v>193</v>
      </c>
      <c r="B67" t="s">
        <v>103</v>
      </c>
      <c r="C67" t="s">
        <v>2281</v>
      </c>
      <c r="D67" t="s">
        <v>2282</v>
      </c>
      <c r="G67" t="s">
        <v>2344</v>
      </c>
      <c r="H67" s="256" t="s">
        <v>2284</v>
      </c>
      <c r="I67" s="168">
        <v>7000</v>
      </c>
      <c r="J67" t="s">
        <v>109</v>
      </c>
      <c r="L67" t="s">
        <v>1587</v>
      </c>
      <c r="P67">
        <v>7000</v>
      </c>
      <c r="Q67" t="s">
        <v>2340</v>
      </c>
      <c r="S67" s="197">
        <v>7000</v>
      </c>
      <c r="T67" t="s">
        <v>2372</v>
      </c>
      <c r="V67">
        <v>7000</v>
      </c>
      <c r="Y67">
        <v>7000</v>
      </c>
    </row>
    <row r="68" spans="1:26">
      <c r="A68">
        <v>194</v>
      </c>
      <c r="B68" t="s">
        <v>103</v>
      </c>
      <c r="C68" t="s">
        <v>2320</v>
      </c>
      <c r="D68" t="s">
        <v>2319</v>
      </c>
      <c r="G68" s="256" t="s">
        <v>2316</v>
      </c>
      <c r="H68" s="256" t="s">
        <v>2318</v>
      </c>
      <c r="I68" s="168">
        <v>20500</v>
      </c>
      <c r="J68" t="s">
        <v>109</v>
      </c>
      <c r="O68">
        <v>20500</v>
      </c>
      <c r="P68">
        <v>20500</v>
      </c>
      <c r="Q68" t="s">
        <v>1587</v>
      </c>
      <c r="S68">
        <v>20500</v>
      </c>
      <c r="T68" t="s">
        <v>2364</v>
      </c>
      <c r="V68">
        <v>20500</v>
      </c>
      <c r="Y68">
        <v>20500</v>
      </c>
    </row>
    <row r="69" spans="1:26" ht="15.75">
      <c r="A69">
        <v>195</v>
      </c>
      <c r="B69" t="s">
        <v>103</v>
      </c>
      <c r="C69" s="280" t="s">
        <v>2322</v>
      </c>
      <c r="D69" s="280" t="s">
        <v>1314</v>
      </c>
      <c r="H69" s="56"/>
      <c r="J69" t="s">
        <v>109</v>
      </c>
      <c r="O69" t="s">
        <v>2323</v>
      </c>
      <c r="P69" s="271" t="s">
        <v>2337</v>
      </c>
      <c r="Q69" s="197" t="s">
        <v>2337</v>
      </c>
    </row>
    <row r="70" spans="1:26" ht="15.75">
      <c r="A70">
        <v>196</v>
      </c>
      <c r="B70" t="s">
        <v>103</v>
      </c>
      <c r="C70" t="s">
        <v>2335</v>
      </c>
      <c r="D70" t="s">
        <v>491</v>
      </c>
      <c r="G70" s="56" t="s">
        <v>494</v>
      </c>
      <c r="H70" s="56" t="s">
        <v>2334</v>
      </c>
      <c r="I70" s="168">
        <v>20500</v>
      </c>
      <c r="J70" t="s">
        <v>109</v>
      </c>
      <c r="K70" t="s">
        <v>110</v>
      </c>
      <c r="O70">
        <v>20500</v>
      </c>
      <c r="P70" s="271" t="s">
        <v>2337</v>
      </c>
      <c r="Q70" s="197" t="s">
        <v>2337</v>
      </c>
      <c r="S70">
        <v>20500</v>
      </c>
      <c r="V70">
        <v>20500</v>
      </c>
      <c r="Y70">
        <v>20500</v>
      </c>
    </row>
    <row r="71" spans="1:26" hidden="1">
      <c r="A71">
        <v>197</v>
      </c>
      <c r="I71">
        <f>SUM(I2:I70)</f>
        <v>722150</v>
      </c>
    </row>
    <row r="72" spans="1:26" hidden="1">
      <c r="A72">
        <v>198</v>
      </c>
      <c r="C72" s="294" t="s">
        <v>2439</v>
      </c>
      <c r="D72" s="294" t="s">
        <v>2440</v>
      </c>
      <c r="G72" s="294" t="s">
        <v>2437</v>
      </c>
      <c r="H72" s="294" t="s">
        <v>2438</v>
      </c>
      <c r="J72" t="s">
        <v>109</v>
      </c>
      <c r="K72" t="s">
        <v>1560</v>
      </c>
      <c r="L72" s="227" t="s">
        <v>503</v>
      </c>
      <c r="O72">
        <v>7000</v>
      </c>
      <c r="Y72">
        <v>7000</v>
      </c>
      <c r="Z72" t="s">
        <v>2443</v>
      </c>
    </row>
  </sheetData>
  <autoFilter ref="A1:AC72" xr:uid="{A9CBF736-D7D1-455D-B77B-1C9DDFD3BE1D}">
    <filterColumn colId="1">
      <filters>
        <filter val="y"/>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8515625" defaultRowHeight="15"/>
  <cols>
    <col min="14" max="14" width="9.8554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1564</v>
      </c>
      <c r="M1" s="171" t="s">
        <v>1565</v>
      </c>
      <c r="N1" s="171" t="s">
        <v>1566</v>
      </c>
      <c r="O1" s="171" t="s">
        <v>1567</v>
      </c>
      <c r="P1" s="171" t="s">
        <v>1565</v>
      </c>
      <c r="Q1" s="171" t="s">
        <v>1568</v>
      </c>
      <c r="R1" s="171" t="s">
        <v>1569</v>
      </c>
      <c r="S1" s="171" t="s">
        <v>1565</v>
      </c>
      <c r="T1" s="171" t="s">
        <v>1570</v>
      </c>
      <c r="U1" s="171" t="s">
        <v>1571</v>
      </c>
      <c r="V1" s="171" t="s">
        <v>1565</v>
      </c>
      <c r="W1" s="171" t="s">
        <v>1568</v>
      </c>
      <c r="X1" s="171" t="s">
        <v>1572</v>
      </c>
      <c r="Y1" s="171" t="s">
        <v>1565</v>
      </c>
      <c r="Z1" s="171" t="s">
        <v>1568</v>
      </c>
      <c r="AA1" s="171" t="s">
        <v>1573</v>
      </c>
      <c r="AB1" s="171" t="s">
        <v>1565</v>
      </c>
      <c r="AC1" s="171" t="s">
        <v>1568</v>
      </c>
      <c r="AD1" s="171" t="s">
        <v>1574</v>
      </c>
      <c r="AE1" s="171" t="s">
        <v>1565</v>
      </c>
      <c r="AF1" s="171" t="s">
        <v>1568</v>
      </c>
      <c r="AG1" s="171" t="s">
        <v>1575</v>
      </c>
      <c r="AH1" s="171" t="s">
        <v>1565</v>
      </c>
      <c r="AI1" s="171" t="s">
        <v>1566</v>
      </c>
      <c r="AJ1" s="171" t="s">
        <v>1576</v>
      </c>
      <c r="AK1" s="171" t="s">
        <v>1565</v>
      </c>
      <c r="AL1" s="171" t="s">
        <v>1566</v>
      </c>
      <c r="AM1" s="171" t="s">
        <v>1577</v>
      </c>
      <c r="AN1" s="171" t="s">
        <v>1565</v>
      </c>
      <c r="AO1" s="171" t="s">
        <v>1568</v>
      </c>
      <c r="AP1" s="171" t="s">
        <v>1578</v>
      </c>
      <c r="AQ1" s="171" t="s">
        <v>1565</v>
      </c>
      <c r="AR1" s="171" t="s">
        <v>1568</v>
      </c>
      <c r="AS1" s="171" t="s">
        <v>1579</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2128</v>
      </c>
      <c r="D3" t="s">
        <v>2126</v>
      </c>
      <c r="G3" t="s">
        <v>2080</v>
      </c>
      <c r="H3" t="s">
        <v>2129</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1487</v>
      </c>
      <c r="D4" t="s">
        <v>1488</v>
      </c>
      <c r="F4" t="s">
        <v>1489</v>
      </c>
      <c r="G4" t="s">
        <v>1490</v>
      </c>
      <c r="H4" t="s">
        <v>1491</v>
      </c>
      <c r="I4" t="s">
        <v>1986</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1253</v>
      </c>
      <c r="D5" s="218" t="s">
        <v>184</v>
      </c>
      <c r="E5" s="218"/>
      <c r="F5" s="218" t="s">
        <v>1254</v>
      </c>
      <c r="G5" s="218" t="s">
        <v>1255</v>
      </c>
      <c r="H5" s="218" t="s">
        <v>187</v>
      </c>
      <c r="I5" s="218">
        <v>6600</v>
      </c>
      <c r="J5" s="218" t="s">
        <v>109</v>
      </c>
      <c r="K5" s="218"/>
      <c r="L5" s="218"/>
      <c r="O5" s="218"/>
      <c r="R5" s="218"/>
      <c r="U5" s="218"/>
      <c r="X5" s="218"/>
      <c r="AA5" s="218">
        <v>46200</v>
      </c>
      <c r="AD5" s="205">
        <v>55000</v>
      </c>
      <c r="AE5" s="197" t="s">
        <v>1965</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1580</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1951</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1581</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1970</v>
      </c>
      <c r="AJ11" s="168">
        <f t="shared" si="2"/>
        <v>12100</v>
      </c>
      <c r="AM11" s="168">
        <f t="shared" si="3"/>
        <v>12100</v>
      </c>
      <c r="AP11" s="168">
        <f t="shared" si="4"/>
        <v>12100</v>
      </c>
      <c r="AS11" s="168">
        <f t="shared" si="5"/>
        <v>12100</v>
      </c>
    </row>
    <row r="12" spans="1:45">
      <c r="A12">
        <v>49</v>
      </c>
      <c r="B12" t="s">
        <v>103</v>
      </c>
      <c r="C12" t="s">
        <v>883</v>
      </c>
      <c r="D12" t="s">
        <v>421</v>
      </c>
      <c r="F12" t="s">
        <v>884</v>
      </c>
      <c r="G12" t="s">
        <v>885</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2190</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476</v>
      </c>
      <c r="D14" s="168" t="s">
        <v>483</v>
      </c>
      <c r="E14" s="168"/>
      <c r="F14" s="168" t="s">
        <v>484</v>
      </c>
      <c r="G14" s="168" t="s">
        <v>485</v>
      </c>
      <c r="H14" s="168" t="s">
        <v>486</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2158</v>
      </c>
      <c r="AO14">
        <v>19800</v>
      </c>
      <c r="AP14" s="168">
        <f t="shared" si="4"/>
        <v>19800</v>
      </c>
      <c r="AS14" s="168">
        <f t="shared" si="5"/>
        <v>19800</v>
      </c>
    </row>
    <row r="15" spans="1:45" hidden="1">
      <c r="A15" s="168">
        <v>124</v>
      </c>
      <c r="B15" s="168" t="s">
        <v>66</v>
      </c>
      <c r="C15" s="168" t="s">
        <v>519</v>
      </c>
      <c r="D15" s="168" t="s">
        <v>520</v>
      </c>
      <c r="E15" s="168"/>
      <c r="F15" s="168" t="s">
        <v>521</v>
      </c>
      <c r="G15" s="168" t="s">
        <v>522</v>
      </c>
      <c r="H15" s="168" t="s">
        <v>523</v>
      </c>
      <c r="I15" s="168">
        <v>19800</v>
      </c>
      <c r="J15" s="168" t="s">
        <v>495</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541</v>
      </c>
      <c r="D16" t="s">
        <v>542</v>
      </c>
      <c r="F16" t="s">
        <v>543</v>
      </c>
      <c r="G16" t="s">
        <v>544</v>
      </c>
      <c r="H16" t="s">
        <v>545</v>
      </c>
      <c r="L16" s="168"/>
      <c r="O16" s="168"/>
      <c r="R16" s="168"/>
      <c r="U16" s="168"/>
      <c r="X16" s="168"/>
      <c r="AA16" s="168">
        <v>12100</v>
      </c>
      <c r="AD16" s="205"/>
      <c r="AF16" t="s">
        <v>2014</v>
      </c>
      <c r="AG16" s="168">
        <f t="shared" si="1"/>
        <v>0</v>
      </c>
      <c r="AJ16" s="168">
        <f t="shared" si="2"/>
        <v>0</v>
      </c>
      <c r="AM16" s="168">
        <f>I16 + MAX(0, I16 - AD16)</f>
        <v>0</v>
      </c>
      <c r="AP16" s="168">
        <f t="shared" si="4"/>
        <v>0</v>
      </c>
      <c r="AS16" s="168">
        <f t="shared" si="5"/>
        <v>0</v>
      </c>
    </row>
    <row r="17" spans="1:45">
      <c r="A17" s="168">
        <v>15</v>
      </c>
      <c r="B17" s="168" t="s">
        <v>103</v>
      </c>
      <c r="C17" s="168" t="s">
        <v>549</v>
      </c>
      <c r="D17" s="168" t="s">
        <v>550</v>
      </c>
      <c r="E17" s="168"/>
      <c r="F17" s="168" t="s">
        <v>551</v>
      </c>
      <c r="G17" s="168" t="s">
        <v>552</v>
      </c>
      <c r="H17" s="168" t="s">
        <v>553</v>
      </c>
      <c r="I17" s="168">
        <v>8800</v>
      </c>
      <c r="J17" s="168" t="s">
        <v>554</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581</v>
      </c>
      <c r="D18" t="s">
        <v>582</v>
      </c>
      <c r="F18" t="s">
        <v>583</v>
      </c>
      <c r="G18" t="s">
        <v>584</v>
      </c>
      <c r="H18" t="s">
        <v>585</v>
      </c>
      <c r="I18">
        <v>19800</v>
      </c>
      <c r="J18" s="168" t="s">
        <v>495</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786</v>
      </c>
      <c r="D19" s="168" t="s">
        <v>178</v>
      </c>
      <c r="E19" s="168"/>
      <c r="F19" s="168" t="s">
        <v>605</v>
      </c>
      <c r="G19" s="168" t="s">
        <v>606</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638</v>
      </c>
      <c r="D20" t="s">
        <v>639</v>
      </c>
      <c r="F20" t="s">
        <v>640</v>
      </c>
      <c r="G20" t="s">
        <v>641</v>
      </c>
      <c r="H20" t="s">
        <v>642</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604</v>
      </c>
      <c r="D21" t="s">
        <v>178</v>
      </c>
      <c r="F21" t="s">
        <v>1582</v>
      </c>
      <c r="G21" s="217" t="s">
        <v>1583</v>
      </c>
      <c r="H21" t="s">
        <v>181</v>
      </c>
      <c r="I21" s="168">
        <v>6050</v>
      </c>
      <c r="J21" s="168" t="s">
        <v>109</v>
      </c>
      <c r="K21" s="168"/>
      <c r="L21" s="168"/>
      <c r="O21" s="168"/>
      <c r="R21" s="168"/>
      <c r="U21" s="168"/>
      <c r="X21" s="168"/>
      <c r="AA21" s="205">
        <v>12100</v>
      </c>
      <c r="AD21" s="168">
        <f t="shared" ref="AD21:AD24" si="10">I21 + MAX(0, I21 - AA21) + 2750</f>
        <v>8800</v>
      </c>
      <c r="AG21" s="168">
        <v>17050</v>
      </c>
      <c r="AH21" t="s">
        <v>1970</v>
      </c>
      <c r="AJ21" s="168">
        <f t="shared" si="2"/>
        <v>6050</v>
      </c>
      <c r="AM21" s="168">
        <f t="shared" si="3"/>
        <v>6050</v>
      </c>
      <c r="AP21" s="168">
        <f t="shared" si="4"/>
        <v>6050</v>
      </c>
      <c r="AS21" s="168">
        <f t="shared" si="5"/>
        <v>6050</v>
      </c>
    </row>
    <row r="22" spans="1:45">
      <c r="A22" s="168">
        <v>152</v>
      </c>
      <c r="B22" s="168" t="s">
        <v>103</v>
      </c>
      <c r="C22" s="168" t="s">
        <v>653</v>
      </c>
      <c r="D22" s="168" t="s">
        <v>645</v>
      </c>
      <c r="E22" s="168"/>
      <c r="F22" s="168" t="s">
        <v>654</v>
      </c>
      <c r="G22" s="168" t="s">
        <v>655</v>
      </c>
      <c r="H22" s="168" t="s">
        <v>648</v>
      </c>
      <c r="I22" s="168">
        <v>6050</v>
      </c>
      <c r="J22" s="168" t="s">
        <v>109</v>
      </c>
      <c r="K22" s="168"/>
      <c r="L22" s="168"/>
      <c r="O22" s="168"/>
      <c r="R22" s="168"/>
      <c r="U22" s="168"/>
      <c r="X22" s="168"/>
      <c r="AA22" s="168">
        <v>12100</v>
      </c>
      <c r="AD22" s="205">
        <f t="shared" si="10"/>
        <v>8800</v>
      </c>
      <c r="AG22" s="168">
        <v>17050</v>
      </c>
      <c r="AH22" t="s">
        <v>1970</v>
      </c>
      <c r="AJ22" s="168">
        <f t="shared" si="2"/>
        <v>6050</v>
      </c>
      <c r="AM22" s="168">
        <f t="shared" si="3"/>
        <v>6050</v>
      </c>
      <c r="AP22" s="168">
        <f t="shared" si="4"/>
        <v>6050</v>
      </c>
      <c r="AS22" s="168">
        <f t="shared" si="5"/>
        <v>6050</v>
      </c>
    </row>
    <row r="23" spans="1:45">
      <c r="A23" s="168">
        <v>152</v>
      </c>
      <c r="B23" s="168" t="s">
        <v>103</v>
      </c>
      <c r="C23" t="s">
        <v>644</v>
      </c>
      <c r="D23" t="s">
        <v>645</v>
      </c>
      <c r="F23" t="s">
        <v>646</v>
      </c>
      <c r="G23" t="s">
        <v>647</v>
      </c>
      <c r="H23" t="s">
        <v>648</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674</v>
      </c>
      <c r="D24" t="s">
        <v>675</v>
      </c>
      <c r="F24" t="s">
        <v>676</v>
      </c>
      <c r="G24" t="s">
        <v>677</v>
      </c>
      <c r="H24" t="s">
        <v>678</v>
      </c>
      <c r="I24" s="168">
        <v>6050</v>
      </c>
      <c r="J24" s="168" t="s">
        <v>196</v>
      </c>
      <c r="K24" s="168"/>
      <c r="L24" s="168"/>
      <c r="O24" s="168"/>
      <c r="R24" s="168"/>
      <c r="U24" s="168"/>
      <c r="X24" s="168"/>
      <c r="AA24" s="205">
        <v>6050</v>
      </c>
      <c r="AB24" t="s">
        <v>1584</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708</v>
      </c>
      <c r="D25" s="168" t="s">
        <v>348</v>
      </c>
      <c r="E25" s="168"/>
      <c r="F25" s="168" t="s">
        <v>709</v>
      </c>
      <c r="G25" s="168" t="s">
        <v>710</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721</v>
      </c>
      <c r="D26" t="s">
        <v>722</v>
      </c>
      <c r="F26" t="s">
        <v>723</v>
      </c>
      <c r="G26" t="s">
        <v>724</v>
      </c>
      <c r="H26" t="s">
        <v>725</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809</v>
      </c>
      <c r="D27" s="168" t="s">
        <v>734</v>
      </c>
      <c r="E27" s="168"/>
      <c r="F27" s="168" t="s">
        <v>810</v>
      </c>
      <c r="G27" s="168" t="s">
        <v>811</v>
      </c>
      <c r="H27" s="168" t="s">
        <v>737</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762</v>
      </c>
      <c r="D28" t="s">
        <v>763</v>
      </c>
      <c r="F28" t="s">
        <v>764</v>
      </c>
      <c r="G28" t="s">
        <v>765</v>
      </c>
      <c r="H28" t="s">
        <v>766</v>
      </c>
      <c r="I28" s="168">
        <v>6600</v>
      </c>
      <c r="J28" s="168" t="s">
        <v>109</v>
      </c>
      <c r="K28" s="168"/>
      <c r="L28" s="168"/>
      <c r="O28" s="168"/>
      <c r="R28" s="168"/>
      <c r="U28" s="168"/>
      <c r="X28" s="168"/>
      <c r="AA28" s="168">
        <v>6600</v>
      </c>
      <c r="AD28" s="205">
        <f>I28 + MAX(0, I28 - AA28) + 2750</f>
        <v>9350</v>
      </c>
      <c r="AG28" s="168">
        <v>17600</v>
      </c>
      <c r="AH28" t="s">
        <v>1970</v>
      </c>
      <c r="AJ28" s="168">
        <f t="shared" si="2"/>
        <v>6600</v>
      </c>
      <c r="AM28" s="168">
        <f>I28 + MAX(0, I28 - AD28)</f>
        <v>6600</v>
      </c>
      <c r="AP28" s="168">
        <f t="shared" si="4"/>
        <v>6600</v>
      </c>
      <c r="AS28" s="168">
        <f t="shared" si="5"/>
        <v>6600</v>
      </c>
    </row>
    <row r="29" spans="1:45" hidden="1">
      <c r="A29" s="168">
        <v>137</v>
      </c>
      <c r="B29" s="168" t="s">
        <v>66</v>
      </c>
      <c r="C29" s="168" t="s">
        <v>1191</v>
      </c>
      <c r="D29" s="168" t="s">
        <v>1200</v>
      </c>
      <c r="E29" s="168" t="s">
        <v>1200</v>
      </c>
      <c r="F29" s="168" t="s">
        <v>1201</v>
      </c>
      <c r="G29" s="168" t="s">
        <v>1202</v>
      </c>
      <c r="H29" s="168" t="s">
        <v>833</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1191</v>
      </c>
      <c r="D30" s="168" t="s">
        <v>1200</v>
      </c>
      <c r="E30" s="168" t="s">
        <v>1200</v>
      </c>
      <c r="F30" s="168" t="s">
        <v>1201</v>
      </c>
      <c r="G30" s="168" t="s">
        <v>1202</v>
      </c>
      <c r="H30" s="168" t="s">
        <v>833</v>
      </c>
      <c r="I30" s="168">
        <v>7000</v>
      </c>
      <c r="J30" s="168" t="s">
        <v>109</v>
      </c>
      <c r="K30" s="168"/>
      <c r="L30" s="168"/>
      <c r="O30" s="168"/>
      <c r="R30" s="168"/>
      <c r="U30" s="168"/>
      <c r="X30" s="168"/>
      <c r="AA30" s="168">
        <v>24200</v>
      </c>
      <c r="AB30" t="s">
        <v>1585</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838</v>
      </c>
      <c r="D31" t="s">
        <v>839</v>
      </c>
      <c r="F31" t="s">
        <v>840</v>
      </c>
      <c r="G31" t="s">
        <v>841</v>
      </c>
      <c r="H31" t="s">
        <v>842</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867</v>
      </c>
      <c r="D32" s="168" t="s">
        <v>868</v>
      </c>
      <c r="E32" s="168"/>
      <c r="F32" s="168" t="s">
        <v>869</v>
      </c>
      <c r="G32" s="168" t="s">
        <v>870</v>
      </c>
      <c r="H32" s="168" t="s">
        <v>871</v>
      </c>
      <c r="I32" s="168">
        <v>9900</v>
      </c>
      <c r="J32" s="168" t="s">
        <v>495</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867</v>
      </c>
      <c r="D33" s="168" t="s">
        <v>868</v>
      </c>
      <c r="E33" s="168"/>
      <c r="F33" s="168" t="s">
        <v>869</v>
      </c>
      <c r="G33" s="168" t="s">
        <v>870</v>
      </c>
      <c r="H33" s="168" t="s">
        <v>871</v>
      </c>
      <c r="I33" s="168">
        <v>3300</v>
      </c>
      <c r="J33" s="168" t="s">
        <v>495</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876</v>
      </c>
      <c r="D34" t="s">
        <v>877</v>
      </c>
      <c r="F34" t="s">
        <v>878</v>
      </c>
      <c r="G34" t="s">
        <v>879</v>
      </c>
      <c r="H34" t="s">
        <v>880</v>
      </c>
      <c r="I34" s="168">
        <v>14850</v>
      </c>
      <c r="J34" s="168" t="s">
        <v>196</v>
      </c>
      <c r="K34" s="168"/>
      <c r="L34" s="168"/>
      <c r="O34" s="168"/>
      <c r="R34" s="168"/>
      <c r="U34" s="168"/>
      <c r="X34" s="168"/>
      <c r="AA34" s="168"/>
      <c r="AD34" s="168">
        <v>17600</v>
      </c>
      <c r="AG34" s="205">
        <f t="shared" si="1"/>
        <v>14850</v>
      </c>
      <c r="AH34" t="s">
        <v>2063</v>
      </c>
      <c r="AI34">
        <v>14580</v>
      </c>
      <c r="AJ34" s="168">
        <f t="shared" si="2"/>
        <v>14850</v>
      </c>
      <c r="AM34" s="168">
        <f t="shared" si="3"/>
        <v>14850</v>
      </c>
      <c r="AP34" s="168">
        <f t="shared" si="4"/>
        <v>14850</v>
      </c>
      <c r="AS34" s="168">
        <f t="shared" si="5"/>
        <v>14850</v>
      </c>
    </row>
    <row r="35" spans="1:45">
      <c r="A35" s="168">
        <v>157</v>
      </c>
      <c r="B35" s="168" t="s">
        <v>103</v>
      </c>
      <c r="C35" s="168" t="s">
        <v>890</v>
      </c>
      <c r="D35" s="168" t="s">
        <v>891</v>
      </c>
      <c r="E35" s="168"/>
      <c r="F35" s="168" t="s">
        <v>892</v>
      </c>
      <c r="G35" s="168" t="s">
        <v>893</v>
      </c>
      <c r="H35" s="168" t="s">
        <v>894</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2075</v>
      </c>
      <c r="AP35" s="168">
        <v>22700</v>
      </c>
      <c r="AQ35" t="s">
        <v>2192</v>
      </c>
      <c r="AS35" s="168">
        <f t="shared" si="5"/>
        <v>6050</v>
      </c>
    </row>
    <row r="36" spans="1:45">
      <c r="A36">
        <v>22</v>
      </c>
      <c r="B36" t="s">
        <v>103</v>
      </c>
      <c r="C36" t="s">
        <v>896</v>
      </c>
      <c r="D36" t="s">
        <v>902</v>
      </c>
      <c r="F36" t="s">
        <v>903</v>
      </c>
      <c r="G36" t="s">
        <v>904</v>
      </c>
      <c r="H36" t="s">
        <v>905</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2076</v>
      </c>
      <c r="AP36" s="168">
        <v>17600</v>
      </c>
      <c r="AS36" s="168">
        <v>17600</v>
      </c>
    </row>
    <row r="37" spans="1:45" hidden="1">
      <c r="A37" s="168">
        <v>155</v>
      </c>
      <c r="B37" s="168" t="s">
        <v>66</v>
      </c>
      <c r="C37" s="168" t="s">
        <v>920</v>
      </c>
      <c r="D37" s="168" t="s">
        <v>921</v>
      </c>
      <c r="E37" s="168"/>
      <c r="F37" s="168" t="s">
        <v>922</v>
      </c>
      <c r="G37" s="168" t="s">
        <v>923</v>
      </c>
      <c r="H37" s="168" t="s">
        <v>924</v>
      </c>
      <c r="I37" s="168">
        <v>9500</v>
      </c>
      <c r="J37" s="168" t="s">
        <v>495</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990</v>
      </c>
      <c r="D38" t="s">
        <v>991</v>
      </c>
      <c r="F38" t="s">
        <v>992</v>
      </c>
      <c r="G38" t="s">
        <v>993</v>
      </c>
      <c r="H38" t="s">
        <v>994</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1053</v>
      </c>
      <c r="D39" s="168" t="s">
        <v>1054</v>
      </c>
      <c r="E39" s="168"/>
      <c r="F39" s="168" t="s">
        <v>1055</v>
      </c>
      <c r="G39" s="168" t="s">
        <v>1056</v>
      </c>
      <c r="H39" s="168" t="s">
        <v>1057</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1060</v>
      </c>
      <c r="D40" t="s">
        <v>134</v>
      </c>
      <c r="F40" t="s">
        <v>1061</v>
      </c>
      <c r="G40" t="s">
        <v>1062</v>
      </c>
      <c r="H40" t="s">
        <v>137</v>
      </c>
      <c r="L40" s="168"/>
      <c r="O40" s="168"/>
      <c r="R40" s="168"/>
      <c r="U40" s="168"/>
      <c r="X40" s="168"/>
      <c r="AA40" s="168">
        <v>19800</v>
      </c>
      <c r="AD40" s="168">
        <f t="shared" si="7"/>
        <v>3500</v>
      </c>
      <c r="AG40" s="168">
        <f t="shared" si="1"/>
        <v>0</v>
      </c>
      <c r="AJ40" s="205">
        <f t="shared" si="2"/>
        <v>0</v>
      </c>
      <c r="AK40" t="s">
        <v>2124</v>
      </c>
      <c r="AL40">
        <v>59400</v>
      </c>
      <c r="AM40" s="168">
        <f t="shared" si="3"/>
        <v>0</v>
      </c>
      <c r="AP40" s="168">
        <f t="shared" si="4"/>
        <v>0</v>
      </c>
      <c r="AS40" s="168">
        <f t="shared" si="5"/>
        <v>0</v>
      </c>
    </row>
    <row r="41" spans="1:45" hidden="1">
      <c r="A41" s="168">
        <v>126</v>
      </c>
      <c r="B41" s="168" t="s">
        <v>66</v>
      </c>
      <c r="C41" s="168" t="s">
        <v>1487</v>
      </c>
      <c r="D41" s="168" t="s">
        <v>1488</v>
      </c>
      <c r="E41" s="168"/>
      <c r="F41" s="168" t="s">
        <v>1489</v>
      </c>
      <c r="G41" s="168" t="s">
        <v>1490</v>
      </c>
      <c r="H41" s="168" t="s">
        <v>1491</v>
      </c>
      <c r="I41" s="168" t="s">
        <v>1986</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1107</v>
      </c>
      <c r="D42" t="s">
        <v>1116</v>
      </c>
      <c r="F42" t="s">
        <v>1117</v>
      </c>
      <c r="G42" t="s">
        <v>1118</v>
      </c>
      <c r="H42" t="s">
        <v>1119</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1218</v>
      </c>
      <c r="D43" s="168" t="s">
        <v>1122</v>
      </c>
      <c r="E43" s="168"/>
      <c r="F43" s="168" t="s">
        <v>1219</v>
      </c>
      <c r="G43" s="168" t="s">
        <v>1220</v>
      </c>
      <c r="H43" s="168" t="s">
        <v>1125</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1156</v>
      </c>
      <c r="D44" t="s">
        <v>1162</v>
      </c>
      <c r="F44" t="s">
        <v>1163</v>
      </c>
      <c r="G44" t="s">
        <v>1164</v>
      </c>
      <c r="H44" t="s">
        <v>627</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1168</v>
      </c>
      <c r="D45" s="168" t="s">
        <v>1169</v>
      </c>
      <c r="E45" s="168"/>
      <c r="F45" s="168" t="s">
        <v>1170</v>
      </c>
      <c r="G45" s="168" t="s">
        <v>1171</v>
      </c>
      <c r="H45" s="168" t="s">
        <v>1172</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631</v>
      </c>
      <c r="D46" t="s">
        <v>632</v>
      </c>
      <c r="F46" t="s">
        <v>1222</v>
      </c>
      <c r="G46" t="s">
        <v>1223</v>
      </c>
      <c r="H46" t="s">
        <v>635</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1228</v>
      </c>
      <c r="D47" s="168" t="s">
        <v>1229</v>
      </c>
      <c r="E47" s="168"/>
      <c r="F47" s="168" t="s">
        <v>1230</v>
      </c>
      <c r="G47" s="168" t="s">
        <v>1231</v>
      </c>
      <c r="H47" s="168" t="s">
        <v>1232</v>
      </c>
      <c r="I47" s="168">
        <v>17600</v>
      </c>
      <c r="J47" s="168" t="s">
        <v>196</v>
      </c>
      <c r="K47" s="168"/>
      <c r="L47" s="168"/>
      <c r="O47" s="168"/>
      <c r="R47" s="168"/>
      <c r="U47" s="168"/>
      <c r="V47" t="s">
        <v>1586</v>
      </c>
      <c r="W47">
        <v>17600</v>
      </c>
      <c r="X47" s="168"/>
      <c r="AA47" s="205"/>
      <c r="AD47" s="205">
        <v>20350</v>
      </c>
      <c r="AE47" t="s">
        <v>1944</v>
      </c>
      <c r="AF47">
        <v>20350</v>
      </c>
      <c r="AG47" s="168">
        <v>20350</v>
      </c>
      <c r="AH47" t="s">
        <v>1943</v>
      </c>
      <c r="AJ47" s="205">
        <f t="shared" si="2"/>
        <v>17600</v>
      </c>
      <c r="AK47" t="s">
        <v>2125</v>
      </c>
      <c r="AM47" s="168">
        <v>0</v>
      </c>
      <c r="AP47" s="168">
        <v>0</v>
      </c>
      <c r="AS47" s="168">
        <v>0</v>
      </c>
    </row>
    <row r="48" spans="1:45">
      <c r="A48">
        <v>120</v>
      </c>
      <c r="B48" t="s">
        <v>103</v>
      </c>
      <c r="C48" t="s">
        <v>1239</v>
      </c>
      <c r="D48" t="s">
        <v>1240</v>
      </c>
      <c r="F48" t="s">
        <v>1241</v>
      </c>
      <c r="G48" t="s">
        <v>1242</v>
      </c>
      <c r="H48" t="s">
        <v>1243</v>
      </c>
      <c r="I48" s="168">
        <v>15000</v>
      </c>
      <c r="J48" s="168" t="s">
        <v>495</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1258</v>
      </c>
      <c r="D49" s="168" t="s">
        <v>1259</v>
      </c>
      <c r="E49" s="168"/>
      <c r="F49" s="168" t="s">
        <v>1260</v>
      </c>
      <c r="G49" s="168" t="s">
        <v>1261</v>
      </c>
      <c r="H49" s="168" t="s">
        <v>1262</v>
      </c>
      <c r="I49" s="168">
        <v>9900</v>
      </c>
      <c r="J49" s="168" t="s">
        <v>495</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1258</v>
      </c>
      <c r="D50" s="168" t="s">
        <v>1259</v>
      </c>
      <c r="E50" s="168"/>
      <c r="F50" s="168" t="s">
        <v>1260</v>
      </c>
      <c r="G50" s="168" t="s">
        <v>1261</v>
      </c>
      <c r="H50" s="168" t="s">
        <v>1262</v>
      </c>
      <c r="I50" s="168">
        <v>3300</v>
      </c>
      <c r="J50" s="168" t="s">
        <v>495</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1273</v>
      </c>
      <c r="D51" t="s">
        <v>1274</v>
      </c>
      <c r="F51" t="s">
        <v>1275</v>
      </c>
      <c r="G51" t="s">
        <v>1276</v>
      </c>
      <c r="H51" t="s">
        <v>1277</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1273</v>
      </c>
      <c r="D52" t="s">
        <v>1274</v>
      </c>
      <c r="F52" t="s">
        <v>1275</v>
      </c>
      <c r="G52" t="s">
        <v>1276</v>
      </c>
      <c r="H52" t="s">
        <v>1277</v>
      </c>
      <c r="I52" s="168">
        <v>19800</v>
      </c>
      <c r="J52" s="168" t="s">
        <v>495</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1280</v>
      </c>
      <c r="D53" s="168" t="s">
        <v>910</v>
      </c>
      <c r="E53" s="168"/>
      <c r="F53" s="168" t="s">
        <v>1281</v>
      </c>
      <c r="G53" s="168" t="s">
        <v>1282</v>
      </c>
      <c r="H53" s="168" t="s">
        <v>913</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1290</v>
      </c>
      <c r="D54" t="s">
        <v>1032</v>
      </c>
      <c r="F54" t="s">
        <v>1291</v>
      </c>
      <c r="G54" t="s">
        <v>1292</v>
      </c>
      <c r="H54" t="s">
        <v>1035</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1309</v>
      </c>
      <c r="D55" s="168" t="s">
        <v>763</v>
      </c>
      <c r="E55" s="168"/>
      <c r="F55" s="168" t="s">
        <v>1310</v>
      </c>
      <c r="G55" s="168" t="s">
        <v>1311</v>
      </c>
      <c r="H55" s="168" t="s">
        <v>766</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1351</v>
      </c>
      <c r="D56" t="s">
        <v>1356</v>
      </c>
      <c r="F56" t="s">
        <v>1357</v>
      </c>
      <c r="G56" t="s">
        <v>1358</v>
      </c>
      <c r="H56" t="s">
        <v>1359</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1391</v>
      </c>
      <c r="D57" s="168" t="s">
        <v>381</v>
      </c>
      <c r="E57" s="168"/>
      <c r="F57" s="168" t="s">
        <v>1392</v>
      </c>
      <c r="G57" s="168" t="s">
        <v>1393</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1402</v>
      </c>
      <c r="D58" t="s">
        <v>1116</v>
      </c>
      <c r="F58" t="s">
        <v>1310</v>
      </c>
      <c r="G58" t="s">
        <v>1403</v>
      </c>
      <c r="H58" t="s">
        <v>1119</v>
      </c>
      <c r="I58" s="168">
        <v>6600</v>
      </c>
      <c r="J58" s="168" t="s">
        <v>495</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1413</v>
      </c>
      <c r="D59" s="168" t="s">
        <v>1414</v>
      </c>
      <c r="E59" s="168"/>
      <c r="F59" s="168" t="s">
        <v>1415</v>
      </c>
      <c r="G59" s="168" t="s">
        <v>1416</v>
      </c>
      <c r="H59" s="168" t="s">
        <v>1417</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1290</v>
      </c>
      <c r="D60" t="s">
        <v>1464</v>
      </c>
      <c r="H60" t="s">
        <v>1467</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1004</v>
      </c>
      <c r="D61" s="217" t="s">
        <v>1011</v>
      </c>
      <c r="E61" s="217"/>
      <c r="F61" s="217" t="s">
        <v>1012</v>
      </c>
      <c r="G61" s="217" t="s">
        <v>1013</v>
      </c>
      <c r="H61" s="217" t="s">
        <v>1014</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490</v>
      </c>
      <c r="D62" t="s">
        <v>491</v>
      </c>
      <c r="F62" t="s">
        <v>492</v>
      </c>
      <c r="G62" t="s">
        <v>493</v>
      </c>
      <c r="H62" t="s">
        <v>494</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2223</v>
      </c>
      <c r="AS62" s="168">
        <f t="shared" si="5"/>
        <v>9500</v>
      </c>
    </row>
    <row r="63" spans="1:45">
      <c r="A63" s="168">
        <v>160</v>
      </c>
      <c r="B63" s="168" t="s">
        <v>103</v>
      </c>
      <c r="C63" s="168" t="s">
        <v>500</v>
      </c>
      <c r="D63" s="168" t="s">
        <v>491</v>
      </c>
      <c r="E63" s="168"/>
      <c r="F63" s="168" t="s">
        <v>501</v>
      </c>
      <c r="G63" s="168" t="s">
        <v>502</v>
      </c>
      <c r="H63" s="168" t="s">
        <v>494</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2191</v>
      </c>
      <c r="AS63" s="168">
        <f t="shared" si="5"/>
        <v>7000</v>
      </c>
    </row>
    <row r="64" spans="1:45">
      <c r="A64" s="168">
        <v>160</v>
      </c>
      <c r="B64" s="168" t="s">
        <v>103</v>
      </c>
      <c r="C64" t="s">
        <v>505</v>
      </c>
      <c r="D64" t="s">
        <v>491</v>
      </c>
      <c r="F64" t="s">
        <v>506</v>
      </c>
      <c r="G64" t="s">
        <v>507</v>
      </c>
      <c r="H64" t="s">
        <v>494</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2191</v>
      </c>
      <c r="AS64" s="168">
        <f t="shared" si="5"/>
        <v>20500</v>
      </c>
    </row>
    <row r="65" spans="1:45">
      <c r="A65">
        <v>165</v>
      </c>
      <c r="B65" t="s">
        <v>103</v>
      </c>
      <c r="C65" t="s">
        <v>1471</v>
      </c>
      <c r="D65" t="s">
        <v>741</v>
      </c>
      <c r="F65" t="s">
        <v>1472</v>
      </c>
      <c r="G65" t="s">
        <v>1473</v>
      </c>
      <c r="H65" t="s">
        <v>744</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1478</v>
      </c>
      <c r="D66" s="168" t="s">
        <v>1479</v>
      </c>
      <c r="E66" s="168"/>
      <c r="F66" s="168" t="s">
        <v>1480</v>
      </c>
      <c r="G66" s="168" t="s">
        <v>1481</v>
      </c>
      <c r="H66" s="168" t="s">
        <v>1482</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2224</v>
      </c>
      <c r="AS66" s="168">
        <v>0</v>
      </c>
    </row>
    <row r="67" spans="1:45" hidden="1">
      <c r="A67">
        <v>164</v>
      </c>
      <c r="B67" t="s">
        <v>66</v>
      </c>
      <c r="C67" t="s">
        <v>1487</v>
      </c>
      <c r="D67" t="s">
        <v>1488</v>
      </c>
      <c r="F67" t="s">
        <v>1489</v>
      </c>
      <c r="G67" t="s">
        <v>1490</v>
      </c>
      <c r="H67" t="s">
        <v>1491</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1471</v>
      </c>
      <c r="D68" s="168" t="s">
        <v>1495</v>
      </c>
      <c r="E68" s="168"/>
      <c r="F68" s="168" t="s">
        <v>1472</v>
      </c>
      <c r="G68" s="168" t="s">
        <v>1496</v>
      </c>
      <c r="H68" s="168" t="s">
        <v>1497</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1500</v>
      </c>
      <c r="D69" t="s">
        <v>1501</v>
      </c>
      <c r="F69" t="s">
        <v>1502</v>
      </c>
      <c r="G69" t="s">
        <v>1503</v>
      </c>
      <c r="H69" t="s">
        <v>1504</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1509</v>
      </c>
      <c r="D70" s="168" t="s">
        <v>1510</v>
      </c>
      <c r="E70" s="168"/>
      <c r="F70" s="168" t="s">
        <v>1511</v>
      </c>
      <c r="G70" s="168" t="s">
        <v>1512</v>
      </c>
      <c r="H70" s="168" t="s">
        <v>1513</v>
      </c>
      <c r="I70" s="168">
        <v>7000</v>
      </c>
      <c r="J70" s="168"/>
      <c r="K70" s="168"/>
      <c r="L70" s="168"/>
      <c r="O70" s="168"/>
      <c r="R70" s="168"/>
      <c r="U70" s="168"/>
      <c r="X70" s="168"/>
      <c r="Y70" t="s">
        <v>2059</v>
      </c>
      <c r="AA70" s="168"/>
      <c r="AB70" t="s">
        <v>2059</v>
      </c>
      <c r="AD70" s="168">
        <f t="shared" si="14"/>
        <v>17500</v>
      </c>
      <c r="AE70" t="s">
        <v>2059</v>
      </c>
      <c r="AG70" s="205">
        <f t="shared" si="15"/>
        <v>7000</v>
      </c>
      <c r="AJ70" s="168">
        <f t="shared" si="16"/>
        <v>7000</v>
      </c>
      <c r="AM70" s="168">
        <f t="shared" si="17"/>
        <v>7000</v>
      </c>
      <c r="AP70" s="168">
        <f t="shared" si="18"/>
        <v>7000</v>
      </c>
      <c r="AS70" s="168">
        <f t="shared" si="19"/>
        <v>7000</v>
      </c>
    </row>
    <row r="71" spans="1:45">
      <c r="A71">
        <v>168</v>
      </c>
      <c r="B71" t="s">
        <v>103</v>
      </c>
      <c r="C71" t="s">
        <v>1517</v>
      </c>
      <c r="D71" t="s">
        <v>1518</v>
      </c>
      <c r="F71" t="s">
        <v>1519</v>
      </c>
      <c r="G71" t="s">
        <v>1520</v>
      </c>
      <c r="H71" t="s">
        <v>1521</v>
      </c>
      <c r="I71" s="168">
        <v>7000</v>
      </c>
      <c r="L71" s="168"/>
      <c r="O71" s="168"/>
      <c r="R71" s="168"/>
      <c r="U71" s="168"/>
      <c r="X71" s="168"/>
      <c r="Y71" s="160" t="s">
        <v>1912</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1525</v>
      </c>
      <c r="D72" s="168" t="s">
        <v>1526</v>
      </c>
      <c r="E72" s="168"/>
      <c r="F72" s="168" t="s">
        <v>1527</v>
      </c>
      <c r="G72" s="168" t="s">
        <v>1528</v>
      </c>
      <c r="H72" s="168" t="s">
        <v>1529</v>
      </c>
      <c r="I72" s="168">
        <v>7000</v>
      </c>
      <c r="J72" s="168"/>
      <c r="K72" s="168"/>
      <c r="L72" s="168"/>
      <c r="O72" s="168"/>
      <c r="R72" s="168"/>
      <c r="U72" s="168"/>
      <c r="X72" s="168"/>
      <c r="Y72" s="160" t="s">
        <v>1912</v>
      </c>
      <c r="AA72" s="205"/>
      <c r="AD72" s="168">
        <v>0</v>
      </c>
      <c r="AG72" s="205">
        <v>7000</v>
      </c>
      <c r="AJ72" s="168">
        <f t="shared" si="16"/>
        <v>14000</v>
      </c>
      <c r="AM72" s="168">
        <f t="shared" si="17"/>
        <v>14000</v>
      </c>
      <c r="AP72" s="168">
        <f t="shared" si="18"/>
        <v>14000</v>
      </c>
      <c r="AS72" s="168">
        <f t="shared" si="19"/>
        <v>14000</v>
      </c>
    </row>
    <row r="73" spans="1:45">
      <c r="A73">
        <v>170</v>
      </c>
      <c r="B73" t="s">
        <v>103</v>
      </c>
      <c r="C73" t="s">
        <v>1533</v>
      </c>
      <c r="D73" t="s">
        <v>855</v>
      </c>
      <c r="F73" t="s">
        <v>1534</v>
      </c>
      <c r="G73" t="s">
        <v>1535</v>
      </c>
      <c r="H73" t="s">
        <v>1536</v>
      </c>
      <c r="I73" s="168">
        <v>7000</v>
      </c>
      <c r="L73" s="168"/>
      <c r="O73" s="168"/>
      <c r="R73" s="168"/>
      <c r="U73" s="168"/>
      <c r="X73" s="168"/>
      <c r="AA73" s="205"/>
      <c r="AD73" s="168">
        <f t="shared" si="14"/>
        <v>17500</v>
      </c>
      <c r="AE73" t="s">
        <v>1913</v>
      </c>
      <c r="AG73" s="205">
        <v>17500</v>
      </c>
      <c r="AH73" t="s">
        <v>2028</v>
      </c>
      <c r="AJ73" s="168">
        <f t="shared" si="16"/>
        <v>7000</v>
      </c>
      <c r="AM73" s="168">
        <f t="shared" si="17"/>
        <v>7000</v>
      </c>
      <c r="AP73" s="168">
        <f t="shared" si="18"/>
        <v>7000</v>
      </c>
      <c r="AS73" s="168">
        <f t="shared" si="19"/>
        <v>7000</v>
      </c>
    </row>
    <row r="74" spans="1:45">
      <c r="A74" s="168">
        <v>171</v>
      </c>
      <c r="B74" s="168" t="s">
        <v>103</v>
      </c>
      <c r="C74" s="168" t="s">
        <v>1391</v>
      </c>
      <c r="D74" s="168" t="s">
        <v>491</v>
      </c>
      <c r="E74" s="168"/>
      <c r="F74" s="168" t="s">
        <v>1538</v>
      </c>
      <c r="G74" s="168" t="s">
        <v>1539</v>
      </c>
      <c r="H74" s="168" t="s">
        <v>494</v>
      </c>
      <c r="I74" s="168">
        <v>7000</v>
      </c>
      <c r="J74" s="168"/>
      <c r="K74" s="168"/>
      <c r="L74" s="168"/>
      <c r="O74" s="168"/>
      <c r="R74" s="168"/>
      <c r="U74" s="168"/>
      <c r="X74" s="168"/>
      <c r="AA74" s="168"/>
      <c r="AD74" s="205">
        <f t="shared" si="14"/>
        <v>17500</v>
      </c>
      <c r="AE74" t="s">
        <v>1913</v>
      </c>
      <c r="AG74" s="168">
        <v>17500</v>
      </c>
      <c r="AH74" t="s">
        <v>1958</v>
      </c>
      <c r="AJ74" s="168">
        <f t="shared" si="16"/>
        <v>7000</v>
      </c>
      <c r="AM74" s="168">
        <f t="shared" si="17"/>
        <v>7000</v>
      </c>
      <c r="AP74" s="168">
        <f t="shared" si="18"/>
        <v>7000</v>
      </c>
      <c r="AS74" s="168">
        <f t="shared" si="19"/>
        <v>7000</v>
      </c>
    </row>
    <row r="75" spans="1:45">
      <c r="A75">
        <v>172</v>
      </c>
      <c r="B75" t="s">
        <v>103</v>
      </c>
      <c r="C75" t="s">
        <v>1541</v>
      </c>
      <c r="D75" t="s">
        <v>1542</v>
      </c>
      <c r="F75" t="s">
        <v>1543</v>
      </c>
      <c r="G75" t="s">
        <v>1544</v>
      </c>
      <c r="H75" t="s">
        <v>1545</v>
      </c>
      <c r="I75" s="168">
        <v>12100</v>
      </c>
      <c r="J75" s="168"/>
      <c r="K75" s="168"/>
      <c r="L75" s="168"/>
      <c r="O75" s="168"/>
      <c r="R75" s="168"/>
      <c r="U75" s="168"/>
      <c r="X75" s="168"/>
      <c r="AA75" s="205" t="s">
        <v>1588</v>
      </c>
      <c r="AB75" s="160" t="s">
        <v>1589</v>
      </c>
      <c r="AD75" s="168">
        <v>15600</v>
      </c>
      <c r="AE75" t="s">
        <v>1969</v>
      </c>
      <c r="AG75" s="168">
        <f t="shared" si="15"/>
        <v>12100</v>
      </c>
      <c r="AJ75" s="168">
        <f t="shared" si="16"/>
        <v>12100</v>
      </c>
      <c r="AM75" s="168">
        <f t="shared" si="17"/>
        <v>12100</v>
      </c>
      <c r="AP75" s="168">
        <f t="shared" si="18"/>
        <v>12100</v>
      </c>
      <c r="AS75" s="168">
        <f t="shared" si="19"/>
        <v>12100</v>
      </c>
    </row>
    <row r="76" spans="1:45">
      <c r="A76" s="168">
        <v>173</v>
      </c>
      <c r="B76" s="168" t="s">
        <v>103</v>
      </c>
      <c r="C76" s="168" t="s">
        <v>1525</v>
      </c>
      <c r="D76" s="168" t="s">
        <v>1551</v>
      </c>
      <c r="E76" s="168"/>
      <c r="F76" s="168" t="s">
        <v>1552</v>
      </c>
      <c r="G76" s="168" t="s">
        <v>1553</v>
      </c>
      <c r="H76" s="168" t="s">
        <v>1553</v>
      </c>
      <c r="I76" s="168">
        <v>9500</v>
      </c>
      <c r="J76" s="168"/>
      <c r="K76" s="168"/>
      <c r="L76" s="168"/>
      <c r="O76" s="168"/>
      <c r="R76" s="168"/>
      <c r="U76" s="168"/>
      <c r="X76" s="168"/>
      <c r="AA76" s="205" t="s">
        <v>1588</v>
      </c>
      <c r="AB76" s="160" t="s">
        <v>1589</v>
      </c>
      <c r="AD76" s="217">
        <v>13000</v>
      </c>
      <c r="AE76" t="s">
        <v>1916</v>
      </c>
      <c r="AG76" s="168">
        <v>7000</v>
      </c>
      <c r="AJ76" s="168">
        <f t="shared" si="16"/>
        <v>9500</v>
      </c>
      <c r="AM76" s="168">
        <f t="shared" si="17"/>
        <v>9500</v>
      </c>
      <c r="AP76" s="168">
        <f t="shared" si="18"/>
        <v>9500</v>
      </c>
      <c r="AS76" s="168">
        <f t="shared" si="19"/>
        <v>9500</v>
      </c>
    </row>
    <row r="77" spans="1:45">
      <c r="A77">
        <v>174</v>
      </c>
      <c r="B77" t="s">
        <v>103</v>
      </c>
      <c r="C77" t="s">
        <v>750</v>
      </c>
      <c r="D77" t="s">
        <v>149</v>
      </c>
      <c r="F77" t="s">
        <v>1558</v>
      </c>
      <c r="G77" t="s">
        <v>1559</v>
      </c>
      <c r="H77" t="s">
        <v>753</v>
      </c>
      <c r="I77" s="168">
        <v>7000</v>
      </c>
      <c r="L77" s="168"/>
      <c r="O77" s="168"/>
      <c r="R77" s="168"/>
      <c r="U77" s="168"/>
      <c r="X77" s="168"/>
      <c r="AA77" s="205"/>
      <c r="AD77" s="236"/>
      <c r="AE77" t="s">
        <v>1984</v>
      </c>
      <c r="AG77" s="217">
        <v>7000</v>
      </c>
      <c r="AH77" t="s">
        <v>1992</v>
      </c>
      <c r="AJ77" s="235">
        <f t="shared" si="16"/>
        <v>14000</v>
      </c>
      <c r="AM77" s="218">
        <v>7000</v>
      </c>
      <c r="AN77" t="s">
        <v>2172</v>
      </c>
      <c r="AP77" s="205">
        <f t="shared" si="18"/>
        <v>14000</v>
      </c>
      <c r="AQ77" t="s">
        <v>2211</v>
      </c>
      <c r="AS77" s="168">
        <f t="shared" si="19"/>
        <v>14000</v>
      </c>
    </row>
    <row r="78" spans="1:45">
      <c r="A78" s="168">
        <v>175</v>
      </c>
      <c r="B78" s="168" t="s">
        <v>1937</v>
      </c>
      <c r="C78" s="168" t="s">
        <v>1938</v>
      </c>
      <c r="D78" s="168" t="s">
        <v>1941</v>
      </c>
      <c r="E78" s="168"/>
      <c r="F78" s="168" t="s">
        <v>1939</v>
      </c>
      <c r="G78" s="168" t="s">
        <v>1940</v>
      </c>
      <c r="H78" s="168" t="s">
        <v>1373</v>
      </c>
      <c r="I78" s="168">
        <v>6600</v>
      </c>
      <c r="J78" s="168"/>
      <c r="K78" s="168"/>
      <c r="L78" s="168"/>
      <c r="O78" s="168"/>
      <c r="R78" s="168"/>
      <c r="U78" s="168"/>
      <c r="X78" s="168"/>
      <c r="AA78" s="168"/>
      <c r="AD78" s="236"/>
      <c r="AE78" t="s">
        <v>2016</v>
      </c>
      <c r="AG78" s="217">
        <v>6600</v>
      </c>
      <c r="AH78" t="s">
        <v>1992</v>
      </c>
      <c r="AJ78" s="235">
        <f t="shared" si="16"/>
        <v>13200</v>
      </c>
      <c r="AM78" s="168">
        <f t="shared" si="17"/>
        <v>13200</v>
      </c>
      <c r="AP78" s="168">
        <f t="shared" si="18"/>
        <v>13200</v>
      </c>
      <c r="AS78" s="168">
        <f t="shared" si="19"/>
        <v>13200</v>
      </c>
    </row>
    <row r="79" spans="1:45" hidden="1">
      <c r="A79" s="168">
        <v>176</v>
      </c>
      <c r="B79" s="168" t="s">
        <v>66</v>
      </c>
      <c r="C79" s="168" t="s">
        <v>1982</v>
      </c>
      <c r="D79" s="168" t="s">
        <v>1983</v>
      </c>
      <c r="E79" s="168"/>
      <c r="F79" s="49" t="s">
        <v>1980</v>
      </c>
      <c r="G79" s="168" t="s">
        <v>1979</v>
      </c>
      <c r="H79" s="168" t="s">
        <v>1979</v>
      </c>
      <c r="I79" s="168">
        <v>6600</v>
      </c>
      <c r="AD79" s="236"/>
      <c r="AE79" t="s">
        <v>2058</v>
      </c>
      <c r="AG79" s="168"/>
      <c r="AJ79" s="205">
        <f t="shared" si="16"/>
        <v>13200</v>
      </c>
      <c r="AM79" s="168">
        <v>0</v>
      </c>
      <c r="AP79" s="168">
        <v>0</v>
      </c>
      <c r="AS79" s="168">
        <v>0</v>
      </c>
    </row>
    <row r="80" spans="1:45">
      <c r="A80" s="233">
        <v>177</v>
      </c>
      <c r="B80" s="233" t="s">
        <v>103</v>
      </c>
      <c r="C80" s="233" t="s">
        <v>2011</v>
      </c>
      <c r="D80" s="233" t="s">
        <v>2012</v>
      </c>
      <c r="E80" s="233"/>
      <c r="F80" s="227" t="s">
        <v>2041</v>
      </c>
      <c r="G80" s="227" t="s">
        <v>2009</v>
      </c>
      <c r="H80" s="227" t="s">
        <v>2010</v>
      </c>
      <c r="I80" s="168">
        <v>7000</v>
      </c>
      <c r="J80" t="s">
        <v>109</v>
      </c>
      <c r="AD80" s="168">
        <v>7000</v>
      </c>
      <c r="AE80" t="s">
        <v>2048</v>
      </c>
      <c r="AG80">
        <v>7000</v>
      </c>
      <c r="AH80" t="s">
        <v>2042</v>
      </c>
      <c r="AJ80" s="257">
        <f t="shared" si="16"/>
        <v>7000</v>
      </c>
      <c r="AK80" t="s">
        <v>2147</v>
      </c>
      <c r="AM80" s="257">
        <v>7000</v>
      </c>
      <c r="AP80">
        <v>7000</v>
      </c>
      <c r="AS80" s="168">
        <f>I80 + MAX(0, I80 - AD80)</f>
        <v>7000</v>
      </c>
    </row>
    <row r="81" spans="1:46">
      <c r="A81">
        <v>178</v>
      </c>
      <c r="B81" t="s">
        <v>103</v>
      </c>
      <c r="C81" t="s">
        <v>587</v>
      </c>
      <c r="D81" t="s">
        <v>588</v>
      </c>
      <c r="F81" t="s">
        <v>589</v>
      </c>
      <c r="G81" t="s">
        <v>590</v>
      </c>
      <c r="H81" t="s">
        <v>591</v>
      </c>
      <c r="I81" s="168">
        <v>7000</v>
      </c>
      <c r="J81" t="s">
        <v>109</v>
      </c>
      <c r="AD81" s="168"/>
      <c r="AG81">
        <v>7000</v>
      </c>
      <c r="AH81" t="s">
        <v>2042</v>
      </c>
      <c r="AJ81" s="205">
        <v>7000</v>
      </c>
      <c r="AK81" t="s">
        <v>2091</v>
      </c>
      <c r="AM81">
        <v>7000</v>
      </c>
      <c r="AP81">
        <v>7000</v>
      </c>
      <c r="AS81" s="168">
        <v>7000</v>
      </c>
    </row>
    <row r="82" spans="1:46">
      <c r="A82">
        <v>179</v>
      </c>
      <c r="B82" t="s">
        <v>103</v>
      </c>
      <c r="C82" t="s">
        <v>631</v>
      </c>
      <c r="D82" t="s">
        <v>2035</v>
      </c>
      <c r="F82" t="s">
        <v>2039</v>
      </c>
      <c r="G82" t="s">
        <v>2034</v>
      </c>
      <c r="H82" t="s">
        <v>2036</v>
      </c>
      <c r="I82" s="168">
        <v>6600</v>
      </c>
      <c r="J82" t="s">
        <v>109</v>
      </c>
      <c r="AD82" s="168"/>
      <c r="AG82" s="205">
        <v>6600</v>
      </c>
      <c r="AH82" t="s">
        <v>2057</v>
      </c>
      <c r="AJ82" s="205">
        <v>0</v>
      </c>
      <c r="AK82" t="s">
        <v>2040</v>
      </c>
      <c r="AM82" s="257">
        <v>0</v>
      </c>
      <c r="AN82" t="s">
        <v>2040</v>
      </c>
      <c r="AP82">
        <v>6600</v>
      </c>
      <c r="AQ82" t="s">
        <v>2212</v>
      </c>
      <c r="AS82" s="218">
        <v>6600</v>
      </c>
      <c r="AT82" t="s">
        <v>2256</v>
      </c>
    </row>
    <row r="83" spans="1:46" ht="17.25" customHeight="1">
      <c r="A83">
        <v>181</v>
      </c>
      <c r="B83" t="s">
        <v>103</v>
      </c>
      <c r="C83" t="s">
        <v>2101</v>
      </c>
      <c r="D83" t="s">
        <v>491</v>
      </c>
      <c r="F83" t="s">
        <v>2133</v>
      </c>
      <c r="G83" t="s">
        <v>2132</v>
      </c>
      <c r="H83" t="s">
        <v>494</v>
      </c>
      <c r="I83">
        <v>9500</v>
      </c>
      <c r="J83" t="s">
        <v>109</v>
      </c>
      <c r="AJ83">
        <v>9500</v>
      </c>
      <c r="AK83" t="s">
        <v>2040</v>
      </c>
      <c r="AM83">
        <v>9500</v>
      </c>
      <c r="AN83" t="s">
        <v>2209</v>
      </c>
      <c r="AP83">
        <v>9500</v>
      </c>
      <c r="AQ83" t="s">
        <v>2255</v>
      </c>
      <c r="AS83" s="197">
        <v>9500</v>
      </c>
      <c r="AT83" t="s">
        <v>2256</v>
      </c>
    </row>
    <row r="84" spans="1:46">
      <c r="A84" s="168">
        <v>182</v>
      </c>
      <c r="B84" t="s">
        <v>103</v>
      </c>
      <c r="C84" t="s">
        <v>1273</v>
      </c>
      <c r="D84" t="s">
        <v>1085</v>
      </c>
      <c r="F84" s="256" t="s">
        <v>2118</v>
      </c>
      <c r="G84" s="256" t="s">
        <v>2071</v>
      </c>
      <c r="H84" s="256" t="s">
        <v>2115</v>
      </c>
      <c r="I84" s="168">
        <v>7000</v>
      </c>
      <c r="J84" t="s">
        <v>109</v>
      </c>
      <c r="AD84" s="168"/>
      <c r="AG84" s="168"/>
      <c r="AJ84" s="205">
        <v>7000</v>
      </c>
      <c r="AK84" t="s">
        <v>2120</v>
      </c>
      <c r="AM84" s="264">
        <v>7000</v>
      </c>
      <c r="AP84" s="257">
        <v>14000</v>
      </c>
      <c r="AQ84" t="s">
        <v>2222</v>
      </c>
      <c r="AS84">
        <v>7000</v>
      </c>
    </row>
    <row r="85" spans="1:46">
      <c r="A85" s="168">
        <v>183</v>
      </c>
      <c r="B85" t="s">
        <v>103</v>
      </c>
      <c r="C85" t="s">
        <v>67</v>
      </c>
      <c r="D85" t="s">
        <v>2116</v>
      </c>
      <c r="F85" t="s">
        <v>2119</v>
      </c>
      <c r="G85" t="s">
        <v>2067</v>
      </c>
      <c r="H85" t="s">
        <v>2117</v>
      </c>
      <c r="I85" s="168">
        <v>7000</v>
      </c>
      <c r="J85" t="s">
        <v>109</v>
      </c>
      <c r="AD85" s="168"/>
      <c r="AG85" s="168"/>
      <c r="AJ85" s="205">
        <v>7000</v>
      </c>
      <c r="AK85" t="s">
        <v>2120</v>
      </c>
      <c r="AM85" s="197">
        <v>7000</v>
      </c>
      <c r="AN85" t="s">
        <v>2173</v>
      </c>
      <c r="AP85" s="257">
        <v>14000</v>
      </c>
      <c r="AQ85" t="s">
        <v>2193</v>
      </c>
      <c r="AS85">
        <v>7000</v>
      </c>
    </row>
    <row r="86" spans="1:46">
      <c r="A86" s="168">
        <v>184</v>
      </c>
      <c r="B86" t="s">
        <v>103</v>
      </c>
      <c r="C86" t="s">
        <v>561</v>
      </c>
      <c r="D86" t="s">
        <v>2127</v>
      </c>
      <c r="G86" s="256" t="s">
        <v>2085</v>
      </c>
      <c r="H86" t="s">
        <v>563</v>
      </c>
      <c r="I86" s="168">
        <v>7000</v>
      </c>
      <c r="J86" t="s">
        <v>109</v>
      </c>
      <c r="AD86" s="168"/>
      <c r="AG86" s="168"/>
      <c r="AJ86" s="205"/>
      <c r="AM86" s="257">
        <v>7000</v>
      </c>
      <c r="AN86" t="s">
        <v>2214</v>
      </c>
      <c r="AP86">
        <v>7000</v>
      </c>
      <c r="AS86">
        <v>7000</v>
      </c>
    </row>
    <row r="87" spans="1:46">
      <c r="A87" s="168">
        <v>185</v>
      </c>
      <c r="B87" t="s">
        <v>103</v>
      </c>
      <c r="C87" t="s">
        <v>2128</v>
      </c>
      <c r="D87" t="s">
        <v>2126</v>
      </c>
      <c r="G87" s="256" t="s">
        <v>2080</v>
      </c>
      <c r="H87" s="256" t="s">
        <v>2129</v>
      </c>
      <c r="I87" s="168">
        <v>7000</v>
      </c>
      <c r="J87" t="s">
        <v>109</v>
      </c>
      <c r="AD87" s="168"/>
      <c r="AG87" s="168"/>
      <c r="AJ87" s="168"/>
      <c r="AM87" s="197">
        <v>7000</v>
      </c>
      <c r="AN87" t="s">
        <v>2215</v>
      </c>
      <c r="AP87" s="257">
        <v>7000</v>
      </c>
      <c r="AQ87" t="s">
        <v>2213</v>
      </c>
      <c r="AS87">
        <v>7000</v>
      </c>
    </row>
    <row r="88" spans="1:46">
      <c r="A88" s="168">
        <v>186</v>
      </c>
      <c r="B88" t="s">
        <v>103</v>
      </c>
      <c r="H88" s="256" t="s">
        <v>237</v>
      </c>
      <c r="I88" s="168">
        <v>7000</v>
      </c>
      <c r="J88" t="s">
        <v>109</v>
      </c>
      <c r="AD88" s="168"/>
      <c r="AG88" s="168"/>
      <c r="AJ88" s="168"/>
      <c r="AM88" s="257">
        <v>7000</v>
      </c>
      <c r="AN88" t="s">
        <v>2168</v>
      </c>
      <c r="AP88" s="257">
        <v>7000</v>
      </c>
      <c r="AQ88" t="s">
        <v>2210</v>
      </c>
      <c r="AS88">
        <v>7000</v>
      </c>
      <c r="AT88" t="s">
        <v>2240</v>
      </c>
    </row>
    <row r="89" spans="1:46">
      <c r="A89" s="168">
        <v>187</v>
      </c>
      <c r="B89" t="s">
        <v>103</v>
      </c>
      <c r="H89" s="256" t="s">
        <v>2148</v>
      </c>
      <c r="I89" s="168">
        <v>7000</v>
      </c>
      <c r="J89" t="s">
        <v>109</v>
      </c>
      <c r="AD89" s="168"/>
      <c r="AG89" s="168"/>
      <c r="AJ89" s="168"/>
      <c r="AP89" s="257">
        <v>7000</v>
      </c>
      <c r="AQ89" t="s">
        <v>2208</v>
      </c>
      <c r="AS89">
        <v>7000</v>
      </c>
    </row>
    <row r="90" spans="1:46" hidden="1">
      <c r="A90" s="92">
        <v>188</v>
      </c>
      <c r="B90" s="92"/>
      <c r="C90" s="92"/>
      <c r="D90" s="92"/>
      <c r="E90" s="92"/>
      <c r="F90" s="92"/>
      <c r="G90" s="92" t="s">
        <v>2244</v>
      </c>
      <c r="H90" s="92" t="s">
        <v>952</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285" hidden="1">
      <c r="B147" s="233"/>
      <c r="C147" s="233"/>
      <c r="D147" s="233"/>
      <c r="E147" s="233"/>
      <c r="F147" s="233"/>
      <c r="G147" s="234"/>
      <c r="H147" s="233"/>
      <c r="I147" s="168"/>
      <c r="AD147" s="236">
        <v>6600</v>
      </c>
      <c r="AE147" s="40" t="s">
        <v>2007</v>
      </c>
      <c r="AG147" s="217">
        <v>6600</v>
      </c>
      <c r="AH147" t="s">
        <v>1996</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85725</xdr:colOff>
                    <xdr:row>0</xdr:row>
                    <xdr:rowOff>66675</xdr:rowOff>
                  </from>
                  <to>
                    <xdr:col>0</xdr:col>
                    <xdr:colOff>714375</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47625</xdr:colOff>
                    <xdr:row>0</xdr:row>
                    <xdr:rowOff>9525</xdr:rowOff>
                  </from>
                  <to>
                    <xdr:col>10</xdr:col>
                    <xdr:colOff>942975</xdr:colOff>
                    <xdr:row>0</xdr:row>
                    <xdr:rowOff>371475</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66675</xdr:colOff>
                    <xdr:row>1</xdr:row>
                    <xdr:rowOff>47625</xdr:rowOff>
                  </from>
                  <to>
                    <xdr:col>10</xdr:col>
                    <xdr:colOff>962025</xdr:colOff>
                    <xdr:row>1</xdr:row>
                    <xdr:rowOff>352425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10" activePane="bottomLeft" state="frozen"/>
      <selection pane="bottomLeft" activeCell="B12" sqref="B12"/>
    </sheetView>
  </sheetViews>
  <sheetFormatPr defaultRowHeight="15"/>
  <cols>
    <col min="1" max="1" width="9.140625" style="146" customWidth="1"/>
    <col min="3" max="3" width="30" customWidth="1"/>
    <col min="7" max="7" width="20.85546875" customWidth="1"/>
    <col min="8" max="8" width="18.5703125" customWidth="1"/>
    <col min="9" max="9" width="17.28515625" customWidth="1"/>
    <col min="10" max="10" width="21" customWidth="1"/>
    <col min="11" max="11" width="22.42578125" style="156" customWidth="1"/>
    <col min="12" max="12" width="21.140625" customWidth="1"/>
    <col min="13" max="13" width="15.5703125" style="156" customWidth="1"/>
    <col min="14" max="14" width="17.28515625" customWidth="1"/>
    <col min="15" max="15" width="9.85546875" bestFit="1" customWidth="1"/>
  </cols>
  <sheetData>
    <row r="1" spans="1:16" ht="57.75" customHeight="1">
      <c r="A1" s="296"/>
      <c r="B1" s="297"/>
      <c r="C1" s="297"/>
      <c r="D1" s="297"/>
      <c r="E1" s="297"/>
      <c r="G1" s="298"/>
      <c r="H1" s="298"/>
      <c r="J1" s="298"/>
      <c r="K1" s="299"/>
      <c r="L1" s="297"/>
    </row>
    <row r="2" spans="1:16" ht="15.75" customHeight="1">
      <c r="A2" s="152" t="s">
        <v>0</v>
      </c>
      <c r="B2" s="152" t="s">
        <v>1</v>
      </c>
      <c r="C2" s="152" t="s">
        <v>6</v>
      </c>
      <c r="D2" s="153" t="s">
        <v>1590</v>
      </c>
      <c r="E2" s="92" t="s">
        <v>1591</v>
      </c>
      <c r="F2" t="s">
        <v>1592</v>
      </c>
      <c r="G2" s="92" t="s">
        <v>1593</v>
      </c>
      <c r="H2" s="92" t="s">
        <v>1594</v>
      </c>
      <c r="I2" s="92" t="s">
        <v>1595</v>
      </c>
      <c r="J2" s="92" t="s">
        <v>1596</v>
      </c>
      <c r="K2" s="92" t="s">
        <v>1597</v>
      </c>
      <c r="L2" s="154" t="s">
        <v>1598</v>
      </c>
      <c r="M2" t="s">
        <v>1599</v>
      </c>
      <c r="N2" s="92" t="s">
        <v>14</v>
      </c>
      <c r="O2" s="92" t="s">
        <v>1600</v>
      </c>
      <c r="P2" s="157" t="s">
        <v>1601</v>
      </c>
    </row>
    <row r="3" spans="1:16" ht="15.75" customHeight="1" thickBot="1">
      <c r="A3" s="219">
        <v>166</v>
      </c>
      <c r="B3" s="219"/>
      <c r="C3" t="s">
        <v>1914</v>
      </c>
      <c r="D3" t="s">
        <v>1915</v>
      </c>
      <c r="E3" t="s">
        <v>1506</v>
      </c>
      <c r="F3" s="168" t="s">
        <v>1507</v>
      </c>
      <c r="G3" t="s">
        <v>1620</v>
      </c>
      <c r="H3" s="92" t="s">
        <v>253</v>
      </c>
      <c r="I3" s="92" t="s">
        <v>250</v>
      </c>
      <c r="J3" t="s">
        <v>1608</v>
      </c>
      <c r="K3" s="92">
        <v>2139857</v>
      </c>
      <c r="L3" s="154" t="s">
        <v>1623</v>
      </c>
      <c r="M3">
        <v>200</v>
      </c>
      <c r="N3" s="92">
        <v>7000</v>
      </c>
      <c r="O3" s="92">
        <v>202507</v>
      </c>
    </row>
    <row r="4" spans="1:16" ht="31.5" customHeight="1" thickBot="1">
      <c r="A4" s="146">
        <v>164</v>
      </c>
      <c r="B4" t="s">
        <v>103</v>
      </c>
      <c r="C4" s="35" t="s">
        <v>1602</v>
      </c>
      <c r="D4" t="s">
        <v>1603</v>
      </c>
      <c r="E4" t="s">
        <v>1493</v>
      </c>
      <c r="F4" t="s">
        <v>1604</v>
      </c>
      <c r="G4" t="s">
        <v>1605</v>
      </c>
      <c r="H4" t="s">
        <v>1606</v>
      </c>
      <c r="I4" t="s">
        <v>1607</v>
      </c>
      <c r="J4" t="s">
        <v>1608</v>
      </c>
      <c r="K4" s="156" t="s">
        <v>1609</v>
      </c>
      <c r="L4" s="155" t="s">
        <v>1610</v>
      </c>
      <c r="M4" s="156">
        <v>262</v>
      </c>
      <c r="N4">
        <v>19800</v>
      </c>
      <c r="O4">
        <v>202506</v>
      </c>
    </row>
    <row r="5" spans="1:16" ht="15.75" customHeight="1">
      <c r="A5" s="146">
        <v>168</v>
      </c>
      <c r="B5" t="s">
        <v>103</v>
      </c>
      <c r="C5" t="s">
        <v>1611</v>
      </c>
      <c r="D5" t="s">
        <v>1612</v>
      </c>
      <c r="E5" t="s">
        <v>1613</v>
      </c>
      <c r="F5" t="s">
        <v>1614</v>
      </c>
      <c r="G5" t="s">
        <v>1605</v>
      </c>
      <c r="H5" t="s">
        <v>1615</v>
      </c>
      <c r="I5" t="s">
        <v>1616</v>
      </c>
      <c r="J5" t="s">
        <v>1608</v>
      </c>
      <c r="K5" s="156">
        <v>2742320</v>
      </c>
      <c r="L5" s="155" t="s">
        <v>1610</v>
      </c>
      <c r="M5" s="156">
        <v>273</v>
      </c>
      <c r="N5">
        <v>7000</v>
      </c>
      <c r="O5">
        <v>202508</v>
      </c>
    </row>
    <row r="6" spans="1:16">
      <c r="A6" s="146">
        <v>169</v>
      </c>
      <c r="B6" t="s">
        <v>103</v>
      </c>
      <c r="C6" t="s">
        <v>1617</v>
      </c>
      <c r="D6" t="s">
        <v>1618</v>
      </c>
      <c r="E6" t="s">
        <v>1531</v>
      </c>
      <c r="F6" t="s">
        <v>1619</v>
      </c>
      <c r="G6" t="s">
        <v>1620</v>
      </c>
      <c r="H6" t="s">
        <v>1621</v>
      </c>
      <c r="I6" t="s">
        <v>1622</v>
      </c>
      <c r="J6" t="s">
        <v>1608</v>
      </c>
      <c r="K6" s="156">
        <v>1356924</v>
      </c>
      <c r="L6" s="156" t="s">
        <v>1623</v>
      </c>
      <c r="M6" s="156" t="s">
        <v>1624</v>
      </c>
      <c r="N6">
        <v>7000</v>
      </c>
      <c r="O6">
        <v>202508</v>
      </c>
    </row>
    <row r="7" spans="1:16">
      <c r="A7" s="146">
        <v>170</v>
      </c>
      <c r="B7" t="s">
        <v>103</v>
      </c>
      <c r="C7" t="s">
        <v>1625</v>
      </c>
      <c r="D7" t="s">
        <v>1626</v>
      </c>
      <c r="E7" t="s">
        <v>1627</v>
      </c>
      <c r="F7" t="s">
        <v>1628</v>
      </c>
      <c r="G7" t="s">
        <v>1620</v>
      </c>
      <c r="H7" t="s">
        <v>1629</v>
      </c>
      <c r="I7" t="s">
        <v>1630</v>
      </c>
      <c r="J7" t="s">
        <v>1608</v>
      </c>
      <c r="K7">
        <v>3011808</v>
      </c>
      <c r="L7" s="156" t="s">
        <v>1623</v>
      </c>
      <c r="M7" s="156" t="s">
        <v>1631</v>
      </c>
      <c r="N7">
        <v>7000</v>
      </c>
      <c r="O7">
        <v>202506</v>
      </c>
    </row>
    <row r="8" spans="1:16">
      <c r="A8" s="146">
        <v>171</v>
      </c>
      <c r="B8" t="s">
        <v>103</v>
      </c>
      <c r="C8" t="s">
        <v>1632</v>
      </c>
      <c r="D8" t="s">
        <v>1633</v>
      </c>
      <c r="E8" t="s">
        <v>1634</v>
      </c>
      <c r="F8" t="s">
        <v>1635</v>
      </c>
      <c r="G8" t="s">
        <v>1620</v>
      </c>
      <c r="H8" t="s">
        <v>1636</v>
      </c>
      <c r="I8" t="s">
        <v>1637</v>
      </c>
      <c r="J8" t="s">
        <v>1608</v>
      </c>
      <c r="K8" s="156" t="s">
        <v>1638</v>
      </c>
      <c r="L8" s="156" t="s">
        <v>1623</v>
      </c>
      <c r="M8" s="156" t="s">
        <v>1639</v>
      </c>
      <c r="N8">
        <v>7000</v>
      </c>
      <c r="O8">
        <v>202506</v>
      </c>
    </row>
    <row r="9" spans="1:16" ht="90">
      <c r="A9" s="146">
        <v>172</v>
      </c>
      <c r="B9" t="s">
        <v>103</v>
      </c>
      <c r="C9" t="s">
        <v>1945</v>
      </c>
      <c r="D9" t="s">
        <v>1946</v>
      </c>
      <c r="E9" s="168" t="s">
        <v>1549</v>
      </c>
      <c r="F9" s="228" t="s">
        <v>1550</v>
      </c>
      <c r="G9" t="s">
        <v>1605</v>
      </c>
      <c r="H9" t="s">
        <v>1947</v>
      </c>
      <c r="I9" t="s">
        <v>1948</v>
      </c>
      <c r="J9" t="s">
        <v>1608</v>
      </c>
      <c r="K9" s="156" t="s">
        <v>1949</v>
      </c>
      <c r="L9" s="156" t="s">
        <v>1610</v>
      </c>
      <c r="M9" s="156" t="s">
        <v>1950</v>
      </c>
      <c r="N9">
        <v>12100</v>
      </c>
      <c r="O9">
        <v>202508</v>
      </c>
    </row>
    <row r="10" spans="1:16" ht="165">
      <c r="A10" s="146">
        <v>173</v>
      </c>
      <c r="C10" t="s">
        <v>1960</v>
      </c>
      <c r="D10" t="s">
        <v>1961</v>
      </c>
      <c r="F10" s="40" t="s">
        <v>1959</v>
      </c>
      <c r="G10" t="s">
        <v>1620</v>
      </c>
      <c r="H10" t="s">
        <v>1962</v>
      </c>
      <c r="I10" t="s">
        <v>1963</v>
      </c>
      <c r="J10" t="s">
        <v>1608</v>
      </c>
      <c r="K10">
        <v>790871</v>
      </c>
      <c r="L10" s="156" t="s">
        <v>1623</v>
      </c>
      <c r="M10" s="156" t="s">
        <v>1964</v>
      </c>
      <c r="N10">
        <v>9500</v>
      </c>
      <c r="O10">
        <v>202508</v>
      </c>
    </row>
    <row r="11" spans="1:16">
      <c r="A11">
        <v>174</v>
      </c>
      <c r="B11" t="s">
        <v>103</v>
      </c>
      <c r="C11" t="s">
        <v>1993</v>
      </c>
      <c r="D11" t="s">
        <v>1995</v>
      </c>
      <c r="F11" t="s">
        <v>1987</v>
      </c>
      <c r="G11" t="s">
        <v>1605</v>
      </c>
      <c r="H11" t="s">
        <v>1988</v>
      </c>
      <c r="I11" t="s">
        <v>1989</v>
      </c>
      <c r="J11" t="s">
        <v>1608</v>
      </c>
      <c r="K11" s="156" t="s">
        <v>1990</v>
      </c>
      <c r="L11" s="154" t="s">
        <v>1610</v>
      </c>
      <c r="M11" s="156" t="s">
        <v>1991</v>
      </c>
      <c r="N11">
        <v>7000</v>
      </c>
      <c r="O11">
        <v>202509</v>
      </c>
    </row>
    <row r="12" spans="1:16">
      <c r="A12" s="227">
        <v>175</v>
      </c>
      <c r="B12" t="s">
        <v>103</v>
      </c>
      <c r="C12" t="s">
        <v>2001</v>
      </c>
      <c r="D12" s="232" t="s">
        <v>1994</v>
      </c>
      <c r="F12" t="s">
        <v>1942</v>
      </c>
      <c r="G12" t="s">
        <v>1605</v>
      </c>
      <c r="H12" t="s">
        <v>1967</v>
      </c>
      <c r="I12" t="s">
        <v>1968</v>
      </c>
      <c r="J12" t="s">
        <v>1608</v>
      </c>
      <c r="K12">
        <v>1399543</v>
      </c>
      <c r="L12" s="156">
        <v>177</v>
      </c>
      <c r="M12" s="156" t="s">
        <v>1966</v>
      </c>
      <c r="N12">
        <v>6600</v>
      </c>
      <c r="O12">
        <v>202509</v>
      </c>
    </row>
    <row r="13" spans="1:16">
      <c r="A13" s="146">
        <v>176</v>
      </c>
      <c r="C13" t="s">
        <v>2000</v>
      </c>
      <c r="D13" t="s">
        <v>1999</v>
      </c>
      <c r="F13" s="233" t="s">
        <v>1985</v>
      </c>
      <c r="G13" t="s">
        <v>2002</v>
      </c>
      <c r="H13" t="s">
        <v>2003</v>
      </c>
      <c r="I13" t="s">
        <v>2004</v>
      </c>
      <c r="J13" t="s">
        <v>1608</v>
      </c>
      <c r="K13">
        <v>3106320</v>
      </c>
      <c r="L13" s="156" t="s">
        <v>2005</v>
      </c>
      <c r="M13" s="156" t="s">
        <v>2006</v>
      </c>
      <c r="N13">
        <v>3106320</v>
      </c>
      <c r="O13">
        <v>3106320</v>
      </c>
    </row>
    <row r="14" spans="1:16">
      <c r="A14" s="146">
        <v>177</v>
      </c>
      <c r="C14" t="s">
        <v>2043</v>
      </c>
      <c r="D14" t="s">
        <v>2047</v>
      </c>
      <c r="F14" s="233" t="s">
        <v>2013</v>
      </c>
      <c r="G14" t="s">
        <v>2044</v>
      </c>
      <c r="I14" t="s">
        <v>2046</v>
      </c>
      <c r="J14" t="s">
        <v>1608</v>
      </c>
      <c r="K14">
        <v>2065177</v>
      </c>
      <c r="L14" s="156" t="s">
        <v>1623</v>
      </c>
      <c r="M14" s="156" t="s">
        <v>2045</v>
      </c>
      <c r="N14">
        <v>7000</v>
      </c>
      <c r="O14">
        <v>202509</v>
      </c>
    </row>
    <row r="15" spans="1:16">
      <c r="A15" s="146">
        <v>178</v>
      </c>
      <c r="C15" t="s">
        <v>2031</v>
      </c>
      <c r="D15" t="s">
        <v>2032</v>
      </c>
      <c r="F15" t="s">
        <v>595</v>
      </c>
      <c r="G15" t="s">
        <v>2033</v>
      </c>
      <c r="K15" s="240">
        <v>-16630117450</v>
      </c>
      <c r="L15" s="156">
        <v>-16465811</v>
      </c>
    </row>
    <row r="16" spans="1:16">
      <c r="A16" s="146">
        <v>179</v>
      </c>
      <c r="C16" t="s">
        <v>2103</v>
      </c>
      <c r="D16" t="s">
        <v>2104</v>
      </c>
      <c r="F16" s="227" t="s">
        <v>2038</v>
      </c>
      <c r="G16" t="s">
        <v>1605</v>
      </c>
      <c r="H16" t="s">
        <v>2105</v>
      </c>
      <c r="J16" t="s">
        <v>1608</v>
      </c>
      <c r="K16" s="156" t="s">
        <v>2107</v>
      </c>
      <c r="L16" s="155" t="s">
        <v>1610</v>
      </c>
      <c r="M16" s="156" t="s">
        <v>2106</v>
      </c>
      <c r="N16">
        <v>6600</v>
      </c>
      <c r="O16">
        <v>202511</v>
      </c>
    </row>
    <row r="17" spans="1:15" ht="105">
      <c r="A17">
        <v>181</v>
      </c>
      <c r="B17" t="s">
        <v>103</v>
      </c>
      <c r="C17" t="s">
        <v>2132</v>
      </c>
      <c r="D17" t="s">
        <v>2330</v>
      </c>
      <c r="F17" s="40" t="s">
        <v>2097</v>
      </c>
      <c r="G17" t="s">
        <v>1605</v>
      </c>
      <c r="H17" t="s">
        <v>2135</v>
      </c>
      <c r="I17" t="s">
        <v>2137</v>
      </c>
      <c r="J17" t="s">
        <v>1608</v>
      </c>
      <c r="K17">
        <v>1322105</v>
      </c>
      <c r="L17" s="155" t="s">
        <v>1610</v>
      </c>
      <c r="M17" s="156" t="s">
        <v>2136</v>
      </c>
      <c r="N17">
        <v>9500</v>
      </c>
      <c r="O17">
        <v>202512</v>
      </c>
    </row>
    <row r="18" spans="1:15">
      <c r="A18" s="146">
        <v>182</v>
      </c>
      <c r="B18" t="s">
        <v>103</v>
      </c>
      <c r="C18" t="s">
        <v>2174</v>
      </c>
      <c r="D18" t="s">
        <v>2187</v>
      </c>
      <c r="F18" t="s">
        <v>2175</v>
      </c>
      <c r="G18" t="s">
        <v>1605</v>
      </c>
      <c r="J18" t="s">
        <v>1608</v>
      </c>
      <c r="K18" s="156" t="s">
        <v>2177</v>
      </c>
      <c r="L18" s="156">
        <v>177</v>
      </c>
      <c r="M18" s="156" t="s">
        <v>2176</v>
      </c>
      <c r="N18">
        <v>7000</v>
      </c>
      <c r="O18">
        <v>202511</v>
      </c>
    </row>
    <row r="19" spans="1:15">
      <c r="A19" s="146">
        <v>183</v>
      </c>
      <c r="B19" t="s">
        <v>103</v>
      </c>
      <c r="C19" t="s">
        <v>2179</v>
      </c>
      <c r="D19" t="s">
        <v>2188</v>
      </c>
      <c r="F19" t="s">
        <v>2178</v>
      </c>
      <c r="G19" t="s">
        <v>2180</v>
      </c>
      <c r="H19" t="s">
        <v>2183</v>
      </c>
      <c r="J19" t="s">
        <v>1608</v>
      </c>
      <c r="K19" s="156" t="s">
        <v>2184</v>
      </c>
      <c r="L19" s="156" t="s">
        <v>2182</v>
      </c>
      <c r="M19" s="156" t="s">
        <v>2181</v>
      </c>
      <c r="N19">
        <v>7000</v>
      </c>
      <c r="O19">
        <v>202511</v>
      </c>
    </row>
    <row r="20" spans="1:15">
      <c r="A20" s="146">
        <v>184</v>
      </c>
      <c r="B20" t="s">
        <v>103</v>
      </c>
      <c r="C20" t="s">
        <v>2160</v>
      </c>
      <c r="D20" t="s">
        <v>2185</v>
      </c>
      <c r="F20" t="s">
        <v>2161</v>
      </c>
      <c r="G20" t="s">
        <v>2033</v>
      </c>
      <c r="J20" t="s">
        <v>1608</v>
      </c>
      <c r="K20">
        <v>17128731</v>
      </c>
      <c r="L20" s="156"/>
      <c r="M20" s="156" t="s">
        <v>2162</v>
      </c>
      <c r="N20">
        <v>7000</v>
      </c>
      <c r="O20">
        <v>202511</v>
      </c>
    </row>
    <row r="21" spans="1:15">
      <c r="A21" s="146">
        <v>185</v>
      </c>
      <c r="B21" t="s">
        <v>103</v>
      </c>
      <c r="C21" s="256" t="s">
        <v>2189</v>
      </c>
      <c r="D21" t="s">
        <v>2186</v>
      </c>
      <c r="F21" t="s">
        <v>2163</v>
      </c>
      <c r="G21" t="s">
        <v>2044</v>
      </c>
      <c r="H21" t="s">
        <v>2164</v>
      </c>
      <c r="J21" t="s">
        <v>1608</v>
      </c>
      <c r="K21">
        <v>2050286</v>
      </c>
      <c r="L21" s="155" t="s">
        <v>1623</v>
      </c>
      <c r="M21" s="156" t="s">
        <v>2165</v>
      </c>
      <c r="N21">
        <v>7000</v>
      </c>
      <c r="O21">
        <v>202511</v>
      </c>
    </row>
    <row r="22" spans="1:15">
      <c r="L22" s="156"/>
    </row>
    <row r="23" spans="1:15">
      <c r="A23" s="146">
        <v>187</v>
      </c>
      <c r="B23" t="s">
        <v>66</v>
      </c>
      <c r="C23" t="s">
        <v>2216</v>
      </c>
      <c r="D23" t="s">
        <v>2217</v>
      </c>
      <c r="F23" t="s">
        <v>2218</v>
      </c>
      <c r="G23" t="s">
        <v>2044</v>
      </c>
      <c r="H23" t="s">
        <v>2219</v>
      </c>
      <c r="I23" t="s">
        <v>2221</v>
      </c>
      <c r="J23" t="s">
        <v>1608</v>
      </c>
      <c r="K23">
        <v>3059843</v>
      </c>
      <c r="L23" s="155" t="s">
        <v>1623</v>
      </c>
      <c r="M23" s="156" t="s">
        <v>2220</v>
      </c>
      <c r="N23">
        <v>7000</v>
      </c>
      <c r="O23">
        <v>202511</v>
      </c>
    </row>
    <row r="24" spans="1:15">
      <c r="A24" s="146">
        <v>188</v>
      </c>
      <c r="B24" t="s">
        <v>103</v>
      </c>
      <c r="C24" t="s">
        <v>2371</v>
      </c>
      <c r="D24" t="s">
        <v>2365</v>
      </c>
      <c r="G24" t="s">
        <v>2366</v>
      </c>
      <c r="H24" t="s">
        <v>2367</v>
      </c>
      <c r="K24" s="156" t="s">
        <v>2370</v>
      </c>
      <c r="L24" t="s">
        <v>2368</v>
      </c>
      <c r="M24" s="156" t="s">
        <v>2369</v>
      </c>
      <c r="N24">
        <v>9500</v>
      </c>
      <c r="O24" s="38">
        <v>46085</v>
      </c>
    </row>
    <row r="25" spans="1:15">
      <c r="A25" s="146">
        <v>189</v>
      </c>
      <c r="C25" t="s">
        <v>2292</v>
      </c>
      <c r="D25" t="s">
        <v>2293</v>
      </c>
      <c r="E25" t="s">
        <v>2232</v>
      </c>
      <c r="G25" t="s">
        <v>1605</v>
      </c>
      <c r="H25" t="s">
        <v>1621</v>
      </c>
      <c r="I25" s="92" t="s">
        <v>2294</v>
      </c>
      <c r="J25" t="s">
        <v>1608</v>
      </c>
      <c r="K25">
        <v>989243</v>
      </c>
      <c r="L25" s="156" t="s">
        <v>1610</v>
      </c>
      <c r="M25" s="156" t="s">
        <v>2295</v>
      </c>
      <c r="N25">
        <v>7600</v>
      </c>
      <c r="O25">
        <v>202503</v>
      </c>
    </row>
    <row r="26" spans="1:15">
      <c r="A26" s="146">
        <v>191</v>
      </c>
      <c r="B26" t="s">
        <v>103</v>
      </c>
      <c r="C26" t="s">
        <v>2355</v>
      </c>
      <c r="D26" t="s">
        <v>2356</v>
      </c>
      <c r="E26" t="s">
        <v>2267</v>
      </c>
      <c r="G26" t="s">
        <v>1605</v>
      </c>
      <c r="H26" t="s">
        <v>2351</v>
      </c>
      <c r="I26" t="s">
        <v>2352</v>
      </c>
      <c r="J26" t="s">
        <v>1608</v>
      </c>
      <c r="K26" s="156" t="s">
        <v>2349</v>
      </c>
      <c r="L26" s="156" t="s">
        <v>1610</v>
      </c>
      <c r="M26" s="156" t="s">
        <v>2350</v>
      </c>
      <c r="N26">
        <v>24200</v>
      </c>
      <c r="O26">
        <v>202503</v>
      </c>
    </row>
    <row r="27" spans="1:15">
      <c r="L27" s="156"/>
    </row>
    <row r="28" spans="1:15">
      <c r="A28">
        <v>193</v>
      </c>
      <c r="B28" t="s">
        <v>103</v>
      </c>
      <c r="C28" t="s">
        <v>2354</v>
      </c>
      <c r="D28" t="s">
        <v>2353</v>
      </c>
      <c r="E28" t="s">
        <v>2345</v>
      </c>
      <c r="G28" t="s">
        <v>1605</v>
      </c>
      <c r="H28" t="s">
        <v>2346</v>
      </c>
      <c r="J28" t="s">
        <v>1608</v>
      </c>
      <c r="K28" s="156" t="s">
        <v>2347</v>
      </c>
      <c r="L28" s="156" t="s">
        <v>1610</v>
      </c>
      <c r="M28" s="156" t="s">
        <v>2176</v>
      </c>
      <c r="N28">
        <v>7000</v>
      </c>
      <c r="O28">
        <v>202503</v>
      </c>
    </row>
    <row r="29" spans="1:15">
      <c r="L29" s="156"/>
    </row>
    <row r="30" spans="1:15">
      <c r="L30" s="156"/>
    </row>
    <row r="31" spans="1:15" ht="15.75">
      <c r="A31" s="146">
        <v>196</v>
      </c>
      <c r="B31" t="s">
        <v>103</v>
      </c>
      <c r="C31" s="56" t="s">
        <v>2358</v>
      </c>
      <c r="D31" t="s">
        <v>2360</v>
      </c>
      <c r="E31" t="s">
        <v>2302</v>
      </c>
      <c r="G31" t="s">
        <v>1605</v>
      </c>
      <c r="H31" t="s">
        <v>2359</v>
      </c>
      <c r="I31" t="s">
        <v>2363</v>
      </c>
      <c r="J31" t="s">
        <v>1608</v>
      </c>
      <c r="K31" s="156" t="s">
        <v>2362</v>
      </c>
      <c r="L31" s="156" t="s">
        <v>1610</v>
      </c>
      <c r="M31" s="156" t="s">
        <v>2361</v>
      </c>
      <c r="N31">
        <v>20500</v>
      </c>
      <c r="O31" s="38">
        <v>46101</v>
      </c>
    </row>
    <row r="32" spans="1:15">
      <c r="L32" s="156"/>
    </row>
    <row r="33" spans="12:12">
      <c r="L33" s="156"/>
    </row>
    <row r="34" spans="12:12">
      <c r="L34" s="156"/>
    </row>
    <row r="35" spans="12:12">
      <c r="L35" s="156"/>
    </row>
    <row r="36" spans="12:12">
      <c r="L36" s="156"/>
    </row>
    <row r="37" spans="12:12">
      <c r="L37" s="156"/>
    </row>
    <row r="38" spans="12:12">
      <c r="L38" s="156"/>
    </row>
    <row r="39" spans="12:12">
      <c r="L39" s="156"/>
    </row>
    <row r="40" spans="12:12">
      <c r="L40" s="156"/>
    </row>
    <row r="41" spans="12:12">
      <c r="L41" s="156"/>
    </row>
    <row r="42" spans="12:12">
      <c r="L42" s="156"/>
    </row>
    <row r="43" spans="12:12">
      <c r="L43" s="156"/>
    </row>
    <row r="44" spans="12:12">
      <c r="L44" s="156"/>
    </row>
    <row r="45" spans="12:12">
      <c r="L45" s="156"/>
    </row>
    <row r="46" spans="12:12">
      <c r="L46" s="156"/>
    </row>
    <row r="47" spans="12:12">
      <c r="L47" s="156"/>
    </row>
    <row r="48" spans="12:12">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85725</xdr:rowOff>
                  </from>
                  <to>
                    <xdr:col>4</xdr:col>
                    <xdr:colOff>466725</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542925</xdr:colOff>
                    <xdr:row>0</xdr:row>
                    <xdr:rowOff>638175</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123825</xdr:colOff>
                    <xdr:row>10</xdr:row>
                    <xdr:rowOff>47625</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104775</xdr:colOff>
                    <xdr:row>12</xdr:row>
                    <xdr:rowOff>28575</xdr:rowOff>
                  </from>
                  <to>
                    <xdr:col>15</xdr:col>
                    <xdr:colOff>523875</xdr:colOff>
                    <xdr:row>12</xdr:row>
                    <xdr:rowOff>142875</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142875</xdr:colOff>
                    <xdr:row>13</xdr:row>
                    <xdr:rowOff>47625</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123825</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123825</xdr:colOff>
                    <xdr:row>16</xdr:row>
                    <xdr:rowOff>171450</xdr:rowOff>
                  </from>
                  <to>
                    <xdr:col>15</xdr:col>
                    <xdr:colOff>581025</xdr:colOff>
                    <xdr:row>16</xdr:row>
                    <xdr:rowOff>847725</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85725</xdr:colOff>
                    <xdr:row>19</xdr:row>
                    <xdr:rowOff>76200</xdr:rowOff>
                  </from>
                  <to>
                    <xdr:col>15</xdr:col>
                    <xdr:colOff>561975</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28575</xdr:rowOff>
                  </from>
                  <to>
                    <xdr:col>15</xdr:col>
                    <xdr:colOff>561975</xdr:colOff>
                    <xdr:row>20</xdr:row>
                    <xdr:rowOff>142875</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104775</xdr:colOff>
                    <xdr:row>18</xdr:row>
                    <xdr:rowOff>47625</xdr:rowOff>
                  </from>
                  <to>
                    <xdr:col>15</xdr:col>
                    <xdr:colOff>523875</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5"/>
  <sheetData>
    <row r="1" spans="1:2" ht="31.5">
      <c r="A1" s="261" t="s">
        <v>2156</v>
      </c>
      <c r="B1" s="262" t="s">
        <v>2157</v>
      </c>
    </row>
    <row r="2" spans="1:2" ht="31.5">
      <c r="A2" s="265" t="s">
        <v>2195</v>
      </c>
    </row>
    <row r="3" spans="1:2" ht="16.5">
      <c r="A3" s="267" t="s">
        <v>2196</v>
      </c>
      <c r="B3" t="s">
        <v>1101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1"/>
  <sheetViews>
    <sheetView zoomScale="85" zoomScaleNormal="85" workbookViewId="0">
      <pane ySplit="1" topLeftCell="A91" activePane="bottomLeft" state="frozen"/>
      <selection pane="bottomLeft" activeCell="C100" sqref="C100"/>
    </sheetView>
  </sheetViews>
  <sheetFormatPr defaultColWidth="7.140625" defaultRowHeight="15"/>
  <cols>
    <col min="1" max="1" width="12" customWidth="1"/>
    <col min="2" max="2" width="26.5703125" bestFit="1" customWidth="1"/>
    <col min="3" max="5" width="26.5703125" customWidth="1"/>
    <col min="6" max="6" width="27.5703125" bestFit="1" customWidth="1"/>
    <col min="7" max="7" width="13.7109375" bestFit="1" customWidth="1"/>
    <col min="8" max="8" width="25.7109375" bestFit="1" customWidth="1"/>
    <col min="9" max="9" width="14.7109375" style="78" bestFit="1" customWidth="1"/>
    <col min="10" max="10" width="16.28515625" bestFit="1" customWidth="1"/>
    <col min="11" max="12" width="19.28515625" bestFit="1" customWidth="1"/>
    <col min="13" max="13" width="29" bestFit="1" customWidth="1"/>
    <col min="14" max="14" width="10.5703125" bestFit="1" customWidth="1"/>
    <col min="15" max="15" width="10.5703125" customWidth="1"/>
    <col min="16" max="16" width="10.42578125" bestFit="1" customWidth="1"/>
    <col min="17" max="17" width="6.85546875" customWidth="1"/>
    <col min="18" max="18" width="23.28515625" bestFit="1" customWidth="1"/>
    <col min="19" max="19" width="16" bestFit="1" customWidth="1"/>
    <col min="20" max="20" width="16.85546875" customWidth="1"/>
    <col min="21" max="21" width="10.42578125" bestFit="1" customWidth="1"/>
    <col min="22" max="22" width="9.28515625" bestFit="1" customWidth="1"/>
    <col min="23" max="23" width="9.28515625" customWidth="1"/>
    <col min="24" max="24" width="30.7109375" bestFit="1" customWidth="1"/>
    <col min="25" max="25" width="18" customWidth="1"/>
    <col min="26" max="26" width="15.85546875" bestFit="1" customWidth="1"/>
  </cols>
  <sheetData>
    <row r="1" spans="1:26" ht="29.45" customHeight="1" thickBot="1">
      <c r="A1" s="121" t="s">
        <v>37</v>
      </c>
      <c r="B1" s="122" t="s">
        <v>38</v>
      </c>
      <c r="C1" s="122" t="s">
        <v>2051</v>
      </c>
      <c r="D1" s="122" t="s">
        <v>2315</v>
      </c>
      <c r="E1" s="122" t="s">
        <v>1655</v>
      </c>
      <c r="F1" s="122" t="s">
        <v>1640</v>
      </c>
      <c r="G1" s="122" t="s">
        <v>1641</v>
      </c>
      <c r="H1" s="122" t="s">
        <v>1642</v>
      </c>
      <c r="I1" s="123" t="s">
        <v>1643</v>
      </c>
      <c r="J1" s="122" t="s">
        <v>1644</v>
      </c>
      <c r="K1" s="122" t="s">
        <v>1645</v>
      </c>
      <c r="L1" s="122" t="s">
        <v>1646</v>
      </c>
      <c r="M1" s="122" t="s">
        <v>1647</v>
      </c>
      <c r="N1" s="122" t="s">
        <v>1648</v>
      </c>
      <c r="O1" s="122" t="s">
        <v>1649</v>
      </c>
      <c r="P1" s="122" t="s">
        <v>1650</v>
      </c>
      <c r="Q1" s="122" t="s">
        <v>1651</v>
      </c>
      <c r="R1" s="122" t="s">
        <v>1652</v>
      </c>
      <c r="S1" s="122" t="s">
        <v>1653</v>
      </c>
      <c r="T1" s="122" t="s">
        <v>1654</v>
      </c>
      <c r="U1" s="122" t="s">
        <v>9</v>
      </c>
      <c r="V1" s="122" t="s">
        <v>1936</v>
      </c>
      <c r="W1" s="122" t="s">
        <v>1656</v>
      </c>
      <c r="X1" s="122" t="s">
        <v>1657</v>
      </c>
      <c r="Y1" s="124" t="s">
        <v>1658</v>
      </c>
      <c r="Z1" s="125" t="s">
        <v>1659</v>
      </c>
    </row>
    <row r="2" spans="1:26" ht="44.1" customHeight="1" thickBot="1">
      <c r="A2" s="2" t="s">
        <v>1660</v>
      </c>
      <c r="B2" s="3" t="s">
        <v>1535</v>
      </c>
      <c r="C2" s="3"/>
      <c r="D2" s="3"/>
      <c r="E2" s="2" t="s">
        <v>1664</v>
      </c>
      <c r="F2" s="4" t="s">
        <v>1537</v>
      </c>
      <c r="G2" s="5">
        <v>8052745552</v>
      </c>
      <c r="H2" s="2" t="s">
        <v>1640</v>
      </c>
      <c r="I2" s="69">
        <v>45666</v>
      </c>
      <c r="J2" s="6"/>
      <c r="K2" s="6"/>
      <c r="L2" s="6"/>
      <c r="M2" s="7" t="s">
        <v>1661</v>
      </c>
      <c r="N2" s="7"/>
      <c r="O2" s="7"/>
      <c r="P2" s="6"/>
      <c r="Q2" s="6"/>
      <c r="R2" s="8" t="s">
        <v>1662</v>
      </c>
      <c r="S2" s="6"/>
      <c r="T2" s="2" t="s">
        <v>1663</v>
      </c>
      <c r="U2" s="2" t="s">
        <v>109</v>
      </c>
      <c r="V2" s="2" t="s">
        <v>1664</v>
      </c>
      <c r="W2" s="2"/>
      <c r="X2" s="6"/>
      <c r="Y2" s="1"/>
    </row>
    <row r="3" spans="1:26" ht="15.95" customHeight="1" thickBot="1">
      <c r="A3" s="2" t="s">
        <v>1660</v>
      </c>
      <c r="B3" s="3" t="s">
        <v>1539</v>
      </c>
      <c r="C3" s="3"/>
      <c r="D3" s="3"/>
      <c r="E3" s="2" t="s">
        <v>1664</v>
      </c>
      <c r="F3" s="4" t="s">
        <v>1540</v>
      </c>
      <c r="G3" s="5">
        <v>9059486299</v>
      </c>
      <c r="H3" s="2" t="s">
        <v>1640</v>
      </c>
      <c r="I3" s="69">
        <v>45666</v>
      </c>
      <c r="J3" s="6"/>
      <c r="K3" s="6"/>
      <c r="L3" s="6"/>
      <c r="M3" s="7" t="s">
        <v>102</v>
      </c>
      <c r="N3" s="7"/>
      <c r="O3" s="7"/>
      <c r="P3" s="6"/>
      <c r="Q3" s="6"/>
      <c r="R3" s="109" t="s">
        <v>1662</v>
      </c>
      <c r="S3" s="110"/>
      <c r="T3" s="111"/>
      <c r="U3" s="2" t="s">
        <v>109</v>
      </c>
      <c r="V3" s="2" t="s">
        <v>1664</v>
      </c>
      <c r="W3" s="2"/>
      <c r="X3" s="6"/>
      <c r="Y3" s="1"/>
    </row>
    <row r="4" spans="1:26" ht="174.6" customHeight="1" thickBot="1">
      <c r="A4" s="1"/>
      <c r="B4" s="1"/>
      <c r="C4" s="1"/>
      <c r="D4" s="1"/>
      <c r="E4" s="1"/>
      <c r="F4" s="4" t="s">
        <v>1665</v>
      </c>
      <c r="G4" s="9">
        <v>9074671607</v>
      </c>
      <c r="H4" s="10" t="s">
        <v>1666</v>
      </c>
      <c r="I4" s="70">
        <v>45664</v>
      </c>
      <c r="J4" s="1"/>
      <c r="K4" s="10" t="s">
        <v>196</v>
      </c>
      <c r="L4" s="1"/>
      <c r="M4" s="10" t="s">
        <v>1667</v>
      </c>
      <c r="N4" s="10"/>
      <c r="O4" s="10"/>
      <c r="P4" s="1"/>
      <c r="Q4" s="1"/>
      <c r="R4" s="10" t="s">
        <v>1668</v>
      </c>
      <c r="S4" s="1"/>
      <c r="T4" s="10" t="s">
        <v>1669</v>
      </c>
      <c r="U4" s="10" t="s">
        <v>196</v>
      </c>
      <c r="V4" s="1"/>
      <c r="W4" s="1"/>
      <c r="X4" s="1"/>
      <c r="Y4" s="1"/>
    </row>
    <row r="5" spans="1:26" ht="15" customHeight="1" thickBot="1">
      <c r="A5" s="2" t="s">
        <v>1670</v>
      </c>
      <c r="B5" s="2" t="s">
        <v>115</v>
      </c>
      <c r="C5" s="2"/>
      <c r="D5" s="2"/>
      <c r="E5" s="6"/>
      <c r="F5" s="11" t="s">
        <v>1671</v>
      </c>
      <c r="G5" s="5">
        <v>9064205927</v>
      </c>
      <c r="H5" s="2" t="s">
        <v>1666</v>
      </c>
      <c r="I5" s="71">
        <v>45673</v>
      </c>
      <c r="J5" s="6"/>
      <c r="K5" s="2" t="s">
        <v>104</v>
      </c>
      <c r="L5" s="6"/>
      <c r="M5" s="2" t="s">
        <v>72</v>
      </c>
      <c r="N5" s="2"/>
      <c r="O5" s="2"/>
      <c r="P5" s="6"/>
      <c r="Q5" s="6"/>
      <c r="R5" s="2" t="s">
        <v>1668</v>
      </c>
      <c r="S5" s="6"/>
      <c r="T5" s="6"/>
      <c r="U5" s="2" t="s">
        <v>109</v>
      </c>
      <c r="V5" s="6"/>
      <c r="W5" s="6"/>
      <c r="X5" s="5">
        <v>36980</v>
      </c>
      <c r="Y5" s="6"/>
    </row>
    <row r="6" spans="1:26" ht="276" customHeight="1" thickBot="1">
      <c r="B6" s="12" t="s">
        <v>1672</v>
      </c>
      <c r="C6" s="12"/>
      <c r="D6" s="12"/>
      <c r="E6" s="16"/>
      <c r="F6" s="13" t="s">
        <v>1673</v>
      </c>
      <c r="G6" s="14"/>
      <c r="H6" s="12" t="s">
        <v>1640</v>
      </c>
      <c r="I6" s="72">
        <v>45689</v>
      </c>
      <c r="J6" s="15">
        <v>0.58333333333333337</v>
      </c>
      <c r="K6" s="16"/>
      <c r="L6" s="16"/>
      <c r="M6" s="17" t="s">
        <v>1674</v>
      </c>
      <c r="N6" s="17"/>
      <c r="O6" s="17"/>
      <c r="P6" s="16"/>
      <c r="Q6" s="16"/>
      <c r="R6" s="18" t="s">
        <v>1675</v>
      </c>
      <c r="S6" s="16"/>
      <c r="T6" s="12" t="s">
        <v>1676</v>
      </c>
      <c r="U6" s="12" t="s">
        <v>109</v>
      </c>
      <c r="V6" s="16"/>
      <c r="W6" s="16"/>
      <c r="X6" s="12" t="s">
        <v>1677</v>
      </c>
    </row>
    <row r="7" spans="1:26" ht="15.95" customHeight="1" thickBot="1">
      <c r="B7" s="19" t="s">
        <v>1678</v>
      </c>
      <c r="C7" s="19"/>
      <c r="D7" s="19"/>
      <c r="E7" s="1"/>
      <c r="F7" t="s">
        <v>1679</v>
      </c>
      <c r="G7" s="9"/>
      <c r="H7" s="10" t="s">
        <v>1640</v>
      </c>
      <c r="I7" s="70">
        <v>45675</v>
      </c>
      <c r="J7" s="1"/>
      <c r="K7" s="1"/>
      <c r="L7" s="1"/>
      <c r="M7" s="112" t="s">
        <v>1680</v>
      </c>
      <c r="N7" s="113"/>
      <c r="O7" s="113"/>
      <c r="P7" s="114"/>
      <c r="Q7" s="1"/>
      <c r="R7" s="20" t="s">
        <v>1675</v>
      </c>
      <c r="S7" s="1"/>
      <c r="T7" s="20" t="s">
        <v>1681</v>
      </c>
      <c r="U7" s="1"/>
      <c r="V7" s="1"/>
      <c r="W7" s="1"/>
      <c r="X7" s="21" t="s">
        <v>1682</v>
      </c>
    </row>
    <row r="8" spans="1:26" ht="350.45" customHeight="1" thickBot="1">
      <c r="B8" s="22" t="s">
        <v>1683</v>
      </c>
      <c r="C8" s="22"/>
      <c r="D8" s="22"/>
      <c r="E8" s="1"/>
      <c r="F8" s="13" t="s">
        <v>1684</v>
      </c>
      <c r="G8" s="1"/>
      <c r="H8" s="10" t="s">
        <v>1640</v>
      </c>
      <c r="I8" s="70">
        <v>45687</v>
      </c>
      <c r="J8" s="23">
        <v>0.70833333333333337</v>
      </c>
      <c r="K8" s="1"/>
      <c r="L8" s="1"/>
      <c r="M8" s="21" t="s">
        <v>1685</v>
      </c>
      <c r="N8" s="21"/>
      <c r="O8" s="21"/>
      <c r="P8" s="1"/>
      <c r="Q8" s="1"/>
      <c r="R8" s="20" t="s">
        <v>1675</v>
      </c>
      <c r="S8" s="1"/>
      <c r="T8" s="10" t="s">
        <v>1686</v>
      </c>
      <c r="U8" s="10" t="s">
        <v>109</v>
      </c>
      <c r="V8" s="1"/>
      <c r="W8" s="1"/>
      <c r="X8" s="1"/>
    </row>
    <row r="9" spans="1:26" ht="116.45" customHeight="1" thickBot="1">
      <c r="B9" s="12" t="s">
        <v>1687</v>
      </c>
      <c r="C9" s="117"/>
      <c r="D9" s="117"/>
      <c r="E9" s="117"/>
      <c r="F9" s="67" t="s">
        <v>1562</v>
      </c>
      <c r="G9" s="12" t="s">
        <v>1688</v>
      </c>
      <c r="H9" s="12" t="s">
        <v>1666</v>
      </c>
      <c r="I9" s="72">
        <v>45689</v>
      </c>
      <c r="J9" s="15">
        <v>0.45833333333333331</v>
      </c>
      <c r="K9" s="16"/>
      <c r="L9" s="16"/>
      <c r="M9" s="16"/>
      <c r="N9" s="16"/>
      <c r="O9" s="16"/>
      <c r="P9" s="16"/>
      <c r="Q9" s="115" t="s">
        <v>1689</v>
      </c>
      <c r="R9" s="116"/>
      <c r="S9" s="16"/>
      <c r="T9" s="115" t="s">
        <v>1690</v>
      </c>
      <c r="U9" s="117"/>
      <c r="V9" s="117"/>
      <c r="W9" s="117"/>
      <c r="X9" s="116"/>
    </row>
    <row r="10" spans="1:26" s="49" customFormat="1" ht="15" customHeight="1" thickBot="1">
      <c r="B10" s="2" t="s">
        <v>750</v>
      </c>
      <c r="C10" s="2"/>
      <c r="D10" s="2"/>
      <c r="E10" s="206">
        <v>45843</v>
      </c>
      <c r="F10" s="67"/>
      <c r="G10" s="2" t="s">
        <v>1563</v>
      </c>
      <c r="H10" s="2" t="s">
        <v>1666</v>
      </c>
      <c r="I10" s="69">
        <v>45696</v>
      </c>
      <c r="J10" s="25">
        <v>0.45833333333333331</v>
      </c>
      <c r="K10" s="2" t="s">
        <v>149</v>
      </c>
      <c r="L10" s="6"/>
      <c r="M10" s="2" t="s">
        <v>1691</v>
      </c>
      <c r="N10" s="2"/>
      <c r="O10" s="2"/>
      <c r="P10" s="6"/>
      <c r="Q10" s="6"/>
      <c r="R10" s="7" t="s">
        <v>1675</v>
      </c>
      <c r="S10" s="6"/>
      <c r="T10" s="2" t="s">
        <v>1692</v>
      </c>
      <c r="U10" s="6"/>
      <c r="V10" s="206">
        <v>45843</v>
      </c>
      <c r="W10" s="6"/>
      <c r="X10" s="6"/>
    </row>
    <row r="11" spans="1:26" ht="189" customHeight="1" thickBot="1">
      <c r="B11" s="10" t="s">
        <v>1693</v>
      </c>
      <c r="C11" s="107"/>
      <c r="D11" s="107"/>
      <c r="E11" s="107"/>
      <c r="F11" s="24" t="s">
        <v>1505</v>
      </c>
      <c r="G11" s="1"/>
      <c r="H11" s="10" t="s">
        <v>1666</v>
      </c>
      <c r="I11" s="70">
        <v>45700</v>
      </c>
      <c r="J11" s="23">
        <v>0.5625</v>
      </c>
      <c r="K11" s="21" t="s">
        <v>1694</v>
      </c>
      <c r="L11" s="1"/>
      <c r="M11" s="21" t="s">
        <v>1695</v>
      </c>
      <c r="N11" s="21"/>
      <c r="O11" s="21"/>
      <c r="P11" s="1"/>
      <c r="Q11" s="1"/>
      <c r="R11" s="20" t="s">
        <v>1696</v>
      </c>
      <c r="S11" s="1"/>
      <c r="T11" s="106" t="s">
        <v>1697</v>
      </c>
      <c r="U11" s="107"/>
      <c r="V11" s="107"/>
      <c r="W11" s="107"/>
      <c r="X11" s="108"/>
    </row>
    <row r="12" spans="1:26" ht="15" customHeight="1" thickBot="1">
      <c r="B12" s="2" t="s">
        <v>1458</v>
      </c>
      <c r="C12" s="2"/>
      <c r="D12" s="2"/>
      <c r="E12" s="2" t="s">
        <v>1698</v>
      </c>
      <c r="F12" s="6"/>
      <c r="G12" s="6"/>
      <c r="H12" s="2" t="s">
        <v>1640</v>
      </c>
      <c r="I12" s="69">
        <v>45705</v>
      </c>
      <c r="J12" s="25">
        <v>0.70833333333333337</v>
      </c>
      <c r="K12" s="6"/>
      <c r="L12" s="6"/>
      <c r="M12" s="6"/>
      <c r="N12" s="6"/>
      <c r="O12" s="6"/>
      <c r="P12" s="6"/>
      <c r="Q12" s="6"/>
      <c r="R12" s="6"/>
      <c r="S12" s="6"/>
      <c r="T12" s="6"/>
      <c r="U12" s="2" t="s">
        <v>495</v>
      </c>
      <c r="V12" s="2" t="s">
        <v>1698</v>
      </c>
      <c r="W12" s="2"/>
      <c r="X12" s="6"/>
    </row>
    <row r="13" spans="1:26" ht="29.45" customHeight="1" thickBot="1">
      <c r="B13" s="12" t="s">
        <v>1699</v>
      </c>
      <c r="C13" s="12"/>
      <c r="D13" s="12"/>
      <c r="E13" s="16"/>
      <c r="F13" s="104" t="s">
        <v>1700</v>
      </c>
      <c r="G13" s="105"/>
      <c r="H13" s="16"/>
      <c r="I13" s="73"/>
      <c r="J13" s="16"/>
      <c r="K13" s="16"/>
      <c r="L13" s="16"/>
      <c r="M13" s="12" t="s">
        <v>1701</v>
      </c>
      <c r="N13" s="12"/>
      <c r="O13" s="12"/>
      <c r="P13" s="16"/>
      <c r="Q13" s="16"/>
      <c r="R13" s="16"/>
      <c r="S13" s="16"/>
      <c r="T13" s="115" t="s">
        <v>1702</v>
      </c>
      <c r="U13" s="116"/>
      <c r="V13" s="16"/>
      <c r="W13" s="16"/>
      <c r="X13" s="16"/>
    </row>
    <row r="14" spans="1:26" ht="58.5" customHeight="1" thickBot="1">
      <c r="B14" s="10" t="s">
        <v>1703</v>
      </c>
      <c r="C14" s="108"/>
      <c r="D14" s="108"/>
      <c r="E14" s="108"/>
      <c r="F14" s="104" t="s">
        <v>1704</v>
      </c>
      <c r="G14" s="105"/>
      <c r="H14" s="10" t="s">
        <v>1666</v>
      </c>
      <c r="I14" s="70">
        <v>45709</v>
      </c>
      <c r="J14" s="23">
        <v>0.70833333333333337</v>
      </c>
      <c r="K14" s="1"/>
      <c r="L14" s="1"/>
      <c r="M14" s="10" t="s">
        <v>1691</v>
      </c>
      <c r="N14" s="10"/>
      <c r="O14" s="10"/>
      <c r="P14" s="1"/>
      <c r="Q14" s="1"/>
      <c r="R14" s="1"/>
      <c r="S14" s="1"/>
      <c r="T14" s="106" t="s">
        <v>1705</v>
      </c>
      <c r="U14" s="107"/>
      <c r="V14" s="108"/>
      <c r="W14" s="108"/>
      <c r="X14" s="1"/>
    </row>
    <row r="15" spans="1:26" ht="116.45" customHeight="1" thickBot="1">
      <c r="B15" s="1"/>
      <c r="C15" s="230"/>
      <c r="D15" s="230"/>
      <c r="E15" s="107"/>
      <c r="F15" s="1"/>
      <c r="G15" s="1"/>
      <c r="H15" s="10" t="s">
        <v>1666</v>
      </c>
      <c r="I15" s="70">
        <v>45710</v>
      </c>
      <c r="J15" s="23">
        <v>0.54166666666666663</v>
      </c>
      <c r="K15" s="21" t="s">
        <v>1706</v>
      </c>
      <c r="L15" s="1"/>
      <c r="M15" s="1"/>
      <c r="N15" s="1"/>
      <c r="O15" s="1"/>
      <c r="P15" s="1"/>
      <c r="Q15" s="1"/>
      <c r="R15" s="1"/>
      <c r="S15" s="1"/>
      <c r="T15" s="106" t="s">
        <v>1707</v>
      </c>
      <c r="U15" s="107"/>
      <c r="V15" s="107"/>
      <c r="W15" s="107"/>
      <c r="X15" s="108"/>
    </row>
    <row r="16" spans="1:26" ht="15" customHeight="1" thickBot="1">
      <c r="B16" s="26" t="s">
        <v>1708</v>
      </c>
      <c r="C16" s="26"/>
      <c r="D16" s="26"/>
      <c r="E16" s="27"/>
      <c r="F16" s="27"/>
      <c r="G16" s="27"/>
      <c r="H16" s="26" t="s">
        <v>1666</v>
      </c>
      <c r="I16" s="74">
        <v>45717</v>
      </c>
      <c r="J16" s="28">
        <v>0.41666666666666669</v>
      </c>
      <c r="K16" s="27"/>
      <c r="L16" s="27"/>
      <c r="M16" s="26" t="s">
        <v>1709</v>
      </c>
      <c r="N16" s="26"/>
      <c r="O16" s="26"/>
      <c r="P16" s="27"/>
      <c r="Q16" s="27"/>
      <c r="R16" s="27"/>
      <c r="S16" s="27"/>
      <c r="T16" s="29" t="s">
        <v>1710</v>
      </c>
      <c r="U16" s="27"/>
      <c r="V16" s="27"/>
      <c r="W16" s="27"/>
      <c r="X16" s="27"/>
    </row>
    <row r="17" spans="2:26" s="49" customFormat="1" ht="16.5" customHeight="1" thickBot="1">
      <c r="B17" s="56" t="s">
        <v>1481</v>
      </c>
      <c r="C17" s="56"/>
      <c r="D17" s="56"/>
      <c r="E17" s="6"/>
      <c r="F17" s="47" t="s">
        <v>1484</v>
      </c>
      <c r="G17" s="6"/>
      <c r="H17" s="2" t="s">
        <v>1640</v>
      </c>
      <c r="I17" s="69">
        <v>45719</v>
      </c>
      <c r="J17" s="25">
        <v>0.66666666666666663</v>
      </c>
      <c r="K17" s="6"/>
      <c r="L17" s="6"/>
      <c r="M17" s="8" t="s">
        <v>72</v>
      </c>
      <c r="N17" s="6"/>
      <c r="O17" s="6"/>
      <c r="P17" s="6"/>
      <c r="Q17" s="6"/>
      <c r="R17" s="7" t="s">
        <v>1675</v>
      </c>
      <c r="S17" s="6"/>
      <c r="T17" s="8" t="s">
        <v>1711</v>
      </c>
      <c r="U17" s="6"/>
      <c r="V17" s="6"/>
      <c r="W17" s="6"/>
      <c r="X17" s="6"/>
    </row>
    <row r="18" spans="2:26" s="49" customFormat="1" ht="16.5" customHeight="1" thickBot="1">
      <c r="B18" s="46" t="s">
        <v>1712</v>
      </c>
      <c r="C18" s="46"/>
      <c r="D18" s="46"/>
      <c r="E18" s="6"/>
      <c r="F18" s="47" t="s">
        <v>1474</v>
      </c>
      <c r="G18" s="48" t="s">
        <v>1475</v>
      </c>
      <c r="H18" s="2" t="s">
        <v>1640</v>
      </c>
      <c r="I18" s="69">
        <v>45728</v>
      </c>
      <c r="J18" s="25">
        <v>0.66666666666666663</v>
      </c>
      <c r="K18" s="6"/>
      <c r="L18" s="6"/>
      <c r="M18" s="8" t="s">
        <v>72</v>
      </c>
      <c r="N18" s="2"/>
      <c r="O18" s="2"/>
      <c r="P18" s="6"/>
      <c r="Q18" s="6"/>
      <c r="R18" s="7" t="s">
        <v>1675</v>
      </c>
      <c r="S18" s="2" t="s">
        <v>1554</v>
      </c>
      <c r="T18" s="6" t="s">
        <v>1713</v>
      </c>
      <c r="U18" s="6"/>
      <c r="V18" s="6"/>
      <c r="W18" s="6"/>
      <c r="X18" s="6"/>
    </row>
    <row r="19" spans="2:26" s="31" customFormat="1" ht="39" customHeight="1" thickBot="1">
      <c r="B19" s="33" t="s">
        <v>1714</v>
      </c>
      <c r="C19" s="33"/>
      <c r="D19" s="33"/>
      <c r="E19" s="16"/>
      <c r="F19" s="30" t="s">
        <v>1715</v>
      </c>
      <c r="G19" s="32" t="s">
        <v>1716</v>
      </c>
      <c r="H19" s="12" t="s">
        <v>1640</v>
      </c>
      <c r="I19" s="75">
        <v>45735</v>
      </c>
      <c r="J19" s="34">
        <v>0.83333333333333337</v>
      </c>
      <c r="K19" s="16"/>
      <c r="L19" s="16"/>
      <c r="M19" s="16" t="s">
        <v>496</v>
      </c>
      <c r="N19" s="16"/>
      <c r="O19" s="16"/>
      <c r="P19" s="16"/>
      <c r="Q19" s="16"/>
      <c r="R19" s="18" t="s">
        <v>1675</v>
      </c>
      <c r="S19" s="16" t="s">
        <v>1717</v>
      </c>
      <c r="T19" s="16" t="s">
        <v>1718</v>
      </c>
      <c r="U19" s="16"/>
      <c r="V19" s="16"/>
      <c r="W19" s="16"/>
      <c r="X19" s="16"/>
    </row>
    <row r="20" spans="2:26" s="49" customFormat="1" ht="409.6" customHeight="1" thickBot="1">
      <c r="B20" s="50" t="s">
        <v>1490</v>
      </c>
      <c r="C20" s="50"/>
      <c r="D20" s="50"/>
      <c r="E20" s="6"/>
      <c r="F20" s="47" t="s">
        <v>1492</v>
      </c>
      <c r="G20" s="6"/>
      <c r="H20" s="47" t="s">
        <v>1492</v>
      </c>
      <c r="I20" s="76">
        <v>45749</v>
      </c>
      <c r="J20" s="51">
        <v>0.625</v>
      </c>
      <c r="K20" s="6"/>
      <c r="L20" s="6"/>
      <c r="M20" s="6"/>
      <c r="N20" s="6"/>
      <c r="O20" s="6"/>
      <c r="P20" s="6"/>
      <c r="Q20" s="7" t="s">
        <v>1719</v>
      </c>
      <c r="R20" s="7" t="s">
        <v>1675</v>
      </c>
      <c r="S20" s="6" t="s">
        <v>1720</v>
      </c>
      <c r="T20" s="6"/>
      <c r="U20" s="6"/>
      <c r="V20" s="6"/>
      <c r="W20" s="6"/>
      <c r="X20" s="6"/>
    </row>
    <row r="21" spans="2:26" ht="320.10000000000002" customHeight="1" thickBot="1">
      <c r="B21" s="36" t="s">
        <v>1721</v>
      </c>
      <c r="C21" s="36"/>
      <c r="D21" s="36"/>
      <c r="F21" s="13" t="s">
        <v>1514</v>
      </c>
      <c r="G21" s="37" t="s">
        <v>1515</v>
      </c>
      <c r="I21" s="77">
        <v>45741</v>
      </c>
      <c r="J21">
        <v>1100</v>
      </c>
      <c r="M21" s="39" t="s">
        <v>102</v>
      </c>
      <c r="N21" s="39"/>
      <c r="O21" s="39"/>
      <c r="Q21" s="40" t="s">
        <v>1722</v>
      </c>
      <c r="R21" s="20" t="s">
        <v>1675</v>
      </c>
      <c r="S21" s="41" t="s">
        <v>1723</v>
      </c>
    </row>
    <row r="22" spans="2:26" ht="16.5" customHeight="1" thickBot="1">
      <c r="B22" s="36" t="s">
        <v>1724</v>
      </c>
      <c r="C22" s="36"/>
      <c r="D22" s="36"/>
      <c r="F22" s="13" t="s">
        <v>1725</v>
      </c>
      <c r="G22" s="37">
        <v>8043637252</v>
      </c>
      <c r="H22" s="12" t="s">
        <v>1640</v>
      </c>
      <c r="I22" s="77">
        <v>45740</v>
      </c>
      <c r="J22">
        <v>1400</v>
      </c>
      <c r="M22" s="39" t="s">
        <v>102</v>
      </c>
      <c r="N22" s="39"/>
      <c r="O22" s="39"/>
      <c r="R22" s="20" t="s">
        <v>1675</v>
      </c>
      <c r="S22" s="41" t="s">
        <v>117</v>
      </c>
      <c r="U22" t="s">
        <v>109</v>
      </c>
    </row>
    <row r="23" spans="2:26" ht="15" customHeight="1" thickBot="1">
      <c r="B23" t="s">
        <v>1726</v>
      </c>
      <c r="G23">
        <v>9043444492</v>
      </c>
      <c r="H23" s="42" t="s">
        <v>1666</v>
      </c>
      <c r="I23" s="77">
        <v>45738</v>
      </c>
      <c r="J23">
        <v>1730</v>
      </c>
      <c r="M23" s="1" t="s">
        <v>496</v>
      </c>
      <c r="N23" s="43"/>
      <c r="O23" s="43"/>
      <c r="R23" s="44" t="s">
        <v>1727</v>
      </c>
      <c r="U23" t="s">
        <v>495</v>
      </c>
    </row>
    <row r="24" spans="2:26">
      <c r="B24" t="s">
        <v>1728</v>
      </c>
      <c r="G24" t="s">
        <v>1729</v>
      </c>
      <c r="H24" s="42" t="s">
        <v>1641</v>
      </c>
      <c r="Q24" t="s">
        <v>1730</v>
      </c>
    </row>
    <row r="25" spans="2:26" ht="145.5" customHeight="1">
      <c r="B25" s="36" t="s">
        <v>1731</v>
      </c>
      <c r="C25" s="36"/>
      <c r="D25" s="36"/>
      <c r="F25" t="s">
        <v>1732</v>
      </c>
      <c r="G25" s="32" t="s">
        <v>1733</v>
      </c>
      <c r="H25" s="42" t="s">
        <v>1640</v>
      </c>
      <c r="I25" s="77">
        <v>45747</v>
      </c>
      <c r="J25" s="45">
        <v>0.70833333333333337</v>
      </c>
      <c r="Q25" s="40" t="s">
        <v>1734</v>
      </c>
      <c r="R25" s="39" t="s">
        <v>1675</v>
      </c>
      <c r="S25" s="41" t="s">
        <v>117</v>
      </c>
      <c r="T25" s="40" t="s">
        <v>1735</v>
      </c>
      <c r="U25" t="s">
        <v>109</v>
      </c>
    </row>
    <row r="26" spans="2:26" s="59" customFormat="1" ht="218.1" customHeight="1" thickBot="1">
      <c r="B26" s="57" t="s">
        <v>1496</v>
      </c>
      <c r="C26" s="57"/>
      <c r="D26" s="57"/>
      <c r="F26" s="58" t="s">
        <v>1498</v>
      </c>
      <c r="H26" s="60" t="s">
        <v>1640</v>
      </c>
      <c r="I26" s="79">
        <v>45749</v>
      </c>
      <c r="J26" s="61">
        <v>0.70833333333333337</v>
      </c>
      <c r="M26" s="59" t="s">
        <v>662</v>
      </c>
      <c r="N26" s="59" t="s">
        <v>1736</v>
      </c>
      <c r="P26" s="62"/>
      <c r="Q26" s="63" t="s">
        <v>1737</v>
      </c>
      <c r="R26" s="62" t="s">
        <v>1738</v>
      </c>
      <c r="S26" s="64" t="s">
        <v>1739</v>
      </c>
      <c r="T26" s="63"/>
    </row>
    <row r="27" spans="2:26" s="49" customFormat="1" ht="44.45" customHeight="1" thickBot="1">
      <c r="B27" s="83" t="s">
        <v>1740</v>
      </c>
      <c r="C27" s="83"/>
      <c r="D27" s="83"/>
      <c r="E27" s="49" t="s">
        <v>1664</v>
      </c>
      <c r="F27" s="67" t="s">
        <v>1741</v>
      </c>
      <c r="G27" s="83">
        <v>9074606571</v>
      </c>
      <c r="H27" s="84" t="s">
        <v>1640</v>
      </c>
      <c r="I27" s="80">
        <v>45759</v>
      </c>
      <c r="J27" s="85">
        <v>0.45833333333333331</v>
      </c>
      <c r="M27" s="7" t="s">
        <v>102</v>
      </c>
      <c r="N27" s="66" t="s">
        <v>1742</v>
      </c>
      <c r="O27" s="66"/>
      <c r="Q27" s="86" t="s">
        <v>1743</v>
      </c>
      <c r="R27" s="7" t="s">
        <v>1675</v>
      </c>
      <c r="S27" s="66" t="s">
        <v>1477</v>
      </c>
      <c r="T27" s="49" t="s">
        <v>1713</v>
      </c>
      <c r="U27" s="49" t="s">
        <v>1744</v>
      </c>
      <c r="Z27" s="87" t="s">
        <v>1532</v>
      </c>
    </row>
    <row r="28" spans="2:26" s="49" customFormat="1" ht="44.1" customHeight="1" thickBot="1">
      <c r="B28" s="49" t="s">
        <v>1745</v>
      </c>
      <c r="E28" s="49" t="s">
        <v>1664</v>
      </c>
      <c r="F28" s="67" t="s">
        <v>1522</v>
      </c>
      <c r="G28" s="49" t="s">
        <v>1746</v>
      </c>
      <c r="H28" s="49" t="s">
        <v>1747</v>
      </c>
      <c r="I28" s="80">
        <v>45755</v>
      </c>
      <c r="J28" s="65">
        <v>0.75</v>
      </c>
      <c r="N28" s="66" t="s">
        <v>1742</v>
      </c>
      <c r="O28" s="66"/>
      <c r="R28" s="7" t="s">
        <v>1675</v>
      </c>
      <c r="S28" s="66" t="s">
        <v>1477</v>
      </c>
      <c r="T28" s="49" t="s">
        <v>1748</v>
      </c>
      <c r="U28" s="49" t="s">
        <v>1744</v>
      </c>
      <c r="Z28" s="87" t="s">
        <v>1524</v>
      </c>
    </row>
    <row r="29" spans="2:26" s="31" customFormat="1">
      <c r="B29" s="31" t="s">
        <v>1749</v>
      </c>
      <c r="G29" s="31" t="s">
        <v>1750</v>
      </c>
      <c r="H29" s="42" t="s">
        <v>1666</v>
      </c>
      <c r="I29" s="81"/>
      <c r="N29" s="39" t="s">
        <v>1742</v>
      </c>
      <c r="O29" s="39"/>
      <c r="T29" s="31" t="s">
        <v>1751</v>
      </c>
    </row>
    <row r="30" spans="2:26" s="197" customFormat="1" ht="15.95" customHeight="1">
      <c r="B30" s="191" t="s">
        <v>1752</v>
      </c>
      <c r="C30" s="191"/>
      <c r="D30" s="191"/>
      <c r="E30" s="197" t="s">
        <v>66</v>
      </c>
      <c r="F30" s="192" t="s">
        <v>1753</v>
      </c>
      <c r="G30" s="193" t="s">
        <v>1523</v>
      </c>
      <c r="H30" s="194" t="s">
        <v>1640</v>
      </c>
      <c r="I30" s="195">
        <v>45763</v>
      </c>
      <c r="J30" s="196">
        <v>0.70833333333333337</v>
      </c>
      <c r="M30" s="198" t="s">
        <v>102</v>
      </c>
      <c r="N30" s="198" t="s">
        <v>1742</v>
      </c>
      <c r="O30" s="198"/>
      <c r="R30" s="198" t="s">
        <v>1675</v>
      </c>
      <c r="S30" s="198" t="s">
        <v>1477</v>
      </c>
      <c r="T30" s="197" t="s">
        <v>1754</v>
      </c>
      <c r="V30" s="197" t="s">
        <v>66</v>
      </c>
      <c r="W30" s="199">
        <v>45811</v>
      </c>
    </row>
    <row r="31" spans="2:26" ht="131.44999999999999" customHeight="1" thickBot="1">
      <c r="B31" s="36" t="s">
        <v>1755</v>
      </c>
      <c r="C31" s="36"/>
      <c r="D31" s="36"/>
      <c r="F31" s="13" t="s">
        <v>1756</v>
      </c>
      <c r="G31" s="37">
        <v>9094829486</v>
      </c>
      <c r="H31" s="42" t="s">
        <v>1640</v>
      </c>
      <c r="I31" s="77">
        <v>45764</v>
      </c>
      <c r="J31" s="45">
        <v>0.66666666666666663</v>
      </c>
      <c r="M31" s="39" t="s">
        <v>102</v>
      </c>
      <c r="N31" s="39" t="s">
        <v>1742</v>
      </c>
      <c r="O31" s="39"/>
      <c r="R31" s="39" t="s">
        <v>1675</v>
      </c>
      <c r="S31" s="36" t="s">
        <v>1681</v>
      </c>
      <c r="T31" s="40" t="s">
        <v>1757</v>
      </c>
    </row>
    <row r="32" spans="2:26" s="49" customFormat="1" ht="20.45" customHeight="1" thickBot="1">
      <c r="B32" s="177" t="s">
        <v>1758</v>
      </c>
      <c r="C32" s="177"/>
      <c r="D32" s="177"/>
      <c r="E32" s="49" t="s">
        <v>1664</v>
      </c>
      <c r="F32" s="67" t="s">
        <v>1547</v>
      </c>
      <c r="G32" s="86" t="s">
        <v>1759</v>
      </c>
      <c r="H32" s="84" t="s">
        <v>1640</v>
      </c>
      <c r="I32" s="178" t="s">
        <v>1760</v>
      </c>
      <c r="J32" s="85">
        <v>0.66666666666666663</v>
      </c>
      <c r="K32" s="49" t="s">
        <v>1541</v>
      </c>
      <c r="M32" s="8" t="s">
        <v>72</v>
      </c>
      <c r="R32" s="66" t="s">
        <v>1675</v>
      </c>
      <c r="U32" s="49" t="s">
        <v>109</v>
      </c>
      <c r="V32" s="49" t="s">
        <v>1664</v>
      </c>
    </row>
    <row r="33" spans="2:26" s="49" customFormat="1" ht="20.45" customHeight="1" thickBot="1">
      <c r="B33" s="56" t="s">
        <v>1761</v>
      </c>
      <c r="C33" s="56"/>
      <c r="D33" s="56"/>
      <c r="E33" s="49" t="s">
        <v>1664</v>
      </c>
      <c r="F33" s="67" t="s">
        <v>1762</v>
      </c>
      <c r="G33" s="86" t="s">
        <v>1763</v>
      </c>
      <c r="H33" s="84" t="s">
        <v>1640</v>
      </c>
      <c r="I33" s="178" t="s">
        <v>1764</v>
      </c>
      <c r="J33" s="85">
        <v>0.6875</v>
      </c>
      <c r="M33" s="8" t="s">
        <v>72</v>
      </c>
      <c r="R33" s="49" t="s">
        <v>1769</v>
      </c>
      <c r="T33" s="49" t="s">
        <v>1765</v>
      </c>
      <c r="V33" s="49" t="s">
        <v>66</v>
      </c>
      <c r="W33" s="226">
        <v>45811</v>
      </c>
    </row>
    <row r="34" spans="2:26">
      <c r="B34" t="s">
        <v>1766</v>
      </c>
      <c r="F34" s="13" t="s">
        <v>1767</v>
      </c>
      <c r="G34" t="s">
        <v>1768</v>
      </c>
      <c r="H34" s="68" t="s">
        <v>1666</v>
      </c>
      <c r="I34" s="77">
        <v>45773</v>
      </c>
      <c r="J34" s="45">
        <v>0.45833333333333331</v>
      </c>
      <c r="M34" s="39" t="s">
        <v>102</v>
      </c>
      <c r="N34" s="39" t="s">
        <v>1742</v>
      </c>
      <c r="O34" s="39"/>
      <c r="R34" t="s">
        <v>1769</v>
      </c>
      <c r="S34" s="39" t="s">
        <v>1477</v>
      </c>
      <c r="U34" t="s">
        <v>109</v>
      </c>
    </row>
    <row r="35" spans="2:26" ht="20.45" customHeight="1" thickBot="1">
      <c r="B35" t="s">
        <v>1770</v>
      </c>
      <c r="F35" t="s">
        <v>1771</v>
      </c>
      <c r="G35" s="37" t="s">
        <v>1772</v>
      </c>
      <c r="H35" s="42" t="s">
        <v>1640</v>
      </c>
      <c r="I35" s="82" t="s">
        <v>1773</v>
      </c>
      <c r="J35" s="45">
        <v>0.66666666666666663</v>
      </c>
      <c r="M35" s="39" t="s">
        <v>102</v>
      </c>
      <c r="N35" s="39" t="s">
        <v>1742</v>
      </c>
      <c r="O35" s="39"/>
      <c r="R35" s="39" t="s">
        <v>1675</v>
      </c>
    </row>
    <row r="36" spans="2:26" s="160" customFormat="1" ht="20.45" customHeight="1" thickBot="1">
      <c r="B36" s="160" t="s">
        <v>1774</v>
      </c>
      <c r="F36" s="161" t="s">
        <v>1775</v>
      </c>
      <c r="G36" s="162" t="s">
        <v>1776</v>
      </c>
      <c r="H36" s="163" t="s">
        <v>1640</v>
      </c>
      <c r="I36" s="164" t="s">
        <v>1777</v>
      </c>
      <c r="J36" s="165">
        <v>0.5</v>
      </c>
      <c r="M36" s="166" t="s">
        <v>197</v>
      </c>
      <c r="R36" s="167" t="s">
        <v>1675</v>
      </c>
    </row>
    <row r="37" spans="2:26" s="197" customFormat="1" ht="15" customHeight="1" thickBot="1">
      <c r="B37" s="197" t="s">
        <v>1778</v>
      </c>
      <c r="E37" s="197" t="s">
        <v>66</v>
      </c>
      <c r="F37" s="192"/>
      <c r="G37" s="197" t="s">
        <v>1779</v>
      </c>
      <c r="H37" s="201" t="s">
        <v>1666</v>
      </c>
      <c r="I37" s="195">
        <v>45791</v>
      </c>
      <c r="J37" s="196">
        <v>0.6875</v>
      </c>
      <c r="M37" s="202" t="s">
        <v>197</v>
      </c>
      <c r="N37" s="198"/>
      <c r="O37" s="198"/>
      <c r="S37" s="198"/>
      <c r="V37" s="197" t="s">
        <v>66</v>
      </c>
    </row>
    <row r="38" spans="2:26" ht="15" customHeight="1" thickBot="1">
      <c r="B38" t="s">
        <v>1780</v>
      </c>
      <c r="F38" t="s">
        <v>1781</v>
      </c>
      <c r="G38" s="37" t="s">
        <v>1782</v>
      </c>
      <c r="H38" s="42" t="s">
        <v>1640</v>
      </c>
      <c r="I38" s="77">
        <v>45801</v>
      </c>
      <c r="J38" s="45">
        <v>0.5</v>
      </c>
      <c r="M38" s="8" t="s">
        <v>72</v>
      </c>
      <c r="R38" t="s">
        <v>1769</v>
      </c>
      <c r="S38" s="39" t="s">
        <v>1477</v>
      </c>
      <c r="T38" t="s">
        <v>1783</v>
      </c>
    </row>
    <row r="39" spans="2:26">
      <c r="B39" t="s">
        <v>1784</v>
      </c>
      <c r="F39" t="s">
        <v>1785</v>
      </c>
      <c r="G39" s="37">
        <v>9057434397</v>
      </c>
      <c r="H39" s="42" t="s">
        <v>1640</v>
      </c>
      <c r="I39" s="158">
        <v>45808</v>
      </c>
      <c r="J39" s="159">
        <v>0.66666666666666663</v>
      </c>
      <c r="N39" s="39" t="s">
        <v>1742</v>
      </c>
      <c r="O39" t="s">
        <v>1786</v>
      </c>
      <c r="U39" t="s">
        <v>109</v>
      </c>
    </row>
    <row r="40" spans="2:26" s="160" customFormat="1" ht="101.25" customHeight="1">
      <c r="B40" s="160" t="s">
        <v>1787</v>
      </c>
      <c r="C40" s="160" t="s">
        <v>2102</v>
      </c>
      <c r="F40" s="161" t="s">
        <v>1788</v>
      </c>
      <c r="G40" s="162" t="s">
        <v>1789</v>
      </c>
      <c r="H40" s="163" t="s">
        <v>1640</v>
      </c>
      <c r="I40" s="251">
        <v>45815</v>
      </c>
      <c r="J40" s="165">
        <v>0.45833333333333331</v>
      </c>
      <c r="M40" s="167" t="s">
        <v>102</v>
      </c>
      <c r="N40" s="167" t="s">
        <v>1742</v>
      </c>
      <c r="O40" s="167" t="s">
        <v>1477</v>
      </c>
      <c r="Q40" s="255" t="s">
        <v>1790</v>
      </c>
      <c r="R40" s="160" t="s">
        <v>1675</v>
      </c>
      <c r="S40" s="167" t="s">
        <v>1477</v>
      </c>
      <c r="T40" s="160" t="s">
        <v>1692</v>
      </c>
      <c r="U40" s="160" t="s">
        <v>109</v>
      </c>
      <c r="Z40" s="160" t="s">
        <v>1791</v>
      </c>
    </row>
    <row r="41" spans="2:26">
      <c r="B41" t="s">
        <v>1792</v>
      </c>
      <c r="F41" t="s">
        <v>1793</v>
      </c>
      <c r="G41" s="203" t="s">
        <v>1794</v>
      </c>
      <c r="H41" s="42" t="s">
        <v>1747</v>
      </c>
      <c r="I41" t="s">
        <v>1795</v>
      </c>
      <c r="J41">
        <v>18</v>
      </c>
      <c r="M41" t="s">
        <v>1796</v>
      </c>
      <c r="O41" s="54" t="s">
        <v>1477</v>
      </c>
      <c r="R41" s="31" t="s">
        <v>1675</v>
      </c>
      <c r="S41" s="54" t="s">
        <v>1477</v>
      </c>
      <c r="U41" t="s">
        <v>495</v>
      </c>
      <c r="Z41" t="s">
        <v>1797</v>
      </c>
    </row>
    <row r="42" spans="2:26" s="160" customFormat="1" ht="16.5" customHeight="1">
      <c r="B42" s="160" t="s">
        <v>2020</v>
      </c>
      <c r="F42" s="160" t="s">
        <v>1798</v>
      </c>
      <c r="G42" s="250" t="s">
        <v>1799</v>
      </c>
      <c r="H42" s="163" t="s">
        <v>1640</v>
      </c>
      <c r="I42" s="251">
        <v>45850</v>
      </c>
      <c r="J42" s="165">
        <v>0.45833333333333331</v>
      </c>
      <c r="M42" s="160" t="s">
        <v>102</v>
      </c>
      <c r="O42" s="160" t="s">
        <v>1477</v>
      </c>
      <c r="R42" s="160" t="s">
        <v>1675</v>
      </c>
      <c r="S42" s="167" t="s">
        <v>1477</v>
      </c>
      <c r="T42" s="160" t="s">
        <v>1957</v>
      </c>
      <c r="U42" s="160" t="s">
        <v>109</v>
      </c>
      <c r="Z42" s="252" t="s">
        <v>1955</v>
      </c>
    </row>
    <row r="43" spans="2:26" s="49" customFormat="1">
      <c r="B43" s="49" t="s">
        <v>1800</v>
      </c>
      <c r="F43" s="13" t="s">
        <v>2008</v>
      </c>
      <c r="G43" s="49" t="s">
        <v>1801</v>
      </c>
      <c r="H43" s="84" t="s">
        <v>1640</v>
      </c>
      <c r="I43" s="237">
        <v>45822</v>
      </c>
      <c r="J43" s="85">
        <v>0.75</v>
      </c>
      <c r="M43" s="49" t="s">
        <v>102</v>
      </c>
      <c r="O43" s="49" t="s">
        <v>1477</v>
      </c>
      <c r="R43" s="49" t="s">
        <v>1675</v>
      </c>
      <c r="S43" s="49" t="s">
        <v>1477</v>
      </c>
      <c r="U43" s="49" t="s">
        <v>109</v>
      </c>
    </row>
    <row r="44" spans="2:26" s="31" customFormat="1" ht="41.1" customHeight="1">
      <c r="B44" s="31" t="s">
        <v>1918</v>
      </c>
      <c r="C44" t="s">
        <v>1974</v>
      </c>
      <c r="D44"/>
      <c r="F44" s="31" t="s">
        <v>1919</v>
      </c>
      <c r="G44" s="31" t="s">
        <v>1920</v>
      </c>
      <c r="H44" s="68" t="s">
        <v>1666</v>
      </c>
      <c r="I44" s="200">
        <v>45857</v>
      </c>
      <c r="J44" s="53">
        <v>0.54166666666666663</v>
      </c>
      <c r="R44" s="31" t="s">
        <v>1675</v>
      </c>
      <c r="T44" s="220" t="s">
        <v>1972</v>
      </c>
      <c r="Z44" t="s">
        <v>1973</v>
      </c>
    </row>
    <row r="45" spans="2:26" s="160" customFormat="1">
      <c r="B45" s="160" t="s">
        <v>1921</v>
      </c>
      <c r="F45" s="160" t="s">
        <v>1922</v>
      </c>
      <c r="G45" s="160" t="s">
        <v>1923</v>
      </c>
      <c r="H45" s="252" t="s">
        <v>1640</v>
      </c>
      <c r="I45" s="253">
        <v>45850</v>
      </c>
      <c r="J45" s="165">
        <v>0.45833333333333331</v>
      </c>
      <c r="M45" s="160" t="s">
        <v>1742</v>
      </c>
      <c r="O45" s="160" t="s">
        <v>1477</v>
      </c>
      <c r="R45" s="160" t="s">
        <v>1769</v>
      </c>
      <c r="S45" s="160" t="s">
        <v>1477</v>
      </c>
      <c r="T45" s="160" t="s">
        <v>1957</v>
      </c>
      <c r="U45" s="160" t="s">
        <v>1956</v>
      </c>
      <c r="Z45" s="160" t="s">
        <v>1954</v>
      </c>
    </row>
    <row r="46" spans="2:26" s="31" customFormat="1">
      <c r="B46" s="31" t="s">
        <v>1924</v>
      </c>
      <c r="F46" s="52"/>
      <c r="G46" s="37" t="s">
        <v>1935</v>
      </c>
      <c r="H46" s="68" t="s">
        <v>1666</v>
      </c>
      <c r="I46" s="81"/>
      <c r="J46" s="53"/>
      <c r="T46" s="31" t="s">
        <v>1925</v>
      </c>
    </row>
    <row r="47" spans="2:26">
      <c r="B47" t="s">
        <v>952</v>
      </c>
      <c r="F47" t="s">
        <v>1926</v>
      </c>
      <c r="G47" t="s">
        <v>1927</v>
      </c>
      <c r="H47" s="220" t="s">
        <v>1640</v>
      </c>
      <c r="J47" s="45"/>
      <c r="T47" t="s">
        <v>1934</v>
      </c>
    </row>
    <row r="48" spans="2:26" s="222" customFormat="1">
      <c r="B48" s="31" t="s">
        <v>1975</v>
      </c>
      <c r="C48" s="31" t="s">
        <v>1976</v>
      </c>
      <c r="D48" s="31"/>
      <c r="E48" s="222" t="s">
        <v>66</v>
      </c>
      <c r="F48" s="223" t="s">
        <v>1929</v>
      </c>
      <c r="G48" s="224" t="s">
        <v>1928</v>
      </c>
      <c r="H48" s="221" t="s">
        <v>1666</v>
      </c>
      <c r="I48" s="229">
        <v>45855</v>
      </c>
      <c r="J48" s="225">
        <v>0.75</v>
      </c>
      <c r="T48" s="222" t="s">
        <v>1930</v>
      </c>
      <c r="Z48" s="31" t="s">
        <v>1977</v>
      </c>
    </row>
    <row r="49" spans="2:45" s="49" customFormat="1" ht="120.75" thickBot="1">
      <c r="B49" s="49" t="s">
        <v>1931</v>
      </c>
      <c r="E49" s="49" t="s">
        <v>1664</v>
      </c>
      <c r="F49" s="49" t="s">
        <v>1932</v>
      </c>
      <c r="G49" s="49" t="s">
        <v>1933</v>
      </c>
      <c r="H49" s="87" t="s">
        <v>1640</v>
      </c>
      <c r="I49" s="80">
        <v>45857</v>
      </c>
      <c r="J49" s="85">
        <v>0.41666666666666669</v>
      </c>
      <c r="M49" s="231" t="s">
        <v>72</v>
      </c>
      <c r="O49" s="49" t="s">
        <v>1477</v>
      </c>
      <c r="R49" s="49" t="s">
        <v>1675</v>
      </c>
      <c r="T49" s="87" t="s">
        <v>1978</v>
      </c>
      <c r="U49" s="49" t="s">
        <v>109</v>
      </c>
      <c r="Z49" t="s">
        <v>1985</v>
      </c>
    </row>
    <row r="50" spans="2:45" s="197" customFormat="1" ht="15.75" thickBot="1">
      <c r="B50" s="197" t="s">
        <v>1997</v>
      </c>
      <c r="F50" s="192" t="s">
        <v>1998</v>
      </c>
      <c r="G50" s="193" t="s">
        <v>1952</v>
      </c>
      <c r="H50" s="248" t="s">
        <v>1641</v>
      </c>
      <c r="I50" s="195">
        <v>45855</v>
      </c>
      <c r="J50" s="196">
        <v>0.70833333333333337</v>
      </c>
      <c r="M50" s="197" t="s">
        <v>102</v>
      </c>
      <c r="O50" s="197" t="s">
        <v>1477</v>
      </c>
      <c r="R50" s="254" t="s">
        <v>1675</v>
      </c>
      <c r="T50" s="197" t="s">
        <v>1953</v>
      </c>
      <c r="U50" s="197" t="s">
        <v>109</v>
      </c>
      <c r="Z50" s="197" t="s">
        <v>1971</v>
      </c>
    </row>
    <row r="51" spans="2:45" s="31" customFormat="1">
      <c r="B51" s="31" t="s">
        <v>931</v>
      </c>
      <c r="F51" s="13" t="s">
        <v>2021</v>
      </c>
      <c r="G51" s="55" t="s">
        <v>2015</v>
      </c>
      <c r="H51" s="220" t="s">
        <v>1641</v>
      </c>
      <c r="I51" s="229">
        <v>45871</v>
      </c>
      <c r="J51" s="53">
        <v>0.41666666666666669</v>
      </c>
      <c r="O51" s="31" t="s">
        <v>1477</v>
      </c>
      <c r="R51" s="31" t="s">
        <v>1221</v>
      </c>
      <c r="T51" s="31" t="s">
        <v>2018</v>
      </c>
      <c r="U51" s="31" t="s">
        <v>109</v>
      </c>
      <c r="Z51" t="s">
        <v>2022</v>
      </c>
    </row>
    <row r="52" spans="2:45" s="31" customFormat="1" ht="15.75">
      <c r="B52" s="238" t="s">
        <v>2027</v>
      </c>
      <c r="F52" s="239" t="s">
        <v>2017</v>
      </c>
      <c r="G52" s="55" t="s">
        <v>2026</v>
      </c>
      <c r="H52" s="220"/>
      <c r="I52" s="229">
        <v>45873</v>
      </c>
      <c r="J52" s="53"/>
      <c r="M52" t="s">
        <v>1796</v>
      </c>
      <c r="T52" s="31" t="s">
        <v>2019</v>
      </c>
    </row>
    <row r="53" spans="2:45">
      <c r="B53" s="59" t="s">
        <v>2023</v>
      </c>
      <c r="E53" s="59" t="s">
        <v>1664</v>
      </c>
      <c r="F53" s="58"/>
      <c r="G53" s="242" t="s">
        <v>2025</v>
      </c>
      <c r="H53" s="63" t="s">
        <v>1641</v>
      </c>
      <c r="I53" s="79">
        <v>45878</v>
      </c>
      <c r="J53" s="53">
        <v>0.625</v>
      </c>
      <c r="K53" s="59"/>
      <c r="L53" s="59"/>
      <c r="M53" s="59"/>
      <c r="N53" s="59"/>
      <c r="O53" s="59" t="s">
        <v>1477</v>
      </c>
      <c r="P53" s="59"/>
      <c r="Q53" s="59"/>
      <c r="R53" s="59" t="s">
        <v>1221</v>
      </c>
      <c r="S53" s="59"/>
      <c r="T53" s="59" t="s">
        <v>2024</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2050</v>
      </c>
      <c r="C54" s="197" t="s">
        <v>2052</v>
      </c>
      <c r="E54" s="197" t="s">
        <v>2134</v>
      </c>
      <c r="F54" s="192" t="s">
        <v>2053</v>
      </c>
      <c r="G54" s="193" t="s">
        <v>2054</v>
      </c>
      <c r="H54" s="248"/>
      <c r="I54" s="195">
        <v>45881</v>
      </c>
      <c r="J54" s="196">
        <v>0.47916666666666669</v>
      </c>
      <c r="Z54" s="197" t="s">
        <v>2055</v>
      </c>
    </row>
    <row r="55" spans="2:45">
      <c r="B55" t="s">
        <v>2060</v>
      </c>
      <c r="F55" s="244" t="s">
        <v>2061</v>
      </c>
      <c r="G55" t="s">
        <v>2062</v>
      </c>
      <c r="H55" s="220" t="s">
        <v>1640</v>
      </c>
      <c r="I55" s="77">
        <v>45892</v>
      </c>
      <c r="J55" s="45">
        <v>0.5625</v>
      </c>
    </row>
    <row r="56" spans="2:45" s="49" customFormat="1">
      <c r="B56" s="49" t="s">
        <v>2109</v>
      </c>
      <c r="C56" s="49" t="s">
        <v>2064</v>
      </c>
      <c r="E56" s="226">
        <v>45934</v>
      </c>
      <c r="F56" s="13" t="s">
        <v>2111</v>
      </c>
      <c r="G56" s="86" t="s">
        <v>2110</v>
      </c>
      <c r="H56" s="87"/>
      <c r="I56" s="260"/>
      <c r="J56" s="85"/>
    </row>
    <row r="57" spans="2:45" s="49" customFormat="1" ht="45">
      <c r="B57" s="49" t="s">
        <v>2067</v>
      </c>
      <c r="C57" s="49" t="s">
        <v>2068</v>
      </c>
      <c r="E57" s="49" t="s">
        <v>1664</v>
      </c>
      <c r="F57" s="67" t="s">
        <v>2108</v>
      </c>
      <c r="G57" s="86" t="s">
        <v>2066</v>
      </c>
      <c r="H57" s="87" t="s">
        <v>1666</v>
      </c>
      <c r="I57" s="80">
        <v>45902</v>
      </c>
      <c r="J57" s="85">
        <v>0.6875</v>
      </c>
      <c r="K57" s="49" t="s">
        <v>67</v>
      </c>
      <c r="M57" s="49" t="s">
        <v>102</v>
      </c>
      <c r="O57" s="49" t="s">
        <v>1477</v>
      </c>
      <c r="R57" s="49" t="s">
        <v>2070</v>
      </c>
      <c r="U57" s="49" t="s">
        <v>109</v>
      </c>
      <c r="Z57" s="87" t="s">
        <v>2069</v>
      </c>
    </row>
    <row r="58" spans="2:45" s="49" customFormat="1" ht="45">
      <c r="B58" s="49" t="s">
        <v>2071</v>
      </c>
      <c r="C58" s="49" t="s">
        <v>2072</v>
      </c>
      <c r="E58" s="49" t="s">
        <v>1664</v>
      </c>
      <c r="F58" s="13" t="s">
        <v>2112</v>
      </c>
      <c r="G58" s="49" t="s">
        <v>2073</v>
      </c>
      <c r="H58" s="87" t="s">
        <v>1641</v>
      </c>
      <c r="I58" s="80">
        <v>45902</v>
      </c>
      <c r="J58" s="85">
        <v>0.6875</v>
      </c>
      <c r="K58" s="49" t="s">
        <v>1273</v>
      </c>
      <c r="M58" s="49" t="s">
        <v>102</v>
      </c>
      <c r="O58" s="49" t="s">
        <v>1477</v>
      </c>
      <c r="R58" s="49" t="s">
        <v>2070</v>
      </c>
      <c r="U58" s="49" t="s">
        <v>109</v>
      </c>
      <c r="Z58" s="87" t="s">
        <v>2074</v>
      </c>
    </row>
    <row r="59" spans="2:45" s="49" customFormat="1" ht="45">
      <c r="B59" s="49" t="s">
        <v>2095</v>
      </c>
      <c r="C59" s="49" t="s">
        <v>2096</v>
      </c>
      <c r="E59" s="49" t="s">
        <v>1664</v>
      </c>
      <c r="F59" t="s">
        <v>2098</v>
      </c>
      <c r="G59" s="86" t="s">
        <v>2099</v>
      </c>
      <c r="H59" s="87" t="s">
        <v>1666</v>
      </c>
      <c r="I59" s="80">
        <v>45906</v>
      </c>
      <c r="J59" s="85">
        <v>0.52083333333333337</v>
      </c>
      <c r="T59" s="49" t="s">
        <v>2079</v>
      </c>
      <c r="U59" s="49" t="s">
        <v>109</v>
      </c>
      <c r="Z59" s="87" t="s">
        <v>2097</v>
      </c>
    </row>
    <row r="60" spans="2:45" s="49" customFormat="1" ht="45">
      <c r="B60" s="49" t="s">
        <v>2080</v>
      </c>
      <c r="C60" s="49" t="s">
        <v>2081</v>
      </c>
      <c r="E60" s="49" t="s">
        <v>1664</v>
      </c>
      <c r="F60" s="67" t="s">
        <v>2084</v>
      </c>
      <c r="G60" s="49" t="s">
        <v>2083</v>
      </c>
      <c r="H60" s="87" t="s">
        <v>1666</v>
      </c>
      <c r="I60" s="80">
        <v>45903</v>
      </c>
      <c r="J60" s="85"/>
      <c r="R60" s="49" t="s">
        <v>1769</v>
      </c>
      <c r="T60" s="49" t="s">
        <v>2089</v>
      </c>
      <c r="Z60" s="87" t="s">
        <v>2082</v>
      </c>
    </row>
    <row r="61" spans="2:45" ht="60">
      <c r="B61" s="49" t="s">
        <v>2085</v>
      </c>
      <c r="C61" s="49" t="s">
        <v>2086</v>
      </c>
      <c r="D61" s="49"/>
      <c r="E61" s="49" t="s">
        <v>1664</v>
      </c>
      <c r="F61" s="49" t="s">
        <v>2087</v>
      </c>
      <c r="G61" t="s">
        <v>2090</v>
      </c>
      <c r="H61" s="220" t="s">
        <v>1666</v>
      </c>
      <c r="I61" s="77">
        <v>45903</v>
      </c>
      <c r="J61" s="45"/>
      <c r="R61" s="31" t="s">
        <v>1769</v>
      </c>
      <c r="T61" t="s">
        <v>2089</v>
      </c>
      <c r="Z61" s="40" t="s">
        <v>2088</v>
      </c>
    </row>
    <row r="62" spans="2:45" s="197" customFormat="1" ht="15.75" thickBot="1">
      <c r="F62" s="192" t="s">
        <v>2092</v>
      </c>
      <c r="G62" s="193" t="s">
        <v>2094</v>
      </c>
      <c r="H62" s="248" t="s">
        <v>1640</v>
      </c>
      <c r="I62" s="195">
        <v>45906</v>
      </c>
      <c r="J62" s="196">
        <v>0.41666666666666669</v>
      </c>
      <c r="M62" s="249" t="s">
        <v>72</v>
      </c>
      <c r="R62" s="197" t="s">
        <v>2070</v>
      </c>
      <c r="T62" s="197" t="s">
        <v>2093</v>
      </c>
    </row>
    <row r="63" spans="2:45" ht="15.75" thickBot="1">
      <c r="B63" t="s">
        <v>2113</v>
      </c>
      <c r="F63" s="13"/>
      <c r="G63" s="37" t="s">
        <v>2114</v>
      </c>
      <c r="H63" s="220" t="s">
        <v>1641</v>
      </c>
      <c r="I63" s="77">
        <v>45917</v>
      </c>
      <c r="J63" s="45">
        <v>0.54166666666666663</v>
      </c>
      <c r="M63" s="166" t="s">
        <v>197</v>
      </c>
    </row>
    <row r="64" spans="2:45" ht="60">
      <c r="B64" t="s">
        <v>2122</v>
      </c>
      <c r="F64" t="s">
        <v>2123</v>
      </c>
      <c r="G64" s="37" t="s">
        <v>2121</v>
      </c>
      <c r="H64" s="220" t="s">
        <v>1640</v>
      </c>
      <c r="I64" s="77">
        <v>45924</v>
      </c>
      <c r="J64" s="45">
        <v>0.70833333333333337</v>
      </c>
      <c r="K64" t="s">
        <v>2151</v>
      </c>
      <c r="M64" t="s">
        <v>72</v>
      </c>
      <c r="R64" s="197" t="s">
        <v>2070</v>
      </c>
      <c r="T64" t="s">
        <v>1692</v>
      </c>
      <c r="Z64" s="40" t="s">
        <v>2152</v>
      </c>
    </row>
    <row r="65" spans="2:26">
      <c r="B65" t="s">
        <v>2140</v>
      </c>
      <c r="F65" s="13" t="s">
        <v>2141</v>
      </c>
      <c r="G65" s="37" t="s">
        <v>2142</v>
      </c>
      <c r="H65" s="220" t="s">
        <v>1640</v>
      </c>
      <c r="I65" s="77">
        <v>45927</v>
      </c>
      <c r="J65" s="45">
        <v>0.66666666666666663</v>
      </c>
      <c r="K65" t="s">
        <v>2153</v>
      </c>
      <c r="M65" t="s">
        <v>1796</v>
      </c>
      <c r="R65" s="197" t="s">
        <v>2070</v>
      </c>
      <c r="T65" t="s">
        <v>2154</v>
      </c>
    </row>
    <row r="66" spans="2:26" ht="60">
      <c r="B66" t="s">
        <v>2145</v>
      </c>
      <c r="F66" t="s">
        <v>2146</v>
      </c>
      <c r="G66" s="37" t="s">
        <v>2144</v>
      </c>
      <c r="H66" s="220" t="s">
        <v>1640</v>
      </c>
      <c r="I66" s="77">
        <v>45925</v>
      </c>
      <c r="J66" s="85">
        <v>0.6875</v>
      </c>
      <c r="K66" t="s">
        <v>2143</v>
      </c>
      <c r="R66" s="197" t="s">
        <v>2070</v>
      </c>
      <c r="Z66" s="40" t="s">
        <v>2155</v>
      </c>
    </row>
    <row r="67" spans="2:26" s="49" customFormat="1">
      <c r="B67" s="49" t="s">
        <v>2148</v>
      </c>
      <c r="F67" s="49" t="s">
        <v>2149</v>
      </c>
      <c r="G67" s="49" t="s">
        <v>2150</v>
      </c>
      <c r="H67" s="87" t="s">
        <v>1640</v>
      </c>
      <c r="I67" s="80">
        <v>45929</v>
      </c>
      <c r="J67" s="85">
        <v>0.70833333333333337</v>
      </c>
      <c r="M67" s="49" t="s">
        <v>102</v>
      </c>
      <c r="T67" s="49" t="s">
        <v>2159</v>
      </c>
    </row>
    <row r="68" spans="2:26" ht="45">
      <c r="B68" t="s">
        <v>2207</v>
      </c>
      <c r="C68" t="s">
        <v>2206</v>
      </c>
      <c r="F68" t="s">
        <v>2204</v>
      </c>
      <c r="G68" s="37" t="s">
        <v>2166</v>
      </c>
      <c r="H68" s="220" t="s">
        <v>1666</v>
      </c>
      <c r="I68" s="77">
        <v>45962</v>
      </c>
      <c r="J68" s="45">
        <v>0.45833333333333331</v>
      </c>
      <c r="M68" s="49" t="s">
        <v>102</v>
      </c>
      <c r="R68" s="31" t="s">
        <v>1769</v>
      </c>
      <c r="T68" t="s">
        <v>2205</v>
      </c>
      <c r="Z68" s="40" t="s">
        <v>2203</v>
      </c>
    </row>
    <row r="69" spans="2:26" ht="18.75">
      <c r="B69" s="263" t="s">
        <v>2171</v>
      </c>
      <c r="F69" t="s">
        <v>2170</v>
      </c>
      <c r="G69" s="37" t="s">
        <v>2169</v>
      </c>
      <c r="H69" s="220" t="s">
        <v>1640</v>
      </c>
      <c r="I69" s="77">
        <v>45969</v>
      </c>
      <c r="J69" s="45">
        <v>0.45833333333333331</v>
      </c>
      <c r="M69" s="49" t="s">
        <v>102</v>
      </c>
      <c r="R69" s="197" t="s">
        <v>2070</v>
      </c>
    </row>
    <row r="70" spans="2:26" ht="45">
      <c r="B70" t="s">
        <v>2198</v>
      </c>
      <c r="C70" t="s">
        <v>2199</v>
      </c>
      <c r="F70" t="s">
        <v>2202</v>
      </c>
      <c r="G70" t="s">
        <v>2201</v>
      </c>
      <c r="H70" s="220" t="s">
        <v>1666</v>
      </c>
      <c r="I70" s="77">
        <v>45972</v>
      </c>
      <c r="J70" s="45">
        <v>0.75</v>
      </c>
      <c r="K70" t="s">
        <v>867</v>
      </c>
      <c r="M70" t="s">
        <v>496</v>
      </c>
      <c r="R70" s="197" t="s">
        <v>2070</v>
      </c>
      <c r="Z70" s="40" t="s">
        <v>2200</v>
      </c>
    </row>
    <row r="71" spans="2:26" s="59" customFormat="1">
      <c r="B71" s="59" t="s">
        <v>2226</v>
      </c>
      <c r="C71" s="59" t="s">
        <v>2233</v>
      </c>
      <c r="F71" s="59" t="s">
        <v>2227</v>
      </c>
      <c r="G71" s="59" t="s">
        <v>2228</v>
      </c>
      <c r="H71" s="63"/>
      <c r="I71" s="79">
        <v>46001</v>
      </c>
      <c r="J71" s="61">
        <v>0.79166666666666663</v>
      </c>
      <c r="M71" s="59" t="s">
        <v>132</v>
      </c>
      <c r="O71" s="59" t="s">
        <v>2229</v>
      </c>
      <c r="T71" s="59" t="s">
        <v>2249</v>
      </c>
    </row>
    <row r="72" spans="2:26" s="59" customFormat="1" ht="45">
      <c r="B72" s="59" t="s">
        <v>2230</v>
      </c>
      <c r="C72" s="59" t="s">
        <v>2230</v>
      </c>
      <c r="F72" s="59" t="s">
        <v>2231</v>
      </c>
      <c r="G72" s="59" t="s">
        <v>2232</v>
      </c>
      <c r="H72" s="63"/>
      <c r="I72" s="79">
        <v>45992</v>
      </c>
      <c r="J72" s="61">
        <v>0.79166666666666663</v>
      </c>
      <c r="M72" s="59" t="s">
        <v>662</v>
      </c>
      <c r="O72" s="49" t="s">
        <v>102</v>
      </c>
      <c r="R72" s="59" t="s">
        <v>2070</v>
      </c>
      <c r="T72" s="59" t="s">
        <v>2239</v>
      </c>
      <c r="Z72" s="63" t="s">
        <v>2248</v>
      </c>
    </row>
    <row r="73" spans="2:26" s="197" customFormat="1" ht="16.5">
      <c r="B73" s="197" t="s">
        <v>2234</v>
      </c>
      <c r="C73" s="197" t="s">
        <v>2279</v>
      </c>
      <c r="F73" s="192" t="s">
        <v>2235</v>
      </c>
      <c r="G73" s="197" t="s">
        <v>2236</v>
      </c>
      <c r="H73" s="248"/>
      <c r="I73" s="268"/>
      <c r="J73" s="196"/>
      <c r="M73" s="197" t="s">
        <v>2237</v>
      </c>
      <c r="O73" s="197" t="s">
        <v>1477</v>
      </c>
      <c r="T73" s="269" t="s">
        <v>2238</v>
      </c>
    </row>
    <row r="74" spans="2:26" s="271" customFormat="1" ht="15.75">
      <c r="B74" s="270" t="s">
        <v>2241</v>
      </c>
      <c r="C74" s="271" t="s">
        <v>2243</v>
      </c>
      <c r="F74" s="271" t="s">
        <v>2242</v>
      </c>
      <c r="G74" s="271">
        <v>9050837827</v>
      </c>
      <c r="H74" s="272"/>
      <c r="I74" s="273">
        <v>45997</v>
      </c>
      <c r="J74" s="274">
        <v>0.45833333333333331</v>
      </c>
    </row>
    <row r="75" spans="2:26" ht="45">
      <c r="B75" t="s">
        <v>2250</v>
      </c>
      <c r="F75" t="s">
        <v>2252</v>
      </c>
      <c r="G75" t="s">
        <v>2251</v>
      </c>
      <c r="H75" s="220"/>
      <c r="I75" s="77">
        <v>46004</v>
      </c>
      <c r="J75" s="45">
        <v>0.54166666666666663</v>
      </c>
      <c r="M75" t="s">
        <v>90</v>
      </c>
      <c r="O75" t="s">
        <v>1681</v>
      </c>
      <c r="R75" t="s">
        <v>2070</v>
      </c>
      <c r="T75" t="s">
        <v>2253</v>
      </c>
      <c r="Z75" s="40" t="s">
        <v>2254</v>
      </c>
    </row>
    <row r="76" spans="2:26" s="49" customFormat="1" ht="60">
      <c r="B76" s="49" t="s">
        <v>2275</v>
      </c>
      <c r="F76" s="13" t="s">
        <v>2269</v>
      </c>
      <c r="G76" s="86" t="s">
        <v>2266</v>
      </c>
      <c r="H76" s="87" t="s">
        <v>1666</v>
      </c>
      <c r="I76" s="80">
        <v>46030</v>
      </c>
      <c r="J76" s="85">
        <v>0.70833333333333337</v>
      </c>
      <c r="M76" s="49" t="s">
        <v>102</v>
      </c>
      <c r="O76" s="49" t="s">
        <v>102</v>
      </c>
      <c r="R76" s="49" t="s">
        <v>2070</v>
      </c>
      <c r="T76" s="49" t="s">
        <v>2273</v>
      </c>
      <c r="Z76" s="87" t="s">
        <v>2272</v>
      </c>
    </row>
    <row r="77" spans="2:26" s="49" customFormat="1">
      <c r="B77" s="49" t="s">
        <v>2270</v>
      </c>
      <c r="F77" s="49" t="s">
        <v>2268</v>
      </c>
      <c r="G77" s="49" t="s">
        <v>2267</v>
      </c>
      <c r="H77" s="87" t="s">
        <v>1640</v>
      </c>
      <c r="I77" s="80">
        <v>46030</v>
      </c>
      <c r="J77" s="85">
        <v>0.70833333333333337</v>
      </c>
      <c r="M77" s="49" t="s">
        <v>662</v>
      </c>
      <c r="O77" s="49" t="s">
        <v>2229</v>
      </c>
      <c r="R77" s="49" t="s">
        <v>2070</v>
      </c>
      <c r="T77" s="49" t="s">
        <v>2274</v>
      </c>
      <c r="Z77" s="49" t="s">
        <v>2271</v>
      </c>
    </row>
    <row r="78" spans="2:26" ht="16.5">
      <c r="B78" s="277" t="s">
        <v>2278</v>
      </c>
      <c r="F78" s="276" t="s">
        <v>2277</v>
      </c>
      <c r="G78" s="37" t="s">
        <v>2276</v>
      </c>
      <c r="H78" s="87" t="s">
        <v>1640</v>
      </c>
      <c r="I78" s="77">
        <v>46039</v>
      </c>
      <c r="J78" s="45">
        <v>0.54166666666666663</v>
      </c>
      <c r="M78" t="s">
        <v>90</v>
      </c>
    </row>
    <row r="79" spans="2:26" s="49" customFormat="1" ht="30">
      <c r="B79" s="49" t="s">
        <v>2312</v>
      </c>
      <c r="F79" s="67"/>
      <c r="G79" s="86" t="s">
        <v>2297</v>
      </c>
      <c r="H79" s="87" t="s">
        <v>1666</v>
      </c>
      <c r="I79" s="80">
        <v>46051</v>
      </c>
      <c r="J79" s="85">
        <v>0.52083333333333337</v>
      </c>
      <c r="M79" s="49" t="s">
        <v>90</v>
      </c>
      <c r="O79" s="49" t="s">
        <v>2229</v>
      </c>
      <c r="T79" s="49" t="s">
        <v>2296</v>
      </c>
      <c r="Z79" s="87" t="s">
        <v>2313</v>
      </c>
    </row>
    <row r="80" spans="2:26" s="49" customFormat="1" ht="30">
      <c r="B80" s="49" t="s">
        <v>2317</v>
      </c>
      <c r="D80" s="49" t="s">
        <v>1664</v>
      </c>
      <c r="F80" s="49" t="s">
        <v>2307</v>
      </c>
      <c r="G80" s="86" t="s">
        <v>2298</v>
      </c>
      <c r="H80" s="87" t="s">
        <v>1666</v>
      </c>
      <c r="I80" s="80">
        <v>46049</v>
      </c>
      <c r="J80" s="85">
        <v>0.58333333333333337</v>
      </c>
      <c r="M80" s="49" t="s">
        <v>90</v>
      </c>
      <c r="Z80" s="87" t="s">
        <v>2306</v>
      </c>
    </row>
    <row r="81" spans="2:26" ht="15.75">
      <c r="B81" s="36" t="s">
        <v>2299</v>
      </c>
      <c r="D81" t="s">
        <v>1664</v>
      </c>
      <c r="F81" s="13" t="s">
        <v>2305</v>
      </c>
      <c r="G81" s="37" t="s">
        <v>2300</v>
      </c>
      <c r="H81" s="220" t="s">
        <v>19</v>
      </c>
      <c r="I81" s="279">
        <v>46051</v>
      </c>
      <c r="J81" s="45">
        <v>0.66666666666666663</v>
      </c>
      <c r="M81" s="39" t="s">
        <v>90</v>
      </c>
      <c r="O81" s="39" t="s">
        <v>1786</v>
      </c>
      <c r="Z81" t="s">
        <v>2314</v>
      </c>
    </row>
    <row r="82" spans="2:26" s="49" customFormat="1" ht="15.75">
      <c r="B82" s="56" t="s">
        <v>2331</v>
      </c>
      <c r="F82" s="67" t="s">
        <v>2301</v>
      </c>
      <c r="G82" s="86" t="s">
        <v>2302</v>
      </c>
      <c r="H82" s="87" t="s">
        <v>19</v>
      </c>
      <c r="I82" s="80">
        <v>46053</v>
      </c>
      <c r="J82" s="85">
        <v>0.625</v>
      </c>
      <c r="M82" s="49" t="s">
        <v>90</v>
      </c>
      <c r="O82" s="49" t="s">
        <v>1681</v>
      </c>
      <c r="T82" s="49" t="s">
        <v>2332</v>
      </c>
      <c r="Z82" t="s">
        <v>2336</v>
      </c>
    </row>
    <row r="83" spans="2:26" ht="60">
      <c r="B83" s="36" t="s">
        <v>2328</v>
      </c>
      <c r="F83" s="13" t="s">
        <v>2303</v>
      </c>
      <c r="G83" t="s">
        <v>2304</v>
      </c>
      <c r="H83" s="220" t="s">
        <v>19</v>
      </c>
      <c r="I83" s="77">
        <v>46053</v>
      </c>
      <c r="J83" s="45">
        <v>0.58333333333333337</v>
      </c>
      <c r="M83" t="s">
        <v>72</v>
      </c>
      <c r="O83" t="s">
        <v>1477</v>
      </c>
      <c r="T83" t="s">
        <v>1692</v>
      </c>
      <c r="Z83" s="40" t="s">
        <v>2329</v>
      </c>
    </row>
    <row r="84" spans="2:26" s="31" customFormat="1">
      <c r="B84" s="31" t="s">
        <v>2309</v>
      </c>
      <c r="F84" s="52"/>
      <c r="G84" s="55" t="s">
        <v>2308</v>
      </c>
      <c r="H84" s="220"/>
      <c r="I84" s="81"/>
      <c r="J84" s="53"/>
    </row>
    <row r="85" spans="2:26" ht="45">
      <c r="B85" t="s">
        <v>2326</v>
      </c>
      <c r="F85" s="13" t="s">
        <v>2324</v>
      </c>
      <c r="G85" s="37" t="s">
        <v>2325</v>
      </c>
      <c r="H85" s="220"/>
      <c r="I85" s="77">
        <v>46053</v>
      </c>
      <c r="J85" s="45">
        <v>0.41666666666666669</v>
      </c>
      <c r="M85" t="s">
        <v>72</v>
      </c>
      <c r="O85" t="s">
        <v>1477</v>
      </c>
      <c r="Z85" s="40" t="s">
        <v>2327</v>
      </c>
    </row>
    <row r="86" spans="2:26" s="31" customFormat="1">
      <c r="B86" s="31" t="s">
        <v>2374</v>
      </c>
      <c r="F86" t="s">
        <v>2376</v>
      </c>
      <c r="G86" s="55"/>
      <c r="H86" s="220"/>
      <c r="I86" s="81"/>
      <c r="J86" s="53"/>
      <c r="O86" s="49" t="s">
        <v>1681</v>
      </c>
      <c r="T86" s="31" t="s">
        <v>2375</v>
      </c>
    </row>
    <row r="87" spans="2:26" s="59" customFormat="1">
      <c r="B87" t="s">
        <v>2432</v>
      </c>
      <c r="E87" s="59" t="s">
        <v>1664</v>
      </c>
      <c r="F87" s="13" t="s">
        <v>2430</v>
      </c>
      <c r="G87" s="242" t="s">
        <v>2377</v>
      </c>
      <c r="H87" s="63" t="s">
        <v>1641</v>
      </c>
      <c r="I87" s="79">
        <v>46083</v>
      </c>
      <c r="J87" s="61">
        <v>0.8125</v>
      </c>
      <c r="K87" s="59" t="s">
        <v>196</v>
      </c>
      <c r="M87" s="59" t="s">
        <v>132</v>
      </c>
      <c r="O87" s="59" t="s">
        <v>1681</v>
      </c>
      <c r="T87" s="59" t="s">
        <v>2378</v>
      </c>
      <c r="Z87" s="59" t="s">
        <v>2433</v>
      </c>
    </row>
    <row r="88" spans="2:26">
      <c r="F88" s="13"/>
      <c r="G88" s="37" t="s">
        <v>2379</v>
      </c>
      <c r="H88" s="220" t="s">
        <v>1641</v>
      </c>
      <c r="J88" s="45"/>
      <c r="M88" s="59" t="s">
        <v>132</v>
      </c>
      <c r="O88" t="s">
        <v>1477</v>
      </c>
      <c r="T88" t="s">
        <v>2380</v>
      </c>
    </row>
    <row r="89" spans="2:26" s="31" customFormat="1">
      <c r="F89" s="52"/>
      <c r="G89" s="55" t="s">
        <v>2383</v>
      </c>
      <c r="H89" s="220" t="s">
        <v>1641</v>
      </c>
      <c r="I89" s="81"/>
      <c r="J89" s="53"/>
      <c r="T89" t="s">
        <v>2384</v>
      </c>
    </row>
    <row r="90" spans="2:26" s="31" customFormat="1" ht="225">
      <c r="B90" s="283" t="s">
        <v>2387</v>
      </c>
      <c r="F90" s="52" t="s">
        <v>2388</v>
      </c>
      <c r="G90" s="55" t="s">
        <v>2385</v>
      </c>
      <c r="H90" s="220" t="s">
        <v>19</v>
      </c>
      <c r="I90" s="31" t="s">
        <v>2431</v>
      </c>
      <c r="J90" s="53"/>
      <c r="M90" s="31" t="s">
        <v>90</v>
      </c>
      <c r="O90" s="31" t="s">
        <v>1477</v>
      </c>
      <c r="R90" s="54" t="s">
        <v>1738</v>
      </c>
      <c r="T90" s="220" t="s">
        <v>2386</v>
      </c>
    </row>
    <row r="91" spans="2:26" s="31" customFormat="1" ht="315">
      <c r="B91" s="284" t="s">
        <v>2393</v>
      </c>
      <c r="F91" s="52" t="s">
        <v>2392</v>
      </c>
      <c r="G91" s="55"/>
      <c r="H91" s="220" t="s">
        <v>19</v>
      </c>
      <c r="I91" s="81"/>
      <c r="J91" s="53"/>
      <c r="M91" s="31" t="s">
        <v>72</v>
      </c>
      <c r="O91" s="31" t="s">
        <v>1477</v>
      </c>
      <c r="T91" s="220" t="s">
        <v>2394</v>
      </c>
    </row>
    <row r="92" spans="2:26" s="285" customFormat="1">
      <c r="F92" s="286" t="s">
        <v>2395</v>
      </c>
      <c r="G92" s="287"/>
      <c r="H92" s="288"/>
      <c r="I92" s="289"/>
      <c r="J92" s="290"/>
      <c r="T92" s="285" t="s">
        <v>2396</v>
      </c>
    </row>
    <row r="93" spans="2:26" s="31" customFormat="1" ht="45">
      <c r="B93" s="31" t="s">
        <v>2404</v>
      </c>
      <c r="F93" s="52" t="s">
        <v>2403</v>
      </c>
      <c r="G93" s="55" t="s">
        <v>2401</v>
      </c>
      <c r="H93" s="220"/>
      <c r="I93" s="31" t="s">
        <v>2408</v>
      </c>
      <c r="J93" s="53">
        <v>0.41666666666666669</v>
      </c>
      <c r="M93" s="31" t="s">
        <v>72</v>
      </c>
      <c r="O93" s="31" t="s">
        <v>1477</v>
      </c>
      <c r="R93" s="31" t="s">
        <v>1675</v>
      </c>
      <c r="T93" s="31" t="s">
        <v>2405</v>
      </c>
      <c r="U93" s="31" t="s">
        <v>109</v>
      </c>
      <c r="Z93" s="220" t="s">
        <v>2402</v>
      </c>
    </row>
    <row r="94" spans="2:26" s="59" customFormat="1" ht="60">
      <c r="B94" s="59" t="s">
        <v>2406</v>
      </c>
      <c r="E94" s="59" t="s">
        <v>1664</v>
      </c>
      <c r="F94" s="58" t="s">
        <v>2390</v>
      </c>
      <c r="G94" s="59" t="s">
        <v>2389</v>
      </c>
      <c r="H94" s="63" t="s">
        <v>19</v>
      </c>
      <c r="I94" s="59" t="s">
        <v>2408</v>
      </c>
      <c r="J94" s="61">
        <v>0.45833333333333331</v>
      </c>
      <c r="M94" s="59" t="s">
        <v>102</v>
      </c>
      <c r="O94" s="59" t="s">
        <v>1477</v>
      </c>
      <c r="R94" s="59" t="s">
        <v>1675</v>
      </c>
      <c r="U94" s="59" t="s">
        <v>109</v>
      </c>
      <c r="Z94" s="63" t="s">
        <v>2407</v>
      </c>
    </row>
    <row r="95" spans="2:26" ht="15.75">
      <c r="B95" s="36" t="s">
        <v>2410</v>
      </c>
      <c r="F95" s="13" t="s">
        <v>2411</v>
      </c>
      <c r="G95" s="37" t="s">
        <v>2409</v>
      </c>
      <c r="H95" s="220"/>
      <c r="I95" s="77">
        <v>46120</v>
      </c>
      <c r="J95" s="45">
        <v>0.54166666666666663</v>
      </c>
      <c r="M95" s="39" t="s">
        <v>662</v>
      </c>
      <c r="O95" t="s">
        <v>1477</v>
      </c>
      <c r="R95" t="s">
        <v>1675</v>
      </c>
      <c r="U95" s="31" t="s">
        <v>109</v>
      </c>
    </row>
    <row r="96" spans="2:26">
      <c r="F96" s="13" t="s">
        <v>2415</v>
      </c>
      <c r="G96" t="s">
        <v>2416</v>
      </c>
      <c r="H96" s="220" t="s">
        <v>19</v>
      </c>
      <c r="I96" t="s">
        <v>2420</v>
      </c>
      <c r="J96" s="45">
        <v>0.45833333333333331</v>
      </c>
      <c r="M96" t="s">
        <v>102</v>
      </c>
      <c r="O96" t="s">
        <v>1477</v>
      </c>
      <c r="R96" t="s">
        <v>1675</v>
      </c>
      <c r="U96" t="s">
        <v>109</v>
      </c>
    </row>
    <row r="97" spans="2:21" ht="15.75">
      <c r="B97" s="291" t="s">
        <v>2419</v>
      </c>
      <c r="F97" s="13" t="s">
        <v>2418</v>
      </c>
      <c r="G97" s="37" t="s">
        <v>2417</v>
      </c>
      <c r="H97" s="220" t="s">
        <v>19</v>
      </c>
      <c r="I97" t="s">
        <v>2423</v>
      </c>
      <c r="J97" s="45">
        <v>0.66666666666666663</v>
      </c>
      <c r="M97" t="s">
        <v>102</v>
      </c>
      <c r="O97" t="s">
        <v>1477</v>
      </c>
      <c r="R97" t="s">
        <v>1675</v>
      </c>
      <c r="U97" t="s">
        <v>109</v>
      </c>
    </row>
    <row r="98" spans="2:21">
      <c r="B98" t="s">
        <v>2426</v>
      </c>
      <c r="F98" s="13" t="s">
        <v>2422</v>
      </c>
      <c r="G98" s="37" t="s">
        <v>2421</v>
      </c>
      <c r="H98" s="220" t="s">
        <v>19</v>
      </c>
      <c r="I98" s="279">
        <v>46134</v>
      </c>
      <c r="J98" s="45">
        <v>0.66666666666666663</v>
      </c>
      <c r="M98" s="39" t="s">
        <v>72</v>
      </c>
      <c r="O98" t="s">
        <v>1477</v>
      </c>
      <c r="R98" t="s">
        <v>1675</v>
      </c>
      <c r="U98" t="s">
        <v>109</v>
      </c>
    </row>
    <row r="99" spans="2:21" ht="15.75">
      <c r="B99" s="36" t="s">
        <v>2427</v>
      </c>
      <c r="F99" s="13" t="s">
        <v>2428</v>
      </c>
      <c r="G99" s="37" t="s">
        <v>2429</v>
      </c>
      <c r="H99" s="220" t="s">
        <v>19</v>
      </c>
      <c r="I99" s="279">
        <v>46140</v>
      </c>
      <c r="J99" s="45">
        <v>0.45833333333333331</v>
      </c>
      <c r="M99" s="39" t="s">
        <v>662</v>
      </c>
      <c r="O99" s="39" t="s">
        <v>1681</v>
      </c>
      <c r="R99" t="s">
        <v>1675</v>
      </c>
      <c r="U99" t="s">
        <v>1956</v>
      </c>
    </row>
    <row r="100" spans="2:21" ht="15.75">
      <c r="B100" s="36" t="s">
        <v>2444</v>
      </c>
      <c r="C100" t="s">
        <v>2455</v>
      </c>
      <c r="F100" s="13" t="s">
        <v>2445</v>
      </c>
      <c r="G100" s="37" t="s">
        <v>2446</v>
      </c>
      <c r="H100" s="220" t="s">
        <v>19</v>
      </c>
      <c r="I100" s="77">
        <v>46154</v>
      </c>
      <c r="J100" s="45">
        <v>0.625</v>
      </c>
      <c r="M100" s="39" t="s">
        <v>72</v>
      </c>
      <c r="O100" t="s">
        <v>1477</v>
      </c>
      <c r="R100" t="s">
        <v>1675</v>
      </c>
      <c r="U100" t="s">
        <v>109</v>
      </c>
    </row>
    <row r="101" spans="2:21" ht="15.75">
      <c r="B101" s="36" t="s">
        <v>2450</v>
      </c>
      <c r="C101" t="s">
        <v>2451</v>
      </c>
      <c r="F101" s="13" t="s">
        <v>2453</v>
      </c>
      <c r="G101" s="37" t="s">
        <v>2452</v>
      </c>
      <c r="H101" s="220"/>
      <c r="I101" s="279">
        <v>46165</v>
      </c>
      <c r="J101" s="45">
        <v>0.45833333333333331</v>
      </c>
      <c r="M101" t="s">
        <v>102</v>
      </c>
      <c r="O101" t="s">
        <v>1477</v>
      </c>
    </row>
  </sheetData>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s>
  <pageMargins left="0.7" right="0.7" top="0.75" bottom="0.75" header="0.3" footer="0.3"/>
  <pageSetup paperSize="9" orientation="portrait" horizontalDpi="0" verticalDpi="0"/>
  <drawing r:id="rId53"/>
  <tableParts count="1">
    <tablePart r:id="rId5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5"/>
  <cols>
    <col min="1" max="1" width="32" customWidth="1"/>
    <col min="2" max="2" width="38.85546875" customWidth="1"/>
  </cols>
  <sheetData>
    <row r="1" spans="1:2">
      <c r="A1" s="172" t="s">
        <v>1802</v>
      </c>
      <c r="B1" s="172" t="s">
        <v>1803</v>
      </c>
    </row>
    <row r="2" spans="1:2">
      <c r="A2" s="173" t="s">
        <v>1587</v>
      </c>
      <c r="B2" s="173" t="s">
        <v>1804</v>
      </c>
    </row>
    <row r="3" spans="1:2">
      <c r="A3" s="173" t="s">
        <v>1588</v>
      </c>
      <c r="B3" s="173" t="s">
        <v>1805</v>
      </c>
    </row>
    <row r="4" spans="1:2">
      <c r="A4" s="173" t="s">
        <v>1806</v>
      </c>
      <c r="B4" s="173" t="s">
        <v>1807</v>
      </c>
    </row>
    <row r="5" spans="1:2">
      <c r="A5" s="173" t="s">
        <v>1808</v>
      </c>
      <c r="B5" s="173" t="s">
        <v>1809</v>
      </c>
    </row>
    <row r="6" spans="1:2">
      <c r="A6" s="173" t="s">
        <v>1810</v>
      </c>
      <c r="B6" s="173" t="s">
        <v>1811</v>
      </c>
    </row>
    <row r="7" spans="1:2">
      <c r="A7" s="173" t="s">
        <v>1812</v>
      </c>
      <c r="B7" s="173" t="s">
        <v>1813</v>
      </c>
    </row>
    <row r="8" spans="1:2">
      <c r="A8" t="s">
        <v>1814</v>
      </c>
      <c r="B8" t="s">
        <v>1815</v>
      </c>
    </row>
    <row r="9" spans="1:2">
      <c r="A9" t="s">
        <v>1816</v>
      </c>
      <c r="B9" t="s">
        <v>1817</v>
      </c>
    </row>
    <row r="10" spans="1:2">
      <c r="A10" s="174" t="s">
        <v>1818</v>
      </c>
      <c r="B10" t="s">
        <v>1819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5"/>
  <cols>
    <col min="1" max="1" width="4.85546875" customWidth="1"/>
    <col min="2" max="2" width="14.7109375" bestFit="1" customWidth="1"/>
    <col min="3" max="3" width="16.28515625" bestFit="1" customWidth="1"/>
    <col min="4" max="4" width="5.5703125" bestFit="1" customWidth="1"/>
    <col min="5" max="6" width="7.28515625" bestFit="1" customWidth="1"/>
    <col min="7" max="7" width="10.85546875" bestFit="1" customWidth="1"/>
    <col min="8" max="8" width="9" hidden="1" customWidth="1"/>
    <col min="9" max="9" width="11.85546875" hidden="1" customWidth="1"/>
    <col min="10" max="10" width="8.85546875" hidden="1" customWidth="1"/>
    <col min="11" max="11" width="11.85546875" hidden="1" customWidth="1"/>
    <col min="12" max="12" width="12.42578125" hidden="1" customWidth="1"/>
    <col min="13" max="13" width="0" hidden="1"/>
    <col min="14" max="14" width="13.140625" bestFit="1" customWidth="1"/>
    <col min="15" max="15" width="16.28515625" bestFit="1" customWidth="1"/>
    <col min="16" max="16" width="6.140625" bestFit="1" customWidth="1"/>
    <col min="17" max="17" width="7.28515625" bestFit="1" customWidth="1"/>
    <col min="18" max="18" width="10.85546875" bestFit="1" customWidth="1"/>
    <col min="22" max="22" width="18" customWidth="1"/>
    <col min="23" max="24" width="0" hidden="1"/>
    <col min="25" max="25" width="19.85546875" hidden="1" customWidth="1"/>
    <col min="26" max="26" width="24" hidden="1" customWidth="1"/>
    <col min="27" max="27" width="22" hidden="1" customWidth="1"/>
    <col min="29" max="29" width="10.28515625" bestFit="1" customWidth="1"/>
    <col min="30" max="30" width="16.28515625" bestFit="1" customWidth="1"/>
    <col min="31" max="31" width="18.28515625" bestFit="1" customWidth="1"/>
    <col min="34" max="34" width="12.28515625" customWidth="1"/>
    <col min="40" max="40" width="12.140625" bestFit="1" customWidth="1"/>
    <col min="42" max="42" width="14" bestFit="1" customWidth="1"/>
    <col min="43" max="43" width="18.28515625" bestFit="1" customWidth="1"/>
    <col min="44" max="44" width="25.140625" bestFit="1" customWidth="1"/>
    <col min="45" max="45" width="5.140625" bestFit="1" customWidth="1"/>
    <col min="46" max="46" width="12.140625" customWidth="1"/>
    <col min="47" max="47" width="16.85546875" customWidth="1"/>
    <col min="48" max="48" width="11.140625" customWidth="1"/>
    <col min="51" max="51" width="17.85546875" bestFit="1" customWidth="1"/>
    <col min="52" max="52" width="16.28515625" bestFit="1" customWidth="1"/>
    <col min="53" max="53" width="5.5703125" bestFit="1" customWidth="1"/>
    <col min="54" max="55" width="7.28515625" bestFit="1" customWidth="1"/>
    <col min="56" max="56" width="10.85546875" bestFit="1" customWidth="1"/>
    <col min="57" max="57" width="9.28515625" bestFit="1" customWidth="1"/>
    <col min="58" max="58" width="8.5703125" bestFit="1" customWidth="1"/>
    <col min="76" max="76" width="22.7109375" bestFit="1" customWidth="1"/>
    <col min="77" max="77" width="6.28515625" bestFit="1" customWidth="1"/>
    <col min="78" max="78" width="5.5703125" bestFit="1" customWidth="1"/>
    <col min="79" max="79" width="6.140625" bestFit="1" customWidth="1"/>
    <col min="80" max="81" width="17.42578125" customWidth="1"/>
    <col min="82" max="82" width="11" bestFit="1" customWidth="1"/>
    <col min="84" max="84" width="18" bestFit="1" customWidth="1"/>
    <col min="85" max="85" width="20.42578125" bestFit="1" customWidth="1"/>
    <col min="87" max="87" width="17.85546875" customWidth="1"/>
    <col min="88" max="88" width="21.7109375" customWidth="1"/>
    <col min="91" max="91" width="29" customWidth="1"/>
    <col min="92" max="92" width="9.140625" bestFit="1" customWidth="1"/>
    <col min="94" max="94" width="24.140625" bestFit="1" customWidth="1"/>
    <col min="99" max="99" width="12.5703125" bestFit="1" customWidth="1"/>
    <col min="100" max="100" width="14" bestFit="1" customWidth="1"/>
    <col min="101" max="101" width="5.5703125" bestFit="1" customWidth="1"/>
    <col min="102" max="102" width="6.28515625" bestFit="1" customWidth="1"/>
    <col min="103" max="103" width="4" bestFit="1" customWidth="1"/>
    <col min="104" max="104" width="4.85546875" bestFit="1" customWidth="1"/>
    <col min="105" max="105" width="8.7109375" customWidth="1"/>
    <col min="106" max="106" width="6" bestFit="1" customWidth="1"/>
    <col min="107" max="107" width="6.42578125" customWidth="1"/>
    <col min="108" max="108" width="6.85546875" customWidth="1"/>
    <col min="109" max="109" width="7" bestFit="1" customWidth="1"/>
    <col min="110" max="110" width="10.85546875" bestFit="1" customWidth="1"/>
    <col min="111" max="111" width="9.7109375" bestFit="1" customWidth="1"/>
    <col min="112" max="114" width="7" bestFit="1" customWidth="1"/>
    <col min="115" max="115" width="9.7109375" bestFit="1" customWidth="1"/>
    <col min="116" max="118" width="7" bestFit="1" customWidth="1"/>
    <col min="119" max="119" width="9.7109375" bestFit="1" customWidth="1"/>
    <col min="120" max="126" width="7" bestFit="1" customWidth="1"/>
    <col min="127" max="127" width="9.7109375" bestFit="1" customWidth="1"/>
    <col min="128" max="136" width="7" bestFit="1" customWidth="1"/>
    <col min="137" max="137" width="9.7109375" bestFit="1" customWidth="1"/>
    <col min="138" max="142" width="7" bestFit="1" customWidth="1"/>
    <col min="143" max="143" width="9.7109375" bestFit="1" customWidth="1"/>
    <col min="144" max="144" width="8.5703125" bestFit="1" customWidth="1"/>
    <col min="145" max="145" width="5.7109375" bestFit="1" customWidth="1"/>
    <col min="146" max="147" width="10.85546875" bestFit="1" customWidth="1"/>
  </cols>
  <sheetData>
    <row r="1" spans="2:201" s="97" customFormat="1" ht="14.45" customHeight="1">
      <c r="B1" s="300" t="s">
        <v>1820</v>
      </c>
      <c r="C1" s="301"/>
      <c r="D1" s="301"/>
      <c r="E1" s="118"/>
      <c r="F1" s="118"/>
      <c r="H1" s="302" t="s">
        <v>1821</v>
      </c>
      <c r="I1" s="301"/>
      <c r="J1" s="301"/>
      <c r="K1" s="301"/>
      <c r="L1" s="301"/>
      <c r="M1" s="98"/>
      <c r="N1" s="302" t="s">
        <v>1822</v>
      </c>
      <c r="O1" s="301"/>
      <c r="P1" s="301"/>
      <c r="Q1" s="301"/>
      <c r="R1" s="301"/>
      <c r="S1" s="301"/>
      <c r="T1" s="301"/>
      <c r="U1" s="301"/>
      <c r="V1" s="301"/>
      <c r="X1" s="302" t="s">
        <v>1823</v>
      </c>
      <c r="Y1" s="301"/>
      <c r="Z1" s="301"/>
      <c r="AA1" s="301"/>
      <c r="AC1" s="300" t="s">
        <v>1824</v>
      </c>
      <c r="AD1" s="301"/>
      <c r="AE1" s="301"/>
      <c r="AF1" s="301"/>
      <c r="AG1" s="301"/>
      <c r="AH1" s="301"/>
      <c r="AI1" s="301"/>
      <c r="AJ1" s="301"/>
      <c r="AK1" s="301"/>
      <c r="AL1" s="100"/>
      <c r="AM1" s="100"/>
      <c r="AN1" s="100"/>
      <c r="AP1" s="300" t="s">
        <v>1825</v>
      </c>
      <c r="AQ1" s="301"/>
      <c r="AR1" s="301"/>
      <c r="AS1" s="301"/>
      <c r="AT1" s="301"/>
      <c r="AU1" s="301"/>
      <c r="AV1" s="301"/>
      <c r="AW1" s="301"/>
      <c r="AY1" s="300" t="s">
        <v>1826</v>
      </c>
      <c r="AZ1" s="301"/>
      <c r="BA1" s="301"/>
      <c r="BB1" s="301"/>
      <c r="BC1" s="301"/>
      <c r="BD1" s="94"/>
      <c r="BE1" s="300" t="s">
        <v>1827</v>
      </c>
      <c r="BF1" s="301"/>
      <c r="BG1" s="301"/>
      <c r="BJ1" s="300" t="s">
        <v>1828</v>
      </c>
      <c r="BK1" s="301"/>
      <c r="BL1" s="301"/>
      <c r="BM1" s="301"/>
      <c r="BN1" s="301"/>
      <c r="BO1" s="301"/>
      <c r="BP1" s="301"/>
      <c r="BQ1" s="301"/>
      <c r="BR1" s="301"/>
      <c r="BS1" s="301"/>
      <c r="BT1" s="301"/>
      <c r="BU1" s="301"/>
      <c r="BV1" s="301"/>
      <c r="BX1" s="303" t="s">
        <v>1829</v>
      </c>
      <c r="BY1" s="301"/>
      <c r="BZ1" s="301"/>
      <c r="CA1" s="301"/>
      <c r="CB1" s="301"/>
      <c r="CC1" s="301"/>
      <c r="CD1" s="301"/>
      <c r="CE1" s="94"/>
      <c r="CF1" s="88" t="s">
        <v>1</v>
      </c>
      <c r="CG1" t="s">
        <v>103</v>
      </c>
      <c r="CI1" s="300" t="s">
        <v>1830</v>
      </c>
      <c r="CJ1" s="301"/>
      <c r="CM1" s="136" t="s">
        <v>1831</v>
      </c>
      <c r="CN1" s="136" t="s">
        <v>43</v>
      </c>
      <c r="CP1" s="137" t="e">
        <f>INDEX(CP2:CP13, MATCH(TRUE, INDEX(CP2:CP13&lt;&gt;"", 0), 0))</f>
        <v>#N/A</v>
      </c>
    </row>
    <row r="2" spans="2:201" ht="14.45" customHeight="1">
      <c r="CI2" t="s">
        <v>1832</v>
      </c>
      <c r="CM2" s="135">
        <v>45688</v>
      </c>
      <c r="CN2" s="90" t="s">
        <v>1833</v>
      </c>
      <c r="CO2" t="str">
        <f t="shared" ref="CO2:CO13" si="0">IFERROR(INDEX(H:H,MATCH(CN2,H:H,0)),"")</f>
        <v/>
      </c>
      <c r="CP2" t="str">
        <f t="shared" ref="CP2:CP13" si="1">IF(CO2="","",CM2)</f>
        <v/>
      </c>
      <c r="CU2" s="88" t="s">
        <v>44</v>
      </c>
      <c r="CV2" s="88" t="s">
        <v>43</v>
      </c>
      <c r="CW2" t="s">
        <v>1834</v>
      </c>
      <c r="CX2" t="s">
        <v>1835</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1836</v>
      </c>
      <c r="BY3" t="s">
        <v>1835</v>
      </c>
      <c r="BZ3" t="s">
        <v>1834</v>
      </c>
      <c r="CB3" s="127" t="str">
        <f t="shared" ref="CB3:CC8" si="2">BX3</f>
        <v>Student Classification</v>
      </c>
      <c r="CC3" s="127" t="str">
        <f t="shared" si="2"/>
        <v>Salary</v>
      </c>
      <c r="CD3" s="127" t="s">
        <v>60</v>
      </c>
      <c r="CF3" s="88" t="s">
        <v>1837</v>
      </c>
      <c r="CG3" t="s">
        <v>1838</v>
      </c>
      <c r="CI3" s="99" t="str">
        <f t="shared" ref="CI3:CI13" si="3">CF3</f>
        <v>Student</v>
      </c>
      <c r="CJ3" s="99" t="str">
        <f t="shared" ref="CJ3:CJ13" si="4">CG3</f>
        <v>Sum of For Frequency</v>
      </c>
      <c r="CM3" s="135">
        <f t="shared" ref="CM3:CM13" si="5">EOMONTH(CM2,1)</f>
        <v>45716</v>
      </c>
      <c r="CN3" s="90" t="s">
        <v>1839</v>
      </c>
      <c r="CO3" t="str">
        <f t="shared" si="0"/>
        <v/>
      </c>
      <c r="CP3" t="str">
        <f t="shared" si="1"/>
        <v/>
      </c>
      <c r="CU3">
        <v>2018</v>
      </c>
      <c r="CV3" t="s">
        <v>1833</v>
      </c>
      <c r="CW3" t="e">
        <v>#N/A</v>
      </c>
      <c r="CX3" t="e">
        <v>#N/A</v>
      </c>
      <c r="DB3" t="s">
        <v>1833</v>
      </c>
      <c r="DC3" t="s">
        <v>1839</v>
      </c>
      <c r="DD3" t="s">
        <v>1211</v>
      </c>
      <c r="DE3" t="s">
        <v>1840</v>
      </c>
      <c r="DF3" t="s">
        <v>1841</v>
      </c>
      <c r="DG3" t="s">
        <v>1842</v>
      </c>
      <c r="DH3" t="s">
        <v>1843</v>
      </c>
      <c r="DI3" t="s">
        <v>1844</v>
      </c>
      <c r="DJ3" t="s">
        <v>1845</v>
      </c>
      <c r="DK3" t="s">
        <v>1846</v>
      </c>
      <c r="DL3" t="s">
        <v>1847</v>
      </c>
      <c r="DM3" t="s">
        <v>1848</v>
      </c>
      <c r="DN3" t="s">
        <v>1833</v>
      </c>
      <c r="DO3" t="s">
        <v>1839</v>
      </c>
      <c r="DP3" t="s">
        <v>1211</v>
      </c>
      <c r="DQ3" t="s">
        <v>1840</v>
      </c>
      <c r="DR3" t="s">
        <v>1841</v>
      </c>
      <c r="DS3" t="s">
        <v>1842</v>
      </c>
      <c r="DT3" t="s">
        <v>1843</v>
      </c>
      <c r="DU3" t="s">
        <v>1844</v>
      </c>
      <c r="DV3" t="s">
        <v>1845</v>
      </c>
      <c r="DW3" t="s">
        <v>1846</v>
      </c>
      <c r="DX3" t="s">
        <v>1847</v>
      </c>
      <c r="DY3" t="s">
        <v>1848</v>
      </c>
      <c r="DZ3" t="s">
        <v>1833</v>
      </c>
      <c r="EA3" t="s">
        <v>1839</v>
      </c>
      <c r="EB3" t="s">
        <v>1211</v>
      </c>
      <c r="EC3" t="s">
        <v>1840</v>
      </c>
      <c r="ED3" t="s">
        <v>1841</v>
      </c>
      <c r="EE3" t="s">
        <v>1842</v>
      </c>
      <c r="EF3" t="s">
        <v>1843</v>
      </c>
      <c r="EG3" t="s">
        <v>1844</v>
      </c>
      <c r="EH3" t="s">
        <v>1845</v>
      </c>
      <c r="EI3" t="s">
        <v>1846</v>
      </c>
      <c r="EJ3" t="s">
        <v>1847</v>
      </c>
      <c r="EK3" t="s">
        <v>1848</v>
      </c>
      <c r="EL3" t="s">
        <v>1833</v>
      </c>
      <c r="EM3" t="s">
        <v>1839</v>
      </c>
      <c r="EN3" t="s">
        <v>1211</v>
      </c>
      <c r="EO3" t="s">
        <v>1840</v>
      </c>
      <c r="EP3" t="s">
        <v>1841</v>
      </c>
      <c r="EQ3" t="s">
        <v>1842</v>
      </c>
      <c r="ER3" t="s">
        <v>1843</v>
      </c>
      <c r="ES3" t="s">
        <v>1844</v>
      </c>
      <c r="ET3" t="s">
        <v>1845</v>
      </c>
      <c r="EU3" t="s">
        <v>1846</v>
      </c>
      <c r="EV3" t="s">
        <v>1847</v>
      </c>
      <c r="EW3" t="s">
        <v>1848</v>
      </c>
      <c r="EX3" t="s">
        <v>1833</v>
      </c>
      <c r="EY3" t="s">
        <v>1839</v>
      </c>
      <c r="EZ3" t="s">
        <v>1211</v>
      </c>
      <c r="FA3" t="s">
        <v>1840</v>
      </c>
      <c r="FB3" t="s">
        <v>1841</v>
      </c>
      <c r="FC3" t="s">
        <v>1842</v>
      </c>
      <c r="FD3" t="s">
        <v>1843</v>
      </c>
      <c r="FE3" t="s">
        <v>1844</v>
      </c>
      <c r="FF3" t="s">
        <v>1845</v>
      </c>
      <c r="FG3" t="s">
        <v>1846</v>
      </c>
      <c r="FH3" t="s">
        <v>1847</v>
      </c>
      <c r="FI3" t="s">
        <v>1848</v>
      </c>
      <c r="FJ3" t="s">
        <v>1833</v>
      </c>
      <c r="FK3" t="s">
        <v>1839</v>
      </c>
      <c r="FL3" t="s">
        <v>1211</v>
      </c>
      <c r="FM3" t="s">
        <v>1840</v>
      </c>
      <c r="FN3" t="s">
        <v>1841</v>
      </c>
      <c r="FO3" t="s">
        <v>1842</v>
      </c>
      <c r="FP3" t="s">
        <v>1843</v>
      </c>
      <c r="FQ3" t="s">
        <v>1844</v>
      </c>
      <c r="FR3" t="s">
        <v>1845</v>
      </c>
      <c r="FS3" t="s">
        <v>1846</v>
      </c>
      <c r="FT3" t="s">
        <v>1847</v>
      </c>
      <c r="FU3" t="s">
        <v>1848</v>
      </c>
      <c r="FV3" t="s">
        <v>1833</v>
      </c>
      <c r="FW3" t="s">
        <v>1839</v>
      </c>
      <c r="FX3" t="s">
        <v>1211</v>
      </c>
      <c r="FY3" t="s">
        <v>1840</v>
      </c>
      <c r="FZ3" t="s">
        <v>1841</v>
      </c>
      <c r="GA3" t="s">
        <v>1842</v>
      </c>
      <c r="GB3" t="s">
        <v>1843</v>
      </c>
      <c r="GC3" t="s">
        <v>1844</v>
      </c>
      <c r="GD3" t="s">
        <v>1845</v>
      </c>
      <c r="GE3" t="s">
        <v>1846</v>
      </c>
      <c r="GF3" t="s">
        <v>1847</v>
      </c>
      <c r="GG3" t="s">
        <v>1848</v>
      </c>
      <c r="GH3" t="s">
        <v>1833</v>
      </c>
      <c r="GI3" t="s">
        <v>1839</v>
      </c>
      <c r="GJ3" t="s">
        <v>1211</v>
      </c>
      <c r="GK3" t="s">
        <v>1840</v>
      </c>
      <c r="GL3" t="s">
        <v>1841</v>
      </c>
      <c r="GM3" t="s">
        <v>1842</v>
      </c>
      <c r="GN3" t="s">
        <v>1843</v>
      </c>
      <c r="GO3" t="s">
        <v>1844</v>
      </c>
      <c r="GP3" t="s">
        <v>1845</v>
      </c>
      <c r="GQ3" t="s">
        <v>1846</v>
      </c>
      <c r="GR3" t="s">
        <v>1847</v>
      </c>
      <c r="GS3" t="s">
        <v>1848</v>
      </c>
    </row>
    <row r="4" spans="2:201">
      <c r="B4" s="88" t="s">
        <v>1849</v>
      </c>
      <c r="C4" s="88" t="s">
        <v>1850</v>
      </c>
      <c r="H4" s="207"/>
      <c r="I4" s="208"/>
      <c r="J4" s="209"/>
      <c r="K4" s="90" t="str">
        <f t="shared" ref="K4:K16" si="6">IF(H4="","",H4)</f>
        <v/>
      </c>
      <c r="L4" s="90" t="str">
        <f t="shared" ref="L4:L16" si="7">IF(I4="","",I4)</f>
        <v/>
      </c>
      <c r="O4" s="88" t="s">
        <v>1850</v>
      </c>
      <c r="T4" s="90" t="str">
        <f t="shared" ref="T4:T16" si="8">IF(N5="","",N5)</f>
        <v/>
      </c>
      <c r="U4" s="90" t="s">
        <v>110</v>
      </c>
      <c r="V4" s="90" t="s">
        <v>117</v>
      </c>
      <c r="X4" s="90" t="s">
        <v>43</v>
      </c>
      <c r="Y4" s="90" t="s">
        <v>1851</v>
      </c>
      <c r="Z4" s="90" t="s">
        <v>1852</v>
      </c>
      <c r="AA4" s="90" t="s">
        <v>1853</v>
      </c>
      <c r="AC4" s="88" t="s">
        <v>9</v>
      </c>
      <c r="AD4" t="s">
        <v>1854</v>
      </c>
      <c r="AE4" t="s">
        <v>1855</v>
      </c>
      <c r="AG4" t="s">
        <v>9</v>
      </c>
      <c r="AH4" t="s">
        <v>58</v>
      </c>
      <c r="AI4" t="s">
        <v>1834</v>
      </c>
      <c r="AJ4" t="s">
        <v>60</v>
      </c>
      <c r="AK4" t="s">
        <v>1856</v>
      </c>
      <c r="AM4" s="99" t="s">
        <v>1834</v>
      </c>
      <c r="AN4" s="99">
        <f>SUM(AI5:AI28)</f>
        <v>0</v>
      </c>
      <c r="AP4" s="88" t="s">
        <v>1857</v>
      </c>
      <c r="AQ4" t="s">
        <v>1855</v>
      </c>
      <c r="AR4" t="s">
        <v>1858</v>
      </c>
      <c r="AT4" s="99" t="str">
        <f>IF(AP4="","",AP4)</f>
        <v>Lesson Type</v>
      </c>
      <c r="AU4" s="99" t="s">
        <v>1859</v>
      </c>
      <c r="AV4" s="151" t="s">
        <v>58</v>
      </c>
      <c r="AW4" s="99" t="s">
        <v>60</v>
      </c>
      <c r="AY4" s="88" t="s">
        <v>1860</v>
      </c>
      <c r="AZ4" s="88" t="s">
        <v>1850</v>
      </c>
      <c r="BE4" s="88" t="s">
        <v>43</v>
      </c>
      <c r="BF4" t="s">
        <v>1861</v>
      </c>
      <c r="BJ4" s="127"/>
      <c r="BK4" s="127" t="s">
        <v>1833</v>
      </c>
      <c r="BL4" s="127" t="s">
        <v>1839</v>
      </c>
      <c r="BM4" s="127" t="s">
        <v>1211</v>
      </c>
      <c r="BN4" s="127" t="s">
        <v>1840</v>
      </c>
      <c r="BO4" s="127" t="s">
        <v>1841</v>
      </c>
      <c r="BP4" s="127" t="s">
        <v>1842</v>
      </c>
      <c r="BQ4" s="127" t="s">
        <v>1843</v>
      </c>
      <c r="BR4" s="127" t="s">
        <v>1844</v>
      </c>
      <c r="BS4" s="127" t="s">
        <v>1845</v>
      </c>
      <c r="BT4" s="127" t="s">
        <v>1846</v>
      </c>
      <c r="BU4" s="127" t="s">
        <v>1847</v>
      </c>
      <c r="BV4" s="127" t="s">
        <v>1848</v>
      </c>
      <c r="BX4" s="78" t="s">
        <v>197</v>
      </c>
      <c r="BY4">
        <v>0</v>
      </c>
      <c r="BZ4">
        <v>0</v>
      </c>
      <c r="CB4" s="127" t="str">
        <f t="shared" si="2"/>
        <v>Adult</v>
      </c>
      <c r="CC4" s="127">
        <f t="shared" si="2"/>
        <v>0</v>
      </c>
      <c r="CD4" s="127">
        <f>BZ4-BY4</f>
        <v>0</v>
      </c>
      <c r="CF4" s="78" t="s">
        <v>1862</v>
      </c>
      <c r="CG4">
        <v>0</v>
      </c>
      <c r="CH4">
        <v>1</v>
      </c>
      <c r="CI4" s="99" t="str">
        <f t="shared" si="3"/>
        <v>Kaede Watanabe</v>
      </c>
      <c r="CJ4" s="99">
        <f t="shared" si="4"/>
        <v>0</v>
      </c>
      <c r="CM4" s="135">
        <f t="shared" si="5"/>
        <v>45747</v>
      </c>
      <c r="CN4" s="90" t="s">
        <v>1211</v>
      </c>
      <c r="CO4" t="str">
        <f t="shared" si="0"/>
        <v/>
      </c>
      <c r="CP4" t="str">
        <f t="shared" si="1"/>
        <v/>
      </c>
      <c r="CU4">
        <v>2023</v>
      </c>
      <c r="CV4" t="s">
        <v>1840</v>
      </c>
      <c r="CW4" t="e">
        <v>#N/A</v>
      </c>
      <c r="CX4" t="e">
        <v>#N/A</v>
      </c>
      <c r="DA4" t="s">
        <v>1834</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1863</v>
      </c>
      <c r="D5" t="s">
        <v>1864</v>
      </c>
      <c r="E5" t="s">
        <v>1865</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1833</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1857</v>
      </c>
      <c r="BA5" t="s">
        <v>1864</v>
      </c>
      <c r="BB5" t="s">
        <v>1865</v>
      </c>
      <c r="BE5" s="78" t="s">
        <v>1841</v>
      </c>
      <c r="BF5">
        <v>1</v>
      </c>
      <c r="BH5" s="95" t="s">
        <v>1866</v>
      </c>
      <c r="BJ5" s="127" t="s">
        <v>1834</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1840</v>
      </c>
      <c r="CO5" t="str">
        <f t="shared" si="0"/>
        <v/>
      </c>
      <c r="CP5" t="str">
        <f t="shared" si="1"/>
        <v/>
      </c>
      <c r="CU5">
        <v>2024</v>
      </c>
      <c r="CV5" t="s">
        <v>1833</v>
      </c>
      <c r="CW5" t="e">
        <v>#N/A</v>
      </c>
      <c r="CX5" t="e">
        <v>#N/A</v>
      </c>
      <c r="DA5" t="s">
        <v>1835</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1867</v>
      </c>
      <c r="O6">
        <v>1</v>
      </c>
      <c r="P6">
        <v>1</v>
      </c>
      <c r="Q6">
        <v>1</v>
      </c>
      <c r="S6" t="str">
        <f t="shared" si="12"/>
        <v/>
      </c>
      <c r="T6" s="90" t="str">
        <f t="shared" si="8"/>
        <v/>
      </c>
      <c r="U6" s="90">
        <f t="shared" si="13"/>
        <v>0</v>
      </c>
      <c r="V6" s="90">
        <f t="shared" si="14"/>
        <v>0</v>
      </c>
      <c r="X6" s="90" t="s">
        <v>1839</v>
      </c>
      <c r="Y6" s="90" t="str">
        <f t="shared" si="15"/>
        <v/>
      </c>
      <c r="Z6" s="90" t="str">
        <f t="shared" si="16"/>
        <v/>
      </c>
      <c r="AA6" s="90" t="str">
        <f t="shared" si="17"/>
        <v/>
      </c>
      <c r="AG6" t="s">
        <v>554</v>
      </c>
      <c r="AH6">
        <f>IFERROR(VLOOKUP(AG6,$AC$4:$AE$8,2,FALSE),0)</f>
        <v>0</v>
      </c>
      <c r="AI6">
        <f>IFERROR(VLOOKUP(AG6,$AC$4:$AE$8,3,FALSE),0)</f>
        <v>0</v>
      </c>
      <c r="AJ6">
        <f>IFERROR(AI6-AH6,"")</f>
        <v>0</v>
      </c>
      <c r="AK6" s="89" t="str">
        <f>IFERROR(AJ6/AH6,"")</f>
        <v/>
      </c>
      <c r="AL6" s="89"/>
      <c r="AM6" s="102" t="s">
        <v>1856</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1868</v>
      </c>
      <c r="CG6">
        <v>0</v>
      </c>
      <c r="CH6">
        <f t="shared" si="19"/>
        <v>3</v>
      </c>
      <c r="CI6" s="99" t="str">
        <f t="shared" si="3"/>
        <v>Yuna Inoue</v>
      </c>
      <c r="CJ6" s="99">
        <f t="shared" si="4"/>
        <v>0</v>
      </c>
      <c r="CM6" s="135">
        <f t="shared" si="5"/>
        <v>45808</v>
      </c>
      <c r="CN6" s="90" t="s">
        <v>1841</v>
      </c>
      <c r="CO6" t="str">
        <f t="shared" si="0"/>
        <v/>
      </c>
      <c r="CP6" t="str">
        <f t="shared" si="1"/>
        <v/>
      </c>
      <c r="CU6">
        <v>2024</v>
      </c>
      <c r="CV6" t="s">
        <v>1840</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1211</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1835</v>
      </c>
      <c r="AN7" s="101">
        <f>SUM(AH5:AH34)</f>
        <v>210000</v>
      </c>
      <c r="AP7" s="78" t="s">
        <v>110</v>
      </c>
      <c r="AQ7" t="e">
        <v>#N/A</v>
      </c>
      <c r="AR7">
        <v>0</v>
      </c>
      <c r="AY7" s="78" t="s">
        <v>117</v>
      </c>
      <c r="AZ7">
        <v>2</v>
      </c>
      <c r="BA7">
        <v>21</v>
      </c>
      <c r="BJ7" s="127" t="s">
        <v>1869</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508</v>
      </c>
      <c r="BY7">
        <v>0</v>
      </c>
      <c r="BZ7">
        <v>0</v>
      </c>
      <c r="CB7" s="127" t="str">
        <f t="shared" si="2"/>
        <v>junior high</v>
      </c>
      <c r="CC7" s="127">
        <f t="shared" si="2"/>
        <v>0</v>
      </c>
      <c r="CD7" s="127">
        <f>BZ7-BY7</f>
        <v>0</v>
      </c>
      <c r="CF7" s="78" t="s">
        <v>1870</v>
      </c>
      <c r="CG7" t="e">
        <v>#N/A</v>
      </c>
      <c r="CH7">
        <f t="shared" si="19"/>
        <v>4</v>
      </c>
      <c r="CI7" s="99" t="str">
        <f t="shared" si="3"/>
        <v>Sara Shiraishi</v>
      </c>
      <c r="CJ7" s="99" t="e">
        <f t="shared" si="4"/>
        <v>#N/A</v>
      </c>
      <c r="CM7" s="135">
        <f t="shared" si="5"/>
        <v>45838</v>
      </c>
      <c r="CN7" s="90" t="s">
        <v>1842</v>
      </c>
      <c r="CO7" t="str">
        <f t="shared" si="0"/>
        <v/>
      </c>
      <c r="CP7" t="str">
        <f t="shared" si="1"/>
        <v/>
      </c>
      <c r="CU7">
        <v>2024</v>
      </c>
      <c r="CV7" t="s">
        <v>1842</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1840</v>
      </c>
      <c r="Y8" s="90" t="str">
        <f t="shared" si="15"/>
        <v/>
      </c>
      <c r="Z8" s="90" t="str">
        <f t="shared" si="16"/>
        <v/>
      </c>
      <c r="AA8" s="90" t="str">
        <f t="shared" si="17"/>
        <v/>
      </c>
      <c r="AG8" t="s">
        <v>495</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1871</v>
      </c>
      <c r="CG8" t="e">
        <v>#N/A</v>
      </c>
      <c r="CH8">
        <f t="shared" si="19"/>
        <v>5</v>
      </c>
      <c r="CI8" s="99" t="str">
        <f t="shared" si="3"/>
        <v>Yasuko Matono</v>
      </c>
      <c r="CJ8" s="99" t="e">
        <f t="shared" si="4"/>
        <v>#N/A</v>
      </c>
      <c r="CM8" s="135">
        <f t="shared" si="5"/>
        <v>45869</v>
      </c>
      <c r="CN8" s="90" t="s">
        <v>1843</v>
      </c>
      <c r="CO8" t="str">
        <f t="shared" si="0"/>
        <v/>
      </c>
      <c r="CP8" t="str">
        <f t="shared" si="1"/>
        <v/>
      </c>
      <c r="CU8">
        <v>2024</v>
      </c>
      <c r="CV8" t="s">
        <v>1843</v>
      </c>
      <c r="CW8" t="e">
        <v>#N/A</v>
      </c>
      <c r="CX8" t="e">
        <v>#N/A</v>
      </c>
      <c r="DB8" t="s">
        <v>1833</v>
      </c>
      <c r="DC8" t="s">
        <v>1839</v>
      </c>
      <c r="DD8" t="s">
        <v>1211</v>
      </c>
      <c r="DE8" t="s">
        <v>1840</v>
      </c>
      <c r="DF8" t="s">
        <v>1841</v>
      </c>
      <c r="DG8" t="s">
        <v>1842</v>
      </c>
      <c r="DH8" t="s">
        <v>1843</v>
      </c>
      <c r="DI8" t="s">
        <v>1844</v>
      </c>
      <c r="DJ8" t="s">
        <v>1845</v>
      </c>
      <c r="DK8" t="s">
        <v>1846</v>
      </c>
      <c r="DL8" t="s">
        <v>1847</v>
      </c>
      <c r="DM8" t="s">
        <v>1848</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1841</v>
      </c>
      <c r="Y9" s="90" t="str">
        <f t="shared" si="15"/>
        <v/>
      </c>
      <c r="Z9" s="90" t="str">
        <f t="shared" si="16"/>
        <v/>
      </c>
      <c r="AA9" s="90" t="str">
        <f t="shared" si="17"/>
        <v/>
      </c>
      <c r="AK9" s="89"/>
      <c r="AL9" s="89"/>
      <c r="AM9" s="89"/>
      <c r="AN9" s="89"/>
      <c r="CF9" s="78" t="s">
        <v>1872</v>
      </c>
      <c r="CG9" t="e">
        <v>#N/A</v>
      </c>
      <c r="CH9">
        <f t="shared" si="19"/>
        <v>6</v>
      </c>
      <c r="CI9" s="99" t="str">
        <f t="shared" si="3"/>
        <v>Taisuke Nonaka</v>
      </c>
      <c r="CJ9" s="99" t="e">
        <f t="shared" si="4"/>
        <v>#N/A</v>
      </c>
      <c r="CM9" s="135">
        <f t="shared" si="5"/>
        <v>45900</v>
      </c>
      <c r="CN9" s="90" t="s">
        <v>1844</v>
      </c>
      <c r="CO9" t="str">
        <f t="shared" si="0"/>
        <v/>
      </c>
      <c r="CP9" t="str">
        <f t="shared" si="1"/>
        <v/>
      </c>
      <c r="CU9">
        <v>2024</v>
      </c>
      <c r="CV9" t="s">
        <v>1845</v>
      </c>
      <c r="CW9" t="e">
        <v>#N/A</v>
      </c>
      <c r="CX9" t="e">
        <v>#N/A</v>
      </c>
      <c r="DA9" t="s">
        <v>1834</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1873</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1842</v>
      </c>
      <c r="Y10" s="90" t="str">
        <f t="shared" si="15"/>
        <v/>
      </c>
      <c r="Z10" s="90" t="str">
        <f t="shared" si="16"/>
        <v/>
      </c>
      <c r="AA10" s="90" t="str">
        <f t="shared" si="17"/>
        <v/>
      </c>
      <c r="AK10" s="89"/>
      <c r="AL10" s="89"/>
      <c r="AM10" s="89"/>
      <c r="AN10" s="89"/>
      <c r="AY10" s="148" t="s">
        <v>1554</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1874</v>
      </c>
      <c r="CG10" t="e">
        <v>#N/A</v>
      </c>
      <c r="CH10">
        <f t="shared" si="19"/>
        <v>7</v>
      </c>
      <c r="CI10" s="99" t="str">
        <f t="shared" si="3"/>
        <v>Eito Suzuki</v>
      </c>
      <c r="CJ10" s="99" t="e">
        <f t="shared" si="4"/>
        <v>#N/A</v>
      </c>
      <c r="CM10" s="135">
        <f t="shared" si="5"/>
        <v>45930</v>
      </c>
      <c r="CN10" s="90" t="s">
        <v>1845</v>
      </c>
      <c r="CO10" t="str">
        <f t="shared" si="0"/>
        <v/>
      </c>
      <c r="CP10" t="str">
        <f t="shared" si="1"/>
        <v/>
      </c>
      <c r="CU10">
        <v>2024</v>
      </c>
      <c r="CV10" t="s">
        <v>1846</v>
      </c>
      <c r="CW10" t="e">
        <v>#N/A</v>
      </c>
      <c r="CX10" t="e">
        <v>#N/A</v>
      </c>
      <c r="DA10" t="s">
        <v>1835</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1875</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1843</v>
      </c>
      <c r="Y11" s="90" t="str">
        <f t="shared" si="15"/>
        <v/>
      </c>
      <c r="Z11" s="90" t="str">
        <f t="shared" si="16"/>
        <v/>
      </c>
      <c r="AA11" s="90" t="str">
        <f t="shared" si="17"/>
        <v/>
      </c>
      <c r="AK11" s="89"/>
      <c r="AL11" s="89"/>
      <c r="AM11" s="89"/>
      <c r="AN11" s="89"/>
      <c r="AY11" s="149" t="s">
        <v>1546</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1876</v>
      </c>
      <c r="CG11" t="e">
        <v>#N/A</v>
      </c>
      <c r="CH11">
        <f t="shared" si="19"/>
        <v>8</v>
      </c>
      <c r="CI11" s="99" t="str">
        <f t="shared" si="3"/>
        <v>Akinari Shimoda</v>
      </c>
      <c r="CJ11" s="99" t="e">
        <f t="shared" si="4"/>
        <v>#N/A</v>
      </c>
      <c r="CM11" s="135">
        <f t="shared" si="5"/>
        <v>45961</v>
      </c>
      <c r="CN11" s="90" t="s">
        <v>1846</v>
      </c>
      <c r="CO11" t="str">
        <f t="shared" si="0"/>
        <v/>
      </c>
      <c r="CP11" t="str">
        <f t="shared" si="1"/>
        <v/>
      </c>
      <c r="CU11">
        <v>2025</v>
      </c>
      <c r="CV11" t="s">
        <v>1833</v>
      </c>
      <c r="CW11" t="e">
        <v>#N/A</v>
      </c>
      <c r="CX11" t="e">
        <v>#N/A</v>
      </c>
    </row>
    <row r="12" spans="2:201">
      <c r="B12" s="141" t="s">
        <v>1852</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1844</v>
      </c>
      <c r="Y12" s="90" t="str">
        <f t="shared" si="15"/>
        <v/>
      </c>
      <c r="Z12" s="90" t="str">
        <f t="shared" si="16"/>
        <v/>
      </c>
      <c r="AA12" s="90" t="str">
        <f t="shared" si="17"/>
        <v/>
      </c>
      <c r="AK12" s="89"/>
      <c r="AL12" s="89"/>
      <c r="AM12" s="89"/>
      <c r="AN12" s="89"/>
      <c r="CF12" s="78" t="s">
        <v>1877</v>
      </c>
      <c r="CG12" t="e">
        <v>#N/A</v>
      </c>
      <c r="CH12">
        <f t="shared" si="19"/>
        <v>9</v>
      </c>
      <c r="CI12" s="99" t="str">
        <f t="shared" si="3"/>
        <v>Haru Yanouchi</v>
      </c>
      <c r="CJ12" s="99" t="e">
        <f t="shared" si="4"/>
        <v>#N/A</v>
      </c>
      <c r="CM12" s="135">
        <f t="shared" si="5"/>
        <v>45991</v>
      </c>
      <c r="CN12" s="90" t="s">
        <v>1847</v>
      </c>
      <c r="CO12" t="str">
        <f t="shared" si="0"/>
        <v/>
      </c>
      <c r="CP12" t="str">
        <f t="shared" si="1"/>
        <v/>
      </c>
      <c r="CU12">
        <v>2025</v>
      </c>
      <c r="CV12" t="s">
        <v>1839</v>
      </c>
      <c r="CW12" t="e">
        <v>#N/A</v>
      </c>
      <c r="CX12" t="e">
        <v>#N/A</v>
      </c>
    </row>
    <row r="13" spans="2:201" ht="15" customHeight="1" thickBot="1">
      <c r="B13" s="143" t="s">
        <v>1878</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1845</v>
      </c>
      <c r="Y13" s="90" t="str">
        <f t="shared" si="15"/>
        <v/>
      </c>
      <c r="Z13" s="90" t="str">
        <f t="shared" si="16"/>
        <v/>
      </c>
      <c r="AA13" s="90" t="str">
        <f t="shared" si="17"/>
        <v/>
      </c>
      <c r="AK13" s="89"/>
      <c r="AL13" s="89"/>
      <c r="AM13" s="89"/>
      <c r="AN13" s="89"/>
      <c r="CF13" s="78" t="s">
        <v>1879</v>
      </c>
      <c r="CG13" t="e">
        <v>#N/A</v>
      </c>
      <c r="CH13">
        <f t="shared" si="19"/>
        <v>10</v>
      </c>
      <c r="CI13" s="99" t="str">
        <f t="shared" si="3"/>
        <v>Sena Nonaka</v>
      </c>
      <c r="CJ13" s="99" t="e">
        <f t="shared" si="4"/>
        <v>#N/A</v>
      </c>
      <c r="CM13" s="135">
        <f t="shared" si="5"/>
        <v>46022</v>
      </c>
      <c r="CN13" s="90" t="s">
        <v>1848</v>
      </c>
      <c r="CO13" t="str">
        <f t="shared" si="0"/>
        <v/>
      </c>
      <c r="CP13" t="str">
        <f t="shared" si="1"/>
        <v/>
      </c>
      <c r="CU13">
        <v>2025</v>
      </c>
      <c r="CV13" t="s">
        <v>1840</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1846</v>
      </c>
      <c r="Y14" s="90" t="str">
        <f t="shared" si="15"/>
        <v/>
      </c>
      <c r="Z14" s="90" t="str">
        <f t="shared" si="16"/>
        <v/>
      </c>
      <c r="AA14" s="90" t="str">
        <f t="shared" si="17"/>
        <v/>
      </c>
      <c r="AK14" s="89"/>
      <c r="AL14" s="89"/>
      <c r="AM14" s="89"/>
      <c r="AN14" s="89"/>
      <c r="CF14" s="78" t="s">
        <v>1880</v>
      </c>
      <c r="CG14" t="e">
        <v>#N/A</v>
      </c>
      <c r="CU14">
        <v>2025</v>
      </c>
      <c r="CV14" t="s">
        <v>1841</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1847</v>
      </c>
      <c r="Y15" s="90" t="str">
        <f t="shared" si="15"/>
        <v/>
      </c>
      <c r="Z15" s="90" t="str">
        <f t="shared" si="16"/>
        <v/>
      </c>
      <c r="AA15" s="90" t="str">
        <f t="shared" si="17"/>
        <v/>
      </c>
      <c r="AK15" s="89"/>
      <c r="AL15" s="89"/>
      <c r="AM15" s="89"/>
      <c r="AN15" s="89"/>
      <c r="CF15" s="78" t="s">
        <v>1881</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1848</v>
      </c>
      <c r="Y16" s="90" t="str">
        <f t="shared" si="15"/>
        <v/>
      </c>
      <c r="Z16" s="90" t="str">
        <f t="shared" si="16"/>
        <v/>
      </c>
      <c r="AA16" s="90" t="str">
        <f t="shared" si="17"/>
        <v/>
      </c>
      <c r="AK16" s="89"/>
      <c r="AL16" s="89"/>
      <c r="AM16" s="89"/>
      <c r="AN16" s="89"/>
      <c r="CF16" s="78" t="s">
        <v>1882</v>
      </c>
      <c r="CG16" t="e">
        <v>#N/A</v>
      </c>
      <c r="CV16" t="s">
        <v>1212</v>
      </c>
    </row>
    <row r="17" spans="8:85">
      <c r="H17" s="210"/>
      <c r="I17" s="211"/>
      <c r="J17" s="212"/>
      <c r="K17" s="93" t="s">
        <v>1866</v>
      </c>
      <c r="L17" s="93">
        <f>SUM(L5:L16)</f>
        <v>0</v>
      </c>
      <c r="T17" s="93" t="s">
        <v>1866</v>
      </c>
      <c r="U17" s="93">
        <f>SUM(U5:U16)</f>
        <v>1</v>
      </c>
      <c r="V17" s="93">
        <f>SUM(V5:V16)</f>
        <v>1</v>
      </c>
      <c r="Z17" s="92" t="s">
        <v>1866</v>
      </c>
      <c r="AA17" s="92">
        <f>SUM(AA5:AA16)</f>
        <v>0</v>
      </c>
      <c r="AK17" s="89"/>
      <c r="AL17" s="89"/>
      <c r="AM17" s="89"/>
      <c r="AN17" s="89"/>
      <c r="CF17" s="78" t="s">
        <v>1883</v>
      </c>
      <c r="CG17" t="e">
        <v>#N/A</v>
      </c>
    </row>
    <row r="18" spans="8:85">
      <c r="H18" s="210"/>
      <c r="I18" s="211"/>
      <c r="J18" s="212"/>
      <c r="AK18" s="89"/>
      <c r="AL18" s="89"/>
      <c r="AM18" s="89"/>
      <c r="AN18" s="89"/>
      <c r="CF18" s="78" t="s">
        <v>1884</v>
      </c>
      <c r="CG18" t="e">
        <v>#N/A</v>
      </c>
    </row>
    <row r="19" spans="8:85">
      <c r="H19" s="210"/>
      <c r="I19" s="211"/>
      <c r="J19" s="212"/>
      <c r="AK19" s="89"/>
      <c r="AL19" s="89"/>
      <c r="AM19" s="89"/>
      <c r="AN19" s="89"/>
      <c r="CF19" s="78" t="s">
        <v>1885</v>
      </c>
      <c r="CG19" t="e">
        <v>#N/A</v>
      </c>
    </row>
    <row r="20" spans="8:85">
      <c r="H20" s="210"/>
      <c r="I20" s="211"/>
      <c r="J20" s="212"/>
      <c r="AK20" s="89"/>
      <c r="AL20" s="89"/>
      <c r="AM20" s="89"/>
      <c r="AN20" s="89"/>
      <c r="CF20" s="78" t="s">
        <v>1886</v>
      </c>
      <c r="CG20" t="e">
        <v>#N/A</v>
      </c>
    </row>
    <row r="21" spans="8:85">
      <c r="H21" s="213"/>
      <c r="I21" s="214"/>
      <c r="J21" s="215"/>
      <c r="AK21" s="89"/>
      <c r="AL21" s="89"/>
      <c r="AM21" s="89"/>
      <c r="AN21" s="89"/>
      <c r="CF21" s="78" t="s">
        <v>1887</v>
      </c>
      <c r="CG21" t="e">
        <v>#N/A</v>
      </c>
    </row>
    <row r="22" spans="8:85">
      <c r="AK22" s="89"/>
      <c r="AL22" s="89"/>
      <c r="AM22" s="89"/>
      <c r="AN22" s="89"/>
      <c r="CF22" s="78" t="s">
        <v>1888</v>
      </c>
      <c r="CG22" t="e">
        <v>#N/A</v>
      </c>
    </row>
    <row r="23" spans="8:85">
      <c r="AK23" s="89"/>
      <c r="AL23" s="89"/>
      <c r="AM23" s="89"/>
      <c r="AN23" s="89"/>
      <c r="CF23" s="78" t="s">
        <v>1889</v>
      </c>
      <c r="CG23" t="e">
        <v>#N/A</v>
      </c>
    </row>
    <row r="24" spans="8:85">
      <c r="AK24" s="89"/>
      <c r="AL24" s="89"/>
      <c r="AM24" s="89"/>
      <c r="AN24" s="89"/>
      <c r="CF24" s="78" t="s">
        <v>1890</v>
      </c>
      <c r="CG24" t="e">
        <v>#N/A</v>
      </c>
    </row>
    <row r="25" spans="8:85">
      <c r="AK25" s="89"/>
      <c r="AL25" s="89"/>
      <c r="AM25" s="89"/>
      <c r="AN25" s="89"/>
      <c r="CF25" s="78" t="s">
        <v>1891</v>
      </c>
      <c r="CG25" t="e">
        <v>#N/A</v>
      </c>
    </row>
    <row r="26" spans="8:85">
      <c r="AK26" s="89"/>
      <c r="AL26" s="89"/>
      <c r="AM26" s="89"/>
      <c r="AN26" s="89"/>
      <c r="CF26" s="78" t="s">
        <v>1892</v>
      </c>
      <c r="CG26" t="e">
        <v>#N/A</v>
      </c>
    </row>
    <row r="27" spans="8:85">
      <c r="AK27" s="89"/>
      <c r="AL27" s="89"/>
      <c r="AM27" s="89"/>
      <c r="AN27" s="89"/>
      <c r="CF27" s="78" t="s">
        <v>1893</v>
      </c>
      <c r="CG27" t="e">
        <v>#N/A</v>
      </c>
    </row>
    <row r="28" spans="8:85">
      <c r="AK28" s="89"/>
      <c r="AL28" s="89"/>
      <c r="AM28" s="89"/>
      <c r="AN28" s="89"/>
      <c r="CF28" s="78" t="s">
        <v>1894</v>
      </c>
      <c r="CG28" t="e">
        <v>#N/A</v>
      </c>
    </row>
    <row r="29" spans="8:85">
      <c r="AK29" s="89"/>
      <c r="AL29" s="89"/>
      <c r="AM29" s="89"/>
      <c r="AN29" s="89"/>
      <c r="CF29" s="78" t="s">
        <v>1895</v>
      </c>
      <c r="CG29" t="e">
        <v>#N/A</v>
      </c>
    </row>
    <row r="30" spans="8:85">
      <c r="AK30" s="89"/>
      <c r="AL30" s="89"/>
      <c r="AM30" s="89"/>
      <c r="AN30" s="89"/>
      <c r="CF30" s="78" t="s">
        <v>1896</v>
      </c>
      <c r="CG30" t="e">
        <v>#N/A</v>
      </c>
    </row>
    <row r="31" spans="8:85">
      <c r="AK31" s="89"/>
      <c r="AL31" s="89"/>
      <c r="AM31" s="89"/>
      <c r="AN31" s="89"/>
      <c r="CF31" s="78" t="s">
        <v>1897</v>
      </c>
      <c r="CG31" t="e">
        <v>#N/A</v>
      </c>
    </row>
    <row r="32" spans="8:85">
      <c r="AK32" s="89"/>
      <c r="AL32" s="89"/>
      <c r="AM32" s="89"/>
      <c r="AN32" s="89"/>
      <c r="CF32" s="78" t="s">
        <v>1898</v>
      </c>
      <c r="CG32" t="e">
        <v>#N/A</v>
      </c>
    </row>
    <row r="33" spans="84:85">
      <c r="CF33" s="78" t="s">
        <v>1899</v>
      </c>
      <c r="CG33" t="e">
        <v>#N/A</v>
      </c>
    </row>
    <row r="34" spans="84:85">
      <c r="CF34" s="78" t="s">
        <v>1900</v>
      </c>
      <c r="CG34" t="e">
        <v>#N/A</v>
      </c>
    </row>
    <row r="35" spans="84:85">
      <c r="CF35" s="78" t="s">
        <v>1901</v>
      </c>
      <c r="CG35" t="e">
        <v>#N/A</v>
      </c>
    </row>
    <row r="36" spans="84:85">
      <c r="CF36" s="78" t="s">
        <v>1902</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5"/>
  <cols>
    <col min="1" max="3" width="9.140625" customWidth="1"/>
  </cols>
  <sheetData>
    <row r="1" spans="1:2">
      <c r="A1" s="298"/>
      <c r="B1" s="297"/>
    </row>
  </sheetData>
  <mergeCells count="1">
    <mergeCell ref="A1:B1"/>
  </mergeCells>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5"/>
  <cols>
    <col min="2" max="2" width="18" bestFit="1" customWidth="1"/>
    <col min="3" max="3" width="10.140625" bestFit="1" customWidth="1"/>
    <col min="4" max="4" width="11.28515625" bestFit="1" customWidth="1"/>
    <col min="5" max="5" width="4.42578125" bestFit="1" customWidth="1"/>
    <col min="6" max="7" width="6" bestFit="1" customWidth="1"/>
    <col min="8" max="8" width="5" bestFit="1" customWidth="1"/>
    <col min="9" max="9" width="6" bestFit="1" customWidth="1"/>
    <col min="10" max="10" width="4.140625" bestFit="1" customWidth="1"/>
    <col min="11" max="11" width="6" bestFit="1" customWidth="1"/>
    <col min="12" max="13" width="10.85546875" bestFit="1" customWidth="1"/>
    <col min="15" max="15" width="12.5703125" bestFit="1" customWidth="1"/>
    <col min="16" max="16" width="10.140625" bestFit="1" customWidth="1"/>
    <col min="17" max="17" width="11.28515625" bestFit="1" customWidth="1"/>
    <col min="18" max="18" width="5" bestFit="1" customWidth="1"/>
    <col min="19" max="20" width="6.7109375" bestFit="1" customWidth="1"/>
    <col min="21" max="21" width="5.7109375" bestFit="1" customWidth="1"/>
    <col min="22" max="22" width="5" bestFit="1" customWidth="1"/>
    <col min="23" max="23" width="4.140625" bestFit="1" customWidth="1"/>
    <col min="24" max="24" width="6.7109375" bestFit="1" customWidth="1"/>
    <col min="25" max="26" width="10.85546875" bestFit="1" customWidth="1"/>
  </cols>
  <sheetData>
    <row r="1" spans="2:26">
      <c r="B1" s="304" t="s">
        <v>1903</v>
      </c>
      <c r="C1" s="297"/>
      <c r="D1" s="297"/>
      <c r="E1" s="297"/>
      <c r="F1" s="297"/>
      <c r="G1" s="297"/>
      <c r="H1" s="297"/>
      <c r="I1" s="297"/>
      <c r="J1" s="297"/>
      <c r="K1" s="297"/>
      <c r="L1" s="297"/>
      <c r="M1" s="297"/>
      <c r="O1" s="304" t="s">
        <v>1904</v>
      </c>
      <c r="P1" s="297"/>
      <c r="Q1" s="297"/>
      <c r="R1" s="297"/>
      <c r="S1" s="297"/>
      <c r="T1" s="297"/>
      <c r="U1" s="297"/>
      <c r="V1" s="297"/>
      <c r="W1" s="297"/>
      <c r="X1" s="297"/>
      <c r="Y1" s="297"/>
      <c r="Z1" s="297"/>
    </row>
    <row r="5" spans="2:26">
      <c r="B5" s="128" t="s">
        <v>1905</v>
      </c>
      <c r="C5" s="128" t="s">
        <v>1906</v>
      </c>
      <c r="D5" s="128"/>
      <c r="O5" s="128" t="s">
        <v>1907</v>
      </c>
      <c r="P5" s="128" t="s">
        <v>1906</v>
      </c>
      <c r="Q5" s="128"/>
    </row>
    <row r="6" spans="2:26">
      <c r="B6" s="128" t="s">
        <v>9</v>
      </c>
      <c r="C6" s="128" t="s">
        <v>1841</v>
      </c>
      <c r="D6" s="128" t="s">
        <v>1908</v>
      </c>
      <c r="O6" s="128" t="s">
        <v>9</v>
      </c>
      <c r="P6" s="128" t="s">
        <v>1841</v>
      </c>
      <c r="Q6" s="128" t="s">
        <v>1908</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495</v>
      </c>
      <c r="C9" s="128">
        <v>12000</v>
      </c>
      <c r="D9" s="128">
        <v>12000</v>
      </c>
      <c r="O9" s="129" t="s">
        <v>495</v>
      </c>
      <c r="P9" s="128">
        <v>7800</v>
      </c>
      <c r="Q9" s="128">
        <v>7800</v>
      </c>
    </row>
    <row r="10" spans="2:26">
      <c r="B10" s="129" t="s">
        <v>1908</v>
      </c>
      <c r="C10" s="128">
        <v>32800</v>
      </c>
      <c r="D10" s="128">
        <v>32800</v>
      </c>
      <c r="O10" s="129" t="s">
        <v>1908</v>
      </c>
      <c r="P10" s="128">
        <v>26600</v>
      </c>
      <c r="Q10" s="128">
        <v>26600</v>
      </c>
    </row>
  </sheetData>
  <mergeCells count="2">
    <mergeCell ref="O1:Z1"/>
    <mergeCell ref="B1:M1"/>
  </mergeCells>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5"/>
  <cols>
    <col min="1" max="1" width="7.5703125" bestFit="1" customWidth="1"/>
    <col min="2" max="2" width="8.140625" bestFit="1" customWidth="1"/>
    <col min="3" max="3" width="17.28515625" bestFit="1" customWidth="1"/>
    <col min="4" max="4" width="14" bestFit="1" customWidth="1"/>
  </cols>
  <sheetData>
    <row r="1" spans="1:4">
      <c r="A1" t="s">
        <v>9</v>
      </c>
      <c r="B1" t="s">
        <v>54</v>
      </c>
      <c r="C1" t="s">
        <v>55</v>
      </c>
      <c r="D1" t="s">
        <v>1910</v>
      </c>
    </row>
    <row r="2" spans="1:4">
      <c r="A2" t="s">
        <v>196</v>
      </c>
      <c r="B2" t="s">
        <v>1911</v>
      </c>
      <c r="C2">
        <v>2600</v>
      </c>
    </row>
    <row r="3" spans="1:4">
      <c r="A3" t="s">
        <v>109</v>
      </c>
      <c r="B3" t="s">
        <v>1213</v>
      </c>
      <c r="C3">
        <v>210000</v>
      </c>
    </row>
    <row r="4" spans="1:4">
      <c r="A4" t="s">
        <v>495</v>
      </c>
      <c r="B4" t="s">
        <v>1911</v>
      </c>
      <c r="C4">
        <v>3000</v>
      </c>
    </row>
    <row r="5" spans="1:4">
      <c r="A5" t="s">
        <v>554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BeeSchool</cp:lastModifiedBy>
  <dcterms:created xsi:type="dcterms:W3CDTF">2025-03-23T01:25:38Z</dcterms:created>
  <dcterms:modified xsi:type="dcterms:W3CDTF">2026-05-25T09:08:12Z</dcterms:modified>
</cp:coreProperties>
</file>