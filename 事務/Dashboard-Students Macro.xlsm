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13_ncr:1_{ABFE94F6-C308-4294-9228-11FC78513884}" xr6:coauthVersionLast="47" xr6:coauthVersionMax="47" xr10:uidLastSave="{00000000-0000-0000-0000-000000000000}"/>
  <bookViews>
    <workbookView xWindow="-120" yWindow="-120" windowWidth="29040" windowHeight="15840" tabRatio="587" firstSheet="1" activeTab="4"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2026'!$A$1:$AC$74</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48" i="13"/>
  <c r="S4" i="13"/>
  <c r="S32" i="13"/>
  <c r="S12" i="13"/>
  <c r="S20" i="13"/>
  <c r="S11" i="13"/>
  <c r="S34" i="13"/>
  <c r="S38" i="13"/>
  <c r="S39" i="13"/>
  <c r="S40" i="13"/>
  <c r="S42"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5"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212" i="1"/>
  <c r="BI212" i="1"/>
  <c r="BG212" i="1"/>
  <c r="AZ212" i="1"/>
  <c r="AX212" i="1"/>
  <c r="AZ118" i="1"/>
  <c r="AX118" i="1"/>
  <c r="BK194" i="1"/>
  <c r="BI194" i="1"/>
  <c r="BG194" i="1"/>
  <c r="AZ194" i="1"/>
  <c r="AX194" i="1"/>
  <c r="AZ24" i="1"/>
  <c r="AX24" i="1"/>
  <c r="BK184" i="1"/>
  <c r="BI184" i="1"/>
  <c r="BG184" i="1"/>
  <c r="AZ184" i="1"/>
  <c r="AX184" i="1"/>
  <c r="BK122" i="1"/>
  <c r="BI122" i="1"/>
  <c r="BG122" i="1"/>
  <c r="AZ122" i="1"/>
  <c r="AX122" i="1"/>
  <c r="BK148" i="1"/>
  <c r="BI148" i="1"/>
  <c r="BG148" i="1"/>
  <c r="AZ148" i="1"/>
  <c r="AX148" i="1"/>
  <c r="BK91" i="1"/>
  <c r="BI91" i="1"/>
  <c r="BG91" i="1"/>
  <c r="AZ91" i="1"/>
  <c r="AX91" i="1"/>
  <c r="AZ183" i="1"/>
  <c r="AX183" i="1"/>
  <c r="BK83" i="1"/>
  <c r="BI83" i="1"/>
  <c r="BG83" i="1"/>
  <c r="AZ83" i="1"/>
  <c r="AX83" i="1"/>
  <c r="BK231" i="1"/>
  <c r="BI231" i="1"/>
  <c r="BG231" i="1"/>
  <c r="AZ231" i="1"/>
  <c r="AX231" i="1"/>
  <c r="BK214" i="1"/>
  <c r="BI214" i="1"/>
  <c r="BG214" i="1"/>
  <c r="AZ214" i="1"/>
  <c r="AX214" i="1"/>
  <c r="BK109" i="1"/>
  <c r="BI109" i="1"/>
  <c r="BG109" i="1"/>
  <c r="AZ109" i="1"/>
  <c r="AX109" i="1"/>
  <c r="BK210" i="1"/>
  <c r="BI210" i="1"/>
  <c r="AX210" i="1"/>
  <c r="AZ210" i="1"/>
  <c r="BG210" i="1"/>
  <c r="BK115" i="1"/>
  <c r="BI115" i="1"/>
  <c r="AX115" i="1"/>
  <c r="AZ115" i="1"/>
  <c r="BG115" i="1"/>
  <c r="AZ229" i="1"/>
  <c r="AX229" i="1"/>
  <c r="AZ188" i="1"/>
  <c r="AX188" i="1"/>
  <c r="BK141" i="1"/>
  <c r="BI141" i="1"/>
  <c r="BG141" i="1"/>
  <c r="AZ141" i="1"/>
  <c r="AX141" i="1"/>
  <c r="BK45" i="1"/>
  <c r="BI45" i="1"/>
  <c r="BG45" i="1"/>
  <c r="AZ45" i="1"/>
  <c r="AX45" i="1"/>
  <c r="AX42" i="1"/>
  <c r="AZ42" i="1"/>
  <c r="BG42" i="1"/>
  <c r="BI42" i="1"/>
  <c r="BK42" i="1"/>
  <c r="AZ233" i="1"/>
  <c r="AX233" i="1"/>
  <c r="AZ120" i="1"/>
  <c r="AX120" i="1"/>
  <c r="AZ97" i="1"/>
  <c r="AX97" i="1"/>
  <c r="BK20" i="1"/>
  <c r="BI20" i="1"/>
  <c r="BG20" i="1"/>
  <c r="AZ20" i="1"/>
  <c r="AX20" i="1"/>
  <c r="BK19" i="1"/>
  <c r="BI19" i="1"/>
  <c r="BG19" i="1"/>
  <c r="AZ19" i="1"/>
  <c r="AX19" i="1"/>
  <c r="BK4" i="1"/>
  <c r="BI4" i="1"/>
  <c r="BG4" i="1"/>
  <c r="AZ4" i="1"/>
  <c r="AX4" i="1"/>
  <c r="BK208" i="1"/>
  <c r="BI208" i="1"/>
  <c r="AX208" i="1"/>
  <c r="AZ208" i="1"/>
  <c r="BG208" i="1"/>
  <c r="BK196" i="1"/>
  <c r="BI196" i="1"/>
  <c r="AX196" i="1"/>
  <c r="AZ196" i="1"/>
  <c r="BG196" i="1"/>
  <c r="BK224" i="1"/>
  <c r="AW224" i="1"/>
  <c r="AX224" i="1"/>
  <c r="AZ224" i="1"/>
  <c r="BG224" i="1"/>
  <c r="BI224" i="1"/>
  <c r="BK160" i="1"/>
  <c r="BI160" i="1"/>
  <c r="BG160" i="1"/>
  <c r="AZ160" i="1"/>
  <c r="AX160" i="1"/>
  <c r="AX88" i="1"/>
  <c r="AZ88" i="1"/>
  <c r="BG88" i="1"/>
  <c r="BI88" i="1"/>
  <c r="BK88" i="1"/>
  <c r="BK70" i="1"/>
  <c r="BI70" i="1"/>
  <c r="BG70" i="1"/>
  <c r="AZ70" i="1"/>
  <c r="AX70" i="1"/>
  <c r="AX199" i="1"/>
  <c r="AZ199" i="1"/>
  <c r="BG199" i="1"/>
  <c r="BI199" i="1"/>
  <c r="BK199" i="1"/>
  <c r="BK92" i="1"/>
  <c r="AX92" i="1"/>
  <c r="AZ92" i="1"/>
  <c r="BG92" i="1"/>
  <c r="BI92" i="1"/>
  <c r="BK145" i="1"/>
  <c r="AX145" i="1"/>
  <c r="AZ145" i="1"/>
  <c r="BG145" i="1"/>
  <c r="BI145" i="1"/>
  <c r="BK107" i="1"/>
  <c r="BI107" i="1"/>
  <c r="AX107" i="1"/>
  <c r="AZ107" i="1"/>
  <c r="BG107" i="1"/>
  <c r="BK152" i="1"/>
  <c r="BI152" i="1"/>
  <c r="BG152" i="1"/>
  <c r="AZ152" i="1"/>
  <c r="AX152" i="1"/>
  <c r="BK117" i="1"/>
  <c r="BI117" i="1"/>
  <c r="BG117" i="1"/>
  <c r="AZ117" i="1"/>
  <c r="AX117" i="1"/>
  <c r="AX61" i="1"/>
  <c r="AZ61" i="1"/>
  <c r="BG61" i="1"/>
  <c r="BI61" i="1"/>
  <c r="BK61" i="1"/>
  <c r="AX53" i="1"/>
  <c r="AZ53" i="1"/>
  <c r="BG53" i="1"/>
  <c r="BI53" i="1"/>
  <c r="BK53" i="1"/>
  <c r="AX68" i="1"/>
  <c r="AZ68" i="1"/>
  <c r="BG68" i="1"/>
  <c r="BI68" i="1"/>
  <c r="BK68" i="1"/>
  <c r="BK151" i="1"/>
  <c r="AX151" i="1"/>
  <c r="AZ151" i="1"/>
  <c r="BG151" i="1"/>
  <c r="BI151" i="1"/>
  <c r="BK72" i="1"/>
  <c r="AX72" i="1"/>
  <c r="AZ72" i="1"/>
  <c r="BG72" i="1"/>
  <c r="BI72" i="1"/>
  <c r="BK49" i="1"/>
  <c r="AX49" i="1"/>
  <c r="AZ49" i="1"/>
  <c r="BG49" i="1"/>
  <c r="BI49" i="1"/>
  <c r="AZ225" i="1"/>
  <c r="AX225" i="1"/>
  <c r="BK74" i="1"/>
  <c r="BI74" i="1"/>
  <c r="AX74" i="1"/>
  <c r="AZ74" i="1"/>
  <c r="BG74" i="1"/>
  <c r="BK149" i="1"/>
  <c r="BI149" i="1"/>
  <c r="AX149" i="1"/>
  <c r="AZ149" i="1"/>
  <c r="BG149" i="1"/>
  <c r="BK203" i="1"/>
  <c r="BI203" i="1"/>
  <c r="BG203" i="1"/>
  <c r="AZ203" i="1"/>
  <c r="AX203" i="1"/>
  <c r="BK76" i="1"/>
  <c r="BI76" i="1"/>
  <c r="BG76" i="1"/>
  <c r="AZ76" i="1"/>
  <c r="AX76" i="1"/>
  <c r="BK15" i="1"/>
  <c r="BI15" i="1"/>
  <c r="BG15" i="1"/>
  <c r="AZ15" i="1"/>
  <c r="AX15" i="1"/>
  <c r="BK79" i="1"/>
  <c r="BI79" i="1"/>
  <c r="BG79" i="1"/>
  <c r="AZ79" i="1"/>
  <c r="AX79" i="1"/>
  <c r="BK5" i="1"/>
  <c r="BI5" i="1"/>
  <c r="BG5" i="1"/>
  <c r="AZ5" i="1"/>
  <c r="AX5" i="1"/>
  <c r="BK22" i="1"/>
  <c r="BI22" i="1"/>
  <c r="BG22" i="1"/>
  <c r="AZ22" i="1"/>
  <c r="AX22" i="1"/>
  <c r="AZ221" i="1"/>
  <c r="AX221" i="1"/>
  <c r="BK119" i="1"/>
  <c r="BI119" i="1"/>
  <c r="BG119" i="1"/>
  <c r="AZ119" i="1"/>
  <c r="AX119" i="1"/>
  <c r="BK163" i="1"/>
  <c r="BI163" i="1"/>
  <c r="BG163" i="1"/>
  <c r="AZ163" i="1"/>
  <c r="AX163" i="1"/>
  <c r="AZ8" i="1"/>
  <c r="AX8" i="1"/>
  <c r="BK124" i="1"/>
  <c r="BI124" i="1"/>
  <c r="BG124" i="1"/>
  <c r="AZ124" i="1"/>
  <c r="AX124" i="1"/>
  <c r="AZ228" i="1"/>
  <c r="AX228" i="1"/>
  <c r="BK39" i="1"/>
  <c r="AX39" i="1"/>
  <c r="AZ39" i="1"/>
  <c r="BG39" i="1"/>
  <c r="BI39" i="1"/>
  <c r="BK157" i="1"/>
  <c r="AX157" i="1"/>
  <c r="AZ157" i="1"/>
  <c r="BG157" i="1"/>
  <c r="BI157" i="1"/>
  <c r="AX108" i="1"/>
  <c r="AZ108" i="1"/>
  <c r="BG108" i="1"/>
  <c r="BI108" i="1"/>
  <c r="BK108" i="1"/>
  <c r="BK100" i="1"/>
  <c r="AX100" i="1"/>
  <c r="AZ100" i="1"/>
  <c r="BG100" i="1"/>
  <c r="BI100" i="1"/>
  <c r="BK126" i="1"/>
  <c r="BI126" i="1"/>
  <c r="BG126" i="1"/>
  <c r="AZ126" i="1"/>
  <c r="AX126" i="1"/>
  <c r="AZ81" i="1"/>
  <c r="AX81" i="1"/>
  <c r="BK65" i="1"/>
  <c r="BI65" i="1"/>
  <c r="BG65" i="1"/>
  <c r="AZ65" i="1"/>
  <c r="AX65" i="1"/>
  <c r="BK204" i="1"/>
  <c r="BI204" i="1"/>
  <c r="BG204" i="1"/>
  <c r="AZ204" i="1"/>
  <c r="AX204" i="1"/>
  <c r="AW204" i="1"/>
  <c r="BK166" i="1"/>
  <c r="BI166" i="1"/>
  <c r="BG166" i="1"/>
  <c r="AZ166" i="1"/>
  <c r="AX166" i="1"/>
  <c r="BK111" i="1"/>
  <c r="BI111" i="1"/>
  <c r="BG111" i="1"/>
  <c r="AZ111" i="1"/>
  <c r="AX111" i="1"/>
  <c r="BK55" i="1"/>
  <c r="BI55" i="1"/>
  <c r="BG55" i="1"/>
  <c r="AZ55" i="1"/>
  <c r="AX55" i="1"/>
  <c r="AX197" i="1"/>
  <c r="AZ197" i="1"/>
  <c r="BG197" i="1"/>
  <c r="BI197" i="1"/>
  <c r="BK197" i="1"/>
  <c r="BK63" i="1"/>
  <c r="BI63" i="1"/>
  <c r="BG63" i="1"/>
  <c r="AZ63" i="1"/>
  <c r="AX63" i="1"/>
  <c r="BK36" i="1"/>
  <c r="BI36" i="1"/>
  <c r="BG36" i="1"/>
  <c r="AZ36" i="1"/>
  <c r="AX36" i="1"/>
  <c r="BK125" i="1"/>
  <c r="BI125" i="1"/>
  <c r="BG125" i="1"/>
  <c r="AZ125" i="1"/>
  <c r="AX125" i="1"/>
  <c r="AW125" i="1"/>
  <c r="AX41" i="1"/>
  <c r="AZ41" i="1"/>
  <c r="BG41" i="1"/>
  <c r="BI41" i="1"/>
  <c r="BK41" i="1"/>
  <c r="AX44" i="1"/>
  <c r="AZ44" i="1"/>
  <c r="BG44" i="1"/>
  <c r="BI44" i="1"/>
  <c r="BK44" i="1"/>
  <c r="AX48" i="1"/>
  <c r="AZ48" i="1"/>
  <c r="BG48" i="1"/>
  <c r="BI48" i="1"/>
  <c r="BK48" i="1"/>
  <c r="AX213" i="1"/>
  <c r="AZ213" i="1"/>
  <c r="BG213" i="1"/>
  <c r="BI213" i="1"/>
  <c r="BK213" i="1"/>
  <c r="AZ136" i="1"/>
  <c r="AX136" i="1"/>
  <c r="AX37" i="1"/>
  <c r="AZ37" i="1"/>
  <c r="BG37" i="1"/>
  <c r="BI37" i="1"/>
  <c r="BK37" i="1"/>
  <c r="AX78" i="1"/>
  <c r="AZ78" i="1"/>
  <c r="BG78" i="1"/>
  <c r="BI78" i="1"/>
  <c r="BK78" i="1"/>
  <c r="AZ230" i="1"/>
  <c r="AX230" i="1"/>
  <c r="AX189" i="1"/>
  <c r="AZ189" i="1"/>
  <c r="BG189" i="1"/>
  <c r="BI189" i="1"/>
  <c r="BK189" i="1"/>
  <c r="BK16" i="1"/>
  <c r="BI16" i="1"/>
  <c r="BG16" i="1"/>
  <c r="AZ16" i="1"/>
  <c r="AX16" i="1"/>
  <c r="BK10" i="1"/>
  <c r="BI10" i="1"/>
  <c r="BG10" i="1"/>
  <c r="AZ10" i="1"/>
  <c r="AX10" i="1"/>
  <c r="AZ170" i="1"/>
  <c r="AX170" i="1"/>
  <c r="BK222" i="1"/>
  <c r="BI222" i="1"/>
  <c r="BG222" i="1"/>
  <c r="AZ222" i="1"/>
  <c r="AX222" i="1"/>
  <c r="AW85" i="1"/>
  <c r="AX85" i="1"/>
  <c r="AZ85" i="1"/>
  <c r="BG85" i="1"/>
  <c r="BI85" i="1"/>
  <c r="BK85" i="1"/>
  <c r="BK140" i="1"/>
  <c r="BI140" i="1"/>
  <c r="BG140" i="1"/>
  <c r="AZ140" i="1"/>
  <c r="AX140" i="1"/>
  <c r="BK215" i="1"/>
  <c r="BI215" i="1"/>
  <c r="BG215" i="1"/>
  <c r="AZ215" i="1"/>
  <c r="AX215" i="1"/>
  <c r="BK217" i="1"/>
  <c r="BI217" i="1"/>
  <c r="BG217" i="1"/>
  <c r="AZ217" i="1"/>
  <c r="AX217" i="1"/>
  <c r="AW217" i="1"/>
  <c r="AX26" i="1"/>
  <c r="AZ26" i="1"/>
  <c r="BG26" i="1"/>
  <c r="BI26" i="1"/>
  <c r="BK26" i="1"/>
  <c r="AX35" i="1"/>
  <c r="AZ35" i="1"/>
  <c r="BG35" i="1"/>
  <c r="BI35" i="1"/>
  <c r="BK35" i="1"/>
  <c r="AX133" i="1"/>
  <c r="AZ133" i="1"/>
  <c r="BG133" i="1"/>
  <c r="BI133" i="1"/>
  <c r="BK133" i="1"/>
  <c r="BK173" i="1"/>
  <c r="BI173" i="1"/>
  <c r="BG173" i="1"/>
  <c r="AZ173" i="1"/>
  <c r="AX173" i="1"/>
  <c r="AX158" i="1"/>
  <c r="AZ158" i="1"/>
  <c r="BG158" i="1"/>
  <c r="BI158" i="1"/>
  <c r="BK158" i="1"/>
  <c r="AZ155" i="1"/>
  <c r="AX155" i="1"/>
  <c r="AX172" i="1"/>
  <c r="AZ172" i="1"/>
  <c r="BG172" i="1"/>
  <c r="BI172" i="1"/>
  <c r="BK172" i="1"/>
  <c r="BK114" i="1"/>
  <c r="BI114" i="1"/>
  <c r="AX114" i="1"/>
  <c r="AZ114" i="1"/>
  <c r="BG114" i="1"/>
  <c r="BK113" i="1"/>
  <c r="BI113" i="1"/>
  <c r="BG113" i="1"/>
  <c r="AZ113" i="1"/>
  <c r="AX113" i="1"/>
  <c r="AX181" i="1"/>
  <c r="AZ181" i="1"/>
  <c r="BG181" i="1"/>
  <c r="BI181" i="1"/>
  <c r="BK181" i="1"/>
  <c r="AZ7" i="1"/>
  <c r="AX7" i="1"/>
  <c r="BK34" i="1"/>
  <c r="BI34" i="1"/>
  <c r="BG34" i="1"/>
  <c r="AZ34" i="1"/>
  <c r="AX34" i="1"/>
  <c r="AZ50" i="1"/>
  <c r="AX50" i="1"/>
  <c r="BK27" i="1"/>
  <c r="BI27" i="1"/>
  <c r="BG27" i="1"/>
  <c r="AZ27" i="1"/>
  <c r="AX27" i="1"/>
  <c r="BK52" i="1"/>
  <c r="BI52" i="1"/>
  <c r="BG52" i="1"/>
  <c r="AZ52" i="1"/>
  <c r="AX52" i="1"/>
  <c r="BK29" i="1"/>
  <c r="BI29" i="1"/>
  <c r="BG29" i="1"/>
  <c r="AZ29" i="1"/>
  <c r="AX29" i="1"/>
  <c r="AX164" i="1"/>
  <c r="AZ164" i="1"/>
  <c r="BG164" i="1"/>
  <c r="BI164" i="1"/>
  <c r="BK164" i="1"/>
  <c r="AZ178" i="1"/>
  <c r="AX178" i="1"/>
  <c r="BK219" i="1"/>
  <c r="BI219" i="1"/>
  <c r="BG219" i="1"/>
  <c r="AZ219" i="1"/>
  <c r="AX219" i="1"/>
  <c r="AX86" i="1"/>
  <c r="AZ86" i="1"/>
  <c r="BG86" i="1"/>
  <c r="BI86" i="1"/>
  <c r="BK86" i="1"/>
  <c r="BK116" i="1"/>
  <c r="BI116" i="1"/>
  <c r="BG116" i="1"/>
  <c r="AZ116" i="1"/>
  <c r="AX116" i="1"/>
  <c r="BK89" i="1"/>
  <c r="BI89" i="1"/>
  <c r="BG89" i="1"/>
  <c r="AZ89" i="1"/>
  <c r="AX89" i="1"/>
  <c r="AX96" i="1"/>
  <c r="AZ96" i="1"/>
  <c r="BG96" i="1"/>
  <c r="BI96" i="1"/>
  <c r="BK96" i="1"/>
  <c r="AZ75" i="1"/>
  <c r="AX75" i="1"/>
  <c r="BK59" i="1"/>
  <c r="AX59" i="1"/>
  <c r="AZ59" i="1"/>
  <c r="BG59" i="1"/>
  <c r="BI59" i="1"/>
  <c r="AZ51" i="1"/>
  <c r="AX51" i="1"/>
  <c r="BK69" i="1"/>
  <c r="AX69" i="1"/>
  <c r="AZ69" i="1"/>
  <c r="BG69" i="1"/>
  <c r="BI69" i="1"/>
  <c r="BK93" i="1"/>
  <c r="BI93" i="1"/>
  <c r="BG93" i="1"/>
  <c r="AZ93" i="1"/>
  <c r="AX93" i="1"/>
  <c r="BK187" i="1"/>
  <c r="BI187" i="1"/>
  <c r="BG187" i="1"/>
  <c r="AZ187" i="1"/>
  <c r="AX187" i="1"/>
  <c r="BK98" i="1"/>
  <c r="BI98" i="1"/>
  <c r="BG98" i="1"/>
  <c r="AZ98" i="1"/>
  <c r="AX98" i="1"/>
  <c r="BK12" i="1"/>
  <c r="BI12" i="1"/>
  <c r="BG12" i="1"/>
  <c r="AZ12" i="1"/>
  <c r="AX12" i="1"/>
  <c r="BK112" i="1"/>
  <c r="BI112" i="1"/>
  <c r="BG112" i="1"/>
  <c r="AZ112" i="1"/>
  <c r="AX112" i="1"/>
  <c r="AX130" i="1"/>
  <c r="AZ130" i="1"/>
  <c r="BG130" i="1"/>
  <c r="BI130" i="1"/>
  <c r="BK130" i="1"/>
  <c r="BK54" i="1"/>
  <c r="BI54" i="1"/>
  <c r="BG54" i="1"/>
  <c r="AZ54" i="1"/>
  <c r="AX54" i="1"/>
  <c r="BK62" i="1"/>
  <c r="BI62" i="1"/>
  <c r="BG62" i="1"/>
  <c r="AZ62" i="1"/>
  <c r="AX62" i="1"/>
  <c r="AW62" i="1"/>
  <c r="AX14" i="1"/>
  <c r="AZ14" i="1"/>
  <c r="BG14" i="1"/>
  <c r="BI14" i="1"/>
  <c r="BK14" i="1"/>
  <c r="AZ182" i="1"/>
  <c r="AX182" i="1"/>
  <c r="AZ162" i="1"/>
  <c r="AX162" i="1"/>
  <c r="AZ171" i="1"/>
  <c r="AX171" i="1"/>
  <c r="AX177" i="1"/>
  <c r="AZ177" i="1"/>
  <c r="BG177" i="1"/>
  <c r="BI177" i="1"/>
  <c r="BK177" i="1"/>
  <c r="AX153" i="1"/>
  <c r="AZ153" i="1"/>
  <c r="BG153" i="1"/>
  <c r="BI153" i="1"/>
  <c r="BK153" i="1"/>
  <c r="AX195" i="1"/>
  <c r="AZ195" i="1"/>
  <c r="BG195" i="1"/>
  <c r="BI195" i="1"/>
  <c r="BK195" i="1"/>
  <c r="AX201" i="1"/>
  <c r="AZ201" i="1"/>
  <c r="BG201" i="1"/>
  <c r="BI201" i="1"/>
  <c r="BK201" i="1"/>
  <c r="AX128" i="1"/>
  <c r="AZ128" i="1"/>
  <c r="BG128" i="1"/>
  <c r="BI128" i="1"/>
  <c r="BK128" i="1"/>
  <c r="BK99" i="1"/>
  <c r="BI99" i="1"/>
  <c r="BG99" i="1"/>
  <c r="AZ99" i="1"/>
  <c r="AX99" i="1"/>
  <c r="BK143" i="1"/>
  <c r="BI143" i="1"/>
  <c r="BG143" i="1"/>
  <c r="AZ143" i="1"/>
  <c r="AX143" i="1"/>
  <c r="AX198" i="1"/>
  <c r="AZ198" i="1"/>
  <c r="BG198" i="1"/>
  <c r="BI198" i="1"/>
  <c r="BK198" i="1"/>
  <c r="AX139" i="1"/>
  <c r="AZ139" i="1"/>
  <c r="BG139" i="1"/>
  <c r="BI139" i="1"/>
  <c r="BK139" i="1"/>
  <c r="AX179" i="1"/>
  <c r="AZ179" i="1"/>
  <c r="BG179" i="1"/>
  <c r="BI179" i="1"/>
  <c r="BK179" i="1"/>
  <c r="AX110" i="1"/>
  <c r="AZ110" i="1"/>
  <c r="BG110" i="1"/>
  <c r="BI110" i="1"/>
  <c r="BK110" i="1"/>
  <c r="AX47" i="1"/>
  <c r="AZ47" i="1"/>
  <c r="BG47" i="1"/>
  <c r="BI47" i="1"/>
  <c r="BK47" i="1"/>
  <c r="AX11" i="1"/>
  <c r="AZ11" i="1"/>
  <c r="BG11" i="1"/>
  <c r="BI11" i="1"/>
  <c r="BK11" i="1"/>
  <c r="AX77" i="1"/>
  <c r="AZ77" i="1"/>
  <c r="BG77" i="1"/>
  <c r="BI77" i="1"/>
  <c r="BK77" i="1"/>
  <c r="AX56" i="1"/>
  <c r="AZ56" i="1"/>
  <c r="BG56" i="1"/>
  <c r="BI56" i="1"/>
  <c r="BK56" i="1"/>
  <c r="BK142" i="1"/>
  <c r="BI142" i="1"/>
  <c r="AX142" i="1"/>
  <c r="AZ142" i="1"/>
  <c r="BG142" i="1"/>
  <c r="AZ161" i="1"/>
  <c r="AX161" i="1"/>
  <c r="AX67" i="1"/>
  <c r="AZ67" i="1"/>
  <c r="BG67" i="1"/>
  <c r="BI67" i="1"/>
  <c r="BK67" i="1"/>
  <c r="AX23" i="1"/>
  <c r="AZ23" i="1"/>
  <c r="BG23" i="1"/>
  <c r="BI23" i="1"/>
  <c r="BK23" i="1"/>
  <c r="BK191" i="1"/>
  <c r="BI191" i="1"/>
  <c r="BG191" i="1"/>
  <c r="AZ191" i="1"/>
  <c r="AX191" i="1"/>
  <c r="AX192" i="1"/>
  <c r="AZ192" i="1"/>
  <c r="BG192" i="1"/>
  <c r="BI192" i="1"/>
  <c r="BK192" i="1"/>
  <c r="AX207" i="1"/>
  <c r="AZ207" i="1"/>
  <c r="BG207" i="1"/>
  <c r="BI207" i="1"/>
  <c r="BK207" i="1"/>
  <c r="BK123" i="1"/>
  <c r="BI123" i="1"/>
  <c r="BG123" i="1"/>
  <c r="AZ123" i="1"/>
  <c r="AX123" i="1"/>
  <c r="BK211" i="1"/>
  <c r="BI211" i="1"/>
  <c r="BG211" i="1"/>
  <c r="AZ211" i="1"/>
  <c r="AX211" i="1"/>
  <c r="AX137" i="1"/>
  <c r="AZ137" i="1"/>
  <c r="BG137" i="1"/>
  <c r="BI137" i="1"/>
  <c r="BK137" i="1"/>
  <c r="AZ227" i="1"/>
  <c r="AX227" i="1"/>
  <c r="AX134" i="1"/>
  <c r="AZ134" i="1"/>
  <c r="BG134" i="1"/>
  <c r="BI134" i="1"/>
  <c r="BK134" i="1"/>
  <c r="BK206" i="1"/>
  <c r="AX206" i="1"/>
  <c r="AZ206" i="1"/>
  <c r="BG206" i="1"/>
  <c r="BI206" i="1"/>
  <c r="AX138" i="1"/>
  <c r="AZ138" i="1"/>
  <c r="BG138" i="1"/>
  <c r="BI138" i="1"/>
  <c r="BK138" i="1"/>
  <c r="AX66" i="1"/>
  <c r="AZ66" i="1"/>
  <c r="BG66" i="1"/>
  <c r="BI66" i="1"/>
  <c r="BK66" i="1"/>
  <c r="AX190" i="1"/>
  <c r="AZ190" i="1"/>
  <c r="BG190" i="1"/>
  <c r="BI190" i="1"/>
  <c r="BK190" i="1"/>
  <c r="BK21" i="1"/>
  <c r="BI21" i="1"/>
  <c r="BG21" i="1"/>
  <c r="AZ21" i="1"/>
  <c r="AX21" i="1"/>
  <c r="AZ154" i="1"/>
  <c r="AX154" i="1"/>
  <c r="AX159" i="1"/>
  <c r="AZ159" i="1"/>
  <c r="BG159" i="1"/>
  <c r="BI159" i="1"/>
  <c r="BK159" i="1"/>
  <c r="AZ82" i="1"/>
  <c r="AX82" i="1"/>
  <c r="AX57" i="1"/>
  <c r="AZ57" i="1"/>
  <c r="BG57" i="1"/>
  <c r="BI57" i="1"/>
  <c r="BK57" i="1"/>
  <c r="BK146" i="1"/>
  <c r="BI146" i="1"/>
  <c r="BG146" i="1"/>
  <c r="AZ146" i="1"/>
  <c r="AX146" i="1"/>
  <c r="BK156" i="1"/>
  <c r="BI156" i="1"/>
  <c r="BG156" i="1"/>
  <c r="AZ156" i="1"/>
  <c r="AX156" i="1"/>
  <c r="AZ150" i="1"/>
  <c r="AX150" i="1"/>
  <c r="AX64" i="1"/>
  <c r="AZ64" i="1"/>
  <c r="BG64" i="1"/>
  <c r="BI64" i="1"/>
  <c r="BK64" i="1"/>
  <c r="AX200" i="1"/>
  <c r="AZ200" i="1"/>
  <c r="BG200" i="1"/>
  <c r="BI200" i="1"/>
  <c r="BK200" i="1"/>
  <c r="AX180" i="1"/>
  <c r="AZ180" i="1"/>
  <c r="BG180" i="1"/>
  <c r="BI180" i="1"/>
  <c r="BK180" i="1"/>
  <c r="AX216" i="1"/>
  <c r="AZ216" i="1"/>
  <c r="BG216" i="1"/>
  <c r="BI216" i="1"/>
  <c r="BK216" i="1"/>
  <c r="AX58" i="1"/>
  <c r="AZ58" i="1"/>
  <c r="BG58" i="1"/>
  <c r="BI58" i="1"/>
  <c r="BK58" i="1"/>
  <c r="AX73" i="1"/>
  <c r="AZ73" i="1"/>
  <c r="BG73" i="1"/>
  <c r="BI73" i="1"/>
  <c r="BK73" i="1"/>
  <c r="AX80" i="1"/>
  <c r="AZ80" i="1"/>
  <c r="BG80" i="1"/>
  <c r="BI80" i="1"/>
  <c r="BK80" i="1"/>
  <c r="AX175" i="1"/>
  <c r="AZ175" i="1"/>
  <c r="BG175" i="1"/>
  <c r="BI175" i="1"/>
  <c r="BK175" i="1"/>
  <c r="AX31" i="1"/>
  <c r="AZ31" i="1"/>
  <c r="BG31" i="1"/>
  <c r="BI31" i="1"/>
  <c r="BK31" i="1"/>
  <c r="AZ226" i="1"/>
  <c r="AX226" i="1"/>
  <c r="AX186" i="1"/>
  <c r="AZ186" i="1"/>
  <c r="BG186" i="1"/>
  <c r="BI186" i="1"/>
  <c r="BK186" i="1"/>
  <c r="BK17" i="1"/>
  <c r="BI17" i="1"/>
  <c r="BG17" i="1"/>
  <c r="AZ17" i="1"/>
  <c r="AX17" i="1"/>
  <c r="AZ220" i="1"/>
  <c r="AX220" i="1"/>
  <c r="AZ223" i="1"/>
  <c r="AX223" i="1"/>
  <c r="BK174" i="1"/>
  <c r="BI174" i="1"/>
  <c r="BG174" i="1"/>
  <c r="AZ174" i="1"/>
  <c r="AX174" i="1"/>
  <c r="BK87" i="1"/>
  <c r="BI87" i="1"/>
  <c r="BG87" i="1"/>
  <c r="AZ87" i="1"/>
  <c r="AX87" i="1"/>
  <c r="AZ102" i="1"/>
  <c r="AX102" i="1"/>
  <c r="AZ218" i="1"/>
  <c r="AX218" i="1"/>
  <c r="AX13" i="1"/>
  <c r="AZ13" i="1"/>
  <c r="BG13" i="1"/>
  <c r="BI13" i="1"/>
  <c r="BK13" i="1"/>
  <c r="BK9" i="1"/>
  <c r="BI9" i="1"/>
  <c r="BG9" i="1"/>
  <c r="AZ9" i="1"/>
  <c r="AX9" i="1"/>
  <c r="BK176" i="1"/>
  <c r="BI176" i="1"/>
  <c r="BG176" i="1"/>
  <c r="AZ176" i="1"/>
  <c r="AX176" i="1"/>
  <c r="BK131" i="1"/>
  <c r="BI131" i="1"/>
  <c r="BG131" i="1"/>
  <c r="AZ131" i="1"/>
  <c r="AX131" i="1"/>
  <c r="AX209" i="1"/>
  <c r="AZ209" i="1"/>
  <c r="BG209" i="1"/>
  <c r="BI209" i="1"/>
  <c r="BK209" i="1"/>
  <c r="BK193" i="1"/>
  <c r="BI193" i="1"/>
  <c r="BG193" i="1"/>
  <c r="AZ193" i="1"/>
  <c r="AX193" i="1"/>
  <c r="AX205" i="1"/>
  <c r="AZ205" i="1"/>
  <c r="BG205" i="1"/>
  <c r="BI205" i="1"/>
  <c r="BK205" i="1"/>
  <c r="AX104" i="1"/>
  <c r="AZ104" i="1"/>
  <c r="BG104" i="1"/>
  <c r="BI104" i="1"/>
  <c r="BK104" i="1"/>
  <c r="BK129" i="1"/>
  <c r="BI129" i="1"/>
  <c r="AX129" i="1"/>
  <c r="AZ129" i="1"/>
  <c r="BG129" i="1"/>
  <c r="BK127" i="1"/>
  <c r="BI127" i="1"/>
  <c r="AX127" i="1"/>
  <c r="AZ127" i="1"/>
  <c r="BG127" i="1"/>
  <c r="BK40" i="1"/>
  <c r="BI40" i="1"/>
  <c r="AX40" i="1"/>
  <c r="AZ40" i="1"/>
  <c r="BG40" i="1"/>
  <c r="BK30" i="1"/>
  <c r="BI30" i="1"/>
  <c r="AX30" i="1"/>
  <c r="AZ30" i="1"/>
  <c r="BG30" i="1"/>
  <c r="AX6" i="1"/>
  <c r="AZ6" i="1"/>
  <c r="BG6" i="1"/>
  <c r="BI6" i="1"/>
  <c r="BK6" i="1"/>
  <c r="AZ167" i="1"/>
  <c r="AX167" i="1"/>
  <c r="AZ234" i="1"/>
  <c r="AX234" i="1"/>
  <c r="AZ232" i="1"/>
  <c r="AX232" i="1"/>
  <c r="AW61" i="1"/>
  <c r="AX236" i="1"/>
  <c r="AX38" i="1"/>
  <c r="AZ38" i="1"/>
  <c r="BG38" i="1"/>
  <c r="BI38" i="1"/>
  <c r="BK38" i="1"/>
  <c r="AZ202" i="1"/>
  <c r="AX202" i="1"/>
  <c r="AX46" i="1"/>
  <c r="AZ46" i="1"/>
  <c r="BG46" i="1"/>
  <c r="BI46" i="1"/>
  <c r="BK46" i="1"/>
  <c r="BK94" i="1"/>
  <c r="AX94" i="1"/>
  <c r="AZ94" i="1"/>
  <c r="BG94" i="1"/>
  <c r="BI94" i="1"/>
  <c r="BK32" i="1"/>
  <c r="AX32" i="1"/>
  <c r="AZ32" i="1"/>
  <c r="BG32" i="1"/>
  <c r="BI32" i="1"/>
  <c r="BK101" i="1"/>
  <c r="AX101" i="1"/>
  <c r="AZ101" i="1"/>
  <c r="BG101" i="1"/>
  <c r="BI101" i="1"/>
  <c r="BK28" i="1"/>
  <c r="AX28" i="1"/>
  <c r="AZ28" i="1"/>
  <c r="BG28" i="1"/>
  <c r="BI28" i="1"/>
  <c r="BK147" i="1"/>
  <c r="AX147" i="1"/>
  <c r="AZ147" i="1"/>
  <c r="BG147" i="1"/>
  <c r="BI147" i="1"/>
  <c r="AX165" i="1"/>
  <c r="AZ165" i="1"/>
  <c r="BG165" i="1"/>
  <c r="BI165" i="1"/>
  <c r="BK165" i="1"/>
  <c r="BK185" i="1"/>
  <c r="AX185" i="1"/>
  <c r="AZ185" i="1"/>
  <c r="BG185" i="1"/>
  <c r="BI185" i="1"/>
  <c r="AX84" i="1"/>
  <c r="AZ84" i="1"/>
  <c r="BG84" i="1"/>
  <c r="BI84" i="1"/>
  <c r="BK84" i="1"/>
  <c r="BK132" i="1"/>
  <c r="AX132" i="1"/>
  <c r="AZ132" i="1"/>
  <c r="BG132" i="1"/>
  <c r="BI132" i="1"/>
  <c r="AX71" i="1"/>
  <c r="AZ71" i="1"/>
  <c r="BG71" i="1"/>
  <c r="BI71" i="1"/>
  <c r="BK71" i="1"/>
  <c r="BK60" i="1"/>
  <c r="AX60" i="1"/>
  <c r="AZ60" i="1"/>
  <c r="BG60" i="1"/>
  <c r="BI60" i="1"/>
  <c r="BK33" i="1"/>
  <c r="AX33" i="1"/>
  <c r="AZ33" i="1"/>
  <c r="BG33" i="1"/>
  <c r="BI33" i="1"/>
  <c r="AX3" i="1"/>
  <c r="AZ3" i="1"/>
  <c r="BG3" i="1"/>
  <c r="BI3" i="1"/>
  <c r="BK3" i="1"/>
  <c r="BK106" i="1"/>
  <c r="AX106" i="1"/>
  <c r="AZ106" i="1"/>
  <c r="BG106" i="1"/>
  <c r="BI106" i="1"/>
  <c r="AX105" i="1"/>
  <c r="AZ105" i="1"/>
  <c r="BG105" i="1"/>
  <c r="BI105" i="1"/>
  <c r="BK105" i="1"/>
  <c r="AX95" i="1"/>
  <c r="AZ95" i="1"/>
  <c r="BG95" i="1"/>
  <c r="BI95" i="1"/>
  <c r="BK95" i="1"/>
  <c r="AX25" i="1"/>
  <c r="AZ25" i="1"/>
  <c r="BG25" i="1"/>
  <c r="BI25" i="1"/>
  <c r="BK25" i="1"/>
  <c r="AX18" i="1"/>
  <c r="AZ18" i="1"/>
  <c r="BG18" i="1"/>
  <c r="BI18" i="1"/>
  <c r="BK18" i="1"/>
  <c r="AX144" i="1"/>
  <c r="AZ144" i="1"/>
  <c r="BG144" i="1"/>
  <c r="BI144" i="1"/>
  <c r="BK144" i="1"/>
  <c r="AX135" i="1"/>
  <c r="AZ135" i="1"/>
  <c r="BG135" i="1"/>
  <c r="BI135" i="1"/>
  <c r="BK135" i="1"/>
  <c r="AX103" i="1"/>
  <c r="AZ103" i="1"/>
  <c r="BG103" i="1"/>
  <c r="BI103" i="1"/>
  <c r="BK103" i="1"/>
  <c r="AX43" i="1"/>
  <c r="AZ43" i="1"/>
  <c r="BG43" i="1"/>
  <c r="BI43" i="1"/>
  <c r="BK43" i="1"/>
  <c r="AX121" i="1"/>
  <c r="AZ121" i="1"/>
  <c r="BG121" i="1"/>
  <c r="BI121" i="1"/>
  <c r="BK121" i="1"/>
  <c r="AX168" i="1"/>
  <c r="AZ168" i="1"/>
  <c r="BG168" i="1"/>
  <c r="BI168" i="1"/>
  <c r="BK168" i="1"/>
  <c r="AX90" i="1"/>
  <c r="AZ90" i="1"/>
  <c r="BG90" i="1"/>
  <c r="BI90" i="1"/>
  <c r="BK90" i="1"/>
  <c r="AX2" i="1"/>
  <c r="AZ2" i="1"/>
  <c r="BG2" i="1"/>
  <c r="BI2" i="1"/>
  <c r="BK2" i="1"/>
</calcChain>
</file>

<file path=xl/sharedStrings.xml><?xml version="1.0" encoding="utf-8"?>
<sst xmlns="http://schemas.openxmlformats.org/spreadsheetml/2006/main" count="6396" uniqueCount="2542">
  <si>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</si>
  <si>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</si>
  <si>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</si>
  <si>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</si>
  <si>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</si>
  <si>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</si>
  <si>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</si>
  <si>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</si>
  <si>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</si>
  <si>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</si>
  <si>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</si>
  <si>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</si>
  <si>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</si>
  <si>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</si>
  <si>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</si>
  <si>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</si>
  <si>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</si>
  <si>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</si>
  <si>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</si>
  <si>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</si>
  <si>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</si>
  <si>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</si>
  <si>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</si>
  <si>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</si>
  <si>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</si>
  <si>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</si>
  <si>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</si>
  <si>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</si>
  <si>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</si>
  <si>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</si>
  <si>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</si>
  <si>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</si>
  <si>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</si>
  <si>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</si>
  <si>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</si>
  <si>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</si>
  <si>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</si>
  <si>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</si>
  <si>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</si>
  <si>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</si>
  <si>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</si>
  <si>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</si>
  <si>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</si>
  <si>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</si>
  <si>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</si>
  <si>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</si>
  <si>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</si>
  <si>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</si>
  <si>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</si>
  <si>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</si>
  <si>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</si>
  <si>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</si>
  <si>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</si>
  <si>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</si>
  <si>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</si>
  <si>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</si>
  <si>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</si>
  <si>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</si>
  <si>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</si>
  <si>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</si>
  <si>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</si>
  <si>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</si>
  <si>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</si>
  <si>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</si>
  <si>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</si>
  <si>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</si>
  <si>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</si>
  <si>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</si>
  <si>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</si>
  <si>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</si>
  <si>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</si>
  <si>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</si>
  <si>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</si>
  <si>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</si>
  <si>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</si>
  <si>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</si>
  <si>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</si>
  <si>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</si>
  <si>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</si>
  <si>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</si>
  <si>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</si>
  <si>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</si>
  <si>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</si>
  <si>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</si>
  <si>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</si>
  <si>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</si>
  <si>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</si>
  <si>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</si>
  <si>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</si>
  <si>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</si>
  <si>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</si>
  <si>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</si>
  <si>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</si>
  <si>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</si>
  <si>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</si>
  <si>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</si>
  <si>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</si>
  <si>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</si>
  <si>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</si>
  <si>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</si>
  <si>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</si>
  <si>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</si>
  <si>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</si>
  <si>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</si>
  <si>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</si>
  <si>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</si>
  <si>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</si>
  <si>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</si>
  <si>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</si>
  <si>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</si>
  <si>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</si>
  <si>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</si>
  <si>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</si>
  <si>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</si>
  <si>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</si>
  <si>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</si>
  <si>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</si>
  <si>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</si>
  <si>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</si>
  <si>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</si>
  <si>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</si>
  <si>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</si>
  <si>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</si>
  <si>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</si>
  <si>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</si>
  <si>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</si>
  <si>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</si>
  <si>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</si>
  <si>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</si>
  <si>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</si>
  <si>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</si>
  <si>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</si>
  <si>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</si>
  <si>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</si>
  <si>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</si>
  <si>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</si>
  <si>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</si>
  <si>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</si>
  <si>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</si>
  <si>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</si>
  <si>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</si>
  <si>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</si>
  <si>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</si>
  <si>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</si>
  <si>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</si>
  <si>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</si>
  <si>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</si>
  <si>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</si>
  <si>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</si>
  <si>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</si>
  <si>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</si>
  <si>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</si>
  <si>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</si>
  <si>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</si>
  <si>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</si>
  <si>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</si>
  <si>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</si>
  <si>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</si>
  <si>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</si>
  <si>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</si>
  <si>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</si>
  <si>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</si>
  <si>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</si>
  <si>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</si>
  <si>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</si>
  <si>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</si>
  <si>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</si>
  <si>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</si>
  <si>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</si>
  <si>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</si>
  <si>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</si>
  <si>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</si>
  <si>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</si>
  <si>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</si>
  <si>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</si>
  <si>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</si>
  <si>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</si>
  <si>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</si>
  <si>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</si>
  <si>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</si>
  <si>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</si>
  <si>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</si>
  <si>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</si>
  <si>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</si>
  <si>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</si>
  <si>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</si>
  <si>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</si>
  <si>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</si>
  <si>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</si>
  <si>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</si>
  <si>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</si>
  <si>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</si>
  <si>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</si>
  <si>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</si>
  <si>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</si>
  <si>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</si>
  <si>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</si>
  <si>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</si>
  <si>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</si>
  <si>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</si>
  <si>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</si>
  <si>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</si>
  <si>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</si>
  <si>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</si>
  <si>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</si>
  <si>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</si>
  <si>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</si>
  <si>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</si>
  <si>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</si>
  <si>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</si>
  <si>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</si>
  <si>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</si>
  <si>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</si>
  <si>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</si>
  <si>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</si>
  <si>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</si>
  <si>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</si>
  <si>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</si>
  <si>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</si>
  <si>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</si>
  <si>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</si>
  <si>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</si>
  <si>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</si>
  <si>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</si>
  <si>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</si>
  <si>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</si>
  <si>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</si>
  <si>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</si>
  <si>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</si>
  <si>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</si>
  <si>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</si>
  <si>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</si>
  <si>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</si>
  <si>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</si>
  <si>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</si>
  <si>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</si>
  <si>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</si>
  <si>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</si>
  <si>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</si>
  <si>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</si>
  <si>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</si>
  <si>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</si>
  <si>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</si>
  <si>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</si>
  <si>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</si>
  <si>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</si>
  <si>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</si>
  <si>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</si>
  <si>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</si>
  <si>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</si>
  <si>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</si>
  <si>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</si>
  <si>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</si>
  <si>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</si>
  <si>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</si>
  <si>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</si>
  <si>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</si>
  <si>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</si>
  <si>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</si>
  <si>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</si>
  <si>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</si>
  <si>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</si>
  <si>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</si>
  <si>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</si>
  <si>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</si>
  <si>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</si>
  <si>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</si>
  <si>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</si>
  <si>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</si>
  <si>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</si>
  <si>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</si>
  <si>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</si>
  <si>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</si>
  <si>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</si>
  <si>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</si>
  <si>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</si>
  <si>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</si>
  <si>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</si>
  <si>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</si>
  <si>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</si>
  <si>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</si>
  <si>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</si>
  <si>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</si>
  <si>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</si>
  <si>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</si>
  <si>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</si>
  <si>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</si>
  <si>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</si>
  <si>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</si>
  <si>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</si>
  <si>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</si>
  <si>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</si>
  <si>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</si>
  <si>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</si>
  <si>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</si>
  <si>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</si>
  <si>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</si>
  <si>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</si>
  <si>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</si>
  <si>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</si>
  <si>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</si>
  <si>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</si>
  <si>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</si>
  <si>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</si>
  <si>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</si>
  <si>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</si>
  <si>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</si>
  <si>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</si>
  <si>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</si>
  <si>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</si>
  <si>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</si>
  <si>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</si>
  <si>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</si>
  <si>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</si>
  <si>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</si>
  <si>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</si>
  <si>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</si>
  <si>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</si>
  <si>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</si>
  <si>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</si>
  <si>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</si>
  <si>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</si>
  <si>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</si>
  <si>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</si>
  <si>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</si>
  <si>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</si>
  <si>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</si>
  <si>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</si>
  <si>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</si>
  <si>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</si>
  <si>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</si>
  <si>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</si>
  <si>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</si>
  <si>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</si>
  <si>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</si>
  <si>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</si>
  <si>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</si>
  <si>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</si>
  <si>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</si>
  <si>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</si>
  <si>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</si>
  <si>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</si>
  <si>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</si>
  <si>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</si>
  <si>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</si>
  <si>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</si>
  <si>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</si>
  <si>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</si>
  <si>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</si>
  <si>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</si>
  <si>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</si>
  <si>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</si>
  <si>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</si>
  <si>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</si>
  <si>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</si>
  <si>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</si>
  <si>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</si>
  <si>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</si>
  <si>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</si>
  <si>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</si>
  <si>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</si>
  <si>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</si>
  <si>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</si>
  <si>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</si>
  <si>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</si>
  <si>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</si>
  <si>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</si>
  <si>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</si>
  <si>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</si>
  <si>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</si>
  <si>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</si>
  <si>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</si>
  <si>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</si>
  <si>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</si>
  <si>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</si>
  <si>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</si>
  <si>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</si>
  <si>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</si>
  <si>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</si>
  <si>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</si>
  <si>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</si>
  <si>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</si>
  <si>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</si>
  <si>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</si>
  <si>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</si>
  <si>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</si>
  <si>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</si>
  <si>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</si>
  <si>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</si>
  <si>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</si>
  <si>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</si>
  <si>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</si>
  <si>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</si>
  <si>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</si>
  <si>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</si>
  <si>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</si>
  <si>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</si>
  <si>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</si>
  <si>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</si>
  <si>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</si>
  <si>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</si>
  <si>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</si>
  <si>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</si>
  <si>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</si>
  <si>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</si>
  <si>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</si>
  <si>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</si>
  <si>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</si>
  <si>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</si>
  <si>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</si>
  <si>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</si>
  <si>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</si>
  <si>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</si>
  <si>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</si>
  <si>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</si>
  <si>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</si>
  <si>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</si>
  <si>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</si>
  <si>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</si>
  <si>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</si>
  <si>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</si>
  <si>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</si>
  <si>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</si>
  <si>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</si>
  <si>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</si>
  <si>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</si>
  <si>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</si>
  <si>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</si>
  <si>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</si>
  <si>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</si>
  <si>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</si>
  <si>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</si>
  <si>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</si>
  <si>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</si>
  <si>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</si>
  <si>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</si>
  <si>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</si>
  <si>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</si>
  <si>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</si>
  <si>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</si>
  <si>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</si>
  <si>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</si>
  <si>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</si>
  <si>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</si>
  <si>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</si>
  <si>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</si>
  <si>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</si>
  <si>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</si>
  <si>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</si>
  <si>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</si>
  <si>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</si>
  <si>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</si>
  <si>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</si>
  <si>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</si>
  <si>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</si>
  <si>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</si>
  <si>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</si>
  <si>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</si>
  <si>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</si>
  <si>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</si>
  <si>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</si>
  <si>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</si>
  <si>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</si>
  <si>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</si>
  <si>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</si>
  <si>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</si>
  <si>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</si>
  <si>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</si>
  <si>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</si>
  <si>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</si>
  <si>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</si>
  <si>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</si>
  <si>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</si>
  <si>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</si>
  <si>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</si>
  <si>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</si>
  <si>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</si>
  <si>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</si>
  <si>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</si>
  <si>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</si>
  <si>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</si>
  <si>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</si>
  <si>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</si>
  <si>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</si>
  <si>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</si>
  <si>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</si>
  <si>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</si>
  <si>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</si>
  <si>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</si>
  <si>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</si>
  <si>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</si>
  <si>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</si>
  <si>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</si>
  <si>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</si>
  <si>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</si>
  <si>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</si>
  <si>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</si>
  <si>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</si>
  <si>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</si>
  <si>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</si>
  <si>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</si>
  <si>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</si>
  <si>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</si>
  <si>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</si>
  <si>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</si>
  <si>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</si>
  <si>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</si>
  <si>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</si>
  <si>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</si>
  <si>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</si>
  <si>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</si>
  <si>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</si>
  <si>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</si>
  <si>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</si>
  <si>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</si>
  <si>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</si>
  <si>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</si>
  <si>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</si>
  <si>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</si>
  <si>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</si>
  <si>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</si>
  <si>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</si>
  <si>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</si>
  <si>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</si>
  <si>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</si>
  <si>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</si>
  <si>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</si>
  <si>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</si>
  <si>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</si>
  <si>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</si>
  <si>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</si>
  <si>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</si>
  <si>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</si>
  <si>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</si>
  <si>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</si>
  <si>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</si>
  <si>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</si>
  <si>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</si>
  <si>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</si>
  <si>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</si>
  <si>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</si>
  <si>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</si>
  <si>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</si>
  <si>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</si>
  <si>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</si>
  <si>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</si>
  <si>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</si>
  <si>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</si>
  <si>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</si>
  <si>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</si>
  <si>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</si>
  <si>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</si>
  <si>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</si>
  <si>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</si>
  <si>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</si>
  <si>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</si>
  <si>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</si>
  <si>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</si>
  <si>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</si>
  <si>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</si>
  <si>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</si>
  <si>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</si>
  <si>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</si>
  <si>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</si>
  <si>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</si>
  <si>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</si>
  <si>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</si>
  <si>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</si>
  <si>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</si>
  <si>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</si>
  <si>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</si>
  <si>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</si>
  <si>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</si>
  <si>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</si>
  <si>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</si>
  <si>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</si>
  <si>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</si>
  <si>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</si>
  <si>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</si>
  <si>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</si>
  <si>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</si>
  <si>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</si>
  <si>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</si>
  <si>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</si>
  <si>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</si>
  <si>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</si>
  <si>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</si>
  <si>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</si>
  <si>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</si>
  <si>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</si>
  <si>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</si>
  <si>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</si>
  <si>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</si>
  <si>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</si>
  <si>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</si>
  <si>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</si>
  <si>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</si>
  <si>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</si>
  <si>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</si>
  <si>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</si>
  <si>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</si>
  <si>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</si>
  <si>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</si>
  <si>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</si>
  <si>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</si>
  <si>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</si>
  <si>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</si>
  <si>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</si>
  <si>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</si>
  <si>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</si>
  <si>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</si>
  <si>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</si>
  <si>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</si>
  <si>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</si>
  <si>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</si>
  <si>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</si>
  <si>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</si>
  <si>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</si>
  <si>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</si>
  <si>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</si>
  <si>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</si>
  <si>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</si>
  <si>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</si>
  <si>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</si>
  <si>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</si>
  <si>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</si>
  <si>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</si>
  <si>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</si>
  <si>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</si>
  <si>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</si>
  <si>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</si>
  <si>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</si>
  <si>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</si>
  <si>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</si>
  <si>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</si>
  <si>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</si>
  <si>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</si>
  <si>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</si>
  <si>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</si>
  <si>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</si>
  <si>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</si>
  <si>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</si>
  <si>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</si>
  <si>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</si>
  <si>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</si>
  <si>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</si>
  <si>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</si>
  <si>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</si>
  <si>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</si>
  <si>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</si>
  <si>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</si>
  <si>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</si>
  <si>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</si>
  <si>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</si>
  <si>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</si>
  <si>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</si>
  <si>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</si>
  <si>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</si>
  <si>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</si>
  <si>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</si>
  <si>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</si>
  <si>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</si>
  <si>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</si>
  <si>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</si>
  <si>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</si>
  <si>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</si>
  <si>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</si>
  <si>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</si>
  <si>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</si>
  <si>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</si>
  <si>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</si>
  <si>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</si>
  <si>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</si>
  <si>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</si>
  <si>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</si>
  <si>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</si>
  <si>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</si>
  <si>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</si>
  <si>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</si>
  <si>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</si>
  <si>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</si>
  <si>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</si>
  <si>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</si>
  <si>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</si>
  <si>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</si>
  <si>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</si>
  <si>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</si>
  <si>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</si>
  <si>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</si>
  <si>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</si>
  <si>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</si>
  <si>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</si>
  <si>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</si>
  <si>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</si>
  <si>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</si>
  <si>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</si>
  <si>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</si>
  <si>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</si>
  <si>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</si>
  <si>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</si>
  <si>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</si>
  <si>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</si>
  <si>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</si>
  <si>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</si>
  <si>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</si>
  <si>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</si>
  <si>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</si>
  <si>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</si>
  <si>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</si>
  <si>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</si>
  <si>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</si>
  <si>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</si>
  <si>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</si>
  <si>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</si>
  <si>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</si>
  <si>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</si>
  <si>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</si>
  <si>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</si>
  <si>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</si>
  <si>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</si>
  <si>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</si>
  <si>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</si>
  <si>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</si>
  <si>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</si>
  <si>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</si>
  <si>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</si>
  <si>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</si>
  <si>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</si>
  <si>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</si>
  <si>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</si>
  <si>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</si>
  <si>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</si>
  <si>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</si>
  <si>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</si>
  <si>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</si>
  <si>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</si>
  <si>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</si>
  <si>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</si>
  <si>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</si>
  <si>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</si>
  <si>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</si>
  <si>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</si>
  <si>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</si>
  <si>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</si>
  <si>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</si>
  <si>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</si>
  <si>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</si>
  <si>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</si>
  <si>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</si>
  <si>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</si>
  <si>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</si>
  <si>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</si>
  <si>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</si>
  <si>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</si>
  <si>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</si>
  <si>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</si>
  <si>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</si>
  <si>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</si>
  <si>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</si>
  <si>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</si>
  <si>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</si>
  <si>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</si>
  <si>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</si>
  <si>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</si>
  <si>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</si>
  <si>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</si>
  <si>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</si>
  <si>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</si>
  <si>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</si>
  <si>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</si>
  <si>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</si>
  <si>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</si>
  <si>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</si>
  <si>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</si>
  <si>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</si>
  <si>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</si>
  <si>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</si>
  <si>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</si>
  <si>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</si>
  <si>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</si>
  <si>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</si>
  <si>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</si>
  <si>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</si>
  <si>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</si>
  <si>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</si>
  <si>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</si>
  <si>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</si>
  <si>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</si>
  <si>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</si>
  <si>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</si>
  <si>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</si>
  <si>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</si>
  <si>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</si>
  <si>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</si>
  <si>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</si>
  <si>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</si>
  <si>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</si>
  <si>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</si>
  <si>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</si>
  <si>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</si>
  <si>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</si>
  <si>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</si>
  <si>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</si>
  <si>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</si>
  <si>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</si>
  <si>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</si>
  <si>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</si>
  <si>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</si>
  <si>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</si>
  <si>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</si>
  <si>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</si>
  <si>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</si>
  <si>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</si>
  <si>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</si>
  <si>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</si>
  <si>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</si>
  <si>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</si>
  <si>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</si>
  <si>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</si>
  <si>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</si>
  <si>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</si>
  <si>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</si>
  <si>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</si>
  <si>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</si>
  <si>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</si>
  <si>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</si>
  <si>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</si>
  <si>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</si>
  <si>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</si>
  <si>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</si>
  <si>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</si>
  <si>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</si>
  <si>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</si>
  <si>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</si>
  <si>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</si>
  <si>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</si>
  <si>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</si>
  <si>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</si>
  <si>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</si>
  <si>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</si>
  <si>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</si>
  <si>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</si>
  <si>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</si>
  <si>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</si>
  <si>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</si>
  <si>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</si>
  <si>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</si>
  <si>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</si>
  <si>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</si>
  <si>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</si>
  <si>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</si>
  <si>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</si>
  <si>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</si>
  <si>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</si>
  <si>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</si>
  <si>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</si>
  <si>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</si>
  <si>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</si>
  <si>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</si>
  <si>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</si>
  <si>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</si>
  <si>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</si>
  <si>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</si>
  <si>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</si>
  <si>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</si>
  <si>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</si>
  <si>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</si>
  <si>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</si>
  <si>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</si>
  <si>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</si>
  <si>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</si>
  <si>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</si>
  <si>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</si>
  <si>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</si>
  <si>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</si>
  <si>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</si>
  <si>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</si>
  <si>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</si>
  <si>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</si>
  <si>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</si>
  <si>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</si>
  <si>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</si>
  <si>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</si>
  <si>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</si>
  <si>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</si>
  <si>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</si>
  <si>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</si>
  <si>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</si>
  <si>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</si>
  <si>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</si>
  <si>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</si>
  <si>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</si>
  <si>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</si>
  <si>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</si>
  <si>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</si>
  <si>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</si>
  <si>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</si>
  <si>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</si>
  <si>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</si>
  <si>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</si>
  <si>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</si>
  <si>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</si>
  <si>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</si>
  <si>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</si>
  <si>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</si>
  <si>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</si>
  <si>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</si>
  <si>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</si>
  <si>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</si>
  <si>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</si>
  <si>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</si>
  <si>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</si>
  <si>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</si>
  <si>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</si>
  <si>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</si>
  <si>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</si>
  <si>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</si>
  <si>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</si>
  <si>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</si>
  <si>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</si>
  <si>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</si>
  <si>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</si>
  <si>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</si>
  <si>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</si>
  <si>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</si>
  <si>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</si>
  <si>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</si>
  <si>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</si>
  <si>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</si>
  <si>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</si>
  <si>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</si>
  <si>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</si>
  <si>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</si>
  <si>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</si>
  <si>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</si>
  <si>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</si>
  <si>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</si>
  <si>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</si>
  <si>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</si>
  <si>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</si>
  <si>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</si>
  <si>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</si>
  <si>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</si>
  <si>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</si>
  <si>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</si>
  <si>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</si>
  <si>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</si>
  <si>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</si>
  <si>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</si>
  <si>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</si>
  <si>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</si>
  <si>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</si>
  <si>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</si>
  <si>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</si>
  <si>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</si>
  <si>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</si>
  <si>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</si>
  <si>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</si>
  <si>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</si>
  <si>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</si>
  <si>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</si>
  <si>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</si>
  <si>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</si>
  <si>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</si>
  <si>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</si>
  <si>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</si>
  <si>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</si>
  <si>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</si>
  <si>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</si>
  <si>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</si>
  <si>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</si>
  <si>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</si>
  <si>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</si>
  <si>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</si>
  <si>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</si>
  <si>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</si>
  <si>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</si>
  <si>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</si>
  <si>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</si>
  <si>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</si>
  <si>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</si>
  <si>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</si>
  <si>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</si>
  <si>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</si>
  <si>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</si>
  <si>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</si>
  <si>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</si>
  <si>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</si>
  <si>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</si>
  <si>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</si>
  <si>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</si>
  <si>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</si>
  <si>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</si>
  <si>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</si>
  <si>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</si>
  <si>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</si>
  <si>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</si>
  <si>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</si>
  <si>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</si>
  <si>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</si>
  <si>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</si>
  <si>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</si>
  <si>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</si>
  <si>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</si>
  <si>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</si>
  <si>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</si>
  <si>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</si>
  <si>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</si>
  <si>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</si>
  <si>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</si>
  <si>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</si>
  <si>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</si>
  <si>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</si>
  <si>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</si>
  <si>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</si>
  <si>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</si>
  <si>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</si>
  <si>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</si>
  <si>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</si>
  <si>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</si>
  <si>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</si>
  <si>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</si>
  <si>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</si>
  <si>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</si>
  <si>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</si>
  <si>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</si>
  <si>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</si>
  <si>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</si>
  <si>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</si>
  <si>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</si>
  <si>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</si>
  <si>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</si>
  <si>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</si>
  <si>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</si>
  <si>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</si>
  <si>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</si>
  <si>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</si>
  <si>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</si>
  <si>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</si>
  <si>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</si>
  <si>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</si>
  <si>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</si>
  <si>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</si>
  <si>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</si>
  <si>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</si>
  <si>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</si>
  <si>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</si>
  <si>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</si>
  <si>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</si>
  <si>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</si>
  <si>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</si>
  <si>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</si>
  <si>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</si>
  <si>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</si>
  <si>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</si>
  <si>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</si>
  <si>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</si>
  <si>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</si>
  <si>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</si>
  <si>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</si>
  <si>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</si>
  <si>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</si>
  <si>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</si>
  <si>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</si>
  <si>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</si>
  <si>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</si>
  <si>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</si>
  <si>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</si>
  <si>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</si>
  <si>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</si>
  <si>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</si>
  <si>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</si>
  <si>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</si>
  <si>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</si>
  <si>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</si>
  <si>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</si>
  <si>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</si>
  <si>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</si>
  <si>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</si>
  <si>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</si>
  <si>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</si>
  <si>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</si>
  <si>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</si>
  <si>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</si>
  <si>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</si>
  <si>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</si>
  <si>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</si>
  <si>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</si>
  <si>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</si>
  <si>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</si>
  <si>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</si>
  <si>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</si>
  <si>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</si>
  <si>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</si>
  <si>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</si>
  <si>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</si>
  <si>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</si>
  <si>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</si>
  <si>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</si>
  <si>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</si>
  <si>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</si>
  <si>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</si>
  <si>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</si>
  <si>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</si>
  <si>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</si>
  <si>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</si>
  <si>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</si>
  <si>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</si>
  <si>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</si>
  <si>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</si>
  <si>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</si>
  <si>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</si>
  <si>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</si>
  <si>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</si>
  <si>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</si>
  <si>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</si>
  <si>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</si>
  <si>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</si>
  <si>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</si>
  <si>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</si>
  <si>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</si>
  <si>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</si>
  <si>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</si>
  <si>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</si>
  <si>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</si>
  <si>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</si>
  <si>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</si>
  <si>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</si>
  <si>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</si>
  <si>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</si>
  <si>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</si>
  <si>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</si>
  <si>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</si>
  <si>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</si>
  <si>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</si>
  <si>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</si>
  <si>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</si>
  <si>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</si>
  <si>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</si>
  <si>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</si>
  <si>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</si>
  <si>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</si>
  <si>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</si>
  <si>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</si>
  <si>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</si>
  <si>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</si>
  <si>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</si>
  <si>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</si>
  <si>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</si>
  <si>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</si>
  <si>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</si>
  <si>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</si>
  <si>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</si>
  <si>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</si>
  <si>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</si>
  <si>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</si>
  <si>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</si>
  <si>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</si>
  <si>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</si>
  <si>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</si>
  <si>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</si>
  <si>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</si>
  <si>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</si>
  <si>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</si>
  <si>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</si>
  <si>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</si>
  <si>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</si>
  <si>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</si>
  <si>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</si>
  <si>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</si>
  <si>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</si>
  <si>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</si>
  <si>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</si>
  <si>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</si>
  <si>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</si>
  <si>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</si>
  <si>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</si>
  <si>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</si>
  <si>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</si>
  <si>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</si>
  <si>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</si>
  <si>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</si>
  <si>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</si>
  <si>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</si>
  <si>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</si>
  <si>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</si>
  <si>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</si>
  <si>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</si>
  <si>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</si>
  <si>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</si>
  <si>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</si>
  <si>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</si>
  <si>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</si>
  <si>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</si>
  <si>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</si>
  <si>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</si>
  <si>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</si>
  <si>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</si>
  <si>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</si>
  <si>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</si>
  <si>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</si>
  <si>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</si>
  <si>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</si>
  <si>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</si>
  <si>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</si>
  <si>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</si>
  <si>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</si>
  <si>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</si>
  <si>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</si>
  <si>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</si>
  <si>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</si>
  <si>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</si>
  <si>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</si>
  <si>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</si>
  <si>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</si>
  <si>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</si>
  <si>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</si>
  <si>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</si>
  <si>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</si>
  <si>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</si>
  <si>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</si>
  <si>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</si>
  <si>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</si>
  <si>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</si>
  <si>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</si>
  <si>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</si>
  <si>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</si>
  <si>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</si>
  <si>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</si>
  <si>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</si>
  <si>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</si>
  <si>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</si>
  <si>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</si>
  <si>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</si>
  <si>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</si>
  <si>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</si>
  <si>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</si>
  <si>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</si>
  <si>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</si>
  <si>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</si>
  <si>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</si>
  <si>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</si>
  <si>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</si>
  <si>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</si>
  <si>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</si>
  <si>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</si>
  <si>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</si>
  <si>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</si>
  <si>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</si>
  <si>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</si>
  <si>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</si>
  <si>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</si>
  <si>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</si>
  <si>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</si>
  <si>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</si>
  <si>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</si>
  <si>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</si>
  <si>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</si>
  <si>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</si>
  <si>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</si>
  <si>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</si>
  <si>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</si>
  <si>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</si>
  <si>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</si>
  <si>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</si>
  <si>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</si>
  <si>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</si>
  <si>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</si>
  <si>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</si>
  <si>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</si>
  <si>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</si>
  <si>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</si>
  <si>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</si>
  <si>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</si>
  <si>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</si>
  <si>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</si>
  <si>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</si>
  <si>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</si>
  <si>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</si>
  <si>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</si>
  <si>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</si>
  <si>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</si>
  <si>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</si>
  <si>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</si>
  <si>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</si>
  <si>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</si>
  <si>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</si>
  <si>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</si>
  <si>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</si>
  <si>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</si>
  <si>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</si>
  <si>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</si>
  <si>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</si>
  <si>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</si>
  <si>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</si>
  <si>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</si>
  <si>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</si>
  <si>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</si>
  <si>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</si>
  <si>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</si>
  <si>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</si>
  <si>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</si>
  <si>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</si>
  <si>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</si>
  <si>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</si>
  <si>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</si>
  <si>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</si>
  <si>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</si>
  <si>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</si>
  <si>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</si>
  <si>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</si>
  <si>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</si>
  <si>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</si>
  <si>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</si>
  <si>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</si>
  <si>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</si>
  <si>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</si>
  <si>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</si>
  <si>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</si>
  <si>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</si>
  <si>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</si>
  <si>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</si>
  <si>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</si>
  <si>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</si>
  <si>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</si>
  <si>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</si>
  <si>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</si>
  <si>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</si>
  <si>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</si>
  <si>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</si>
  <si>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</si>
  <si>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</si>
  <si>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</si>
  <si>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</si>
  <si>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</si>
  <si>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</si>
  <si>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</si>
  <si>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</si>
  <si>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</si>
  <si>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</si>
  <si>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</si>
  <si>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</si>
  <si>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</si>
  <si>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</si>
  <si>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</si>
  <si>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</si>
  <si>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</si>
  <si>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</si>
  <si>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</si>
  <si>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</si>
  <si>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</si>
  <si>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</si>
  <si>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</si>
  <si>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</si>
  <si>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</si>
  <si>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</si>
  <si>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</si>
  <si>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</si>
  <si>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</si>
  <si>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</si>
  <si>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</si>
  <si>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</si>
  <si>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</si>
  <si>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</si>
  <si>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</si>
  <si>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</si>
  <si>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</si>
  <si>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</si>
  <si>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</si>
  <si>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</si>
  <si>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</si>
  <si>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</si>
  <si>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</si>
  <si>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</si>
  <si>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</si>
  <si>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</si>
  <si>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</si>
  <si>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</si>
  <si>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</si>
  <si>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</si>
  <si>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</si>
  <si>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</si>
  <si>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</si>
  <si>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</si>
  <si>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</si>
  <si>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</si>
  <si>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</si>
  <si>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</si>
  <si>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</si>
  <si>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</si>
  <si>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</si>
  <si>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</si>
  <si>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</si>
  <si>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</si>
  <si>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</si>
  <si>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</si>
  <si>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</si>
  <si>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</si>
  <si>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</si>
  <si>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</si>
  <si>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</si>
  <si>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</si>
  <si>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</si>
  <si>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</si>
  <si>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</si>
  <si>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</si>
  <si>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</si>
  <si>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</si>
  <si>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</si>
  <si>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</si>
  <si>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</si>
  <si>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</si>
  <si>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</si>
  <si>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</si>
  <si>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</si>
  <si>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</si>
  <si>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</si>
  <si>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</si>
  <si>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</si>
  <si>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</si>
  <si>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</si>
  <si>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</si>
  <si>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</si>
  <si>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</si>
  <si>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</si>
  <si>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</si>
  <si>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</si>
  <si>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</si>
  <si>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</si>
  <si>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</si>
  <si>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</si>
  <si>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</si>
  <si>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</si>
  <si>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</si>
  <si>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</si>
  <si>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</si>
  <si>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</si>
  <si>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</si>
  <si>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</si>
  <si>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</si>
  <si>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</si>
  <si>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</si>
  <si>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</si>
  <si>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</si>
  <si>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</si>
  <si>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</si>
  <si>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</si>
  <si>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</si>
  <si>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</si>
  <si>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</si>
  <si>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</si>
  <si>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</si>
  <si>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</si>
  <si>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</si>
  <si>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</si>
  <si>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</si>
  <si>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</si>
  <si>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</si>
  <si>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</si>
  <si>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</si>
  <si>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</si>
  <si>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</si>
  <si>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</si>
  <si>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</si>
  <si>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</si>
  <si>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</si>
  <si>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</si>
  <si>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</si>
  <si>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</si>
  <si>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</si>
  <si>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</si>
  <si>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</si>
  <si>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</si>
  <si>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</si>
  <si>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</si>
  <si>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</si>
  <si>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</si>
  <si>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</si>
  <si>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</si>
  <si>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</si>
  <si>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</si>
  <si>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</si>
  <si>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</si>
  <si>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</si>
  <si>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</si>
  <si>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</si>
  <si>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</si>
  <si>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</si>
  <si>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</si>
  <si>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</si>
  <si>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</si>
  <si>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</si>
  <si>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</si>
  <si>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</si>
  <si>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</si>
  <si>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</si>
  <si>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</si>
  <si>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</si>
  <si>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</si>
  <si>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</si>
  <si>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</si>
  <si>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</si>
  <si>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</si>
  <si>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</si>
  <si>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</si>
  <si>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</si>
  <si>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</si>
  <si>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</si>
  <si>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</si>
  <si>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</si>
  <si>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</si>
  <si>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</si>
  <si>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</si>
  <si>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</si>
  <si>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</si>
  <si>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</si>
  <si>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</si>
  <si>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</si>
  <si>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</si>
  <si>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</si>
  <si>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</si>
  <si>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</si>
  <si>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</si>
  <si>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</si>
  <si>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</si>
  <si>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</si>
  <si>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</si>
  <si>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</si>
  <si>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</si>
  <si>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</si>
  <si>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</si>
  <si>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</si>
  <si>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</si>
  <si>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</si>
  <si>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</si>
  <si>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</si>
  <si>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</si>
  <si>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</si>
  <si>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</si>
  <si>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</si>
  <si>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</si>
  <si>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</si>
  <si>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</si>
  <si>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</si>
  <si>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</si>
  <si>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</si>
  <si>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</si>
  <si>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</si>
  <si>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</si>
  <si>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</si>
  <si>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</si>
  <si>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</si>
  <si>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</si>
  <si>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</si>
  <si>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</si>
  <si>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</si>
  <si>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</si>
  <si>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</si>
  <si>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</si>
  <si>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</si>
  <si>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</si>
  <si>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</si>
  <si>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</si>
  <si>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</si>
  <si>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</si>
  <si>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</si>
  <si>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</si>
  <si>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</si>
  <si>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</si>
  <si>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</si>
  <si>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</si>
  <si>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</si>
  <si>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</si>
  <si>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</si>
  <si>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</si>
  <si>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</si>
  <si>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</si>
  <si>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</si>
  <si>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</si>
  <si>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</si>
  <si>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</si>
  <si>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</si>
  <si>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</si>
  <si>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</si>
  <si>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</si>
  <si>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</si>
  <si>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</si>
  <si>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</si>
  <si>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</si>
  <si>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</si>
  <si>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</si>
  <si>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</si>
  <si>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</si>
  <si>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</si>
  <si>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</si>
  <si>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</si>
  <si>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</si>
  <si>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</si>
  <si>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</si>
  <si>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</si>
  <si>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</si>
  <si>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</si>
  <si>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</si>
  <si>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</si>
  <si>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</si>
  <si>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</si>
  <si>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</si>
  <si>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</si>
  <si>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</si>
  <si>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</si>
  <si>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</si>
  <si>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</si>
  <si>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</si>
  <si>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</si>
  <si>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</si>
  <si>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</si>
  <si>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</si>
  <si>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</si>
  <si>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</si>
  <si>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</si>
  <si>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</si>
  <si>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</si>
  <si>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</si>
  <si>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</si>
  <si>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</si>
  <si>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</si>
  <si>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</si>
  <si>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</si>
  <si>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</si>
  <si>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</si>
  <si>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</si>
  <si>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</si>
  <si>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</si>
  <si>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</si>
  <si>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</si>
  <si>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</si>
  <si>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</si>
  <si>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</si>
  <si>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</si>
  <si>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</si>
  <si>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</si>
  <si>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</si>
  <si>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</si>
  <si>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</si>
  <si>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</si>
  <si>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</si>
  <si>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</si>
  <si>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</si>
  <si>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</si>
  <si>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</si>
  <si>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</si>
  <si>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</si>
  <si>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</si>
  <si>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</si>
  <si>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</si>
  <si>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</si>
  <si>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</si>
  <si>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</si>
  <si>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</si>
  <si>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</si>
  <si>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</si>
  <si>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</si>
  <si>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</si>
  <si>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</si>
  <si>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</si>
  <si>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</si>
  <si>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</si>
  <si>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</si>
  <si>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</si>
  <si>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</si>
  <si>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</si>
  <si>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</si>
  <si>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</si>
  <si>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</si>
  <si>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</si>
  <si>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</si>
  <si>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</si>
  <si>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</si>
  <si>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</si>
  <si>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</si>
  <si>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</si>
  <si>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</si>
  <si>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</si>
  <si>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</si>
  <si>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</si>
  <si>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</si>
  <si>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</si>
  <si>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</si>
  <si>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</si>
  <si>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</si>
  <si>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</si>
  <si>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</si>
  <si>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</si>
  <si>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</si>
  <si>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</si>
  <si>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</si>
  <si>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</si>
  <si>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</si>
  <si>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</si>
  <si>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</si>
  <si>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</si>
  <si>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</si>
  <si>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</si>
  <si>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</si>
  <si>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</si>
  <si>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</si>
  <si>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</si>
  <si>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</si>
  <si>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</si>
  <si>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</si>
  <si>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</si>
  <si>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</si>
  <si>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</si>
  <si>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</si>
  <si>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</si>
  <si>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</si>
  <si>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</si>
  <si>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</si>
  <si>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</si>
  <si>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</si>
  <si>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</si>
  <si>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</si>
  <si>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</si>
  <si>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</si>
  <si>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</si>
  <si>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</si>
  <si>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</si>
  <si>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</si>
  <si>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</si>
  <si>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</si>
  <si>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</si>
  <si>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</si>
  <si>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</si>
  <si>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</si>
  <si>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</si>
  <si>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</si>
  <si>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</si>
  <si>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</si>
  <si>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</si>
  <si>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</si>
  <si>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</si>
  <si>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</si>
  <si>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</si>
  <si>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</si>
  <si>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</si>
  <si>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</si>
  <si>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</si>
  <si>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</si>
  <si>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</si>
  <si>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</si>
  <si>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</si>
  <si>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</si>
  <si>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</si>
  <si>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</si>
  <si>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</si>
  <si>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</si>
  <si>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</si>
  <si>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</si>
  <si>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</si>
  <si>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</si>
  <si>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</si>
  <si>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</si>
  <si>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</si>
  <si>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</si>
  <si>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</si>
  <si>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</si>
  <si>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</si>
  <si>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</si>
  <si>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</si>
  <si>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</si>
  <si>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</si>
  <si>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</si>
  <si>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</si>
  <si>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</si>
  <si>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</si>
  <si>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</si>
  <si>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</si>
  <si>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</si>
  <si>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</si>
  <si>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</si>
  <si>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</si>
  <si>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</si>
  <si>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</si>
  <si>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</si>
  <si>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</si>
  <si>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</si>
  <si>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</si>
  <si>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</si>
  <si>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</si>
  <si>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</si>
  <si>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</si>
  <si>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</si>
  <si>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</si>
  <si>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</si>
  <si>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</si>
  <si>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</si>
  <si>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</si>
  <si>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</si>
  <si>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</si>
  <si>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</si>
  <si>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</si>
  <si>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</si>
  <si>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</si>
  <si>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</si>
  <si>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</si>
  <si>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</si>
  <si>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</si>
  <si>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</si>
  <si>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</si>
  <si>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</si>
  <si>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</si>
  <si>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</si>
  <si>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</si>
  <si>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</si>
  <si>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</si>
  <si>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</si>
  <si>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</si>
  <si>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</si>
  <si>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</si>
  <si>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</si>
  <si>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</si>
  <si>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</si>
  <si>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</si>
  <si>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</si>
  <si>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</si>
  <si>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</si>
  <si>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</si>
  <si>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</si>
  <si>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</si>
  <si>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</si>
  <si>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</si>
  <si>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</si>
  <si>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</si>
  <si>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</si>
  <si>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</si>
  <si>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</si>
  <si>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</si>
  <si>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</si>
  <si>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</si>
  <si>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</si>
  <si>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</si>
  <si>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</si>
  <si>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</si>
  <si>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</si>
  <si>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</si>
  <si>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</si>
  <si>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</si>
  <si>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</si>
  <si>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</si>
  <si>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</si>
  <si>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</si>
  <si>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</si>
  <si>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</si>
  <si>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</si>
  <si>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</si>
  <si>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</si>
  <si>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</si>
  <si>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</si>
  <si>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</si>
  <si>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</si>
  <si>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</si>
  <si>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</si>
  <si>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</si>
  <si>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</si>
  <si>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</si>
  <si>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</si>
  <si>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</si>
  <si>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</si>
  <si>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</si>
  <si>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</si>
  <si>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</si>
  <si>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</si>
  <si>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</si>
  <si>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</si>
  <si>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</si>
  <si>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</si>
  <si>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</si>
  <si>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</si>
  <si>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</si>
  <si>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</si>
  <si>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</si>
  <si>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</si>
  <si>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</si>
  <si>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</si>
  <si>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</si>
  <si>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</si>
  <si>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</si>
  <si>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</si>
  <si>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</si>
  <si>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</si>
  <si>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</si>
  <si>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</si>
  <si>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</si>
  <si>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</si>
  <si>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</si>
  <si>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</si>
  <si>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</si>
  <si>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</si>
  <si>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</si>
  <si>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</si>
  <si>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</si>
  <si>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</si>
  <si>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</si>
  <si>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</si>
  <si>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</si>
  <si>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</si>
  <si>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</si>
  <si>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</si>
  <si>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</si>
  <si>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</si>
  <si>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</si>
  <si>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</si>
  <si>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</si>
  <si>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</si>
  <si>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</si>
  <si>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</si>
  <si>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</si>
  <si>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</si>
  <si>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</si>
  <si>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</si>
  <si>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</si>
  <si>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</si>
  <si>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</si>
  <si>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</si>
  <si>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</si>
  <si>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</si>
  <si>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</si>
  <si>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</si>
  <si>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</si>
  <si>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</si>
  <si>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</si>
  <si>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</si>
  <si>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</si>
  <si>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</si>
  <si>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</si>
  <si>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</si>
  <si>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</si>
  <si>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</si>
  <si>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</si>
  <si>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</si>
  <si>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</si>
  <si>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</si>
  <si>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</si>
  <si>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</si>
  <si>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</si>
  <si>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</si>
  <si>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</si>
  <si>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</si>
  <si>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</si>
  <si>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</si>
  <si>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</si>
  <si>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</si>
  <si>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</si>
  <si>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</si>
  <si>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</si>
  <si>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</si>
  <si>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</si>
  <si>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</si>
  <si>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</si>
  <si>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</si>
  <si>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</si>
  <si>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</si>
  <si>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</si>
  <si>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</si>
  <si>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</si>
  <si>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</si>
  <si>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</si>
  <si>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</si>
  <si>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</si>
  <si>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</si>
  <si>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</si>
  <si>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</si>
  <si>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</si>
  <si>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</si>
  <si>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</si>
  <si>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</si>
  <si>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</si>
  <si>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</si>
  <si>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</si>
  <si>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</si>
  <si>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</si>
  <si>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</si>
  <si>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</si>
  <si>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</si>
  <si>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</si>
  <si>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</si>
  <si>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</si>
  <si>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</si>
  <si>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</si>
  <si>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</si>
  <si>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</si>
  <si>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</si>
  <si>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</si>
  <si>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</si>
  <si>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</si>
  <si>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</si>
  <si>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</si>
  <si>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</si>
  <si>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</si>
  <si>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</si>
  <si>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</si>
  <si>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</si>
  <si>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</si>
  <si>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</si>
  <si>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</si>
  <si>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</si>
  <si>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</si>
  <si>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</si>
  <si>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</si>
  <si>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</si>
  <si>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</si>
  <si>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</si>
  <si>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</si>
  <si>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</si>
  <si>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</si>
  <si>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</si>
  <si>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</si>
  <si>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</si>
  <si>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</si>
  <si>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</si>
  <si>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</si>
  <si>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</si>
  <si>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</si>
  <si>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</si>
  <si>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</si>
  <si>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</si>
  <si>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</si>
  <si>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</si>
  <si>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</si>
  <si>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</si>
  <si>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</si>
  <si>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</si>
  <si>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</si>
  <si>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</si>
  <si>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</si>
  <si>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</si>
  <si>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</si>
  <si>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</si>
  <si>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</si>
  <si>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</si>
  <si>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</si>
  <si>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</si>
  <si>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</si>
  <si>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</si>
  <si>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</si>
  <si>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</si>
  <si>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</si>
  <si>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</si>
  <si>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</si>
  <si>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</si>
  <si>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</si>
  <si>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</si>
  <si>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</si>
  <si>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</si>
  <si>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</si>
  <si>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</si>
  <si>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</si>
  <si>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</si>
  <si>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</si>
  <si>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</si>
  <si>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</si>
  <si>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</si>
  <si>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</si>
  <si>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</si>
  <si>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</si>
  <si>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</si>
  <si>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</si>
  <si>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</si>
  <si>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</si>
  <si>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</si>
  <si>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</si>
  <si>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</si>
  <si>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</si>
  <si>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</si>
  <si>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</si>
  <si>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</si>
  <si>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</si>
  <si>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</si>
  <si>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</si>
  <si>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</si>
  <si>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</si>
  <si>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</si>
  <si>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</si>
  <si>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</si>
  <si>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</si>
  <si>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</si>
  <si>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</si>
  <si>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</si>
  <si>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</si>
  <si>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</si>
  <si>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</si>
  <si>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</si>
  <si>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</si>
  <si>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</si>
  <si>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</si>
  <si>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</si>
  <si>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</si>
  <si>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</si>
  <si>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</si>
  <si>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</si>
  <si>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</si>
  <si>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</si>
  <si>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</si>
  <si>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</si>
  <si>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</si>
  <si>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</si>
  <si>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</si>
  <si>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</si>
  <si>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</si>
  <si>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</si>
  <si>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</si>
  <si>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</si>
  <si>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</si>
  <si>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</si>
  <si>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</si>
  <si>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</si>
  <si>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</si>
  <si>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</si>
  <si>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</si>
  <si>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</si>
  <si>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</si>
  <si>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</si>
  <si>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</si>
  <si>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</si>
  <si>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</si>
  <si>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</si>
  <si>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</si>
  <si>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</si>
  <si>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</si>
  <si>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</si>
  <si>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</si>
  <si>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</si>
  <si>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</si>
  <si>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</si>
  <si>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</si>
  <si>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</si>
  <si>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</si>
  <si>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</si>
  <si>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</si>
  <si>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</si>
  <si>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</si>
  <si>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</si>
  <si>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</si>
  <si>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</si>
  <si>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</si>
  <si>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</si>
  <si>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</si>
  <si>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</si>
  <si>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</si>
  <si>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</si>
  <si>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</si>
  <si>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</si>
  <si>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</si>
  <si>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</si>
  <si>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</si>
  <si>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</si>
  <si>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</si>
  <si>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</si>
  <si>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</si>
  <si>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</si>
  <si>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</si>
  <si>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</si>
  <si>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</si>
  <si>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</si>
  <si>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</si>
  <si>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</si>
  <si>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</si>
  <si>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</si>
  <si>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</si>
  <si>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</si>
  <si>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</si>
  <si>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</si>
  <si>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</si>
  <si>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</si>
  <si>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</si>
  <si>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</si>
  <si>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</si>
  <si>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</si>
  <si>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</si>
  <si>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</si>
  <si>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</si>
  <si>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</si>
  <si>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</si>
  <si>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</si>
  <si>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</si>
  <si>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</si>
  <si>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</si>
  <si>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</si>
  <si>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</si>
  <si>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</si>
  <si>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</si>
  <si>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</si>
  <si>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</si>
  <si>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</si>
  <si>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</si>
  <si>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</si>
  <si>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</si>
  <si>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</si>
  <si>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</si>
  <si>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</si>
  <si>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</si>
  <si>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</si>
  <si>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</si>
  <si>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</si>
  <si>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</si>
  <si>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</si>
  <si>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</si>
  <si>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</si>
  <si>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</si>
  <si>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</si>
  <si>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</si>
  <si>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</si>
  <si>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</si>
  <si>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</si>
  <si>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</si>
  <si>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</si>
  <si>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</si>
  <si>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</si>
  <si>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</si>
  <si>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</si>
  <si>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</si>
  <si>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</si>
  <si>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</si>
  <si>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</si>
  <si>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</si>
  <si>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</si>
  <si>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</si>
  <si>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</si>
  <si>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</si>
  <si>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</si>
  <si>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</si>
  <si>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</si>
  <si>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</si>
  <si>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</si>
  <si>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</si>
  <si>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</si>
  <si>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</si>
  <si>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</si>
  <si>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</si>
  <si>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</si>
  <si>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</si>
  <si>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</si>
  <si>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</si>
  <si>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</si>
  <si>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</si>
  <si>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</si>
  <si>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</si>
  <si>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</si>
  <si>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</si>
  <si>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</si>
  <si>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</si>
  <si>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</si>
  <si>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</si>
  <si>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</si>
  <si>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</si>
  <si>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</si>
  <si>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</si>
  <si>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</si>
  <si>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</si>
  <si>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</si>
  <si>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</si>
  <si>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</si>
  <si>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</si>
  <si>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</si>
  <si>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</si>
  <si>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</si>
  <si>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</si>
  <si>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</si>
  <si>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</si>
  <si>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</si>
  <si>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</si>
  <si>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</si>
  <si>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</si>
  <si>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</si>
  <si>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</si>
  <si>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</si>
  <si>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</si>
  <si>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</si>
  <si>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</si>
  <si>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</si>
  <si>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</si>
  <si>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</si>
  <si>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</si>
  <si>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</si>
  <si>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</si>
  <si>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</si>
  <si>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</si>
  <si>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</si>
  <si>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</si>
  <si>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</si>
  <si>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</si>
  <si>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</si>
  <si>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</si>
  <si>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</si>
  <si>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</si>
  <si>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</si>
  <si>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</si>
  <si>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</si>
  <si>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</si>
  <si>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</si>
  <si>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</si>
  <si>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</si>
  <si>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</si>
  <si>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</si>
  <si>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</si>
  <si>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</si>
  <si>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</si>
  <si>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</si>
  <si>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</si>
  <si>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</si>
  <si>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</si>
  <si>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</si>
  <si>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</si>
  <si>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</si>
  <si>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</si>
  <si>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</si>
  <si>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</si>
  <si>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</si>
  <si>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</si>
  <si>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</si>
  <si>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</si>
  <si>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</si>
  <si>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</si>
  <si>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</si>
  <si>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</si>
  <si>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</si>
  <si>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</si>
  <si>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</si>
  <si>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</si>
  <si>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</si>
  <si>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</si>
  <si>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</si>
  <si>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</si>
  <si>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</si>
  <si>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</si>
  <si>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</si>
  <si>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</si>
  <si>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</si>
  <si>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</si>
  <si>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</si>
  <si>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</si>
  <si>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</si>
  <si>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</si>
  <si>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</si>
  <si>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</si>
  <si>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</si>
  <si>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</si>
  <si>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</si>
  <si>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</si>
  <si>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</si>
  <si>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</si>
  <si>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</si>
  <si>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</si>
  <si>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</si>
  <si>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</si>
  <si>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</si>
  <si>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</si>
  <si>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</si>
  <si>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</si>
  <si>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</si>
  <si>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</si>
  <si>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</si>
  <si>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</si>
  <si>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</si>
  <si>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</si>
  <si>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</si>
  <si>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</si>
  <si>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</si>
  <si>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</si>
  <si>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</si>
  <si>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</si>
  <si>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</si>
  <si>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</si>
  <si>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</si>
  <si>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</si>
  <si>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</si>
  <si>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</si>
  <si>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</si>
  <si>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</si>
  <si>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</si>
  <si>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</si>
  <si>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</si>
  <si>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</si>
  <si>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</si>
  <si>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</si>
  <si>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</si>
  <si>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</si>
  <si>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</si>
  <si>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</si>
  <si>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</si>
  <si>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</si>
  <si>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</si>
  <si>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</si>
  <si>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</si>
  <si>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</si>
  <si>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</si>
  <si>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</si>
  <si>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</si>
  <si>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</si>
  <si>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</si>
  <si>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</si>
  <si>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</si>
  <si>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</si>
  <si>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</si>
  <si>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</si>
  <si>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</si>
  <si>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</si>
  <si>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</si>
  <si>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</si>
  <si>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</si>
  <si>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</si>
  <si>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</si>
  <si>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</si>
  <si>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</si>
  <si>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</si>
  <si>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</si>
  <si>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</si>
  <si>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</si>
  <si>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</si>
  <si>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</si>
  <si>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</si>
  <si>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</si>
  <si>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</si>
  <si>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</si>
  <si>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</si>
  <si>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</si>
  <si>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</si>
  <si>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</si>
  <si>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</si>
  <si>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</si>
  <si>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</si>
  <si>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</si>
  <si>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</si>
  <si>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</si>
  <si>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</si>
  <si>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</si>
  <si>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</si>
  <si>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</si>
  <si>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</si>
  <si>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</si>
  <si>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</si>
  <si>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</si>
  <si>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</si>
  <si>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</si>
  <si>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</si>
  <si>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</si>
  <si>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</si>
  <si>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</si>
  <si>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</si>
  <si>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</si>
  <si>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</si>
  <si>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</si>
  <si>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</si>
  <si>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</si>
  <si>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</si>
  <si>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</si>
  <si>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</si>
  <si>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</si>
  <si>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</si>
  <si>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</si>
  <si>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</si>
  <si>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</si>
  <si>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</si>
  <si>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</si>
  <si>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</si>
  <si>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</si>
  <si>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</si>
  <si>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</si>
  <si>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</si>
  <si>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</si>
  <si>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</si>
  <si>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</si>
  <si>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</si>
  <si>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</si>
  <si>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</si>
  <si>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</si>
  <si>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</si>
  <si>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</si>
  <si>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</si>
  <si>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</si>
  <si>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</si>
  <si>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</si>
  <si>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</si>
  <si>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</si>
  <si>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</si>
  <si>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</si>
  <si>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</si>
  <si>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</si>
  <si>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</si>
  <si>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</si>
  <si>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</si>
  <si>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</si>
  <si>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</si>
  <si>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</si>
  <si>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</si>
  <si>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</si>
  <si>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</si>
  <si>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</si>
  <si>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</si>
  <si>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</si>
  <si>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</si>
  <si>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</si>
  <si>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</si>
  <si>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</si>
  <si>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</si>
  <si>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</si>
  <si>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</si>
  <si>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</si>
  <si>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</si>
  <si>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</si>
  <si>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</si>
  <si>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</si>
  <si>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</si>
  <si>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</si>
  <si>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</si>
  <si>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</si>
  <si>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</si>
  <si>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</si>
  <si>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</si>
  <si>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</si>
  <si>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</si>
  <si>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</si>
  <si>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</si>
  <si>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</si>
  <si>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</si>
  <si>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</si>
  <si>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</si>
  <si>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</si>
  <si>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</si>
  <si>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</si>
  <si>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</si>
  <si>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</si>
  <si>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</si>
  <si>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</si>
  <si>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</si>
  <si>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</si>
  <si>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</si>
  <si>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</si>
  <si>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</si>
  <si>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</si>
  <si>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</si>
  <si>
    <t>She is not supposed to pay the shokei hi. So I refund January and July on August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</si>
</sst>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6">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
      <sz val="12"/>
      <color theme="1"/>
      <name val="Yu Gothic"/>
      <family val="2"/>
    </font>
  </fonts>
  <fills count="29">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
      <patternFill patternType="solid">
        <fgColor rgb="FF00B050"/>
        <bgColor theme="0" tint="-0.14999847407452621"/>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3">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0" fontId="45" fillId="0" borderId="0" xfId="0"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28" borderId="0" xfId="0" applyFill="1"/>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38100</xdr:rowOff>
        </xdr:from>
        <xdr:to>
          <xdr:col>0</xdr:col>
          <xdr:colOff>1019175</xdr:colOff>
          <xdr:row>1</xdr:row>
          <xdr:rowOff>409575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0</xdr:row>
          <xdr:rowOff>28575</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66675</xdr:rowOff>
        </xdr:from>
        <xdr:to>
          <xdr:col>10</xdr:col>
          <xdr:colOff>981075</xdr:colOff>
          <xdr:row>1</xdr:row>
          <xdr:rowOff>371475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0</xdr:row>
          <xdr:rowOff>104775</xdr:rowOff>
        </xdr:from>
        <xdr:to>
          <xdr:col>4</xdr:col>
          <xdr:colOff>485775</xdr:colOff>
          <xdr:row>0</xdr:row>
          <xdr:rowOff>600075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561975</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142875</xdr:colOff>
          <xdr:row>10</xdr:row>
          <xdr:rowOff>66675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66675</xdr:rowOff>
        </xdr:from>
        <xdr:to>
          <xdr:col>15</xdr:col>
          <xdr:colOff>523875</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15</xdr:row>
          <xdr:rowOff>0</xdr:rowOff>
        </xdr:from>
        <xdr:to>
          <xdr:col>15</xdr:col>
          <xdr:colOff>533400</xdr:colOff>
          <xdr:row>15</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16</xdr:row>
          <xdr:rowOff>180975</xdr:rowOff>
        </xdr:from>
        <xdr:to>
          <xdr:col>15</xdr:col>
          <xdr:colOff>600075</xdr:colOff>
          <xdr:row>16</xdr:row>
          <xdr:rowOff>866775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66675</xdr:rowOff>
        </xdr:from>
        <xdr:to>
          <xdr:col>15</xdr:col>
          <xdr:colOff>533400</xdr:colOff>
          <xdr:row>18</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33</xdr:row>
          <xdr:rowOff>47625</xdr:rowOff>
        </xdr:from>
        <xdr:to>
          <xdr:col>15</xdr:col>
          <xdr:colOff>561975</xdr:colOff>
          <xdr:row>33</xdr:row>
          <xdr:rowOff>180975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9" totalsRowShown="0" headerRowDxfId="15">
  <autoFilter ref="A1:Z109"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table" Target="../tables/table2.xm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printerSettings" Target="../printerSettings/printerSettings2.bin"/><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drawing" Target="../drawings/drawing4.xml"/><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opLeftCell="Z1" zoomScale="115" zoomScaleNormal="115" workbookViewId="0">
      <pane ySplit="2" topLeftCell="A59" activePane="bottomLeft" state="frozen"/>
      <selection pane="bottomLeft" activeCell="AM68" sqref="AM68"/>
    </sheetView>
  </sheetViews>
  <sheetFormatPr defaultRowHeight="18" customHeight="1"/>
  <cols>
    <col min="1" max="1" width="16" customWidth="1"/>
    <col min="2" max="2" width="16.28515625" customWidth="1"/>
    <col min="3" max="3" width="11.85546875" customWidth="1"/>
    <col min="4" max="4" width="18" customWidth="1"/>
    <col min="5" max="5" width="18.28515625" customWidth="1"/>
    <col min="6" max="6" width="16.85546875" hidden="1" customWidth="1"/>
    <col min="7" max="7" width="8" customWidth="1"/>
    <col min="8" max="8" width="7" customWidth="1"/>
    <col min="9" max="9" width="5.5703125" customWidth="1"/>
    <col min="10" max="10" width="24.7109375" customWidth="1"/>
    <col min="11" max="11" width="13" bestFit="1" customWidth="1"/>
    <col min="12" max="12" width="16" customWidth="1"/>
    <col min="13" max="13" width="10.85546875" customWidth="1"/>
    <col min="14" max="14" width="17.28515625" customWidth="1"/>
    <col min="15" max="17" width="15.28515625" customWidth="1"/>
    <col min="18" max="19" width="20.85546875" customWidth="1"/>
    <col min="20" max="20" width="38.28515625" customWidth="1"/>
    <col min="21" max="22" width="20.85546875" customWidth="1"/>
    <col min="23" max="23" width="14.28515625" customWidth="1"/>
    <col min="24" max="24" width="5.85546875" customWidth="1"/>
    <col min="25" max="25" width="45.28515625" customWidth="1"/>
    <col min="26" max="26" width="14" customWidth="1"/>
    <col min="27" max="27" width="14.28515625" customWidth="1"/>
    <col min="28" max="28" width="28.285156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 customWidth="1"/>
    <col min="39" max="39" width="19.28515625" customWidth="1"/>
    <col min="40" max="41" width="18.7109375" style="38" customWidth="1"/>
    <col min="42" max="42" width="23" customWidth="1"/>
    <col min="43" max="43" width="17.28515625" customWidth="1"/>
    <col min="44" max="44" width="15.5703125" customWidth="1"/>
    <col min="45" max="45" width="22.28515625" customWidth="1"/>
    <col min="46" max="46" width="20.85546875" customWidth="1"/>
    <col min="47" max="47" width="12" customWidth="1"/>
    <col min="48" max="48" width="11.28515625" customWidth="1"/>
    <col min="49" max="50" width="20.5703125" customWidth="1"/>
    <col min="51" max="51" width="15.85546875" customWidth="1"/>
    <col min="52" max="52" width="21" customWidth="1"/>
    <col min="53" max="53" width="21.5703125" customWidth="1"/>
    <col min="54" max="54" width="15.5703125" customWidth="1"/>
    <col min="55" max="57" width="20" customWidth="1"/>
    <col min="58" max="58" width="17.7109375" customWidth="1"/>
    <col min="59" max="59" width="19.85546875" customWidth="1"/>
    <col min="60" max="60" width="18.28515625" customWidth="1"/>
    <col min="61" max="61" width="19.85546875" customWidth="1"/>
    <col min="62" max="63" width="19.28515625" customWidth="1"/>
    <col min="64" max="64" width="16.28515625" customWidth="1"/>
    <col min="65" max="65" width="14.28515625" customWidth="1"/>
    <col min="66" max="66" width="16"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554</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1201</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956</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956</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3147</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865</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682</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682</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682</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3147</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1140</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1228</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3147</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1044</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1229</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865</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925</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682</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804</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3147</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774</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862</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865</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865</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804</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1047</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925</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925</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3147</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712</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1226</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1231</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590</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865</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525</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480</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475</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46248</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46248</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434</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405</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401</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493</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66675</xdr:colOff>
                    <xdr:row>1</xdr:row>
                    <xdr:rowOff>38100</xdr:rowOff>
                  </from>
                  <to>
                    <xdr:col>0</xdr:col>
                    <xdr:colOff>1019175</xdr:colOff>
                    <xdr:row>1</xdr:row>
                    <xdr:rowOff>409575</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R75"/>
  <sheetViews>
    <sheetView zoomScaleNormal="100" workbookViewId="0">
      <pane xSplit="4" ySplit="1" topLeftCell="T2" activePane="bottomRight" state="frozen"/>
      <selection pane="topRight" activeCell="E1" sqref="E1"/>
      <selection pane="bottomLeft" activeCell="A2" sqref="A2"/>
      <selection pane="bottomRight" activeCell="C5" sqref="C5"/>
    </sheetView>
  </sheetViews>
  <sheetFormatPr defaultRowHeight="15"/>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c r="AI2" s="168">
        <v>6050</v>
      </c>
    </row>
    <row r="3" spans="1:44" s="59" customFormat="1">
      <c r="A3" s="312">
        <v>15</v>
      </c>
      <c r="B3" s="312" t="s">
        <v>103</v>
      </c>
      <c r="C3" s="312" t="s">
        <v>548</v>
      </c>
      <c r="D3" s="312" t="s">
        <v>549</v>
      </c>
      <c r="E3" s="312"/>
      <c r="F3" s="312" t="s">
        <v>550</v>
      </c>
      <c r="G3" s="312" t="s">
        <v>551</v>
      </c>
      <c r="H3" s="312" t="s">
        <v>552</v>
      </c>
      <c r="I3" s="312">
        <v>8800</v>
      </c>
      <c r="J3" s="312" t="s">
        <v>553</v>
      </c>
      <c r="L3" s="312">
        <v>8800</v>
      </c>
      <c r="M3" s="59">
        <v>3500</v>
      </c>
      <c r="N3" s="59">
        <f t="shared" si="0"/>
        <v>12300</v>
      </c>
      <c r="P3" s="59">
        <f t="shared" si="1"/>
        <v>8800</v>
      </c>
      <c r="S3" s="59">
        <f t="shared" si="2"/>
        <v>8800</v>
      </c>
      <c r="V3" s="59">
        <v>8800</v>
      </c>
      <c r="Y3" s="59">
        <v>8800</v>
      </c>
      <c r="AE3" s="312">
        <v>8800</v>
      </c>
      <c r="AF3" s="312">
        <f t="shared" si="3"/>
        <v>12300</v>
      </c>
      <c r="AI3" s="312">
        <v>8800</v>
      </c>
      <c r="AK3" s="59" t="s">
        <v>2541</v>
      </c>
      <c r="AL3" s="59">
        <v>7000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hidden="1">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hidden="1">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hidden="1"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hidden="1">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c r="AI21" s="168">
        <v>3300</v>
      </c>
    </row>
    <row r="22" spans="1:43">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2355</v>
      </c>
      <c r="V22">
        <v>12900</v>
      </c>
      <c r="Y22">
        <v>12900</v>
      </c>
      <c r="AE22" s="168">
        <v>12900</v>
      </c>
      <c r="AF22" s="168">
        <f t="shared" si="3"/>
        <v>16400</v>
      </c>
      <c r="AI22" s="168">
        <v>12900</v>
      </c>
    </row>
    <row r="23" spans="1:43" hidden="1">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2451</v>
      </c>
      <c r="AA23" s="197">
        <v>13200</v>
      </c>
      <c r="AE23" s="168">
        <v>6600</v>
      </c>
      <c r="AF23" s="168">
        <f t="shared" si="3"/>
        <v>10100</v>
      </c>
      <c r="AI23" s="168">
        <v>6600</v>
      </c>
    </row>
    <row r="24" spans="1:43" hidden="1">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c r="AI24" s="168">
        <v>12100</v>
      </c>
    </row>
    <row r="25" spans="1:43">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2331</v>
      </c>
      <c r="V25">
        <v>16500</v>
      </c>
      <c r="Y25">
        <v>16500</v>
      </c>
      <c r="AE25" s="168">
        <v>16500</v>
      </c>
      <c r="AF25" s="168">
        <f t="shared" si="3"/>
        <v>20000</v>
      </c>
      <c r="AI25" s="168">
        <v>16500</v>
      </c>
    </row>
    <row r="26" spans="1:43">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2398</v>
      </c>
      <c r="Y26">
        <v>0</v>
      </c>
      <c r="AE26" s="168">
        <v>16500</v>
      </c>
      <c r="AF26" s="168">
        <f t="shared" si="3"/>
        <v>20000</v>
      </c>
      <c r="AI26">
        <v>16875</v>
      </c>
    </row>
    <row r="27" spans="1:43">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c r="AF27" s="168"/>
      <c r="AI27" s="168">
        <v>19800</v>
      </c>
    </row>
    <row r="28" spans="1:43">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2454</v>
      </c>
      <c r="AE28" s="168">
        <v>7000</v>
      </c>
      <c r="AF28" s="168">
        <f t="shared" si="3"/>
        <v>10500</v>
      </c>
      <c r="AI28">
        <v>7000</v>
      </c>
    </row>
    <row r="29" spans="1:43">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2456</v>
      </c>
      <c r="AA29" t="s">
        <v>2457</v>
      </c>
      <c r="AC29" t="s">
        <v>2455</v>
      </c>
      <c r="AE29" s="168">
        <v>6600</v>
      </c>
      <c r="AF29" s="168">
        <f t="shared" si="3"/>
        <v>10100</v>
      </c>
      <c r="AI29" s="168">
        <v>6600</v>
      </c>
    </row>
    <row r="30" spans="1:43">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2443</v>
      </c>
      <c r="AE30" s="168">
        <v>12100</v>
      </c>
      <c r="AF30" s="168">
        <f t="shared" si="3"/>
        <v>15600</v>
      </c>
      <c r="AI30" s="168">
        <v>13200</v>
      </c>
      <c r="AK30" t="s">
        <v>2533</v>
      </c>
      <c r="AL30">
        <v>1100</v>
      </c>
    </row>
    <row r="31" spans="1:43">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c r="AI31" s="168">
        <v>6050</v>
      </c>
    </row>
    <row r="32" spans="1:43">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c r="AI32" s="168">
        <v>6600</v>
      </c>
    </row>
    <row r="33" spans="1:40">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c r="AI33" s="168">
        <v>19800</v>
      </c>
    </row>
    <row r="34" spans="1:40">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c r="AG34">
        <v>19800</v>
      </c>
      <c r="AH34" t="s">
        <v>2520</v>
      </c>
      <c r="AI34" s="168">
        <v>19800</v>
      </c>
    </row>
    <row r="35" spans="1:40" hidden="1">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c r="AI35" s="168">
        <v>7000</v>
      </c>
    </row>
    <row r="36" spans="1:40" hidden="1">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c r="AI36" s="168">
        <v>7000</v>
      </c>
    </row>
    <row r="37" spans="1:40" ht="13.5" customHeight="1">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c r="AI37" s="168">
        <v>11700</v>
      </c>
      <c r="AM37" s="197">
        <v>20500</v>
      </c>
      <c r="AN37" t="s">
        <v>2529</v>
      </c>
    </row>
    <row r="38" spans="1:40">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c r="AI38" s="217">
        <v>9500</v>
      </c>
    </row>
    <row r="39" spans="1:40">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2412</v>
      </c>
      <c r="Y39">
        <v>7900</v>
      </c>
      <c r="AB39" s="197">
        <v>7600</v>
      </c>
      <c r="AE39" s="217">
        <v>7000</v>
      </c>
      <c r="AF39" s="168">
        <f t="shared" si="3"/>
        <v>10500</v>
      </c>
      <c r="AI39" s="217">
        <v>7000</v>
      </c>
    </row>
    <row r="40" spans="1:40">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c r="AI40" s="217">
        <v>20500</v>
      </c>
    </row>
    <row r="41" spans="1:40">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c r="AI41" s="217">
        <v>6600</v>
      </c>
    </row>
    <row r="42" spans="1:40">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c r="AI42" s="168">
        <v>6600</v>
      </c>
    </row>
    <row r="43" spans="1:40">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c r="AI43" s="168">
        <v>7000</v>
      </c>
    </row>
    <row r="44" spans="1:40" hidden="1">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c r="AI44" s="168">
        <v>7000</v>
      </c>
    </row>
    <row r="45" spans="1:40">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c r="AI45" s="168">
        <v>7000</v>
      </c>
    </row>
    <row r="46" spans="1:40">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2423</v>
      </c>
      <c r="AE46" s="168">
        <v>7000</v>
      </c>
      <c r="AF46" s="168">
        <f t="shared" si="3"/>
        <v>10500</v>
      </c>
      <c r="AI46">
        <v>7000</v>
      </c>
    </row>
    <row r="47" spans="1:40">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c r="AI47" s="168">
        <v>7000</v>
      </c>
    </row>
    <row r="48" spans="1:40">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c r="AI48" s="168">
        <v>7000</v>
      </c>
    </row>
    <row r="49" spans="1:43">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3" si="8">AE49+3500</f>
        <v>15600</v>
      </c>
      <c r="AI49" s="168">
        <v>12100</v>
      </c>
    </row>
    <row r="50" spans="1:43" hidden="1">
      <c r="A50" s="168">
        <v>173</v>
      </c>
      <c r="B50" s="168" t="s">
        <v>2460</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2461</v>
      </c>
      <c r="AE50" s="168">
        <v>9500</v>
      </c>
      <c r="AF50" s="168">
        <f t="shared" si="8"/>
        <v>13000</v>
      </c>
      <c r="AI50" s="280">
        <v>13200</v>
      </c>
    </row>
    <row r="51" spans="1:43">
      <c r="A51">
        <v>174</v>
      </c>
      <c r="B51" t="s">
        <v>103</v>
      </c>
      <c r="C51" t="s">
        <v>149</v>
      </c>
      <c r="D51" t="s">
        <v>749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c r="AI51" s="218">
        <v>1500</v>
      </c>
    </row>
    <row r="52" spans="1:43">
      <c r="A52" s="168">
        <v>175</v>
      </c>
      <c r="B52" s="168" t="s">
        <v>103</v>
      </c>
      <c r="C52" s="168" t="s">
        <v>1940</v>
      </c>
      <c r="D52" s="168" t="s">
        <v>1937</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c r="AI52" s="168">
        <v>6600</v>
      </c>
    </row>
    <row r="53" spans="1:43">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c r="AI53" s="168">
        <v>7000</v>
      </c>
      <c r="AP53" s="197">
        <v>0</v>
      </c>
      <c r="AQ53" t="s">
        <v>2530</v>
      </c>
    </row>
    <row r="54" spans="1:43">
      <c r="A54" s="227">
        <v>178</v>
      </c>
      <c r="B54" s="227" t="s">
        <v>103</v>
      </c>
      <c r="C54" s="227" t="s">
        <v>586</v>
      </c>
      <c r="D54" s="227" t="s">
        <v>587</v>
      </c>
      <c r="E54" s="227"/>
      <c r="F54" s="227" t="s">
        <v>588</v>
      </c>
      <c r="G54" s="227" t="s">
        <v>589</v>
      </c>
      <c r="H54" s="227" t="s">
        <v>590</v>
      </c>
      <c r="I54" s="168">
        <v>7600</v>
      </c>
      <c r="J54" t="s">
        <v>109</v>
      </c>
      <c r="L54" s="168">
        <v>7000</v>
      </c>
      <c r="M54">
        <v>3500</v>
      </c>
      <c r="N54">
        <f t="shared" si="4"/>
        <v>10500</v>
      </c>
      <c r="P54">
        <f t="shared" si="6"/>
        <v>7600</v>
      </c>
      <c r="S54">
        <f t="shared" si="7"/>
        <v>7000</v>
      </c>
      <c r="V54" s="197">
        <v>17250</v>
      </c>
      <c r="W54" s="197" t="s">
        <v>2397</v>
      </c>
      <c r="Y54" s="197">
        <v>8800</v>
      </c>
      <c r="Z54" t="s">
        <v>2422</v>
      </c>
      <c r="AB54" s="197">
        <v>7600</v>
      </c>
      <c r="AE54" s="168">
        <v>7000</v>
      </c>
      <c r="AF54" s="168">
        <f t="shared" si="8"/>
        <v>10500</v>
      </c>
      <c r="AI54" s="168">
        <v>7600</v>
      </c>
    </row>
    <row r="55" spans="1:43">
      <c r="A55">
        <v>179</v>
      </c>
      <c r="B55" t="s">
        <v>103</v>
      </c>
      <c r="C55" t="s">
        <v>630</v>
      </c>
      <c r="D55" t="s">
        <v>2034</v>
      </c>
      <c r="F55" t="s">
        <v>2038</v>
      </c>
      <c r="G55" t="s">
        <v>2033</v>
      </c>
      <c r="H55" t="s">
        <v>2035</v>
      </c>
      <c r="I55" s="168">
        <v>7000</v>
      </c>
      <c r="J55" t="s">
        <v>109</v>
      </c>
      <c r="L55" s="236">
        <v>6600</v>
      </c>
      <c r="M55">
        <v>3500</v>
      </c>
      <c r="N55" t="s">
        <v>2341</v>
      </c>
      <c r="P55">
        <f t="shared" si="6"/>
        <v>7000</v>
      </c>
      <c r="S55">
        <f t="shared" si="7"/>
        <v>6600</v>
      </c>
      <c r="V55">
        <v>6600</v>
      </c>
      <c r="Y55">
        <v>6600</v>
      </c>
      <c r="AB55" s="197">
        <v>7800</v>
      </c>
      <c r="AC55" t="s">
        <v>2442</v>
      </c>
      <c r="AE55" s="168">
        <v>7000</v>
      </c>
      <c r="AF55" s="168">
        <f t="shared" si="8"/>
        <v>10500</v>
      </c>
      <c r="AI55" s="168">
        <v>7000</v>
      </c>
    </row>
    <row r="56" spans="1:43">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c r="AI56">
        <v>9500</v>
      </c>
    </row>
    <row r="57" spans="1:43" hidden="1">
      <c r="A57" s="168">
        <v>182</v>
      </c>
      <c r="B57" t="s">
        <v>2521</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c r="AI57" s="168">
        <v>7000</v>
      </c>
    </row>
    <row r="58" spans="1:43" hidden="1">
      <c r="A58" s="168">
        <v>183</v>
      </c>
      <c r="B58" t="s">
        <v>2521</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43">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c r="AI59">
        <v>7000</v>
      </c>
    </row>
    <row r="60" spans="1:43">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c r="AI60" s="168">
        <v>7000</v>
      </c>
    </row>
    <row r="61" spans="1:43" hidden="1">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c r="AI61">
        <v>7000</v>
      </c>
    </row>
    <row r="62" spans="1:43" ht="18" hidden="1" customHeight="1">
      <c r="A62">
        <v>187</v>
      </c>
      <c r="B62" t="s">
        <v>66</v>
      </c>
      <c r="C62" t="s">
        <v>2284</v>
      </c>
      <c r="H62" s="256" t="s">
        <v>2147</v>
      </c>
      <c r="I62" s="168">
        <v>7000</v>
      </c>
      <c r="J62" t="s">
        <v>109</v>
      </c>
      <c r="L62" s="168">
        <v>7000</v>
      </c>
      <c r="M62">
        <v>3500</v>
      </c>
      <c r="N62">
        <f t="shared" si="9"/>
        <v>10500</v>
      </c>
      <c r="O62" t="s">
        <v>2262</v>
      </c>
      <c r="P62">
        <f t="shared" si="6"/>
        <v>7000</v>
      </c>
      <c r="S62" s="271">
        <v>7000</v>
      </c>
      <c r="T62" t="s">
        <v>2380</v>
      </c>
      <c r="V62">
        <v>7000</v>
      </c>
      <c r="Y62">
        <v>7000</v>
      </c>
      <c r="AE62" s="168">
        <v>7000</v>
      </c>
      <c r="AF62" s="168">
        <f t="shared" si="8"/>
        <v>10500</v>
      </c>
      <c r="AI62">
        <v>7000</v>
      </c>
    </row>
    <row r="63" spans="1:43" ht="18.75" hidden="1" customHeight="1">
      <c r="A63">
        <v>188</v>
      </c>
      <c r="B63" t="s">
        <v>2505</v>
      </c>
      <c r="C63" t="s">
        <v>948</v>
      </c>
      <c r="D63" t="s">
        <v>2279</v>
      </c>
      <c r="G63" t="s">
        <v>2243</v>
      </c>
      <c r="H63" s="275" t="s">
        <v>951</v>
      </c>
      <c r="I63" s="168">
        <v>9500</v>
      </c>
      <c r="J63" t="s">
        <v>109</v>
      </c>
      <c r="L63" s="168">
        <v>9500</v>
      </c>
      <c r="P63">
        <f t="shared" si="6"/>
        <v>9500</v>
      </c>
      <c r="S63">
        <f>L63</f>
        <v>9500</v>
      </c>
      <c r="V63">
        <v>9500</v>
      </c>
      <c r="Y63">
        <v>9500</v>
      </c>
      <c r="AB63" s="295"/>
      <c r="AC63" t="s">
        <v>2449</v>
      </c>
      <c r="AE63" s="168">
        <v>0</v>
      </c>
      <c r="AF63" s="168">
        <v>0</v>
      </c>
      <c r="AI63">
        <v>6600</v>
      </c>
    </row>
    <row r="64" spans="1:43">
      <c r="A64">
        <v>189</v>
      </c>
      <c r="B64" t="s">
        <v>103</v>
      </c>
      <c r="C64" t="s">
        <v>1168</v>
      </c>
      <c r="D64" t="s">
        <v>2260</v>
      </c>
      <c r="F64" t="s">
        <v>2230</v>
      </c>
      <c r="G64" t="s">
        <v>2229</v>
      </c>
      <c r="H64" t="s">
        <v>2229</v>
      </c>
      <c r="I64">
        <v>6600</v>
      </c>
      <c r="J64" t="s">
        <v>109</v>
      </c>
      <c r="P64">
        <v>7600</v>
      </c>
      <c r="Q64" t="s">
        <v>2336</v>
      </c>
      <c r="S64">
        <v>7600</v>
      </c>
      <c r="T64" s="197" t="s">
        <v>2379</v>
      </c>
      <c r="V64">
        <v>7600</v>
      </c>
      <c r="Y64">
        <v>7600</v>
      </c>
      <c r="AE64">
        <v>6600</v>
      </c>
      <c r="AF64" s="168">
        <f t="shared" si="8"/>
        <v>10100</v>
      </c>
      <c r="AI64">
        <v>6600</v>
      </c>
    </row>
    <row r="65" spans="1:36">
      <c r="A65">
        <v>190</v>
      </c>
      <c r="B65" t="s">
        <v>103</v>
      </c>
      <c r="C65" s="275" t="s">
        <v>2282</v>
      </c>
      <c r="D65" s="275" t="s">
        <v>364</v>
      </c>
      <c r="E65" s="275"/>
      <c r="F65" s="275"/>
      <c r="G65" s="278" t="s">
        <v>2225</v>
      </c>
      <c r="H65" s="278" t="s">
        <v>2225</v>
      </c>
      <c r="I65" s="280">
        <v>13200</v>
      </c>
      <c r="J65" t="s">
        <v>109</v>
      </c>
      <c r="L65">
        <v>13200</v>
      </c>
      <c r="M65" t="s">
        <v>2338</v>
      </c>
      <c r="P65" s="197">
        <v>13200</v>
      </c>
      <c r="Q65" t="s">
        <v>2339</v>
      </c>
      <c r="S65">
        <v>13200</v>
      </c>
      <c r="T65" t="s">
        <v>2395</v>
      </c>
      <c r="V65">
        <v>13200</v>
      </c>
      <c r="Y65">
        <v>13200</v>
      </c>
      <c r="AE65" s="280">
        <v>13200</v>
      </c>
      <c r="AF65" s="168">
        <f t="shared" si="8"/>
        <v>16700</v>
      </c>
      <c r="AI65" s="280">
        <v>13200</v>
      </c>
    </row>
    <row r="66" spans="1:36" ht="14.25" hidden="1" customHeight="1">
      <c r="A66">
        <v>191</v>
      </c>
      <c r="B66" t="s">
        <v>2495</v>
      </c>
      <c r="C66" t="s">
        <v>560</v>
      </c>
      <c r="D66" t="s">
        <v>2285</v>
      </c>
      <c r="G66" s="256" t="s">
        <v>2286</v>
      </c>
      <c r="H66" s="256" t="s">
        <v>2288</v>
      </c>
      <c r="I66" s="168">
        <v>12100</v>
      </c>
      <c r="J66" t="s">
        <v>109</v>
      </c>
      <c r="L66" t="s">
        <v>1586</v>
      </c>
      <c r="P66">
        <v>12100</v>
      </c>
      <c r="Q66" t="s">
        <v>2338</v>
      </c>
      <c r="S66">
        <v>12100</v>
      </c>
      <c r="T66" t="s">
        <v>2395</v>
      </c>
      <c r="V66">
        <v>12100</v>
      </c>
      <c r="Y66">
        <v>12100</v>
      </c>
      <c r="AE66" s="168">
        <v>0</v>
      </c>
      <c r="AF66" s="168">
        <v>0</v>
      </c>
      <c r="AI66">
        <v>20500</v>
      </c>
    </row>
    <row r="67" spans="1:36" hidden="1">
      <c r="A67">
        <v>191</v>
      </c>
      <c r="B67" t="s">
        <v>2495</v>
      </c>
      <c r="C67" t="s">
        <v>560</v>
      </c>
      <c r="G67" s="256" t="s">
        <v>2286</v>
      </c>
      <c r="H67" s="256" t="s">
        <v>2287</v>
      </c>
      <c r="I67" s="168">
        <v>12100</v>
      </c>
      <c r="J67" t="s">
        <v>109</v>
      </c>
      <c r="L67" t="s">
        <v>1586</v>
      </c>
      <c r="P67">
        <v>12100</v>
      </c>
      <c r="Q67" t="s">
        <v>2338</v>
      </c>
      <c r="S67">
        <v>12100</v>
      </c>
      <c r="T67" t="s">
        <v>2395</v>
      </c>
      <c r="V67">
        <v>12100</v>
      </c>
      <c r="Y67">
        <v>12100</v>
      </c>
      <c r="AE67" s="168">
        <v>0</v>
      </c>
      <c r="AF67" s="168">
        <v>0</v>
      </c>
      <c r="AI67">
        <v>20500</v>
      </c>
    </row>
    <row r="68" spans="1:36">
      <c r="A68">
        <v>193</v>
      </c>
      <c r="B68" t="s">
        <v>103</v>
      </c>
      <c r="C68" t="s">
        <v>2280</v>
      </c>
      <c r="D68" t="s">
        <v>2281</v>
      </c>
      <c r="G68" s="275" t="s">
        <v>2342</v>
      </c>
      <c r="H68" s="256" t="s">
        <v>2283</v>
      </c>
      <c r="I68" s="168">
        <v>7000</v>
      </c>
      <c r="J68" t="s">
        <v>109</v>
      </c>
      <c r="L68" t="s">
        <v>1586</v>
      </c>
      <c r="P68">
        <v>7000</v>
      </c>
      <c r="Q68" t="s">
        <v>2338</v>
      </c>
      <c r="S68" s="197">
        <v>7000</v>
      </c>
      <c r="T68" t="s">
        <v>2370</v>
      </c>
      <c r="V68">
        <v>7000</v>
      </c>
      <c r="Y68">
        <v>7000</v>
      </c>
      <c r="AE68" s="168">
        <v>7000</v>
      </c>
      <c r="AF68" s="168">
        <f t="shared" si="8"/>
        <v>10500</v>
      </c>
      <c r="AI68" s="168">
        <v>7000</v>
      </c>
    </row>
    <row r="69" spans="1:36">
      <c r="A69">
        <v>194</v>
      </c>
      <c r="B69" t="s">
        <v>103</v>
      </c>
      <c r="C69" t="s">
        <v>2318</v>
      </c>
      <c r="D69" t="s">
        <v>2317</v>
      </c>
      <c r="G69" s="49" t="s">
        <v>2314</v>
      </c>
      <c r="H69" s="256" t="s">
        <v>2316</v>
      </c>
      <c r="I69" s="168">
        <v>20500</v>
      </c>
      <c r="J69" t="s">
        <v>109</v>
      </c>
      <c r="O69">
        <v>20500</v>
      </c>
      <c r="P69">
        <v>20500</v>
      </c>
      <c r="Q69" t="s">
        <v>1586</v>
      </c>
      <c r="S69">
        <v>20500</v>
      </c>
      <c r="T69" t="s">
        <v>2362</v>
      </c>
      <c r="V69">
        <v>20500</v>
      </c>
      <c r="Y69">
        <v>20500</v>
      </c>
      <c r="AE69" s="168">
        <v>20500</v>
      </c>
      <c r="AF69" s="168">
        <f t="shared" si="8"/>
        <v>24000</v>
      </c>
      <c r="AI69" s="168">
        <v>20500</v>
      </c>
    </row>
    <row r="70" spans="1:36" ht="15.75" hidden="1">
      <c r="A70">
        <v>195</v>
      </c>
      <c r="B70" t="s">
        <v>66</v>
      </c>
      <c r="C70" s="168" t="s">
        <v>2320</v>
      </c>
      <c r="D70" s="168" t="s">
        <v>1313</v>
      </c>
      <c r="G70" s="275"/>
      <c r="H70" s="297"/>
      <c r="J70" t="s">
        <v>109</v>
      </c>
      <c r="O70" t="s">
        <v>2321</v>
      </c>
      <c r="P70" s="271" t="s">
        <v>2335</v>
      </c>
      <c r="Q70" s="197" t="s">
        <v>2335</v>
      </c>
      <c r="AF70" s="168">
        <v>0</v>
      </c>
      <c r="AI70">
        <v>7600</v>
      </c>
    </row>
    <row r="71" spans="1:36" ht="15.75">
      <c r="A71">
        <v>196</v>
      </c>
      <c r="B71" t="s">
        <v>103</v>
      </c>
      <c r="C71" s="275" t="s">
        <v>2333</v>
      </c>
      <c r="D71" s="275" t="s">
        <v>490</v>
      </c>
      <c r="G71" s="56" t="s">
        <v>493</v>
      </c>
      <c r="H71" s="56" t="s">
        <v>2332</v>
      </c>
      <c r="I71" s="168">
        <v>20500</v>
      </c>
      <c r="J71" t="s">
        <v>109</v>
      </c>
      <c r="K71" t="s">
        <v>110</v>
      </c>
      <c r="O71">
        <v>20500</v>
      </c>
      <c r="P71" s="271" t="s">
        <v>2335</v>
      </c>
      <c r="Q71" s="197" t="s">
        <v>2335</v>
      </c>
      <c r="S71">
        <v>20500</v>
      </c>
      <c r="V71">
        <v>20500</v>
      </c>
      <c r="Y71">
        <v>20500</v>
      </c>
      <c r="AE71" s="168">
        <v>20500</v>
      </c>
      <c r="AF71" s="168"/>
      <c r="AI71" s="168">
        <v>20500</v>
      </c>
    </row>
    <row r="72" spans="1:36">
      <c r="A72">
        <v>197</v>
      </c>
      <c r="B72" t="s">
        <v>2493</v>
      </c>
      <c r="C72" s="168" t="s">
        <v>196</v>
      </c>
      <c r="D72" t="s">
        <v>2481</v>
      </c>
      <c r="G72" s="168" t="s">
        <v>2431</v>
      </c>
      <c r="H72" s="168" t="s">
        <v>2432</v>
      </c>
      <c r="I72" s="168">
        <v>20500</v>
      </c>
      <c r="J72" t="s">
        <v>2482</v>
      </c>
      <c r="Y72">
        <v>20500</v>
      </c>
      <c r="AB72">
        <v>20500</v>
      </c>
      <c r="AC72" t="s">
        <v>2502</v>
      </c>
      <c r="AE72" s="168">
        <v>20500</v>
      </c>
      <c r="AF72" s="168">
        <f t="shared" si="8"/>
        <v>24000</v>
      </c>
      <c r="AI72" s="168">
        <v>20500</v>
      </c>
    </row>
    <row r="73" spans="1:36">
      <c r="A73">
        <v>198</v>
      </c>
      <c r="B73" t="s">
        <v>2493</v>
      </c>
      <c r="C73" s="294" t="s">
        <v>2435</v>
      </c>
      <c r="D73" s="31" t="s">
        <v>2436</v>
      </c>
      <c r="G73" s="294" t="s">
        <v>2433</v>
      </c>
      <c r="H73" s="294" t="s">
        <v>2434</v>
      </c>
      <c r="I73" s="168">
        <v>7000</v>
      </c>
      <c r="J73" t="s">
        <v>2482</v>
      </c>
      <c r="AB73">
        <v>7000</v>
      </c>
      <c r="AC73" t="s">
        <v>2504</v>
      </c>
      <c r="AE73" s="168">
        <v>7000</v>
      </c>
      <c r="AF73" s="168">
        <f t="shared" si="8"/>
        <v>10500</v>
      </c>
      <c r="AI73" s="168">
        <v>7000</v>
      </c>
    </row>
    <row r="74" spans="1:36">
      <c r="A74">
        <v>199</v>
      </c>
      <c r="B74" t="s">
        <v>103</v>
      </c>
      <c r="C74" s="275" t="s">
        <v>1080</v>
      </c>
      <c r="D74" s="275" t="s">
        <v>2478</v>
      </c>
      <c r="G74" s="275" t="s">
        <v>2476</v>
      </c>
      <c r="H74" s="275" t="s">
        <v>2477</v>
      </c>
      <c r="I74">
        <v>7600</v>
      </c>
      <c r="J74" t="s">
        <v>1955</v>
      </c>
      <c r="AB74" t="s">
        <v>2479</v>
      </c>
      <c r="AC74" t="s">
        <v>2494</v>
      </c>
      <c r="AE74">
        <v>7600</v>
      </c>
      <c r="AF74" s="168" t="s">
        <v>2503</v>
      </c>
      <c r="AI74">
        <v>7600</v>
      </c>
      <c r="AJ74" t="s">
        <v>2523</v>
      </c>
    </row>
    <row r="75" spans="1:36">
      <c r="AE75">
        <v>6600</v>
      </c>
      <c r="AF75" s="168">
        <f>SUBTOTAL(9,AF4:AF74)</f>
        <v>751250</v>
      </c>
      <c r="AI75">
        <v>7000</v>
      </c>
    </row>
  </sheetData>
  <autoFilter ref="A1:AC74" xr:uid="{A9CBF736-D7D1-455D-B77B-1C9DDFD3BE1D}">
    <filterColumn colId="1">
      <filters>
        <filter val="y"/>
      </filters>
    </filterColumn>
    <sortState xmlns:xlrd2="http://schemas.microsoft.com/office/spreadsheetml/2017/richdata2" ref="A2:AC74">
      <sortCondition ref="A1:A74"/>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104775</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66675</xdr:colOff>
                    <xdr:row>0</xdr:row>
                    <xdr:rowOff>28575</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66675</xdr:rowOff>
                  </from>
                  <to>
                    <xdr:col>10</xdr:col>
                    <xdr:colOff>981075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28" activePane="bottomLeft" state="frozen"/>
      <selection pane="bottomLeft" activeCell="G34" sqref="G34"/>
    </sheetView>
  </sheetViews>
  <sheetFormatPr defaultRowHeight="15"/>
  <cols>
    <col min="1" max="1" width="9" style="146" customWidth="1"/>
    <col min="3" max="3" width="30" customWidth="1"/>
    <col min="7" max="7" width="20.85546875" customWidth="1"/>
    <col min="8" max="8" width="18.5703125" customWidth="1"/>
    <col min="9" max="9" width="17.28515625" customWidth="1"/>
    <col min="10" max="10" width="21" customWidth="1"/>
    <col min="11" max="11" width="22.28515625" style="156" customWidth="1"/>
    <col min="12" max="12" width="21" customWidth="1"/>
    <col min="13" max="13" width="15.5703125" style="156" customWidth="1"/>
    <col min="14" max="14" width="17.28515625" customWidth="1"/>
    <col min="15" max="15" width="9.85546875" bestFit="1" customWidth="1"/>
  </cols>
  <sheetData>
    <row r="1" spans="1:16" ht="57.75" customHeight="1">
      <c r="A1" s="303"/>
      <c r="B1" s="304"/>
      <c r="C1" s="304"/>
      <c r="D1" s="304"/>
      <c r="E1" s="304"/>
      <c r="G1" s="305"/>
      <c r="H1" s="305"/>
      <c r="J1" s="305"/>
      <c r="K1" s="306"/>
      <c r="L1" s="304"/>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90">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6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105">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5.75">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7000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409575</xdr:colOff>
                    <xdr:row>0</xdr:row>
                    <xdr:rowOff>104775</xdr:rowOff>
                  </from>
                  <to>
                    <xdr:col>4</xdr:col>
                    <xdr:colOff>485775</xdr:colOff>
                    <xdr:row>0</xdr:row>
                    <xdr:rowOff>600075</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561975</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142875</xdr:colOff>
                    <xdr:row>10</xdr:row>
                    <xdr:rowOff>66675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104775</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66675</xdr:rowOff>
                  </from>
                  <to>
                    <xdr:col>15</xdr:col>
                    <xdr:colOff>523875</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66675</xdr:colOff>
                    <xdr:row>15</xdr:row>
                    <xdr:rowOff>0</xdr:rowOff>
                  </from>
                  <to>
                    <xdr:col>15</xdr:col>
                    <xdr:colOff>533400</xdr:colOff>
                    <xdr:row>15</xdr:row>
                    <xdr:rowOff>142875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142875</xdr:colOff>
                    <xdr:row>16</xdr:row>
                    <xdr:rowOff>180975</xdr:rowOff>
                  </from>
                  <to>
                    <xdr:col>15</xdr:col>
                    <xdr:colOff>600075</xdr:colOff>
                    <xdr:row>16</xdr:row>
                    <xdr:rowOff>866775</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104775</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66675</xdr:rowOff>
                  </from>
                  <to>
                    <xdr:col>15</xdr:col>
                    <xdr:colOff>533400</xdr:colOff>
                    <xdr:row>18</xdr:row>
                    <xdr:rowOff>142875</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104775</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28575</xdr:colOff>
                    <xdr:row>33</xdr:row>
                    <xdr:rowOff>47625</xdr:rowOff>
                  </from>
                  <to>
                    <xdr:col>15</xdr:col>
                    <xdr:colOff>561975</xdr:colOff>
                    <xdr:row>33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tabSelected="1" workbookViewId="0">
      <selection activeCell="K16" sqref="K16"/>
    </sheetView>
  </sheetViews>
  <sheetFormatPr defaultRowHeight="15"/>
  <sheetData>
    <row r="1" spans="1:2" ht="31.5">
      <c r="A1" s="261" t="s">
        <v>2155</v>
      </c>
      <c r="B1" s="262" t="s">
        <v>2156</v>
      </c>
    </row>
    <row r="2" spans="1:2" ht="31.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9"/>
  <sheetViews>
    <sheetView zoomScale="85" zoomScaleNormal="85" workbookViewId="0">
      <pane ySplit="1" topLeftCell="A105" activePane="bottomLeft" state="frozen"/>
      <selection pane="bottomLeft" activeCell="H109" sqref="H109"/>
    </sheetView>
  </sheetViews>
  <sheetFormatPr defaultColWidth="7" defaultRowHeight="15"/>
  <cols>
    <col min="1" max="1" width="12" customWidth="1"/>
    <col min="2" max="2" width="26.5703125" bestFit="1" customWidth="1"/>
    <col min="3" max="5" width="26.5703125" customWidth="1"/>
    <col min="6" max="6" width="27.5703125" bestFit="1" customWidth="1"/>
    <col min="7" max="7" width="13.7109375" bestFit="1" customWidth="1"/>
    <col min="8" max="8" width="25.7109375" bestFit="1" customWidth="1"/>
    <col min="9" max="9" width="14.7109375" style="78" bestFit="1" customWidth="1"/>
    <col min="10" max="10" width="16.28515625" bestFit="1" customWidth="1"/>
    <col min="11" max="12" width="19.28515625" bestFit="1" customWidth="1"/>
    <col min="13" max="13" width="29" bestFit="1" customWidth="1"/>
    <col min="14" max="14" width="10.5703125" bestFit="1" customWidth="1"/>
    <col min="15" max="15" width="10.5703125" customWidth="1"/>
    <col min="16" max="16" width="10.28515625" bestFit="1" customWidth="1"/>
    <col min="17" max="17" width="6.85546875" customWidth="1"/>
    <col min="18" max="18" width="23.28515625" bestFit="1" customWidth="1"/>
    <col min="19" max="19" width="16" bestFit="1" customWidth="1"/>
    <col min="20" max="20" width="16.85546875" customWidth="1"/>
    <col min="21" max="21" width="10.28515625" bestFit="1" customWidth="1"/>
    <col min="22" max="22" width="9.28515625" bestFit="1" customWidth="1"/>
    <col min="23" max="23" width="9.28515625" customWidth="1"/>
    <col min="24" max="24" width="30.7109375" bestFit="1" customWidth="1"/>
    <col min="25" max="25" width="18" customWidth="1"/>
    <col min="26" max="26" width="15.85546875" bestFit="1" customWidth="1"/>
  </cols>
  <sheetData>
    <row r="1" spans="1:26" ht="29.85" customHeight="1" thickBot="1">
      <c r="A1" s="121" t="s">
        <v>37</v>
      </c>
      <c r="B1" s="122" t="s">
        <v>38</v>
      </c>
      <c r="C1" s="122" t="s">
        <v>2050</v>
      </c>
      <c r="D1" s="122" t="s">
        <v>2313</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350000000000001"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350000000000001"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8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8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8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8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8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350000000000001"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8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8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8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8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8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20.7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7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5">
      <c r="B60" s="49" t="s">
        <v>2079</v>
      </c>
      <c r="C60" s="49" t="s">
        <v>2080</v>
      </c>
      <c r="E60" s="49" t="s">
        <v>1663</v>
      </c>
      <c r="F60" s="67" t="s">
        <v>2083</v>
      </c>
      <c r="G60" s="49" t="s">
        <v>2082</v>
      </c>
      <c r="H60" s="87" t="s">
        <v>1665</v>
      </c>
      <c r="I60" s="80">
        <v>45903</v>
      </c>
      <c r="J60" s="85"/>
      <c r="R60" s="49" t="s">
        <v>1768</v>
      </c>
      <c r="T60" s="49" t="s">
        <v>2088</v>
      </c>
      <c r="Z60" s="87" t="s">
        <v>2081</v>
      </c>
    </row>
    <row r="61" spans="2:45" ht="60">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75" thickBot="1">
      <c r="F62" s="192" t="s">
        <v>2091</v>
      </c>
      <c r="G62" s="193" t="s">
        <v>2093</v>
      </c>
      <c r="H62" s="248" t="s">
        <v>1639</v>
      </c>
      <c r="I62" s="195">
        <v>45906</v>
      </c>
      <c r="J62" s="196">
        <v>0.41666666666666669</v>
      </c>
      <c r="M62" s="249" t="s">
        <v>72</v>
      </c>
      <c r="R62" s="197" t="s">
        <v>2069</v>
      </c>
      <c r="T62" s="197" t="s">
        <v>2092</v>
      </c>
    </row>
    <row r="63" spans="2:45" ht="15.75" thickBot="1">
      <c r="B63" t="s">
        <v>2112</v>
      </c>
      <c r="F63" s="13"/>
      <c r="G63" s="37" t="s">
        <v>2113</v>
      </c>
      <c r="H63" s="220" t="s">
        <v>1640</v>
      </c>
      <c r="I63" s="77">
        <v>45917</v>
      </c>
      <c r="J63" s="45">
        <v>0.54166666666666663</v>
      </c>
      <c r="M63" s="166" t="s">
        <v>197</v>
      </c>
    </row>
    <row r="64" spans="2:45" ht="60">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60">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5">
      <c r="B68" t="s">
        <v>2206</v>
      </c>
      <c r="C68" t="s">
        <v>2205</v>
      </c>
      <c r="F68" t="s">
        <v>2203</v>
      </c>
      <c r="G68" s="37" t="s">
        <v>2165</v>
      </c>
      <c r="H68" s="220" t="s">
        <v>1665</v>
      </c>
      <c r="I68" s="77">
        <v>45962</v>
      </c>
      <c r="J68" s="45">
        <v>0.45833333333333331</v>
      </c>
      <c r="M68" s="49" t="s">
        <v>102</v>
      </c>
      <c r="R68" s="31" t="s">
        <v>1768</v>
      </c>
      <c r="T68" t="s">
        <v>2204</v>
      </c>
      <c r="Z68" s="40" t="s">
        <v>2202</v>
      </c>
    </row>
    <row r="69" spans="2:26" ht="18.75">
      <c r="B69" s="263" t="s">
        <v>2170</v>
      </c>
      <c r="F69" t="s">
        <v>2169</v>
      </c>
      <c r="G69" s="37" t="s">
        <v>2168</v>
      </c>
      <c r="H69" s="220" t="s">
        <v>1639</v>
      </c>
      <c r="I69" s="77">
        <v>45969</v>
      </c>
      <c r="J69" s="45">
        <v>0.45833333333333331</v>
      </c>
      <c r="M69" s="49" t="s">
        <v>102</v>
      </c>
      <c r="R69" s="197" t="s">
        <v>2069</v>
      </c>
    </row>
    <row r="70" spans="2:26" ht="4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45">
      <c r="B75" t="s">
        <v>2249</v>
      </c>
      <c r="F75" t="s">
        <v>2251</v>
      </c>
      <c r="G75" t="s">
        <v>2250</v>
      </c>
      <c r="H75" s="220"/>
      <c r="I75" s="77">
        <v>46004</v>
      </c>
      <c r="J75" s="45">
        <v>0.54166666666666663</v>
      </c>
      <c r="M75" t="s">
        <v>90</v>
      </c>
      <c r="O75" t="s">
        <v>1680</v>
      </c>
      <c r="R75" t="s">
        <v>2069</v>
      </c>
      <c r="T75" t="s">
        <v>2252</v>
      </c>
      <c r="Z75" s="40" t="s">
        <v>2253</v>
      </c>
    </row>
    <row r="76" spans="2:26" s="49" customFormat="1" ht="60">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30">
      <c r="B79" s="49" t="s">
        <v>2310</v>
      </c>
      <c r="F79" s="67"/>
      <c r="G79" s="86" t="s">
        <v>2295</v>
      </c>
      <c r="H79" s="87" t="s">
        <v>1665</v>
      </c>
      <c r="I79" s="80">
        <v>46051</v>
      </c>
      <c r="J79" s="85">
        <v>0.52083333333333337</v>
      </c>
      <c r="M79" s="49" t="s">
        <v>90</v>
      </c>
      <c r="O79" s="49" t="s">
        <v>2228</v>
      </c>
      <c r="T79" s="49" t="s">
        <v>2294</v>
      </c>
      <c r="Z79" s="87" t="s">
        <v>2311</v>
      </c>
    </row>
    <row r="80" spans="2:26" s="49" customFormat="1" ht="30">
      <c r="B80" s="49" t="s">
        <v>2315</v>
      </c>
      <c r="D80" s="49" t="s">
        <v>1663</v>
      </c>
      <c r="F80" s="49" t="s">
        <v>2305</v>
      </c>
      <c r="G80" s="86" t="s">
        <v>2296</v>
      </c>
      <c r="H80" s="87" t="s">
        <v>1665</v>
      </c>
      <c r="I80" s="80">
        <v>46049</v>
      </c>
      <c r="J80" s="85">
        <v>0.58333333333333337</v>
      </c>
      <c r="M80" s="49" t="s">
        <v>90</v>
      </c>
      <c r="Z80" s="87" t="s">
        <v>2304</v>
      </c>
    </row>
    <row r="81" spans="2:26" ht="15.75">
      <c r="B81" s="36" t="s">
        <v>2297</v>
      </c>
      <c r="D81" t="s">
        <v>1663</v>
      </c>
      <c r="F81" s="13" t="s">
        <v>2303</v>
      </c>
      <c r="G81" s="37" t="s">
        <v>2298</v>
      </c>
      <c r="H81" s="220" t="s">
        <v>19</v>
      </c>
      <c r="I81" s="279">
        <v>46051</v>
      </c>
      <c r="J81" s="45">
        <v>0.66666666666666663</v>
      </c>
      <c r="M81" s="39" t="s">
        <v>90</v>
      </c>
      <c r="O81" s="39" t="s">
        <v>1785</v>
      </c>
      <c r="Z81" t="s">
        <v>2312</v>
      </c>
    </row>
    <row r="82" spans="2:26" s="49" customFormat="1" ht="15.75">
      <c r="B82" s="56" t="s">
        <v>2329</v>
      </c>
      <c r="F82" s="67" t="s">
        <v>2299</v>
      </c>
      <c r="G82" s="86" t="s">
        <v>2300</v>
      </c>
      <c r="H82" s="87" t="s">
        <v>19</v>
      </c>
      <c r="I82" s="80">
        <v>46053</v>
      </c>
      <c r="J82" s="85">
        <v>0.625</v>
      </c>
      <c r="M82" s="49" t="s">
        <v>90</v>
      </c>
      <c r="O82" s="49" t="s">
        <v>1680</v>
      </c>
      <c r="T82" s="49" t="s">
        <v>2330</v>
      </c>
      <c r="Z82" t="s">
        <v>2334</v>
      </c>
    </row>
    <row r="83" spans="2:26" ht="60">
      <c r="B83" s="36" t="s">
        <v>2326</v>
      </c>
      <c r="F83" s="13" t="s">
        <v>2301</v>
      </c>
      <c r="G83" t="s">
        <v>2302</v>
      </c>
      <c r="H83" s="220" t="s">
        <v>19</v>
      </c>
      <c r="I83" s="77">
        <v>46053</v>
      </c>
      <c r="J83" s="45">
        <v>0.58333333333333337</v>
      </c>
      <c r="M83" t="s">
        <v>72</v>
      </c>
      <c r="O83" t="s">
        <v>1476</v>
      </c>
      <c r="T83" t="s">
        <v>1691</v>
      </c>
      <c r="Z83" s="40" t="s">
        <v>2327</v>
      </c>
    </row>
    <row r="84" spans="2:26" s="31" customFormat="1">
      <c r="B84" s="31" t="s">
        <v>2307</v>
      </c>
      <c r="F84" s="52"/>
      <c r="G84" s="55" t="s">
        <v>2306</v>
      </c>
      <c r="H84" s="220"/>
      <c r="I84" s="81"/>
      <c r="J84" s="53"/>
    </row>
    <row r="85" spans="2:26" ht="45">
      <c r="B85" t="s">
        <v>2324</v>
      </c>
      <c r="F85" s="13" t="s">
        <v>2322</v>
      </c>
      <c r="G85" s="37" t="s">
        <v>2323</v>
      </c>
      <c r="H85" s="220"/>
      <c r="I85" s="77">
        <v>46053</v>
      </c>
      <c r="J85" s="45">
        <v>0.41666666666666669</v>
      </c>
      <c r="M85" t="s">
        <v>72</v>
      </c>
      <c r="O85" t="s">
        <v>1476</v>
      </c>
      <c r="Z85" s="40" t="s">
        <v>2325</v>
      </c>
    </row>
    <row r="86" spans="2:26" s="31" customFormat="1">
      <c r="B86" s="31" t="s">
        <v>2372</v>
      </c>
      <c r="F86" t="s">
        <v>2374</v>
      </c>
      <c r="G86" s="55"/>
      <c r="H86" s="220"/>
      <c r="I86" s="81"/>
      <c r="J86" s="53"/>
      <c r="O86" s="49" t="s">
        <v>1680</v>
      </c>
      <c r="T86" s="31" t="s">
        <v>2373</v>
      </c>
    </row>
    <row r="87" spans="2:26" s="59" customFormat="1">
      <c r="B87" t="s">
        <v>2429</v>
      </c>
      <c r="E87" s="59" t="s">
        <v>1663</v>
      </c>
      <c r="F87" s="13" t="s">
        <v>2427</v>
      </c>
      <c r="G87" s="242" t="s">
        <v>2375</v>
      </c>
      <c r="H87" s="63" t="s">
        <v>1640</v>
      </c>
      <c r="I87" s="79">
        <v>46083</v>
      </c>
      <c r="J87" s="61">
        <v>0.8125</v>
      </c>
      <c r="K87" s="59" t="s">
        <v>196</v>
      </c>
      <c r="M87" s="59" t="s">
        <v>132</v>
      </c>
      <c r="O87" s="59" t="s">
        <v>1680</v>
      </c>
      <c r="T87" s="59" t="s">
        <v>2376</v>
      </c>
      <c r="Z87" s="59" t="s">
        <v>2430</v>
      </c>
    </row>
    <row r="88" spans="2:26">
      <c r="F88" s="13"/>
      <c r="G88" s="37" t="s">
        <v>2377</v>
      </c>
      <c r="H88" s="220" t="s">
        <v>1640</v>
      </c>
      <c r="J88" s="45"/>
      <c r="M88" s="59" t="s">
        <v>132</v>
      </c>
      <c r="O88" t="s">
        <v>1476</v>
      </c>
      <c r="T88" t="s">
        <v>2378</v>
      </c>
    </row>
    <row r="89" spans="2:26" s="31" customFormat="1">
      <c r="F89" s="52"/>
      <c r="G89" s="55" t="s">
        <v>2381</v>
      </c>
      <c r="H89" s="220" t="s">
        <v>1640</v>
      </c>
      <c r="I89" s="81"/>
      <c r="J89" s="53"/>
      <c r="T89" t="s">
        <v>2382</v>
      </c>
    </row>
    <row r="90" spans="2:26" s="31" customFormat="1" ht="225">
      <c r="B90" s="283" t="s">
        <v>2385</v>
      </c>
      <c r="F90" s="52" t="s">
        <v>2386</v>
      </c>
      <c r="G90" s="55" t="s">
        <v>2383</v>
      </c>
      <c r="H90" s="220" t="s">
        <v>19</v>
      </c>
      <c r="I90" s="31" t="s">
        <v>2428</v>
      </c>
      <c r="J90" s="53"/>
      <c r="M90" s="31" t="s">
        <v>90</v>
      </c>
      <c r="O90" s="31" t="s">
        <v>1476</v>
      </c>
      <c r="R90" s="54" t="s">
        <v>1737</v>
      </c>
      <c r="T90" s="220" t="s">
        <v>2384</v>
      </c>
    </row>
    <row r="91" spans="2:26" s="31" customFormat="1" ht="315">
      <c r="B91" s="284" t="s">
        <v>2391</v>
      </c>
      <c r="F91" s="52" t="s">
        <v>2390</v>
      </c>
      <c r="G91" s="55"/>
      <c r="H91" s="220" t="s">
        <v>19</v>
      </c>
      <c r="I91" s="81"/>
      <c r="J91" s="53"/>
      <c r="M91" s="31" t="s">
        <v>72</v>
      </c>
      <c r="O91" s="31" t="s">
        <v>1476</v>
      </c>
      <c r="T91" s="220" t="s">
        <v>2392</v>
      </c>
    </row>
    <row r="92" spans="2:26" s="285" customFormat="1">
      <c r="F92" s="286" t="s">
        <v>2393</v>
      </c>
      <c r="G92" s="287"/>
      <c r="H92" s="288"/>
      <c r="I92" s="289"/>
      <c r="J92" s="290"/>
      <c r="T92" s="285" t="s">
        <v>2394</v>
      </c>
    </row>
    <row r="93" spans="2:26" s="31" customFormat="1" ht="45">
      <c r="B93" s="31" t="s">
        <v>2402</v>
      </c>
      <c r="F93" s="52" t="s">
        <v>2401</v>
      </c>
      <c r="G93" s="55" t="s">
        <v>2399</v>
      </c>
      <c r="H93" s="220"/>
      <c r="I93" s="31" t="s">
        <v>2406</v>
      </c>
      <c r="J93" s="53">
        <v>0.41666666666666669</v>
      </c>
      <c r="M93" s="31" t="s">
        <v>72</v>
      </c>
      <c r="O93" s="31" t="s">
        <v>1476</v>
      </c>
      <c r="R93" s="31" t="s">
        <v>1674</v>
      </c>
      <c r="T93" s="31" t="s">
        <v>2403</v>
      </c>
      <c r="U93" s="31" t="s">
        <v>109</v>
      </c>
      <c r="Z93" s="220" t="s">
        <v>2400</v>
      </c>
    </row>
    <row r="94" spans="2:26" s="59" customFormat="1" ht="60">
      <c r="B94" s="59" t="s">
        <v>2404</v>
      </c>
      <c r="E94" s="59" t="s">
        <v>1663</v>
      </c>
      <c r="F94" s="58" t="s">
        <v>2388</v>
      </c>
      <c r="G94" s="59" t="s">
        <v>2387</v>
      </c>
      <c r="H94" s="63" t="s">
        <v>19</v>
      </c>
      <c r="I94" s="59" t="s">
        <v>2406</v>
      </c>
      <c r="J94" s="61">
        <v>0.45833333333333331</v>
      </c>
      <c r="M94" s="59" t="s">
        <v>102</v>
      </c>
      <c r="O94" s="59" t="s">
        <v>1476</v>
      </c>
      <c r="R94" s="59" t="s">
        <v>1674</v>
      </c>
      <c r="U94" s="59" t="s">
        <v>109</v>
      </c>
      <c r="Z94" s="63" t="s">
        <v>2405</v>
      </c>
    </row>
    <row r="95" spans="2:26" ht="15.75">
      <c r="B95" s="36" t="s">
        <v>2408</v>
      </c>
      <c r="F95" s="13" t="s">
        <v>2409</v>
      </c>
      <c r="G95" s="37" t="s">
        <v>2407</v>
      </c>
      <c r="H95" s="220"/>
      <c r="I95" s="77">
        <v>46120</v>
      </c>
      <c r="J95" s="45">
        <v>0.54166666666666663</v>
      </c>
      <c r="M95" s="39" t="s">
        <v>661</v>
      </c>
      <c r="O95" t="s">
        <v>1476</v>
      </c>
      <c r="R95" t="s">
        <v>1674</v>
      </c>
      <c r="U95" s="31" t="s">
        <v>109</v>
      </c>
    </row>
    <row r="96" spans="2:26">
      <c r="F96" s="13" t="s">
        <v>2413</v>
      </c>
      <c r="G96" t="s">
        <v>2414</v>
      </c>
      <c r="H96" s="220" t="s">
        <v>19</v>
      </c>
      <c r="I96" t="s">
        <v>2418</v>
      </c>
      <c r="J96" s="45">
        <v>0.45833333333333331</v>
      </c>
      <c r="M96" t="s">
        <v>102</v>
      </c>
      <c r="O96" t="s">
        <v>1476</v>
      </c>
      <c r="R96" t="s">
        <v>1674</v>
      </c>
      <c r="U96" t="s">
        <v>109</v>
      </c>
    </row>
    <row r="97" spans="1:26" ht="15.75">
      <c r="B97" s="291" t="s">
        <v>2417</v>
      </c>
      <c r="F97" s="13" t="s">
        <v>2416</v>
      </c>
      <c r="G97" s="37" t="s">
        <v>2415</v>
      </c>
      <c r="H97" s="220" t="s">
        <v>19</v>
      </c>
      <c r="I97" t="s">
        <v>2421</v>
      </c>
      <c r="J97" s="45">
        <v>0.66666666666666663</v>
      </c>
      <c r="M97" t="s">
        <v>102</v>
      </c>
      <c r="O97" t="s">
        <v>1476</v>
      </c>
      <c r="R97" t="s">
        <v>1674</v>
      </c>
      <c r="U97" t="s">
        <v>109</v>
      </c>
    </row>
    <row r="98" spans="1:26">
      <c r="B98" t="s">
        <v>2424</v>
      </c>
      <c r="F98" s="13" t="s">
        <v>2420</v>
      </c>
      <c r="G98" s="37" t="s">
        <v>2419</v>
      </c>
      <c r="H98" s="220" t="s">
        <v>19</v>
      </c>
      <c r="I98" s="279">
        <v>46134</v>
      </c>
      <c r="J98" s="45">
        <v>0.66666666666666663</v>
      </c>
      <c r="M98" s="39" t="s">
        <v>72</v>
      </c>
      <c r="O98" t="s">
        <v>1476</v>
      </c>
      <c r="R98" t="s">
        <v>1674</v>
      </c>
      <c r="U98" t="s">
        <v>109</v>
      </c>
    </row>
    <row r="99" spans="1:26" ht="15.75">
      <c r="B99" s="36" t="s">
        <v>2425</v>
      </c>
      <c r="F99" s="13" t="s">
        <v>2426</v>
      </c>
      <c r="G99" s="37" t="s">
        <v>2492</v>
      </c>
      <c r="H99" s="220" t="s">
        <v>19</v>
      </c>
      <c r="I99" s="279">
        <v>46140</v>
      </c>
      <c r="J99" s="45">
        <v>0.45833333333333331</v>
      </c>
      <c r="M99" s="39" t="s">
        <v>661</v>
      </c>
      <c r="O99" s="39" t="s">
        <v>1680</v>
      </c>
      <c r="R99" t="s">
        <v>1674</v>
      </c>
      <c r="U99" t="s">
        <v>1955</v>
      </c>
    </row>
    <row r="100" spans="1:26" ht="15.75">
      <c r="B100" s="36" t="s">
        <v>2439</v>
      </c>
      <c r="C100" t="s">
        <v>2450</v>
      </c>
      <c r="F100" s="13" t="s">
        <v>2440</v>
      </c>
      <c r="G100" s="37" t="s">
        <v>2441</v>
      </c>
      <c r="H100" s="220" t="s">
        <v>19</v>
      </c>
      <c r="I100" s="77">
        <v>46154</v>
      </c>
      <c r="J100" s="45">
        <v>0.625</v>
      </c>
      <c r="M100" s="39" t="s">
        <v>72</v>
      </c>
      <c r="O100" t="s">
        <v>1476</v>
      </c>
      <c r="R100" t="s">
        <v>1674</v>
      </c>
      <c r="U100" t="s">
        <v>109</v>
      </c>
    </row>
    <row r="101" spans="1:26" ht="15.75">
      <c r="B101" s="36" t="s">
        <v>2445</v>
      </c>
      <c r="C101" t="s">
        <v>2446</v>
      </c>
      <c r="F101" s="13" t="s">
        <v>2448</v>
      </c>
      <c r="G101" s="37" t="s">
        <v>2447</v>
      </c>
      <c r="H101" s="220" t="s">
        <v>19</v>
      </c>
      <c r="I101" s="279">
        <v>46165</v>
      </c>
      <c r="J101" s="45">
        <v>0.45833333333333331</v>
      </c>
      <c r="M101" t="s">
        <v>102</v>
      </c>
      <c r="O101" t="s">
        <v>1476</v>
      </c>
    </row>
    <row r="102" spans="1:26" s="160" customFormat="1" ht="60">
      <c r="B102" s="298" t="s">
        <v>2463</v>
      </c>
      <c r="F102" s="161" t="s">
        <v>2466</v>
      </c>
      <c r="G102" s="299" t="s">
        <v>2465</v>
      </c>
      <c r="H102" s="252" t="s">
        <v>19</v>
      </c>
      <c r="I102" s="300">
        <v>46191</v>
      </c>
      <c r="J102" s="165" t="s">
        <v>2464</v>
      </c>
      <c r="M102" s="167" t="s">
        <v>661</v>
      </c>
      <c r="O102" s="167" t="s">
        <v>1680</v>
      </c>
      <c r="R102" s="160" t="s">
        <v>1674</v>
      </c>
      <c r="T102" s="160" t="s">
        <v>2497</v>
      </c>
      <c r="Z102" s="252" t="s">
        <v>2496</v>
      </c>
    </row>
    <row r="103" spans="1:26" ht="15.75">
      <c r="B103" s="36" t="s">
        <v>2469</v>
      </c>
      <c r="F103" s="13" t="s">
        <v>2467</v>
      </c>
      <c r="G103" s="37" t="s">
        <v>2468</v>
      </c>
      <c r="H103" s="220" t="s">
        <v>19</v>
      </c>
      <c r="I103" s="279">
        <v>46209</v>
      </c>
      <c r="J103" s="45">
        <v>0.66666666666666663</v>
      </c>
      <c r="M103" s="39" t="s">
        <v>102</v>
      </c>
      <c r="O103" t="s">
        <v>1476</v>
      </c>
      <c r="Z103" t="s">
        <v>2509</v>
      </c>
    </row>
    <row r="104" spans="1:26" s="31" customFormat="1" ht="45">
      <c r="A104" s="31" t="s">
        <v>103</v>
      </c>
      <c r="B104" s="31" t="s">
        <v>2472</v>
      </c>
      <c r="C104" s="31" t="s">
        <v>2471</v>
      </c>
      <c r="F104" s="31" t="s">
        <v>2474</v>
      </c>
      <c r="G104" s="31" t="s">
        <v>2473</v>
      </c>
      <c r="H104" s="220" t="s">
        <v>19</v>
      </c>
      <c r="I104" s="31" t="s">
        <v>2470</v>
      </c>
      <c r="J104" s="53" t="s">
        <v>2464</v>
      </c>
      <c r="M104" s="54" t="s">
        <v>661</v>
      </c>
      <c r="O104" s="31" t="s">
        <v>1476</v>
      </c>
      <c r="R104" s="31" t="s">
        <v>1674</v>
      </c>
      <c r="Z104" s="220" t="s">
        <v>2475</v>
      </c>
    </row>
    <row r="105" spans="1:26" ht="45">
      <c r="B105" t="s">
        <v>2512</v>
      </c>
      <c r="C105" t="s">
        <v>2513</v>
      </c>
      <c r="F105" t="s">
        <v>2515</v>
      </c>
      <c r="G105" s="37" t="s">
        <v>2506</v>
      </c>
      <c r="H105" s="42" t="s">
        <v>2507</v>
      </c>
      <c r="I105" s="78" t="s">
        <v>2508</v>
      </c>
      <c r="J105" s="45">
        <v>0.66666666666666663</v>
      </c>
      <c r="M105" s="54" t="s">
        <v>661</v>
      </c>
      <c r="O105" s="31" t="s">
        <v>1476</v>
      </c>
      <c r="Z105" s="40" t="s">
        <v>2514</v>
      </c>
    </row>
    <row r="106" spans="1:26" ht="45">
      <c r="B106" t="s">
        <v>2516</v>
      </c>
      <c r="C106" t="s">
        <v>2517</v>
      </c>
      <c r="F106" t="s">
        <v>2519</v>
      </c>
      <c r="G106" s="37" t="s">
        <v>2511</v>
      </c>
      <c r="H106" s="42" t="s">
        <v>2507</v>
      </c>
      <c r="I106" s="77">
        <v>46218</v>
      </c>
      <c r="J106" s="45">
        <v>0.72916666666666663</v>
      </c>
      <c r="M106">
        <v>19</v>
      </c>
      <c r="R106" s="31" t="s">
        <v>1674</v>
      </c>
      <c r="Z106" s="40" t="s">
        <v>2518</v>
      </c>
    </row>
    <row r="107" spans="1:26" ht="19.5">
      <c r="B107" s="302" t="s">
        <v>2524</v>
      </c>
      <c r="C107" t="s">
        <v>2534</v>
      </c>
      <c r="F107" s="13" t="s">
        <v>2525</v>
      </c>
      <c r="G107" s="291" t="s">
        <v>2526</v>
      </c>
      <c r="H107" s="220" t="s">
        <v>1639</v>
      </c>
      <c r="I107" s="77">
        <v>46237</v>
      </c>
      <c r="J107" s="45">
        <v>0.54166666666666663</v>
      </c>
      <c r="M107">
        <v>4</v>
      </c>
      <c r="Z107" t="s">
        <v>2535</v>
      </c>
    </row>
    <row r="108" spans="1:26" ht="60">
      <c r="B108" t="s">
        <v>2536</v>
      </c>
      <c r="C108" t="s">
        <v>2540</v>
      </c>
      <c r="F108" t="s">
        <v>2539</v>
      </c>
      <c r="G108" t="s">
        <v>2538</v>
      </c>
      <c r="H108" s="220" t="s">
        <v>1639</v>
      </c>
      <c r="I108" s="77">
        <v>46244</v>
      </c>
      <c r="J108" s="45">
        <v>0.70833333333333337</v>
      </c>
      <c r="M108">
        <v>6</v>
      </c>
      <c r="Z108" s="40" t="s">
        <v>2537</v>
      </c>
    </row>
    <row r="109" spans="1:26">
      <c r="G109" s="92"/>
      <c r="H109" s="220"/>
      <c r="J109" s="45"/>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 ref="F107" r:id="rId55" display="mailto:yukino.0322@icloud.com" xr:uid="{DEBD0422-1DDE-48BD-8B3C-A5C6805A7E51}"/>
  </hyperlinks>
  <pageMargins left="0.7" right="0.7" top="0.75" bottom="0.75" header="0.3" footer="0.3"/>
  <pageSetup paperSize="9" orientation="portrait" r:id="rId56"/>
  <drawing r:id="rId57"/>
  <tableParts count="1">
    <tablePart r:id="rId5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28515625" hidden="1" customWidth="1"/>
    <col min="13" max="13" width="0" hidden="1"/>
    <col min="14" max="14" width="13" bestFit="1" customWidth="1"/>
    <col min="15" max="15" width="16.28515625" bestFit="1" customWidth="1"/>
    <col min="16" max="16" width="6"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 bestFit="1" customWidth="1"/>
    <col min="42" max="42" width="14" bestFit="1" customWidth="1"/>
    <col min="43" max="43" width="18.28515625" bestFit="1" customWidth="1"/>
    <col min="44" max="44" width="25" bestFit="1" customWidth="1"/>
    <col min="45" max="45" width="5" bestFit="1" customWidth="1"/>
    <col min="46" max="46" width="12" customWidth="1"/>
    <col min="47" max="47" width="16.85546875" customWidth="1"/>
    <col min="48" max="48" width="11"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 bestFit="1" customWidth="1"/>
    <col min="80" max="81" width="17.28515625" customWidth="1"/>
    <col min="82" max="82" width="11" bestFit="1" customWidth="1"/>
    <col min="84" max="84" width="18" bestFit="1" customWidth="1"/>
    <col min="85" max="85" width="20.28515625" bestFit="1" customWidth="1"/>
    <col min="87" max="87" width="17.85546875" customWidth="1"/>
    <col min="88" max="88" width="21.7109375" customWidth="1"/>
    <col min="91" max="91" width="29" customWidth="1"/>
    <col min="92" max="92" width="9" bestFit="1" customWidth="1"/>
    <col min="94" max="94" width="24"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285156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85" customHeight="1">
      <c r="B1" s="307" t="s">
        <v>1819</v>
      </c>
      <c r="C1" s="308"/>
      <c r="D1" s="308"/>
      <c r="E1" s="118"/>
      <c r="F1" s="118"/>
      <c r="H1" s="309" t="s">
        <v>1820</v>
      </c>
      <c r="I1" s="308"/>
      <c r="J1" s="308"/>
      <c r="K1" s="308"/>
      <c r="L1" s="308"/>
      <c r="M1" s="98"/>
      <c r="N1" s="309" t="s">
        <v>1821</v>
      </c>
      <c r="O1" s="308"/>
      <c r="P1" s="308"/>
      <c r="Q1" s="308"/>
      <c r="R1" s="308"/>
      <c r="S1" s="308"/>
      <c r="T1" s="308"/>
      <c r="U1" s="308"/>
      <c r="V1" s="308"/>
      <c r="X1" s="309" t="s">
        <v>1822</v>
      </c>
      <c r="Y1" s="308"/>
      <c r="Z1" s="308"/>
      <c r="AA1" s="308"/>
      <c r="AC1" s="307" t="s">
        <v>1823</v>
      </c>
      <c r="AD1" s="308"/>
      <c r="AE1" s="308"/>
      <c r="AF1" s="308"/>
      <c r="AG1" s="308"/>
      <c r="AH1" s="308"/>
      <c r="AI1" s="308"/>
      <c r="AJ1" s="308"/>
      <c r="AK1" s="308"/>
      <c r="AL1" s="100"/>
      <c r="AM1" s="100"/>
      <c r="AN1" s="100"/>
      <c r="AP1" s="307" t="s">
        <v>1824</v>
      </c>
      <c r="AQ1" s="308"/>
      <c r="AR1" s="308"/>
      <c r="AS1" s="308"/>
      <c r="AT1" s="308"/>
      <c r="AU1" s="308"/>
      <c r="AV1" s="308"/>
      <c r="AW1" s="308"/>
      <c r="AY1" s="307" t="s">
        <v>1825</v>
      </c>
      <c r="AZ1" s="308"/>
      <c r="BA1" s="308"/>
      <c r="BB1" s="308"/>
      <c r="BC1" s="308"/>
      <c r="BD1" s="94"/>
      <c r="BE1" s="307" t="s">
        <v>1826</v>
      </c>
      <c r="BF1" s="308"/>
      <c r="BG1" s="308"/>
      <c r="BJ1" s="307" t="s">
        <v>1827</v>
      </c>
      <c r="BK1" s="308"/>
      <c r="BL1" s="308"/>
      <c r="BM1" s="308"/>
      <c r="BN1" s="308"/>
      <c r="BO1" s="308"/>
      <c r="BP1" s="308"/>
      <c r="BQ1" s="308"/>
      <c r="BR1" s="308"/>
      <c r="BS1" s="308"/>
      <c r="BT1" s="308"/>
      <c r="BU1" s="308"/>
      <c r="BV1" s="308"/>
      <c r="BX1" s="310" t="s">
        <v>1828</v>
      </c>
      <c r="BY1" s="308"/>
      <c r="BZ1" s="308"/>
      <c r="CA1" s="308"/>
      <c r="CB1" s="308"/>
      <c r="CC1" s="308"/>
      <c r="CD1" s="308"/>
      <c r="CE1" s="94"/>
      <c r="CF1" s="88" t="s">
        <v>1</v>
      </c>
      <c r="CG1" t="s">
        <v>103</v>
      </c>
      <c r="CI1" s="307" t="s">
        <v>1829</v>
      </c>
      <c r="CJ1" s="308"/>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 customWidth="1"/>
  </cols>
  <sheetData>
    <row r="1" spans="1:2">
      <c r="A1" s="305"/>
      <c r="B1" s="304"/>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 bestFit="1" customWidth="1"/>
    <col min="4" max="4" width="11.28515625" bestFit="1" customWidth="1"/>
    <col min="5" max="5" width="4.28515625" bestFit="1" customWidth="1"/>
    <col min="6" max="7" width="6" bestFit="1" customWidth="1"/>
    <col min="8" max="8" width="5" bestFit="1" customWidth="1"/>
    <col min="9" max="9" width="6" bestFit="1" customWidth="1"/>
    <col min="10" max="10" width="4" bestFit="1" customWidth="1"/>
    <col min="11" max="11" width="6" bestFit="1" customWidth="1"/>
    <col min="12" max="13" width="10.85546875" bestFit="1" customWidth="1"/>
    <col min="15" max="15" width="12.5703125" bestFit="1" customWidth="1"/>
    <col min="16" max="16" width="10"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 bestFit="1" customWidth="1"/>
    <col min="24" max="24" width="6.7109375" bestFit="1" customWidth="1"/>
    <col min="25" max="26" width="10.85546875" bestFit="1" customWidth="1"/>
  </cols>
  <sheetData>
    <row r="1" spans="2:26">
      <c r="B1" s="311" t="s">
        <v>1902</v>
      </c>
      <c r="C1" s="304"/>
      <c r="D1" s="304"/>
      <c r="E1" s="304"/>
      <c r="F1" s="304"/>
      <c r="G1" s="304"/>
      <c r="H1" s="304"/>
      <c r="I1" s="304"/>
      <c r="J1" s="304"/>
      <c r="K1" s="304"/>
      <c r="L1" s="304"/>
      <c r="M1" s="304"/>
      <c r="O1" s="311" t="s">
        <v>1903</v>
      </c>
      <c r="P1" s="304"/>
      <c r="Q1" s="304"/>
      <c r="R1" s="304"/>
      <c r="S1" s="304"/>
      <c r="T1" s="304"/>
      <c r="U1" s="304"/>
      <c r="V1" s="304"/>
      <c r="W1" s="304"/>
      <c r="X1" s="304"/>
      <c r="Y1" s="304"/>
      <c r="Z1" s="304"/>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 bestFit="1" customWidth="1"/>
    <col min="3" max="3" width="17.2851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2026-08-14T02:09:49Z</dcterms:modified>
</cp:coreProperties>
</file>