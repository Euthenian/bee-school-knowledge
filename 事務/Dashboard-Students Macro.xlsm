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8389E77-7640-9E18-AD5C-E98E2F4A8B83}"/>
  <workbookPr codeName="ThisWorkbook"/>
  <mc:AlternateContent xmlns:mc="http://schemas.openxmlformats.org/markup-compatibility/2006">
    <mc:Choice Requires="x15">
      <x15ac:absPath xmlns:x15ac="http://schemas.microsoft.com/office/spreadsheetml/2010/11/ac" url="M:\Git\bee-school-knowledge\事務\"/>
    </mc:Choice>
  </mc:AlternateContent>
  <xr:revisionPtr revIDLastSave="0" documentId="13_ncr:1_{ED980EFB-FE99-452D-B9FD-013FCDBEA9F8}" xr6:coauthVersionLast="47" xr6:coauthVersionMax="47" xr10:uidLastSave="{00000000-0000-0000-0000-000000000000}"/>
  <bookViews>
    <workbookView xWindow="-25320" yWindow="-1095" windowWidth="25440" windowHeight="15390" tabRatio="587" activeTab="3"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2" i="13" l="1"/>
  <c r="P42" i="13"/>
  <c r="AF10" i="13"/>
  <c r="P10" i="13"/>
  <c r="AF2" i="13"/>
  <c r="AF3" i="13"/>
  <c r="AF4" i="13"/>
  <c r="AF5" i="13"/>
  <c r="AF6" i="13"/>
  <c r="AF7" i="13"/>
  <c r="AF8" i="13"/>
  <c r="AF9" i="13"/>
  <c r="AF11" i="13"/>
  <c r="AF12" i="13"/>
  <c r="AF13" i="13"/>
  <c r="AF14" i="13"/>
  <c r="AF15" i="13"/>
  <c r="AF16" i="13"/>
  <c r="AF17" i="13"/>
  <c r="AF18" i="13"/>
  <c r="AF19" i="13"/>
  <c r="AF20" i="13"/>
  <c r="AF22" i="13"/>
  <c r="AF23" i="13"/>
  <c r="AF24" i="13"/>
  <c r="AF25" i="13"/>
  <c r="AF26" i="13"/>
  <c r="AF27" i="13"/>
  <c r="AF29" i="13"/>
  <c r="AF30" i="13"/>
  <c r="AF31" i="13"/>
  <c r="AF32" i="13"/>
  <c r="AF33" i="13"/>
  <c r="AF34" i="13"/>
  <c r="AF35" i="13"/>
  <c r="AF36" i="13"/>
  <c r="AF37" i="13"/>
  <c r="AF38" i="13"/>
  <c r="AF39" i="13"/>
  <c r="AF40" i="13"/>
  <c r="AF41" i="13"/>
  <c r="AF43" i="13"/>
  <c r="AF44" i="13"/>
  <c r="AF45" i="13"/>
  <c r="AF46" i="13"/>
  <c r="AF47" i="13"/>
  <c r="AF48" i="13"/>
  <c r="AF50" i="13"/>
  <c r="AF51" i="13"/>
  <c r="AF52" i="13"/>
  <c r="AF53" i="13"/>
  <c r="AF54" i="13"/>
  <c r="AF55" i="13"/>
  <c r="AF56" i="13"/>
  <c r="AF57" i="13"/>
  <c r="AF58" i="13"/>
  <c r="AF59" i="13"/>
  <c r="AF60" i="13"/>
  <c r="AF61" i="13"/>
  <c r="AF62" i="13"/>
  <c r="AF63" i="13"/>
  <c r="AF65" i="13"/>
  <c r="AF66" i="13"/>
  <c r="AF69" i="13"/>
  <c r="AF70" i="13"/>
  <c r="AF73" i="13"/>
  <c r="AF74" i="13"/>
  <c r="AF49" i="13"/>
  <c r="S4" i="13"/>
  <c r="S33" i="13"/>
  <c r="S12" i="13"/>
  <c r="S20" i="13"/>
  <c r="S11" i="13"/>
  <c r="S35" i="13"/>
  <c r="S39" i="13"/>
  <c r="S40" i="13"/>
  <c r="S41" i="13"/>
  <c r="S43" i="13"/>
  <c r="S44" i="13"/>
  <c r="S45" i="13"/>
  <c r="S46" i="13"/>
  <c r="S47" i="13"/>
  <c r="S48" i="13"/>
  <c r="S49" i="13"/>
  <c r="S50" i="13"/>
  <c r="S51" i="13"/>
  <c r="S52" i="13"/>
  <c r="S53" i="13"/>
  <c r="S54" i="13"/>
  <c r="S55" i="13"/>
  <c r="S56" i="13"/>
  <c r="S57" i="13"/>
  <c r="S58" i="13"/>
  <c r="S59" i="13"/>
  <c r="S60" i="13"/>
  <c r="S61" i="13"/>
  <c r="S62" i="13"/>
  <c r="S64" i="13"/>
  <c r="P4" i="13"/>
  <c r="S22" i="13"/>
  <c r="S25" i="13"/>
  <c r="S7" i="13"/>
  <c r="S17" i="13"/>
  <c r="S8" i="13"/>
  <c r="S9" i="13"/>
  <c r="S3" i="13"/>
  <c r="S16" i="13"/>
  <c r="S13" i="13"/>
  <c r="S14" i="13"/>
  <c r="S36" i="13"/>
  <c r="S37" i="13"/>
  <c r="S2" i="13"/>
  <c r="S24" i="13"/>
  <c r="S29" i="13"/>
  <c r="S6" i="13"/>
  <c r="S27" i="13"/>
  <c r="S28" i="13"/>
  <c r="S15" i="13"/>
  <c r="S38" i="13"/>
  <c r="S5" i="13"/>
  <c r="S31" i="13"/>
  <c r="S34" i="13"/>
  <c r="S30" i="13"/>
  <c r="S32" i="13"/>
  <c r="S19" i="13"/>
  <c r="P25" i="13"/>
  <c r="P7" i="13"/>
  <c r="P17" i="13"/>
  <c r="P8" i="13"/>
  <c r="P9" i="13"/>
  <c r="P3" i="13"/>
  <c r="P16" i="13"/>
  <c r="P13" i="13"/>
  <c r="P14" i="13"/>
  <c r="P36" i="13"/>
  <c r="P37" i="13"/>
  <c r="P2" i="13"/>
  <c r="P24" i="13"/>
  <c r="P29" i="13"/>
  <c r="P6" i="13"/>
  <c r="P27" i="13"/>
  <c r="P28" i="13"/>
  <c r="P15" i="13"/>
  <c r="P38" i="13"/>
  <c r="P5" i="13"/>
  <c r="P31" i="13"/>
  <c r="P34" i="13"/>
  <c r="P30" i="13"/>
  <c r="P32" i="13"/>
  <c r="P19" i="13"/>
  <c r="P33" i="13"/>
  <c r="P12" i="13"/>
  <c r="P20" i="13"/>
  <c r="P11" i="13"/>
  <c r="P35" i="13"/>
  <c r="P39" i="13"/>
  <c r="P40" i="13"/>
  <c r="P41" i="13"/>
  <c r="P43" i="13"/>
  <c r="P44" i="13"/>
  <c r="P45" i="13"/>
  <c r="P46" i="13"/>
  <c r="P47" i="13"/>
  <c r="P48" i="13"/>
  <c r="P49" i="13"/>
  <c r="P50" i="13"/>
  <c r="P51" i="13"/>
  <c r="P52" i="13"/>
  <c r="P53" i="13"/>
  <c r="P54" i="13"/>
  <c r="P55" i="13"/>
  <c r="P56" i="13"/>
  <c r="P57" i="13"/>
  <c r="P58" i="13"/>
  <c r="P59" i="13"/>
  <c r="P60" i="13"/>
  <c r="P61" i="13"/>
  <c r="P62" i="13"/>
  <c r="P63" i="13"/>
  <c r="P64" i="13"/>
  <c r="P22" i="13"/>
  <c r="N13" i="13"/>
  <c r="N25" i="13"/>
  <c r="N7" i="13"/>
  <c r="N17" i="13"/>
  <c r="N8" i="13"/>
  <c r="N9" i="13"/>
  <c r="N23" i="13"/>
  <c r="N3" i="13"/>
  <c r="N16" i="13"/>
  <c r="N14" i="13"/>
  <c r="N36" i="13"/>
  <c r="N37" i="13"/>
  <c r="N2" i="13"/>
  <c r="N18" i="13"/>
  <c r="N24" i="13"/>
  <c r="N29" i="13"/>
  <c r="N6" i="13"/>
  <c r="N27" i="13"/>
  <c r="N28" i="13"/>
  <c r="N15" i="13"/>
  <c r="N38" i="13"/>
  <c r="N5" i="13"/>
  <c r="N31" i="13"/>
  <c r="N34" i="13"/>
  <c r="N30" i="13"/>
  <c r="N32" i="13"/>
  <c r="N19" i="13"/>
  <c r="N26" i="13"/>
  <c r="N4" i="13"/>
  <c r="N33" i="13"/>
  <c r="N12" i="13"/>
  <c r="N20" i="13"/>
  <c r="N11" i="13"/>
  <c r="N35" i="13"/>
  <c r="N39" i="13"/>
  <c r="N40" i="13"/>
  <c r="N41" i="13"/>
  <c r="N43" i="13"/>
  <c r="N44" i="13"/>
  <c r="N45" i="13"/>
  <c r="N46" i="13"/>
  <c r="N47" i="13"/>
  <c r="N48" i="13"/>
  <c r="N49" i="13"/>
  <c r="N50" i="13"/>
  <c r="N51" i="13"/>
  <c r="N52" i="13"/>
  <c r="N53" i="13"/>
  <c r="N54" i="13"/>
  <c r="N55" i="13"/>
  <c r="N57" i="13"/>
  <c r="N58" i="13"/>
  <c r="N59" i="13"/>
  <c r="N60" i="13"/>
  <c r="N61" i="13"/>
  <c r="N62" i="13"/>
  <c r="N63" i="13"/>
  <c r="N22"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BK66" i="1"/>
  <c r="BI66" i="1"/>
  <c r="BG66" i="1"/>
  <c r="AZ66" i="1"/>
  <c r="AX66" i="1"/>
  <c r="BK138" i="1"/>
  <c r="BI138" i="1"/>
  <c r="BG138" i="1"/>
  <c r="AZ138" i="1"/>
  <c r="AX138" i="1"/>
  <c r="BK184" i="1"/>
  <c r="BI184" i="1"/>
  <c r="BG184" i="1"/>
  <c r="AZ184" i="1"/>
  <c r="AX184" i="1"/>
  <c r="BK201" i="1"/>
  <c r="BI201" i="1"/>
  <c r="BG201" i="1"/>
  <c r="AZ201" i="1"/>
  <c r="AX201" i="1"/>
  <c r="BK4" i="1"/>
  <c r="BI4" i="1"/>
  <c r="BG4" i="1"/>
  <c r="AZ4" i="1"/>
  <c r="AX4" i="1"/>
  <c r="BK42" i="1"/>
  <c r="BI42" i="1"/>
  <c r="BG42" i="1"/>
  <c r="AZ42" i="1"/>
  <c r="AX42" i="1"/>
  <c r="BK64" i="1"/>
  <c r="BI64" i="1"/>
  <c r="BG64" i="1"/>
  <c r="AZ64" i="1"/>
  <c r="AX64" i="1"/>
  <c r="AZ225" i="1"/>
  <c r="AX225" i="1"/>
  <c r="AZ150" i="1"/>
  <c r="AX150" i="1"/>
  <c r="AZ75" i="1"/>
  <c r="AX75" i="1"/>
  <c r="BK145" i="1"/>
  <c r="BI145" i="1"/>
  <c r="BG145" i="1"/>
  <c r="AZ145" i="1"/>
  <c r="AX145" i="1"/>
  <c r="BK86" i="1"/>
  <c r="BI86" i="1"/>
  <c r="BG86" i="1"/>
  <c r="AZ86" i="1"/>
  <c r="AX86" i="1"/>
  <c r="AZ7" i="1"/>
  <c r="AX7" i="1"/>
  <c r="BK83" i="1"/>
  <c r="BI83" i="1"/>
  <c r="BG83" i="1"/>
  <c r="AZ83" i="1"/>
  <c r="AX83" i="1"/>
  <c r="BK190" i="1"/>
  <c r="BI190" i="1"/>
  <c r="BG190" i="1"/>
  <c r="AZ190" i="1"/>
  <c r="AX190" i="1"/>
  <c r="AZ218" i="1"/>
  <c r="AX218" i="1"/>
  <c r="BK37" i="1"/>
  <c r="BI37" i="1"/>
  <c r="BG37" i="1"/>
  <c r="AZ37" i="1"/>
  <c r="AX37" i="1"/>
  <c r="BK197" i="1"/>
  <c r="BI197" i="1"/>
  <c r="BG197" i="1"/>
  <c r="AZ197" i="1"/>
  <c r="AX197" i="1"/>
  <c r="BK53" i="1"/>
  <c r="BI53" i="1"/>
  <c r="BG53" i="1"/>
  <c r="AZ53" i="1"/>
  <c r="AX53" i="1"/>
  <c r="AZ51" i="1"/>
  <c r="AX51" i="1"/>
  <c r="BK113" i="1"/>
  <c r="BI113" i="1"/>
  <c r="BG113" i="1"/>
  <c r="AZ113" i="1"/>
  <c r="AX113" i="1"/>
  <c r="AX71" i="1"/>
  <c r="AZ71" i="1"/>
  <c r="BG71" i="1"/>
  <c r="BI71" i="1"/>
  <c r="BK71" i="1"/>
  <c r="AZ102" i="1"/>
  <c r="AX102" i="1"/>
  <c r="AZ8" i="1"/>
  <c r="AX8" i="1"/>
  <c r="BK140" i="1"/>
  <c r="BI140" i="1"/>
  <c r="BG140" i="1"/>
  <c r="AZ140" i="1"/>
  <c r="AX140" i="1"/>
  <c r="BK128" i="1"/>
  <c r="BI128" i="1"/>
  <c r="BG128" i="1"/>
  <c r="AZ128" i="1"/>
  <c r="AX128" i="1"/>
  <c r="AX27" i="1"/>
  <c r="AZ27" i="1"/>
  <c r="BG27" i="1"/>
  <c r="BI27" i="1"/>
  <c r="BK27" i="1"/>
  <c r="BK95" i="1"/>
  <c r="BI95" i="1"/>
  <c r="BG95" i="1"/>
  <c r="AZ95" i="1"/>
  <c r="AX95" i="1"/>
  <c r="BK149" i="1"/>
  <c r="BI149" i="1"/>
  <c r="BG149" i="1"/>
  <c r="AZ149" i="1"/>
  <c r="AX149" i="1"/>
  <c r="BK158" i="1"/>
  <c r="BI158" i="1"/>
  <c r="BG158" i="1"/>
  <c r="AZ158" i="1"/>
  <c r="AX158" i="1"/>
  <c r="AZ233" i="1"/>
  <c r="AX233" i="1"/>
  <c r="BK156" i="1"/>
  <c r="BI156" i="1"/>
  <c r="BG156" i="1"/>
  <c r="AZ156" i="1"/>
  <c r="AX156" i="1"/>
  <c r="AX77" i="1"/>
  <c r="AZ77" i="1"/>
  <c r="BG77" i="1"/>
  <c r="BI77" i="1"/>
  <c r="BK77" i="1"/>
  <c r="BK90" i="1"/>
  <c r="BI90" i="1"/>
  <c r="BG90" i="1"/>
  <c r="AZ90" i="1"/>
  <c r="AX90" i="1"/>
  <c r="BK174" i="1"/>
  <c r="BI174" i="1"/>
  <c r="AX174" i="1"/>
  <c r="AZ174" i="1"/>
  <c r="BG174" i="1"/>
  <c r="BK67" i="1"/>
  <c r="BI67" i="1"/>
  <c r="AX67" i="1"/>
  <c r="AZ67" i="1"/>
  <c r="BG67" i="1"/>
  <c r="BK157" i="1"/>
  <c r="BI157" i="1"/>
  <c r="BG157" i="1"/>
  <c r="AZ157" i="1"/>
  <c r="AX157" i="1"/>
  <c r="BK209" i="1"/>
  <c r="BI209" i="1"/>
  <c r="BG209" i="1"/>
  <c r="AZ209" i="1"/>
  <c r="AX209" i="1"/>
  <c r="BK19" i="1"/>
  <c r="BI19" i="1"/>
  <c r="BG19" i="1"/>
  <c r="AZ19" i="1"/>
  <c r="AX19" i="1"/>
  <c r="AX146" i="1"/>
  <c r="AZ146" i="1"/>
  <c r="BG146" i="1"/>
  <c r="BI146" i="1"/>
  <c r="BK146" i="1"/>
  <c r="AX54" i="1"/>
  <c r="AZ54" i="1"/>
  <c r="BG54" i="1"/>
  <c r="BI54" i="1"/>
  <c r="BK54" i="1"/>
  <c r="AZ183" i="1"/>
  <c r="AX183" i="1"/>
  <c r="AX45" i="1"/>
  <c r="AZ45" i="1"/>
  <c r="BG45" i="1"/>
  <c r="BI45" i="1"/>
  <c r="BK45" i="1"/>
  <c r="BK199" i="1"/>
  <c r="BI199" i="1"/>
  <c r="BG199" i="1"/>
  <c r="AZ199" i="1"/>
  <c r="AX199" i="1"/>
  <c r="AZ221" i="1"/>
  <c r="AX221" i="1"/>
  <c r="BK179" i="1"/>
  <c r="BI179" i="1"/>
  <c r="BG179" i="1"/>
  <c r="AZ179" i="1"/>
  <c r="AX179" i="1"/>
  <c r="AX87" i="1"/>
  <c r="AZ87" i="1"/>
  <c r="BG87" i="1"/>
  <c r="BI87" i="1"/>
  <c r="BK87" i="1"/>
  <c r="BK151" i="1"/>
  <c r="BI151" i="1"/>
  <c r="BG151" i="1"/>
  <c r="AZ151" i="1"/>
  <c r="AX151" i="1"/>
  <c r="AX133" i="1"/>
  <c r="AZ133" i="1"/>
  <c r="BG133" i="1"/>
  <c r="BI133" i="1"/>
  <c r="BK133" i="1"/>
  <c r="AX6" i="1"/>
  <c r="AZ6" i="1"/>
  <c r="BG6" i="1"/>
  <c r="BI6" i="1"/>
  <c r="BK6" i="1"/>
  <c r="BK31" i="1"/>
  <c r="BI31" i="1"/>
  <c r="BG31" i="1"/>
  <c r="AZ31" i="1"/>
  <c r="AX31" i="1"/>
  <c r="BK65" i="1"/>
  <c r="AX65" i="1"/>
  <c r="AZ65" i="1"/>
  <c r="BG65" i="1"/>
  <c r="BI65" i="1"/>
  <c r="AZ161" i="1"/>
  <c r="AX161" i="1"/>
  <c r="AZ234" i="1"/>
  <c r="AX234" i="1"/>
  <c r="AZ50" i="1"/>
  <c r="AX50" i="1"/>
  <c r="AX132" i="1"/>
  <c r="AZ132" i="1"/>
  <c r="BG132" i="1"/>
  <c r="BI132" i="1"/>
  <c r="BK132" i="1"/>
  <c r="BK121" i="1"/>
  <c r="BI121" i="1"/>
  <c r="BG121" i="1"/>
  <c r="AZ121" i="1"/>
  <c r="AX121" i="1"/>
  <c r="AX12" i="1"/>
  <c r="AZ12" i="1"/>
  <c r="BG12" i="1"/>
  <c r="BI12" i="1"/>
  <c r="BK12" i="1"/>
  <c r="BK177" i="1"/>
  <c r="AX177" i="1"/>
  <c r="AZ177" i="1"/>
  <c r="BG177" i="1"/>
  <c r="BI177" i="1"/>
  <c r="AX134" i="1"/>
  <c r="AZ134" i="1"/>
  <c r="BG134" i="1"/>
  <c r="BI134" i="1"/>
  <c r="BK134" i="1"/>
  <c r="AX213" i="1"/>
  <c r="AZ213" i="1"/>
  <c r="BG213" i="1"/>
  <c r="BI213" i="1"/>
  <c r="BK213" i="1"/>
  <c r="BK15" i="1"/>
  <c r="BI15" i="1"/>
  <c r="BG15" i="1"/>
  <c r="AZ15" i="1"/>
  <c r="AX15" i="1"/>
  <c r="BK26" i="1"/>
  <c r="BI26" i="1"/>
  <c r="AX26" i="1"/>
  <c r="AZ26" i="1"/>
  <c r="BG26" i="1"/>
  <c r="BK110" i="1"/>
  <c r="BI110" i="1"/>
  <c r="BG110" i="1"/>
  <c r="AZ110" i="1"/>
  <c r="AX110" i="1"/>
  <c r="AX68" i="1"/>
  <c r="AZ68" i="1"/>
  <c r="BG68" i="1"/>
  <c r="BI68" i="1"/>
  <c r="BK68" i="1"/>
  <c r="BK141" i="1"/>
  <c r="BI141" i="1"/>
  <c r="BG141" i="1"/>
  <c r="AZ141" i="1"/>
  <c r="AX141" i="1"/>
  <c r="BK20" i="1"/>
  <c r="BI20" i="1"/>
  <c r="BG20" i="1"/>
  <c r="AZ20" i="1"/>
  <c r="AX20" i="1"/>
  <c r="BK219" i="1"/>
  <c r="BI219" i="1"/>
  <c r="AX219" i="1"/>
  <c r="AZ219" i="1"/>
  <c r="BG219" i="1"/>
  <c r="BK55" i="1"/>
  <c r="BI55" i="1"/>
  <c r="BG55" i="1"/>
  <c r="AZ55" i="1"/>
  <c r="AX55" i="1"/>
  <c r="BK94" i="1"/>
  <c r="BI94" i="1"/>
  <c r="BG94" i="1"/>
  <c r="AZ94" i="1"/>
  <c r="AX94" i="1"/>
  <c r="BK74" i="1"/>
  <c r="BI74" i="1"/>
  <c r="BG74" i="1"/>
  <c r="AZ74" i="1"/>
  <c r="AX74" i="1"/>
  <c r="AX41" i="1"/>
  <c r="AZ41" i="1"/>
  <c r="BG41" i="1"/>
  <c r="BI41" i="1"/>
  <c r="BK41" i="1"/>
  <c r="AZ228" i="1"/>
  <c r="AX228" i="1"/>
  <c r="AW62" i="1"/>
  <c r="AX62" i="1"/>
  <c r="AZ62" i="1"/>
  <c r="BG62" i="1"/>
  <c r="BI62" i="1"/>
  <c r="BK62" i="1"/>
  <c r="BK38" i="1"/>
  <c r="BI38" i="1"/>
  <c r="BG38" i="1"/>
  <c r="AZ38" i="1"/>
  <c r="AX38" i="1"/>
  <c r="AX35" i="1"/>
  <c r="AZ35" i="1"/>
  <c r="BG35" i="1"/>
  <c r="BI35" i="1"/>
  <c r="BK35" i="1"/>
  <c r="AX166" i="1"/>
  <c r="AZ166" i="1"/>
  <c r="BG166" i="1"/>
  <c r="BI166" i="1"/>
  <c r="BK166" i="1"/>
  <c r="BK25" i="1"/>
  <c r="AX25" i="1"/>
  <c r="AZ25" i="1"/>
  <c r="BG25" i="1"/>
  <c r="BI25" i="1"/>
  <c r="AX10" i="1"/>
  <c r="AZ10" i="1"/>
  <c r="BG10" i="1"/>
  <c r="BI10" i="1"/>
  <c r="BK10" i="1"/>
  <c r="AX222" i="1"/>
  <c r="AZ222" i="1"/>
  <c r="BG222" i="1"/>
  <c r="BI222" i="1"/>
  <c r="BK222" i="1"/>
  <c r="AZ182" i="1"/>
  <c r="AX182" i="1"/>
  <c r="BK2" i="1"/>
  <c r="BI2" i="1"/>
  <c r="BG2" i="1"/>
  <c r="AZ2" i="1"/>
  <c r="BK172" i="1"/>
  <c r="BI172" i="1"/>
  <c r="BG172" i="1"/>
  <c r="AZ172" i="1"/>
  <c r="AX172" i="1"/>
  <c r="AX49" i="1"/>
  <c r="AZ49" i="1"/>
  <c r="BG49" i="1"/>
  <c r="BI49" i="1"/>
  <c r="BK49" i="1"/>
  <c r="AZ230" i="1"/>
  <c r="AX230" i="1"/>
  <c r="AX69" i="1"/>
  <c r="AZ69" i="1"/>
  <c r="BG69" i="1"/>
  <c r="BI69" i="1"/>
  <c r="BK69" i="1"/>
  <c r="AX59" i="1"/>
  <c r="AZ59" i="1"/>
  <c r="BG59" i="1"/>
  <c r="BI59" i="1"/>
  <c r="BK59" i="1"/>
  <c r="AX131" i="1"/>
  <c r="AZ131" i="1"/>
  <c r="BG131" i="1"/>
  <c r="BI131" i="1"/>
  <c r="BK131" i="1"/>
  <c r="AX44" i="1"/>
  <c r="AZ44" i="1"/>
  <c r="BG44" i="1"/>
  <c r="BI44" i="1"/>
  <c r="BK44" i="1"/>
  <c r="BK214" i="1"/>
  <c r="AX214" i="1"/>
  <c r="AZ214" i="1"/>
  <c r="BG214" i="1"/>
  <c r="BI214" i="1"/>
  <c r="BK36" i="1"/>
  <c r="AX36" i="1"/>
  <c r="AZ36" i="1"/>
  <c r="BG36" i="1"/>
  <c r="BI36" i="1"/>
  <c r="BK185" i="1"/>
  <c r="AX185" i="1"/>
  <c r="AZ185" i="1"/>
  <c r="BG185" i="1"/>
  <c r="BI185" i="1"/>
  <c r="BK210" i="1"/>
  <c r="AX210" i="1"/>
  <c r="AZ210" i="1"/>
  <c r="BG210" i="1"/>
  <c r="BI210" i="1"/>
  <c r="BK3" i="1"/>
  <c r="AX3" i="1"/>
  <c r="AZ3" i="1"/>
  <c r="BG3" i="1"/>
  <c r="BI3" i="1"/>
  <c r="AZ81" i="1"/>
  <c r="AX81" i="1"/>
  <c r="AX165" i="1"/>
  <c r="AZ165" i="1"/>
  <c r="BG165" i="1"/>
  <c r="BI165" i="1"/>
  <c r="BK165" i="1"/>
  <c r="AZ188" i="1"/>
  <c r="AX188" i="1"/>
  <c r="AZ229" i="1"/>
  <c r="AX229" i="1"/>
  <c r="AZ162" i="1"/>
  <c r="AX162" i="1"/>
  <c r="BK96" i="1"/>
  <c r="BI96" i="1"/>
  <c r="BG96" i="1"/>
  <c r="AZ96" i="1"/>
  <c r="AX96" i="1"/>
  <c r="AX147" i="1"/>
  <c r="AZ147" i="1"/>
  <c r="BG147" i="1"/>
  <c r="BI147" i="1"/>
  <c r="BK147" i="1"/>
  <c r="AX57" i="1"/>
  <c r="AZ57" i="1"/>
  <c r="BG57" i="1"/>
  <c r="BI57" i="1"/>
  <c r="BK57" i="1"/>
  <c r="BK129" i="1"/>
  <c r="AX129" i="1"/>
  <c r="AZ129" i="1"/>
  <c r="BG129" i="1"/>
  <c r="BI129" i="1"/>
  <c r="BK14" i="1"/>
  <c r="BI14" i="1"/>
  <c r="BG14" i="1"/>
  <c r="AZ14" i="1"/>
  <c r="AX14" i="1"/>
  <c r="BK84" i="1"/>
  <c r="BI84" i="1"/>
  <c r="BG84" i="1"/>
  <c r="AZ84" i="1"/>
  <c r="AX84" i="1"/>
  <c r="BK33" i="1"/>
  <c r="BI33" i="1"/>
  <c r="BG33" i="1"/>
  <c r="AZ33" i="1"/>
  <c r="AX33" i="1"/>
  <c r="AZ136" i="1"/>
  <c r="AX136" i="1"/>
  <c r="AZ170" i="1"/>
  <c r="AX170" i="1"/>
  <c r="AX99" i="1"/>
  <c r="AZ99" i="1"/>
  <c r="BG99" i="1"/>
  <c r="BI99" i="1"/>
  <c r="BK99" i="1"/>
  <c r="AX29" i="1"/>
  <c r="AZ29" i="1"/>
  <c r="BG29" i="1"/>
  <c r="BI29" i="1"/>
  <c r="BK29" i="1"/>
  <c r="AX9" i="1"/>
  <c r="AZ9" i="1"/>
  <c r="BG9" i="1"/>
  <c r="BI9" i="1"/>
  <c r="BK9" i="1"/>
  <c r="AX79" i="1"/>
  <c r="AZ79" i="1"/>
  <c r="BG79" i="1"/>
  <c r="BI79" i="1"/>
  <c r="BK79" i="1"/>
  <c r="AX101" i="1"/>
  <c r="AZ101" i="1"/>
  <c r="BG101" i="1"/>
  <c r="BI101" i="1"/>
  <c r="BK101" i="1"/>
  <c r="AX206" i="1"/>
  <c r="AZ206" i="1"/>
  <c r="BG206" i="1"/>
  <c r="BI206" i="1"/>
  <c r="BK206" i="1"/>
  <c r="AZ227" i="1"/>
  <c r="AX227" i="1"/>
  <c r="AW204" i="1"/>
  <c r="AX204" i="1"/>
  <c r="AZ204" i="1"/>
  <c r="BG204" i="1"/>
  <c r="BI204" i="1"/>
  <c r="BK204" i="1"/>
  <c r="AX89" i="1"/>
  <c r="AZ89" i="1"/>
  <c r="BG89" i="1"/>
  <c r="BI89" i="1"/>
  <c r="BK89" i="1"/>
  <c r="AX58" i="1"/>
  <c r="AZ58" i="1"/>
  <c r="BG58" i="1"/>
  <c r="BI58" i="1"/>
  <c r="BK58" i="1"/>
  <c r="AW224" i="1"/>
  <c r="AX224" i="1"/>
  <c r="AZ224" i="1"/>
  <c r="BG224" i="1"/>
  <c r="BI224" i="1"/>
  <c r="BK224" i="1"/>
  <c r="BK72" i="1"/>
  <c r="BI72" i="1"/>
  <c r="AX72" i="1"/>
  <c r="AZ72" i="1"/>
  <c r="BG72" i="1"/>
  <c r="BK207" i="1"/>
  <c r="BI207" i="1"/>
  <c r="AX207" i="1"/>
  <c r="AZ207" i="1"/>
  <c r="BG207" i="1"/>
  <c r="BK187" i="1"/>
  <c r="BI187" i="1"/>
  <c r="BG187" i="1"/>
  <c r="AZ187" i="1"/>
  <c r="AX187" i="1"/>
  <c r="BK61" i="1"/>
  <c r="BI61" i="1"/>
  <c r="BG61" i="1"/>
  <c r="AZ61" i="1"/>
  <c r="AX61" i="1"/>
  <c r="BK23" i="1"/>
  <c r="BI23" i="1"/>
  <c r="BG23" i="1"/>
  <c r="AZ23" i="1"/>
  <c r="AX23" i="1"/>
  <c r="BK56" i="1"/>
  <c r="AX56" i="1"/>
  <c r="AZ56" i="1"/>
  <c r="BG56" i="1"/>
  <c r="BI56" i="1"/>
  <c r="BK22" i="1"/>
  <c r="AX22" i="1"/>
  <c r="AZ22" i="1"/>
  <c r="BG22" i="1"/>
  <c r="BI22" i="1"/>
  <c r="AZ178" i="1"/>
  <c r="AX178" i="1"/>
  <c r="BK215" i="1"/>
  <c r="AX215" i="1"/>
  <c r="AZ215" i="1"/>
  <c r="BG215" i="1"/>
  <c r="BI215" i="1"/>
  <c r="AX143" i="1"/>
  <c r="AZ143" i="1"/>
  <c r="BG143" i="1"/>
  <c r="BI143" i="1"/>
  <c r="BK143" i="1"/>
  <c r="AX148" i="1"/>
  <c r="AZ148" i="1"/>
  <c r="BG148" i="1"/>
  <c r="BI148" i="1"/>
  <c r="BK148" i="1"/>
  <c r="AX11" i="1"/>
  <c r="AZ11" i="1"/>
  <c r="BG11" i="1"/>
  <c r="BI11" i="1"/>
  <c r="BK11" i="1"/>
  <c r="BK78" i="1"/>
  <c r="BI78" i="1"/>
  <c r="BG78" i="1"/>
  <c r="AZ78" i="1"/>
  <c r="AX78" i="1"/>
  <c r="AX5" i="1"/>
  <c r="AZ5" i="1"/>
  <c r="BG5" i="1"/>
  <c r="BI5" i="1"/>
  <c r="BK5" i="1"/>
  <c r="AX52" i="1"/>
  <c r="AZ52" i="1"/>
  <c r="BG52" i="1"/>
  <c r="BI52" i="1"/>
  <c r="BK52" i="1"/>
  <c r="BK192" i="1"/>
  <c r="AX192" i="1"/>
  <c r="AZ192" i="1"/>
  <c r="BG192" i="1"/>
  <c r="BI192" i="1"/>
  <c r="BK73" i="1"/>
  <c r="AX73" i="1"/>
  <c r="AZ73" i="1"/>
  <c r="BG73" i="1"/>
  <c r="BI73" i="1"/>
  <c r="BK112" i="1"/>
  <c r="BI112" i="1"/>
  <c r="AX112" i="1"/>
  <c r="AZ112" i="1"/>
  <c r="BG112" i="1"/>
  <c r="AX70" i="1"/>
  <c r="AZ70" i="1"/>
  <c r="BG70" i="1"/>
  <c r="BI70" i="1"/>
  <c r="BK70" i="1"/>
  <c r="AZ120" i="1"/>
  <c r="AX120" i="1"/>
  <c r="AX126" i="1"/>
  <c r="AZ126" i="1"/>
  <c r="BG126" i="1"/>
  <c r="BI126" i="1"/>
  <c r="BK126" i="1"/>
  <c r="AX142" i="1"/>
  <c r="AZ142" i="1"/>
  <c r="BG142" i="1"/>
  <c r="BI142" i="1"/>
  <c r="BK142" i="1"/>
  <c r="BK181" i="1"/>
  <c r="BI181" i="1"/>
  <c r="BG181" i="1"/>
  <c r="AZ181" i="1"/>
  <c r="AX181" i="1"/>
  <c r="AX137" i="1"/>
  <c r="AZ137" i="1"/>
  <c r="BG137" i="1"/>
  <c r="BI137" i="1"/>
  <c r="BK137" i="1"/>
  <c r="BK93" i="1"/>
  <c r="BI93" i="1"/>
  <c r="BG93" i="1"/>
  <c r="AZ93" i="1"/>
  <c r="AX93" i="1"/>
  <c r="AX196" i="1"/>
  <c r="AZ196" i="1"/>
  <c r="BG196" i="1"/>
  <c r="BI196" i="1"/>
  <c r="BK196" i="1"/>
  <c r="AZ154" i="1"/>
  <c r="AX154" i="1"/>
  <c r="AZ82" i="1"/>
  <c r="AX82" i="1"/>
  <c r="AX107" i="1"/>
  <c r="AZ107" i="1"/>
  <c r="BG107" i="1"/>
  <c r="BI107" i="1"/>
  <c r="BK107" i="1"/>
  <c r="AX152" i="1"/>
  <c r="AZ152" i="1"/>
  <c r="BG152" i="1"/>
  <c r="BI152" i="1"/>
  <c r="BK152" i="1"/>
  <c r="AZ226" i="1"/>
  <c r="AX226" i="1"/>
  <c r="AX106" i="1"/>
  <c r="AZ106" i="1"/>
  <c r="BG106" i="1"/>
  <c r="BI106" i="1"/>
  <c r="BK106" i="1"/>
  <c r="AX43" i="1"/>
  <c r="AZ43" i="1"/>
  <c r="BG43" i="1"/>
  <c r="BI43" i="1"/>
  <c r="BK43" i="1"/>
  <c r="AZ202" i="1"/>
  <c r="AX202" i="1"/>
  <c r="BK189" i="1"/>
  <c r="AX189" i="1"/>
  <c r="AZ189" i="1"/>
  <c r="BG189" i="1"/>
  <c r="BI189" i="1"/>
  <c r="AX34" i="1"/>
  <c r="AZ34" i="1"/>
  <c r="BG34" i="1"/>
  <c r="BI34" i="1"/>
  <c r="BK34" i="1"/>
  <c r="BK46" i="1"/>
  <c r="AX46" i="1"/>
  <c r="AZ46" i="1"/>
  <c r="BG46" i="1"/>
  <c r="BI46" i="1"/>
  <c r="AX163" i="1"/>
  <c r="AZ163" i="1"/>
  <c r="BG163" i="1"/>
  <c r="BI163" i="1"/>
  <c r="BK163" i="1"/>
  <c r="AX122" i="1"/>
  <c r="AZ122" i="1"/>
  <c r="BG122" i="1"/>
  <c r="BI122" i="1"/>
  <c r="BK122" i="1"/>
  <c r="AX144" i="1"/>
  <c r="AZ144" i="1"/>
  <c r="BG144" i="1"/>
  <c r="BI144" i="1"/>
  <c r="BK144" i="1"/>
  <c r="AX109" i="1"/>
  <c r="AZ109" i="1"/>
  <c r="BG109" i="1"/>
  <c r="BI109" i="1"/>
  <c r="BK109" i="1"/>
  <c r="AZ223" i="1"/>
  <c r="AX223" i="1"/>
  <c r="AX98" i="1"/>
  <c r="AZ98" i="1"/>
  <c r="BG98" i="1"/>
  <c r="BI98" i="1"/>
  <c r="BK98" i="1"/>
  <c r="AX205" i="1"/>
  <c r="AZ205" i="1"/>
  <c r="BG205" i="1"/>
  <c r="BI205" i="1"/>
  <c r="BK205" i="1"/>
  <c r="AZ97" i="1"/>
  <c r="AX97" i="1"/>
  <c r="AZ220" i="1"/>
  <c r="AX220" i="1"/>
  <c r="AX48" i="1"/>
  <c r="AZ48" i="1"/>
  <c r="BG48" i="1"/>
  <c r="BI48" i="1"/>
  <c r="BK48" i="1"/>
  <c r="AX200" i="1"/>
  <c r="AZ200" i="1"/>
  <c r="BG200" i="1"/>
  <c r="BI200" i="1"/>
  <c r="BK200" i="1"/>
  <c r="AZ232" i="1"/>
  <c r="AX232" i="1"/>
  <c r="BK119" i="1"/>
  <c r="BI119" i="1"/>
  <c r="BG119" i="1"/>
  <c r="AZ119" i="1"/>
  <c r="AX119" i="1"/>
  <c r="AX47" i="1"/>
  <c r="AZ47" i="1"/>
  <c r="BG47" i="1"/>
  <c r="BI47" i="1"/>
  <c r="BK47" i="1"/>
  <c r="AX211" i="1"/>
  <c r="AZ211" i="1"/>
  <c r="BG211" i="1"/>
  <c r="BI211" i="1"/>
  <c r="BK211" i="1"/>
  <c r="AW125" i="1"/>
  <c r="AX125" i="1"/>
  <c r="AZ125" i="1"/>
  <c r="BG125" i="1"/>
  <c r="BI125" i="1"/>
  <c r="BK125" i="1"/>
  <c r="AX63" i="1"/>
  <c r="AZ63" i="1"/>
  <c r="BG63" i="1"/>
  <c r="BI63" i="1"/>
  <c r="BK63" i="1"/>
  <c r="AX114" i="1"/>
  <c r="AZ114" i="1"/>
  <c r="BG114" i="1"/>
  <c r="BI114" i="1"/>
  <c r="BK114" i="1"/>
  <c r="AX139" i="1"/>
  <c r="AZ139" i="1"/>
  <c r="BG139" i="1"/>
  <c r="BI139" i="1"/>
  <c r="BK139" i="1"/>
  <c r="AX168" i="1"/>
  <c r="AZ168" i="1"/>
  <c r="BG168" i="1"/>
  <c r="BI168" i="1"/>
  <c r="BK168" i="1"/>
  <c r="AZ167" i="1"/>
  <c r="AX167" i="1"/>
  <c r="AX13" i="1"/>
  <c r="AZ13" i="1"/>
  <c r="BG13" i="1"/>
  <c r="BI13" i="1"/>
  <c r="BK13" i="1"/>
  <c r="AX40" i="1"/>
  <c r="AZ40" i="1"/>
  <c r="BG40" i="1"/>
  <c r="BI40" i="1"/>
  <c r="BK40" i="1"/>
  <c r="AX191" i="1"/>
  <c r="AZ191" i="1"/>
  <c r="BG191" i="1"/>
  <c r="BI191" i="1"/>
  <c r="BK191" i="1"/>
  <c r="BK28" i="1"/>
  <c r="BI28" i="1"/>
  <c r="BG28" i="1"/>
  <c r="AZ28" i="1"/>
  <c r="AX28" i="1"/>
  <c r="AX76" i="1"/>
  <c r="AZ76" i="1"/>
  <c r="BG76" i="1"/>
  <c r="BI76" i="1"/>
  <c r="BK76" i="1"/>
  <c r="BK80" i="1"/>
  <c r="BI80" i="1"/>
  <c r="BG80" i="1"/>
  <c r="AZ80" i="1"/>
  <c r="AX80" i="1"/>
  <c r="AX39" i="1"/>
  <c r="AZ39" i="1"/>
  <c r="BG39" i="1"/>
  <c r="BI39" i="1"/>
  <c r="BK39" i="1"/>
  <c r="AX91" i="1"/>
  <c r="AZ91" i="1"/>
  <c r="BG91" i="1"/>
  <c r="BI91" i="1"/>
  <c r="BK91" i="1"/>
  <c r="AX164" i="1"/>
  <c r="AZ164" i="1"/>
  <c r="BG164" i="1"/>
  <c r="BI164" i="1"/>
  <c r="BK164" i="1"/>
  <c r="AX194" i="1"/>
  <c r="AZ194" i="1"/>
  <c r="BG194" i="1"/>
  <c r="BI194" i="1"/>
  <c r="BK194" i="1"/>
  <c r="AX18" i="1"/>
  <c r="AZ18" i="1"/>
  <c r="BG18" i="1"/>
  <c r="BI18" i="1"/>
  <c r="BK18" i="1"/>
  <c r="AX88" i="1"/>
  <c r="AZ88" i="1"/>
  <c r="BG88" i="1"/>
  <c r="BI88" i="1"/>
  <c r="BK88" i="1"/>
  <c r="AX153" i="1"/>
  <c r="AZ153" i="1"/>
  <c r="BG153" i="1"/>
  <c r="BI153" i="1"/>
  <c r="BK153" i="1"/>
  <c r="AZ118" i="1"/>
  <c r="AX118" i="1"/>
  <c r="BK195" i="1"/>
  <c r="BI195" i="1"/>
  <c r="AX195" i="1"/>
  <c r="AZ195" i="1"/>
  <c r="BG195" i="1"/>
  <c r="AX212" i="1"/>
  <c r="AZ212" i="1"/>
  <c r="BG212" i="1"/>
  <c r="BI212" i="1"/>
  <c r="BK212" i="1"/>
  <c r="AX208" i="1"/>
  <c r="AZ208" i="1"/>
  <c r="BG208" i="1"/>
  <c r="BI208" i="1"/>
  <c r="BK208" i="1"/>
  <c r="BK16" i="1"/>
  <c r="BI16" i="1"/>
  <c r="AX16" i="1"/>
  <c r="AZ16" i="1"/>
  <c r="BG16" i="1"/>
  <c r="AX216" i="1"/>
  <c r="AZ216" i="1"/>
  <c r="BG216" i="1"/>
  <c r="BI216" i="1"/>
  <c r="BK216" i="1"/>
  <c r="AX175" i="1"/>
  <c r="AZ175" i="1"/>
  <c r="BG175" i="1"/>
  <c r="BI175" i="1"/>
  <c r="BK175" i="1"/>
  <c r="AX21" i="1"/>
  <c r="AZ21" i="1"/>
  <c r="BG21" i="1"/>
  <c r="BI21" i="1"/>
  <c r="BK21" i="1"/>
  <c r="AZ171" i="1"/>
  <c r="AX171" i="1"/>
  <c r="BK186" i="1"/>
  <c r="BI186" i="1"/>
  <c r="AX186" i="1"/>
  <c r="AZ186" i="1"/>
  <c r="BG186" i="1"/>
  <c r="AX105" i="1"/>
  <c r="AZ105" i="1"/>
  <c r="BG105" i="1"/>
  <c r="BI105" i="1"/>
  <c r="BK105" i="1"/>
  <c r="AX159" i="1"/>
  <c r="AZ159" i="1"/>
  <c r="BG159" i="1"/>
  <c r="BI159" i="1"/>
  <c r="BK159" i="1"/>
  <c r="AX231" i="1"/>
  <c r="AZ231" i="1"/>
  <c r="BG231" i="1"/>
  <c r="BI231" i="1"/>
  <c r="BK231" i="1"/>
  <c r="AX111" i="1"/>
  <c r="AZ111" i="1"/>
  <c r="BG111" i="1"/>
  <c r="BI111" i="1"/>
  <c r="BK111" i="1"/>
  <c r="BK85" i="1"/>
  <c r="AW85" i="1"/>
  <c r="AX85" i="1"/>
  <c r="AZ85" i="1"/>
  <c r="BG85" i="1"/>
  <c r="BI85" i="1"/>
  <c r="BK193" i="1"/>
  <c r="AX193" i="1"/>
  <c r="AZ193" i="1"/>
  <c r="BG193" i="1"/>
  <c r="BI193" i="1"/>
  <c r="AX160" i="1"/>
  <c r="AZ160" i="1"/>
  <c r="BG160" i="1"/>
  <c r="BI160" i="1"/>
  <c r="BK160" i="1"/>
  <c r="AX32" i="1"/>
  <c r="AZ32" i="1"/>
  <c r="BG32" i="1"/>
  <c r="BI32" i="1"/>
  <c r="BK32" i="1"/>
  <c r="BK203" i="1"/>
  <c r="AX203" i="1"/>
  <c r="AZ203" i="1"/>
  <c r="BG203" i="1"/>
  <c r="BI203" i="1"/>
  <c r="AX124" i="1"/>
  <c r="AZ124" i="1"/>
  <c r="BG124" i="1"/>
  <c r="BI124" i="1"/>
  <c r="BK124" i="1"/>
  <c r="AX30" i="1"/>
  <c r="AZ30" i="1"/>
  <c r="BG30" i="1"/>
  <c r="BI30" i="1"/>
  <c r="BK30" i="1"/>
  <c r="AX135" i="1"/>
  <c r="AZ135" i="1"/>
  <c r="BG135" i="1"/>
  <c r="BI135" i="1"/>
  <c r="BK135" i="1"/>
  <c r="AX130" i="1"/>
  <c r="AZ130" i="1"/>
  <c r="BG130" i="1"/>
  <c r="BI130" i="1"/>
  <c r="BK130" i="1"/>
  <c r="AX176" i="1"/>
  <c r="AZ176" i="1"/>
  <c r="BG176" i="1"/>
  <c r="BI176" i="1"/>
  <c r="BK176" i="1"/>
  <c r="AX173" i="1"/>
  <c r="AZ173" i="1"/>
  <c r="BG173" i="1"/>
  <c r="BI173" i="1"/>
  <c r="BK173" i="1"/>
  <c r="BK92" i="1"/>
  <c r="AX92" i="1"/>
  <c r="AZ92" i="1"/>
  <c r="BG92" i="1"/>
  <c r="BI92" i="1"/>
  <c r="AZ155" i="1"/>
  <c r="AX155" i="1"/>
  <c r="BK117" i="1"/>
  <c r="AX117" i="1"/>
  <c r="AZ117" i="1"/>
  <c r="BG117" i="1"/>
  <c r="BI117" i="1"/>
  <c r="AX198" i="1"/>
  <c r="AZ198" i="1"/>
  <c r="BG198" i="1"/>
  <c r="BI198" i="1"/>
  <c r="BK198" i="1"/>
  <c r="AX123" i="1"/>
  <c r="AZ123" i="1"/>
  <c r="BG123" i="1"/>
  <c r="BI123" i="1"/>
  <c r="BK123" i="1"/>
  <c r="AX108" i="1"/>
  <c r="AZ108" i="1"/>
  <c r="BG108" i="1"/>
  <c r="BI108" i="1"/>
  <c r="BK108" i="1"/>
  <c r="AX127" i="1"/>
  <c r="AZ127" i="1"/>
  <c r="BG127" i="1"/>
  <c r="BI127" i="1"/>
  <c r="BK127" i="1"/>
  <c r="AX103" i="1"/>
  <c r="AZ103" i="1"/>
  <c r="BG103" i="1"/>
  <c r="BI103" i="1"/>
  <c r="BK103" i="1"/>
  <c r="AX236" i="1"/>
  <c r="AX180" i="1"/>
  <c r="AZ180" i="1"/>
  <c r="BG180" i="1"/>
  <c r="BI180" i="1"/>
  <c r="BK180" i="1"/>
  <c r="AX116" i="1"/>
  <c r="AZ116" i="1"/>
  <c r="BG116" i="1"/>
  <c r="BI116" i="1"/>
  <c r="BK116" i="1"/>
  <c r="AX17" i="1"/>
  <c r="AZ17" i="1"/>
  <c r="BG17" i="1"/>
  <c r="BI17" i="1"/>
  <c r="BK17" i="1"/>
  <c r="AW61" i="1"/>
  <c r="AW217" i="1"/>
  <c r="AX217" i="1"/>
  <c r="AZ217" i="1"/>
  <c r="BG217" i="1"/>
  <c r="BI217" i="1"/>
  <c r="BK217" i="1"/>
  <c r="AX60" i="1"/>
  <c r="AZ60" i="1"/>
  <c r="BG60" i="1"/>
  <c r="BI60" i="1"/>
  <c r="BK60" i="1"/>
  <c r="AZ24" i="1"/>
  <c r="AX24" i="1"/>
  <c r="AX104" i="1"/>
  <c r="AZ104" i="1"/>
  <c r="BG104" i="1"/>
  <c r="BI104" i="1"/>
  <c r="BK104" i="1"/>
  <c r="AX100" i="1"/>
  <c r="AZ100" i="1"/>
  <c r="BG100" i="1"/>
  <c r="BI100" i="1"/>
  <c r="BK100" i="1"/>
  <c r="AX2" i="1"/>
  <c r="AX115" i="1"/>
  <c r="AZ115" i="1"/>
  <c r="BG115" i="1"/>
  <c r="BI115" i="1"/>
  <c r="BK115" i="1"/>
</calcChain>
</file>

<file path=xl/sharedStrings.xml><?xml version="1.0" encoding="utf-8"?>
<sst xmlns="http://schemas.openxmlformats.org/spreadsheetml/2006/main" count="6411" uniqueCount="2552">
  <si>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</si>
  <si>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</si>
  <si>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</si>
  <si>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</si>
  <si>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</si>
  <si>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</si>
  <si>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</si>
  <si>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</si>
  <si>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</si>
  <si>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</si>
  <si>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</si>
  <si>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</si>
  <si>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</si>
  <si>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</si>
  <si>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</si>
  <si>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</si>
  <si>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</si>
  <si>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</si>
  <si>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</si>
  <si>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</si>
  <si>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</si>
  <si>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</si>
  <si>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</si>
  <si>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</si>
  <si>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</si>
  <si>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</si>
  <si>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</si>
  <si>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</si>
  <si>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</si>
  <si>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</si>
  <si>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</si>
  <si>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</si>
  <si>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</si>
  <si>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</si>
  <si>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</si>
  <si>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</si>
  <si>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</si>
  <si>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</si>
  <si>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</si>
  <si>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</si>
  <si>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</si>
  <si>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</si>
  <si>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</si>
  <si>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</si>
  <si>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</si>
  <si>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</si>
  <si>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</si>
  <si>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</si>
  <si>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</si>
  <si>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</si>
  <si>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</si>
  <si>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</si>
  <si>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</si>
  <si>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</si>
  <si>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</si>
  <si>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</si>
  <si>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</si>
  <si>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</si>
  <si>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</si>
  <si>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</si>
  <si>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</si>
  <si>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</si>
  <si>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</si>
  <si>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</si>
  <si>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</si>
  <si>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</si>
  <si>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</si>
  <si>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</si>
  <si>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</si>
  <si>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</si>
  <si>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</si>
  <si>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</si>
  <si>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</si>
  <si>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</si>
  <si>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</si>
  <si>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</si>
  <si>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</si>
  <si>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</si>
  <si>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</si>
  <si>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</si>
  <si>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</si>
  <si>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</si>
  <si>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</si>
  <si>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</si>
  <si>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</si>
  <si>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</si>
  <si>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</si>
  <si>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</si>
  <si>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</si>
  <si>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</si>
  <si>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</si>
  <si>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</si>
  <si>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</si>
  <si>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</si>
  <si>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</si>
  <si>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</si>
  <si>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</si>
  <si>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</si>
  <si>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</si>
  <si>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</si>
  <si>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</si>
  <si>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</si>
  <si>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</si>
  <si>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</si>
  <si>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</si>
  <si>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</si>
  <si>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</si>
  <si>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</si>
  <si>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</si>
  <si>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</si>
  <si>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</si>
  <si>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</si>
  <si>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</si>
  <si>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</si>
  <si>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</si>
  <si>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</si>
  <si>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</si>
  <si>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</si>
  <si>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</si>
  <si>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</si>
  <si>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</si>
  <si>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</si>
  <si>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</si>
  <si>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</si>
  <si>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</si>
  <si>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</si>
  <si>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</si>
  <si>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</si>
  <si>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</si>
  <si>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</si>
  <si>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</si>
  <si>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</si>
  <si>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</si>
  <si>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</si>
  <si>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</si>
  <si>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</si>
  <si>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</si>
  <si>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</si>
  <si>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</si>
  <si>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</si>
  <si>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</si>
  <si>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</si>
  <si>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</si>
  <si>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</si>
  <si>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</si>
  <si>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</si>
  <si>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</si>
  <si>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</si>
  <si>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</si>
  <si>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</si>
  <si>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</si>
  <si>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</si>
  <si>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</si>
  <si>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</si>
  <si>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</si>
  <si>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</si>
  <si>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</si>
  <si>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</si>
  <si>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</si>
  <si>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</si>
  <si>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</si>
  <si>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</si>
  <si>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</si>
  <si>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</si>
  <si>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</si>
  <si>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</si>
  <si>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</si>
  <si>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</si>
  <si>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</si>
  <si>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</si>
  <si>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</si>
  <si>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</si>
  <si>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</si>
  <si>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</si>
  <si>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</si>
  <si>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</si>
  <si>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</si>
  <si>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</si>
  <si>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</si>
  <si>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</si>
  <si>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</si>
  <si>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</si>
  <si>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</si>
  <si>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</si>
  <si>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</si>
  <si>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</si>
  <si>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</si>
  <si>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</si>
  <si>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</si>
  <si>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</si>
  <si>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</si>
  <si>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</si>
  <si>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</si>
  <si>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</si>
  <si>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</si>
  <si>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</si>
  <si>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</si>
  <si>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</si>
  <si>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</si>
  <si>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</si>
  <si>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</si>
  <si>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</si>
  <si>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</si>
  <si>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</si>
  <si>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</si>
  <si>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</si>
  <si>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</si>
  <si>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</si>
  <si>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</si>
  <si>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</si>
  <si>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</si>
  <si>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</si>
  <si>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</si>
  <si>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</si>
  <si>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</si>
  <si>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</si>
  <si>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</si>
  <si>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</si>
  <si>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</si>
  <si>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</si>
  <si>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</si>
  <si>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</si>
  <si>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</si>
  <si>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</si>
  <si>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</si>
  <si>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</si>
  <si>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</si>
  <si>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</si>
  <si>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</si>
  <si>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</si>
  <si>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</si>
  <si>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</si>
  <si>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</si>
  <si>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</si>
  <si>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</si>
  <si>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</si>
  <si>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</si>
  <si>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</si>
  <si>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</si>
  <si>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</si>
  <si>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</si>
  <si>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</si>
  <si>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</si>
  <si>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</si>
  <si>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</si>
  <si>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</si>
  <si>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</si>
  <si>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</si>
  <si>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</si>
  <si>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</si>
  <si>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</si>
  <si>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</si>
  <si>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</si>
  <si>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</si>
  <si>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</si>
  <si>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</si>
  <si>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</si>
  <si>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</si>
  <si>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</si>
  <si>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</si>
  <si>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</si>
  <si>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</si>
  <si>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</si>
  <si>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</si>
  <si>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</si>
  <si>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</si>
  <si>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</si>
  <si>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</si>
  <si>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</si>
  <si>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</si>
  <si>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</si>
  <si>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</si>
  <si>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</si>
  <si>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</si>
  <si>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</si>
  <si>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</si>
  <si>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</si>
  <si>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</si>
  <si>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</si>
  <si>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</si>
  <si>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</si>
  <si>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</si>
  <si>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</si>
  <si>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</si>
  <si>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</si>
  <si>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</si>
  <si>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</si>
  <si>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</si>
  <si>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</si>
  <si>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</si>
  <si>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</si>
  <si>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</si>
  <si>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</si>
  <si>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</si>
  <si>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</si>
  <si>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</si>
  <si>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</si>
  <si>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</si>
  <si>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</si>
  <si>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</si>
  <si>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</si>
  <si>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</si>
  <si>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</si>
  <si>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</si>
  <si>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</si>
  <si>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</si>
  <si>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</si>
  <si>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</si>
  <si>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</si>
  <si>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</si>
  <si>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</si>
  <si>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</si>
  <si>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</si>
  <si>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</si>
  <si>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</si>
  <si>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</si>
  <si>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</si>
  <si>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</si>
  <si>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</si>
  <si>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</si>
  <si>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</si>
  <si>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</si>
  <si>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</si>
  <si>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</si>
  <si>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</si>
  <si>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</si>
  <si>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</si>
  <si>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</si>
  <si>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</si>
  <si>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</si>
  <si>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</si>
  <si>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</si>
  <si>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</si>
  <si>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</si>
  <si>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</si>
  <si>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</si>
  <si>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</si>
  <si>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</si>
  <si>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</si>
  <si>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</si>
  <si>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</si>
  <si>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</si>
  <si>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</si>
  <si>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</si>
  <si>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</si>
  <si>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</si>
  <si>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</si>
  <si>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</si>
  <si>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</si>
  <si>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</si>
  <si>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</si>
  <si>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</si>
  <si>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</si>
  <si>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</si>
  <si>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</si>
  <si>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</si>
  <si>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</si>
  <si>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</si>
  <si>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</si>
  <si>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</si>
  <si>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</si>
  <si>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</si>
  <si>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</si>
  <si>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</si>
  <si>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</si>
  <si>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</si>
  <si>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</si>
  <si>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</si>
  <si>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</si>
  <si>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</si>
  <si>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</si>
  <si>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</si>
  <si>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</si>
  <si>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</si>
  <si>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</si>
  <si>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</si>
  <si>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</si>
  <si>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</si>
  <si>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</si>
  <si>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</si>
  <si>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</si>
  <si>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</si>
  <si>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</si>
  <si>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</si>
  <si>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</si>
  <si>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</si>
  <si>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</si>
  <si>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</si>
  <si>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</si>
  <si>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</si>
  <si>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</si>
  <si>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</si>
  <si>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</si>
  <si>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</si>
  <si>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</si>
  <si>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</si>
  <si>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</si>
  <si>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</si>
  <si>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</si>
  <si>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</si>
  <si>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</si>
  <si>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</si>
  <si>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</si>
  <si>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</si>
  <si>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</si>
  <si>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</si>
  <si>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</si>
  <si>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</si>
  <si>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</si>
  <si>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</si>
  <si>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</si>
  <si>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</si>
  <si>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</si>
  <si>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</si>
  <si>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</si>
  <si>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</si>
  <si>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</si>
  <si>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</si>
  <si>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</si>
  <si>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</si>
  <si>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</si>
  <si>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</si>
  <si>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</si>
  <si>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</si>
  <si>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</si>
  <si>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</si>
  <si>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</si>
  <si>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</si>
  <si>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</si>
  <si>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</si>
  <si>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</si>
  <si>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</si>
  <si>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</si>
  <si>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</si>
  <si>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</si>
  <si>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</si>
  <si>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</si>
  <si>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</si>
  <si>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</si>
  <si>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</si>
  <si>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</si>
  <si>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</si>
  <si>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</si>
  <si>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</si>
  <si>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</si>
  <si>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</si>
  <si>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</si>
  <si>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</si>
  <si>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</si>
  <si>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</si>
  <si>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</si>
  <si>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</si>
  <si>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</si>
  <si>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</si>
  <si>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</si>
  <si>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</si>
  <si>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</si>
  <si>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</si>
  <si>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</si>
  <si>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</si>
  <si>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</si>
  <si>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</si>
  <si>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</si>
  <si>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</si>
  <si>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</si>
  <si>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</si>
  <si>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</si>
  <si>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</si>
  <si>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</si>
  <si>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</si>
  <si>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</si>
  <si>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</si>
  <si>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</si>
  <si>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</si>
  <si>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</si>
  <si>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</si>
  <si>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</si>
  <si>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</si>
  <si>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</si>
  <si>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</si>
  <si>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</si>
  <si>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</si>
  <si>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</si>
  <si>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</si>
  <si>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</si>
  <si>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</si>
  <si>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</si>
  <si>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</si>
  <si>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</si>
  <si>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</si>
  <si>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</si>
  <si>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</si>
  <si>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</si>
  <si>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</si>
  <si>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</si>
  <si>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</si>
  <si>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</si>
  <si>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</si>
  <si>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</si>
  <si>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</si>
  <si>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</si>
  <si>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</si>
  <si>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</si>
  <si>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</si>
  <si>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</si>
  <si>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</si>
  <si>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</si>
  <si>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</si>
  <si>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</si>
  <si>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</si>
  <si>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</si>
  <si>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</si>
  <si>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</si>
  <si>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</si>
  <si>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</si>
  <si>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</si>
  <si>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</si>
  <si>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</si>
  <si>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</si>
  <si>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</si>
  <si>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</si>
  <si>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</si>
  <si>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</si>
  <si>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</si>
  <si>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</si>
  <si>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</si>
  <si>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</si>
  <si>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</si>
  <si>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</si>
  <si>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</si>
  <si>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</si>
  <si>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</si>
  <si>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</si>
  <si>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</si>
  <si>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</si>
  <si>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</si>
  <si>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</si>
  <si>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</si>
  <si>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</si>
  <si>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</si>
  <si>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</si>
  <si>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</si>
  <si>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</si>
  <si>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</si>
  <si>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</si>
  <si>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</si>
  <si>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</si>
  <si>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</si>
  <si>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</si>
  <si>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</si>
  <si>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</si>
  <si>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</si>
  <si>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</si>
  <si>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</si>
  <si>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</si>
  <si>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</si>
  <si>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</si>
  <si>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</si>
  <si>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</si>
  <si>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</si>
  <si>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</si>
  <si>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</si>
  <si>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</si>
  <si>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</si>
  <si>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</si>
  <si>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</si>
  <si>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</si>
  <si>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</si>
  <si>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</si>
  <si>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</si>
  <si>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</si>
  <si>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</si>
  <si>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</si>
  <si>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</si>
  <si>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</si>
  <si>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</si>
  <si>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</si>
  <si>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</si>
  <si>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</si>
  <si>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</si>
  <si>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</si>
  <si>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</si>
  <si>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</si>
  <si>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</si>
  <si>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</si>
  <si>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</si>
  <si>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</si>
  <si>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</si>
  <si>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</si>
  <si>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</si>
  <si>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</si>
  <si>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</si>
  <si>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</si>
  <si>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</si>
  <si>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</si>
  <si>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</si>
  <si>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</si>
  <si>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</si>
  <si>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</si>
  <si>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</si>
  <si>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</si>
  <si>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</si>
  <si>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</si>
  <si>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</si>
  <si>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</si>
  <si>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</si>
  <si>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</si>
  <si>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</si>
  <si>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</si>
  <si>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</si>
  <si>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</si>
  <si>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</si>
  <si>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</si>
  <si>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</si>
  <si>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</si>
  <si>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</si>
  <si>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</si>
  <si>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</si>
  <si>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</si>
  <si>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</si>
  <si>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</si>
  <si>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</si>
  <si>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</si>
  <si>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</si>
  <si>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</si>
  <si>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</si>
  <si>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</si>
  <si>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</si>
  <si>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</si>
  <si>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</si>
  <si>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</si>
  <si>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</si>
  <si>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</si>
  <si>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</si>
  <si>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</si>
  <si>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</si>
  <si>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</si>
  <si>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</si>
  <si>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</si>
  <si>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</si>
  <si>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</si>
  <si>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</si>
  <si>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</si>
  <si>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</si>
  <si>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</si>
  <si>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</si>
  <si>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</si>
  <si>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</si>
  <si>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</si>
  <si>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</si>
  <si>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</si>
  <si>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</si>
  <si>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</si>
  <si>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</si>
  <si>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</si>
  <si>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</si>
  <si>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</si>
  <si>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</si>
  <si>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</si>
  <si>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</si>
  <si>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</si>
  <si>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</si>
  <si>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</si>
  <si>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</si>
  <si>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</si>
  <si>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</si>
  <si>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</si>
  <si>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</si>
  <si>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</si>
  <si>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</si>
  <si>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</si>
  <si>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</si>
  <si>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</si>
  <si>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</si>
  <si>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</si>
  <si>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</si>
  <si>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</si>
  <si>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</si>
  <si>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</si>
  <si>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</si>
  <si>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</si>
  <si>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</si>
  <si>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</si>
  <si>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</si>
  <si>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</si>
  <si>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</si>
  <si>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</si>
  <si>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</si>
  <si>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</si>
  <si>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</si>
  <si>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</si>
  <si>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</si>
  <si>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</si>
  <si>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</si>
  <si>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</si>
  <si>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</si>
  <si>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</si>
  <si>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</si>
  <si>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</si>
  <si>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</si>
  <si>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</si>
  <si>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</si>
  <si>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</si>
  <si>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</si>
  <si>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</si>
  <si>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</si>
  <si>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</si>
  <si>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</si>
  <si>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</si>
  <si>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</si>
  <si>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</si>
  <si>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</si>
  <si>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</si>
  <si>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</si>
  <si>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</si>
  <si>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</si>
  <si>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</si>
  <si>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</si>
  <si>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</si>
  <si>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</si>
  <si>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</si>
  <si>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</si>
  <si>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</si>
  <si>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</si>
  <si>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</si>
  <si>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</si>
  <si>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</si>
  <si>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</si>
  <si>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</si>
  <si>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</si>
  <si>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</si>
  <si>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</si>
  <si>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</si>
  <si>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</si>
  <si>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</si>
  <si>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</si>
  <si>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</si>
  <si>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</si>
  <si>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</si>
  <si>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</si>
  <si>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</si>
  <si>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</si>
  <si>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</si>
  <si>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</si>
  <si>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</si>
  <si>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</si>
  <si>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</si>
  <si>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</si>
  <si>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</si>
  <si>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</si>
  <si>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</si>
  <si>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</si>
  <si>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</si>
  <si>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</si>
  <si>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</si>
  <si>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</si>
  <si>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</si>
  <si>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</si>
  <si>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</si>
  <si>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</si>
  <si>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</si>
  <si>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</si>
  <si>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</si>
  <si>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</si>
  <si>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</si>
  <si>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</si>
  <si>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</si>
  <si>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</si>
  <si>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</si>
  <si>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</si>
  <si>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</si>
  <si>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</si>
  <si>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</si>
  <si>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</si>
  <si>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</si>
  <si>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</si>
  <si>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</si>
  <si>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</si>
  <si>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</si>
  <si>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</si>
  <si>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</si>
  <si>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</si>
  <si>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</si>
  <si>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</si>
  <si>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</si>
  <si>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</si>
  <si>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</si>
  <si>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</si>
  <si>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</si>
  <si>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</si>
  <si>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</si>
  <si>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</si>
  <si>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</si>
  <si>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</si>
  <si>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</si>
  <si>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</si>
  <si>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</si>
  <si>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</si>
  <si>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</si>
  <si>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</si>
  <si>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</si>
  <si>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</si>
  <si>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</si>
  <si>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</si>
  <si>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</si>
  <si>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</si>
  <si>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</si>
  <si>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</si>
  <si>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</si>
  <si>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</si>
  <si>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</si>
  <si>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</si>
  <si>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</si>
  <si>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</si>
  <si>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</si>
  <si>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</si>
  <si>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</si>
  <si>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</si>
  <si>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</si>
  <si>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</si>
  <si>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</si>
  <si>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</si>
  <si>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</si>
  <si>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</si>
  <si>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</si>
  <si>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</si>
  <si>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</si>
  <si>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</si>
  <si>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</si>
  <si>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</si>
  <si>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</si>
  <si>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</si>
  <si>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</si>
  <si>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</si>
  <si>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</si>
  <si>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</si>
  <si>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</si>
  <si>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</si>
  <si>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</si>
  <si>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</si>
  <si>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</si>
  <si>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</si>
  <si>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</si>
  <si>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</si>
  <si>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</si>
  <si>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</si>
  <si>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</si>
  <si>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</si>
  <si>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</si>
  <si>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</si>
  <si>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</si>
  <si>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</si>
  <si>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</si>
  <si>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</si>
  <si>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</si>
  <si>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</si>
  <si>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</si>
  <si>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</si>
  <si>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</si>
  <si>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</si>
  <si>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</si>
  <si>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</si>
  <si>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</si>
  <si>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</si>
  <si>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</si>
  <si>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</si>
  <si>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</si>
  <si>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</si>
  <si>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</si>
  <si>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</si>
  <si>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</si>
  <si>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</si>
  <si>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</si>
  <si>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</si>
  <si>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</si>
  <si>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</si>
  <si>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</si>
  <si>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</si>
  <si>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</si>
  <si>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</si>
  <si>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</si>
  <si>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</si>
  <si>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</si>
  <si>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</si>
  <si>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</si>
  <si>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</si>
  <si>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</si>
  <si>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</si>
  <si>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</si>
  <si>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</si>
  <si>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</si>
  <si>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</si>
  <si>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</si>
  <si>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</si>
  <si>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</si>
  <si>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</si>
  <si>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</si>
  <si>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</si>
  <si>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</si>
  <si>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</si>
  <si>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</si>
  <si>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</si>
  <si>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</si>
  <si>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</si>
  <si>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</si>
  <si>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</si>
  <si>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</si>
  <si>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</si>
  <si>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</si>
  <si>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</si>
  <si>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</si>
  <si>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</si>
  <si>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</si>
  <si>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</si>
  <si>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</si>
  <si>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</si>
  <si>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</si>
  <si>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</si>
  <si>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</si>
  <si>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</si>
  <si>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</si>
  <si>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</si>
  <si>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</si>
  <si>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</si>
  <si>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</si>
  <si>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</si>
  <si>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</si>
  <si>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</si>
  <si>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</si>
  <si>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</si>
  <si>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</si>
  <si>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</si>
  <si>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</si>
  <si>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</si>
  <si>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</si>
  <si>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</si>
  <si>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</si>
  <si>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</si>
  <si>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</si>
  <si>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</si>
  <si>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</si>
  <si>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</si>
  <si>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</si>
  <si>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</si>
  <si>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</si>
  <si>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</si>
  <si>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</si>
  <si>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</si>
  <si>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</si>
  <si>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</si>
  <si>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</si>
  <si>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</si>
  <si>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</si>
  <si>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</si>
  <si>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</si>
  <si>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</si>
  <si>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</si>
  <si>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</si>
  <si>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</si>
  <si>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</si>
  <si>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</si>
  <si>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</si>
  <si>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</si>
  <si>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</si>
  <si>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</si>
  <si>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</si>
  <si>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</si>
  <si>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</si>
  <si>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</si>
  <si>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</si>
  <si>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</si>
  <si>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</si>
  <si>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</si>
  <si>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</si>
  <si>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</si>
  <si>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</si>
  <si>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</si>
  <si>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</si>
  <si>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</si>
  <si>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</si>
  <si>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</si>
  <si>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</si>
  <si>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</si>
  <si>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</si>
  <si>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</si>
  <si>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</si>
  <si>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</si>
  <si>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</si>
  <si>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</si>
  <si>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</si>
  <si>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</si>
  <si>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</si>
  <si>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</si>
  <si>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</si>
  <si>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</si>
  <si>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</si>
  <si>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</si>
  <si>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</si>
  <si>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</si>
  <si>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</si>
  <si>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</si>
  <si>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</si>
  <si>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</si>
  <si>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</si>
  <si>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</si>
  <si>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</si>
  <si>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</si>
  <si>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</si>
  <si>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</si>
  <si>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</si>
  <si>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</si>
  <si>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</si>
  <si>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</si>
  <si>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</si>
  <si>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</si>
  <si>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</si>
  <si>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</si>
  <si>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</si>
  <si>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</si>
  <si>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</si>
  <si>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</si>
  <si>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</si>
  <si>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</si>
  <si>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</si>
  <si>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</si>
  <si>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</si>
  <si>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</si>
  <si>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</si>
  <si>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</si>
  <si>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</si>
  <si>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</si>
  <si>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</si>
  <si>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</si>
  <si>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</si>
  <si>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</si>
  <si>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</si>
  <si>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</si>
  <si>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</si>
  <si>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</si>
  <si>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</si>
  <si>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</si>
  <si>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</si>
  <si>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</si>
  <si>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</si>
  <si>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</si>
  <si>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</si>
  <si>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</si>
  <si>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</si>
  <si>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</si>
  <si>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</si>
  <si>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</si>
  <si>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</si>
  <si>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</si>
  <si>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</si>
  <si>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</si>
  <si>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</si>
  <si>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</si>
  <si>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</si>
  <si>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</si>
  <si>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</si>
  <si>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</si>
  <si>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</si>
  <si>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</si>
  <si>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</si>
  <si>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</si>
  <si>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</si>
  <si>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</si>
  <si>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</si>
  <si>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</si>
  <si>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</si>
  <si>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</si>
  <si>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</si>
  <si>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</si>
  <si>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</si>
  <si>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</si>
  <si>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</si>
  <si>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</si>
  <si>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</si>
  <si>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</si>
  <si>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</si>
  <si>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</si>
  <si>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</si>
  <si>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</si>
  <si>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</si>
  <si>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</si>
  <si>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</si>
  <si>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</si>
  <si>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</si>
  <si>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</si>
  <si>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</si>
  <si>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</si>
  <si>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</si>
  <si>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</si>
  <si>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</si>
  <si>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</si>
  <si>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</si>
  <si>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</si>
  <si>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</si>
  <si>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</si>
  <si>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</si>
  <si>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</si>
  <si>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</si>
  <si>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</si>
  <si>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</si>
  <si>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</si>
  <si>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</si>
  <si>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</si>
  <si>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</si>
  <si>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</si>
  <si>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</si>
  <si>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</si>
  <si>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</si>
  <si>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</si>
  <si>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</si>
  <si>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</si>
  <si>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</si>
  <si>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</si>
  <si>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</si>
  <si>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</si>
  <si>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</si>
  <si>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</si>
  <si>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</si>
  <si>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</si>
  <si>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</si>
  <si>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</si>
  <si>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</si>
  <si>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</si>
  <si>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</si>
  <si>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</si>
  <si>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</si>
  <si>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</si>
  <si>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</si>
  <si>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</si>
  <si>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</si>
  <si>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</si>
  <si>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</si>
  <si>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</si>
  <si>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</si>
  <si>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</si>
  <si>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</si>
  <si>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</si>
  <si>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</si>
  <si>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</si>
  <si>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</si>
  <si>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</si>
  <si>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</si>
  <si>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</si>
  <si>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</si>
  <si>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</si>
  <si>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</si>
  <si>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</si>
  <si>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</si>
  <si>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</si>
  <si>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</si>
  <si>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</si>
  <si>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</si>
  <si>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</si>
  <si>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</si>
  <si>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</si>
  <si>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</si>
  <si>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</si>
  <si>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</si>
  <si>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</si>
  <si>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</si>
  <si>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</si>
  <si>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</si>
  <si>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</si>
  <si>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</si>
  <si>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</si>
  <si>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</si>
  <si>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</si>
  <si>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</si>
  <si>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</si>
  <si>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</si>
  <si>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</si>
  <si>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</si>
  <si>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</si>
  <si>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</si>
  <si>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</si>
  <si>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</si>
  <si>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</si>
  <si>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</si>
  <si>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</si>
  <si>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</si>
  <si>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</si>
  <si>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</si>
  <si>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</si>
  <si>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</si>
  <si>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</si>
  <si>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</si>
  <si>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</si>
  <si>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</si>
  <si>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</si>
  <si>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</si>
  <si>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</si>
  <si>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</si>
  <si>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</si>
  <si>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</si>
  <si>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</si>
  <si>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</si>
  <si>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</si>
  <si>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</si>
  <si>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</si>
  <si>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</si>
  <si>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</si>
  <si>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</si>
  <si>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</si>
  <si>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</si>
  <si>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</si>
  <si>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</si>
  <si>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</si>
  <si>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</si>
  <si>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</si>
  <si>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</si>
  <si>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</si>
  <si>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</si>
  <si>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</si>
  <si>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</si>
  <si>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</si>
  <si>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</si>
  <si>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</si>
  <si>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</si>
  <si>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</si>
  <si>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</si>
  <si>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</si>
  <si>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</si>
  <si>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</si>
  <si>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</si>
  <si>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</si>
  <si>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</si>
  <si>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</si>
  <si>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</si>
  <si>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</si>
  <si>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</si>
  <si>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</si>
  <si>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</si>
  <si>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</si>
  <si>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</si>
  <si>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</si>
  <si>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</si>
  <si>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</si>
  <si>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</si>
  <si>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</si>
  <si>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</si>
  <si>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</si>
  <si>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</si>
  <si>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</si>
  <si>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</si>
  <si>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</si>
  <si>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</si>
  <si>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</si>
  <si>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</si>
  <si>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</si>
  <si>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</si>
  <si>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</si>
  <si>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</si>
  <si>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</si>
  <si>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</si>
  <si>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</si>
  <si>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</si>
  <si>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</si>
  <si>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</si>
  <si>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</si>
  <si>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</si>
  <si>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</si>
  <si>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</si>
  <si>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</si>
  <si>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</si>
  <si>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</si>
  <si>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</si>
  <si>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</si>
  <si>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</si>
  <si>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</si>
  <si>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</si>
  <si>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</si>
  <si>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</si>
  <si>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</si>
  <si>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</si>
  <si>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</si>
  <si>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</si>
  <si>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</si>
  <si>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</si>
  <si>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</si>
  <si>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</si>
  <si>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</si>
  <si>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</si>
  <si>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</si>
  <si>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</si>
  <si>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</si>
  <si>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</si>
  <si>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</si>
  <si>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</si>
  <si>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</si>
  <si>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</si>
  <si>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</si>
  <si>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</si>
  <si>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</si>
  <si>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</si>
  <si>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</si>
  <si>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</si>
  <si>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</si>
  <si>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</si>
  <si>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</si>
  <si>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</si>
  <si>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</si>
  <si>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</si>
  <si>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</si>
  <si>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</si>
  <si>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</si>
  <si>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</si>
  <si>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</si>
  <si>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</si>
  <si>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</si>
  <si>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</si>
  <si>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</si>
  <si>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</si>
  <si>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</si>
  <si>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</si>
  <si>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</si>
  <si>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</si>
  <si>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</si>
  <si>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</si>
  <si>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</si>
  <si>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</si>
  <si>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</si>
  <si>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</si>
  <si>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</si>
  <si>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</si>
  <si>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</si>
  <si>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</si>
  <si>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</si>
  <si>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</si>
  <si>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</si>
  <si>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</si>
  <si>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</si>
  <si>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</si>
  <si>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</si>
  <si>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</si>
  <si>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</si>
  <si>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</si>
  <si>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</si>
  <si>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</si>
  <si>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</si>
  <si>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</si>
  <si>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</si>
  <si>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</si>
  <si>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</si>
  <si>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</si>
  <si>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</si>
  <si>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</si>
  <si>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</si>
  <si>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</si>
  <si>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</si>
  <si>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</si>
  <si>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</si>
  <si>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</si>
  <si>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</si>
  <si>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</si>
  <si>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</si>
  <si>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</si>
  <si>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</si>
  <si>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</si>
  <si>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</si>
  <si>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</si>
  <si>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</si>
  <si>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</si>
  <si>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</si>
  <si>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</si>
  <si>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</si>
  <si>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</si>
  <si>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</si>
  <si>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</si>
  <si>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</si>
  <si>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</si>
  <si>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</si>
  <si>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</si>
  <si>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</si>
  <si>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</si>
  <si>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</si>
  <si>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</si>
  <si>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</si>
  <si>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</si>
  <si>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</si>
  <si>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</si>
  <si>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</si>
  <si>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</si>
  <si>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</si>
  <si>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</si>
  <si>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</si>
  <si>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</si>
  <si>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</si>
  <si>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</si>
  <si>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</si>
  <si>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</si>
  <si>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</si>
  <si>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</si>
  <si>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</si>
  <si>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</si>
  <si>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</si>
  <si>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</si>
  <si>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</si>
  <si>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</si>
  <si>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</si>
  <si>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</si>
  <si>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</si>
  <si>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</si>
  <si>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</si>
  <si>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</si>
  <si>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</si>
  <si>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</si>
  <si>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</si>
  <si>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</si>
  <si>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</si>
  <si>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</si>
  <si>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</si>
  <si>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</si>
  <si>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</si>
  <si>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</si>
  <si>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</si>
  <si>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</si>
  <si>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</si>
  <si>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</si>
  <si>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</si>
  <si>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</si>
  <si>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</si>
  <si>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</si>
  <si>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</si>
  <si>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</si>
  <si>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</si>
  <si>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</si>
  <si>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</si>
  <si>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</si>
  <si>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</si>
  <si>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</si>
  <si>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</si>
  <si>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</si>
  <si>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</si>
  <si>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</si>
  <si>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</si>
  <si>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</si>
  <si>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</si>
  <si>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</si>
  <si>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</si>
  <si>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</si>
  <si>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</si>
  <si>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</si>
  <si>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</si>
  <si>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</si>
  <si>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</si>
  <si>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</si>
  <si>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</si>
  <si>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</si>
  <si>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</si>
  <si>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</si>
  <si>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</si>
  <si>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</si>
  <si>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</si>
  <si>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</si>
  <si>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</si>
  <si>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</si>
  <si>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</si>
  <si>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</si>
  <si>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</si>
  <si>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</si>
  <si>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</si>
  <si>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</si>
  <si>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</si>
  <si>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</si>
  <si>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</si>
  <si>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</si>
  <si>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</si>
  <si>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</si>
  <si>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</si>
  <si>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</si>
  <si>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</si>
  <si>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</si>
  <si>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</si>
  <si>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</si>
  <si>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</si>
  <si>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</si>
  <si>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</si>
  <si>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</si>
  <si>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</si>
  <si>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</si>
  <si>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</si>
  <si>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</si>
  <si>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</si>
  <si>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</si>
  <si>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</si>
  <si>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</si>
  <si>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</si>
  <si>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</si>
  <si>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</si>
  <si>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</si>
  <si>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</si>
  <si>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</si>
  <si>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</si>
  <si>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</si>
  <si>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</si>
  <si>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</si>
  <si>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</si>
  <si>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</si>
  <si>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</si>
  <si>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</si>
  <si>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</si>
  <si>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</si>
  <si>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</si>
  <si>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</si>
  <si>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</si>
  <si>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</si>
  <si>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</si>
  <si>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</si>
  <si>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</si>
  <si>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</si>
  <si>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</si>
  <si>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</si>
  <si>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</si>
  <si>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</si>
  <si>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</si>
  <si>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</si>
  <si>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</si>
  <si>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</si>
  <si>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</si>
  <si>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</si>
  <si>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</si>
  <si>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</si>
  <si>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</si>
  <si>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</si>
  <si>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</si>
  <si>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</si>
  <si>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</si>
  <si>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</si>
  <si>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</si>
  <si>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</si>
  <si>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</si>
  <si>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</si>
  <si>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</si>
  <si>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</si>
  <si>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</si>
  <si>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</si>
  <si>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</si>
  <si>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</si>
  <si>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</si>
  <si>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</si>
  <si>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</si>
  <si>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</si>
  <si>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</si>
  <si>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</si>
  <si>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</si>
  <si>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</si>
  <si>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</si>
  <si>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</si>
  <si>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</si>
  <si>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</si>
  <si>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</si>
  <si>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</si>
  <si>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</si>
  <si>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</si>
  <si>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</si>
  <si>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</si>
  <si>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</si>
  <si>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</si>
  <si>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</si>
  <si>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</si>
  <si>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</si>
  <si>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</si>
  <si>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</si>
  <si>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</si>
  <si>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</si>
  <si>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</si>
  <si>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</si>
  <si>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</si>
  <si>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</si>
  <si>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</si>
  <si>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</si>
  <si>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</si>
  <si>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</si>
  <si>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</si>
  <si>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</si>
  <si>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</si>
  <si>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</si>
  <si>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</si>
  <si>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</si>
  <si>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</si>
  <si>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</si>
  <si>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</si>
  <si>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</si>
  <si>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</si>
  <si>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</si>
  <si>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</si>
  <si>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</si>
  <si>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</si>
  <si>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</si>
  <si>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</si>
  <si>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</si>
  <si>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</si>
  <si>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</si>
  <si>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</si>
  <si>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</si>
  <si>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</si>
  <si>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</si>
  <si>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</si>
  <si>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</si>
  <si>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</si>
  <si>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</si>
  <si>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</si>
  <si>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</si>
  <si>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</si>
  <si>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</si>
  <si>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</si>
  <si>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</si>
  <si>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</si>
  <si>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</si>
  <si>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</si>
  <si>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</si>
  <si>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</si>
  <si>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</si>
  <si>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</si>
  <si>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</si>
  <si>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</si>
  <si>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</si>
  <si>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</si>
  <si>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</si>
  <si>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</si>
  <si>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</si>
  <si>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</si>
  <si>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</si>
  <si>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</si>
  <si>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</si>
  <si>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</si>
  <si>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</si>
  <si>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</si>
  <si>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</si>
  <si>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</si>
  <si>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</si>
  <si>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</si>
  <si>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</si>
  <si>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</si>
  <si>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</si>
  <si>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</si>
  <si>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</si>
  <si>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</si>
  <si>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</si>
  <si>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</si>
  <si>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</si>
  <si>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</si>
  <si>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</si>
  <si>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</si>
  <si>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</si>
  <si>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</si>
  <si>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</si>
  <si>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</si>
  <si>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</si>
  <si>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</si>
  <si>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</si>
  <si>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</si>
  <si>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</si>
  <si>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</si>
  <si>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</si>
  <si>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</si>
  <si>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</si>
  <si>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</si>
  <si>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</si>
  <si>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</si>
  <si>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</si>
  <si>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</si>
  <si>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</si>
  <si>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</si>
  <si>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</si>
  <si>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</si>
  <si>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</si>
  <si>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</si>
  <si>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</si>
  <si>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</si>
  <si>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</si>
  <si>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</si>
  <si>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</si>
  <si>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</si>
  <si>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</si>
  <si>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</si>
  <si>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</si>
  <si>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</si>
  <si>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</si>
  <si>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</si>
  <si>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</si>
  <si>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</si>
  <si>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</si>
  <si>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</si>
  <si>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</si>
  <si>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</si>
  <si>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</si>
  <si>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</si>
  <si>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</si>
  <si>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</si>
  <si>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</si>
  <si>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</si>
  <si>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</si>
  <si>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</si>
  <si>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</si>
  <si>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</si>
  <si>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</si>
  <si>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</si>
  <si>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</si>
  <si>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</si>
  <si>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</si>
  <si>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</si>
  <si>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</si>
  <si>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</si>
  <si>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</si>
  <si>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</si>
  <si>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</si>
  <si>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</si>
  <si>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</si>
  <si>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</si>
  <si>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</si>
  <si>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</si>
  <si>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</si>
  <si>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</si>
  <si>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</si>
  <si>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</si>
  <si>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</si>
  <si>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</si>
  <si>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</si>
  <si>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</si>
  <si>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</si>
  <si>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</si>
  <si>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</si>
  <si>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</si>
  <si>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</si>
  <si>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</si>
  <si>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</si>
  <si>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</si>
  <si>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</si>
  <si>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</si>
  <si>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</si>
  <si>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</si>
  <si>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</si>
  <si>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</si>
  <si>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</si>
  <si>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</si>
  <si>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</si>
  <si>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</si>
  <si>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</si>
  <si>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</si>
  <si>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</si>
  <si>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</si>
  <si>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</si>
  <si>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</si>
  <si>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</si>
  <si>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</si>
  <si>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</si>
  <si>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</si>
  <si>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</si>
  <si>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</si>
  <si>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</si>
  <si>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</si>
  <si>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</si>
  <si>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</si>
  <si>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</si>
  <si>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</si>
  <si>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</si>
  <si>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</si>
  <si>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</si>
  <si>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</si>
  <si>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</si>
  <si>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</si>
  <si>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</si>
  <si>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</si>
  <si>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</si>
  <si>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</si>
  <si>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</si>
  <si>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</si>
  <si>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</si>
  <si>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</si>
  <si>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</si>
  <si>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</si>
  <si>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</si>
  <si>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</si>
  <si>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</si>
  <si>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</si>
  <si>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</si>
  <si>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</si>
  <si>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</si>
  <si>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</si>
  <si>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</si>
  <si>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</si>
  <si>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</si>
  <si>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</si>
  <si>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</si>
  <si>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</si>
  <si>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</si>
  <si>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</si>
  <si>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</si>
  <si>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</si>
  <si>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</si>
  <si>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</si>
  <si>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</si>
  <si>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</si>
  <si>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</si>
  <si>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</si>
  <si>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</si>
  <si>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</si>
  <si>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</si>
  <si>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</si>
  <si>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</si>
  <si>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</si>
  <si>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</si>
  <si>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</si>
  <si>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</si>
  <si>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</si>
  <si>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</si>
  <si>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</si>
  <si>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</si>
  <si>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</si>
  <si>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</si>
  <si>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</si>
  <si>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</si>
  <si>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</si>
  <si>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</si>
  <si>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</si>
  <si>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</si>
  <si>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</si>
  <si>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</si>
  <si>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</si>
  <si>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</si>
  <si>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</si>
  <si>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</si>
  <si>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</si>
  <si>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</si>
  <si>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</si>
  <si>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</si>
  <si>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</si>
  <si>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</si>
  <si>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</si>
  <si>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</si>
  <si>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</si>
  <si>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</si>
  <si>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</si>
  <si>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</si>
  <si>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</si>
  <si>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</si>
  <si>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</si>
  <si>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</si>
  <si>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</si>
  <si>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</si>
  <si>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</si>
  <si>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</si>
  <si>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</si>
  <si>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</si>
  <si>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</si>
  <si>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</si>
  <si>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</si>
  <si>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</si>
  <si>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</si>
  <si>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</si>
  <si>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</si>
  <si>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</si>
  <si>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</si>
  <si>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</si>
  <si>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</si>
  <si>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</si>
  <si>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</si>
  <si>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</si>
  <si>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</si>
  <si>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</si>
  <si>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</si>
  <si>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</si>
  <si>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</si>
  <si>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</si>
  <si>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</si>
  <si>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</si>
  <si>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</si>
  <si>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</si>
  <si>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</si>
  <si>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</si>
  <si>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</si>
  <si>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</si>
  <si>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</si>
  <si>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</si>
  <si>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</si>
  <si>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</si>
  <si>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</si>
  <si>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</si>
  <si>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</si>
  <si>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</si>
  <si>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</si>
  <si>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</si>
  <si>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</si>
  <si>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</si>
  <si>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</si>
  <si>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</si>
  <si>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</si>
  <si>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</si>
  <si>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</si>
  <si>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</si>
  <si>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</si>
  <si>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</si>
  <si>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</si>
  <si>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</si>
  <si>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</si>
  <si>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</si>
  <si>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</si>
  <si>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</si>
  <si>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</si>
  <si>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</si>
  <si>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</si>
  <si>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</si>
  <si>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</si>
  <si>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</si>
  <si>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</si>
  <si>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</si>
  <si>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</si>
  <si>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</si>
  <si>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</si>
  <si>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</si>
  <si>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</si>
  <si>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</si>
  <si>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</si>
  <si>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</si>
  <si>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</si>
  <si>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</si>
  <si>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</si>
  <si>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</si>
  <si>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</si>
  <si>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</si>
  <si>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</si>
  <si>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</si>
  <si>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</si>
  <si>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</si>
  <si>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</si>
  <si>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</si>
  <si>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</si>
  <si>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</si>
  <si>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</si>
  <si>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</si>
  <si>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</si>
  <si>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</si>
  <si>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</si>
  <si>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</si>
  <si>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</si>
  <si>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</si>
  <si>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</si>
  <si>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</si>
  <si>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</si>
  <si>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</si>
  <si>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</si>
  <si>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</si>
  <si>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</si>
  <si>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</si>
  <si>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</si>
  <si>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</si>
  <si>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</si>
  <si>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</si>
  <si>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</si>
  <si>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</si>
  <si>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</si>
  <si>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</si>
  <si>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</si>
  <si>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</si>
  <si>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</si>
  <si>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</si>
  <si>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</si>
  <si>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</si>
  <si>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</si>
  <si>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</si>
  <si>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</si>
  <si>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</si>
  <si>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</si>
  <si>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</si>
  <si>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</si>
  <si>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</si>
  <si>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</si>
  <si>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</si>
  <si>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</si>
  <si>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</si>
  <si>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</si>
  <si>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</si>
  <si>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</si>
  <si>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</si>
  <si>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</si>
  <si>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</si>
  <si>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</si>
  <si>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</si>
  <si>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</si>
  <si>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</si>
  <si>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</si>
  <si>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</si>
  <si>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</si>
  <si>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</si>
  <si>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</si>
  <si>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</si>
  <si>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</si>
  <si>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</si>
  <si>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</si>
  <si>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</si>
  <si>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</si>
  <si>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</si>
  <si>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</si>
  <si>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</si>
  <si>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</si>
  <si>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</si>
  <si>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</si>
  <si>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</si>
  <si>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</si>
  <si>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</si>
  <si>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</si>
  <si>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</si>
  <si>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</si>
  <si>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</si>
  <si>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</si>
  <si>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</si>
  <si>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</si>
  <si>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</si>
  <si>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</si>
  <si>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</si>
  <si>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</si>
  <si>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</si>
  <si>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</si>
  <si>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</si>
  <si>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</si>
  <si>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</si>
  <si>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</si>
  <si>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</si>
  <si>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</si>
  <si>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</si>
  <si>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</si>
  <si>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</si>
  <si>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</si>
  <si>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</si>
  <si>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</si>
  <si>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</si>
  <si>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</si>
  <si>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</si>
  <si>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</si>
  <si>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</si>
  <si>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</si>
  <si>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</si>
  <si>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</si>
  <si>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</si>
  <si>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</si>
  <si>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</si>
  <si>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</si>
  <si>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</si>
  <si>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</si>
  <si>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</si>
  <si>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</si>
  <si>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</si>
  <si>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</si>
  <si>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</si>
  <si>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</si>
  <si>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</si>
  <si>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</si>
  <si>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</si>
  <si>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</si>
  <si>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</si>
  <si>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</si>
  <si>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</si>
  <si>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</si>
  <si>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</si>
  <si>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</si>
  <si>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</si>
  <si>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</si>
  <si>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</si>
  <si>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</si>
  <si>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</si>
  <si>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</si>
  <si>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</si>
  <si>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</si>
  <si>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</si>
  <si>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</si>
  <si>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</si>
  <si>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</si>
  <si>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</si>
  <si>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</si>
  <si>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</si>
  <si>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</si>
  <si>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</si>
  <si>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</si>
  <si>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</si>
  <si>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</si>
  <si>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</si>
  <si>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</si>
  <si>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</si>
  <si>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</si>
  <si>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</si>
  <si>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</si>
  <si>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</si>
  <si>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</si>
  <si>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</si>
  <si>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</si>
  <si>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</si>
  <si>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</si>
  <si>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</si>
  <si>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</si>
  <si>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</si>
  <si>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</si>
  <si>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</si>
  <si>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</si>
  <si>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</si>
  <si>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</si>
  <si>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</si>
  <si>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</si>
  <si>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</si>
  <si>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</si>
  <si>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</si>
  <si>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</si>
  <si>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</si>
  <si>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</si>
  <si>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</si>
  <si>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</si>
  <si>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</si>
  <si>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</si>
  <si>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</si>
  <si>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</si>
  <si>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</si>
  <si>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</si>
  <si>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</si>
  <si>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</si>
  <si>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</si>
  <si>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</si>
  <si>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</si>
  <si>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</si>
  <si>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</si>
  <si>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</si>
  <si>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</si>
  <si>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</si>
  <si>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</si>
  <si>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</si>
  <si>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</si>
  <si>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</si>
  <si>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</si>
  <si>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</si>
  <si>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</si>
  <si>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</si>
  <si>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</si>
  <si>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</si>
  <si>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</si>
  <si>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</si>
  <si>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</si>
  <si>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</si>
  <si>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</si>
  <si>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</si>
  <si>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</si>
  <si>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</si>
  <si>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</si>
  <si>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</si>
  <si>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</si>
  <si>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</si>
  <si>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</si>
  <si>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</si>
  <si>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</si>
  <si>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</si>
  <si>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</si>
  <si>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</si>
  <si>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</si>
  <si>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</si>
  <si>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</si>
  <si>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</si>
  <si>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</si>
  <si>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</si>
  <si>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</si>
  <si>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</si>
  <si>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</si>
  <si>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</si>
  <si>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</si>
  <si>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</si>
  <si>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</si>
  <si>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</si>
  <si>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</si>
  <si>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</si>
  <si>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</si>
  <si>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</si>
  <si>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</si>
  <si>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</si>
  <si>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</si>
  <si>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</si>
  <si>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</si>
  <si>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</si>
  <si>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</si>
  <si>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</si>
  <si>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</si>
  <si>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</si>
  <si>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</si>
  <si>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</si>
  <si>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</si>
  <si>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</si>
  <si>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</si>
  <si>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</si>
  <si>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</si>
  <si>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</si>
  <si>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</si>
  <si>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</si>
  <si>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</si>
  <si>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</si>
  <si>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</si>
  <si>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</si>
  <si>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</si>
  <si>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</si>
  <si>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</si>
  <si>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</si>
  <si>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</si>
  <si>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</si>
  <si>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</si>
  <si>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</si>
  <si>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</si>
  <si>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</si>
  <si>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</si>
  <si>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</si>
  <si>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</si>
  <si>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</si>
  <si>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</si>
  <si>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</si>
  <si>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</si>
  <si>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</si>
  <si>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</si>
  <si>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</si>
  <si>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</si>
  <si>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</si>
  <si>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</si>
  <si>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</si>
  <si>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</si>
  <si>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</si>
  <si>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</si>
  <si>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</si>
  <si>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</si>
  <si>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</si>
  <si>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</si>
  <si>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</si>
  <si>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</si>
  <si>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</si>
  <si>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</si>
  <si>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</si>
  <si>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</si>
  <si>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</si>
  <si>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</si>
  <si>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</si>
  <si>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</si>
  <si>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</si>
  <si>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</si>
  <si>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</si>
  <si>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</si>
  <si>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</si>
  <si>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</si>
  <si>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</si>
  <si>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</si>
  <si>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</si>
  <si>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</si>
  <si>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</si>
  <si>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</si>
  <si>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</si>
  <si>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</si>
  <si>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</si>
  <si>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</si>
  <si>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</si>
  <si>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</si>
  <si>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</si>
  <si>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</si>
  <si>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</si>
  <si>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</si>
  <si>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</si>
  <si>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</si>
  <si>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</si>
  <si>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</si>
  <si>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</si>
  <si>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</si>
  <si>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</si>
  <si>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</si>
  <si>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</si>
  <si>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</si>
  <si>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</si>
  <si>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</si>
  <si>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</si>
  <si>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</si>
  <si>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</si>
  <si>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</si>
  <si>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</si>
  <si>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</si>
  <si>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</si>
  <si>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</si>
  <si>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</si>
  <si>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</si>
  <si>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</si>
  <si>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</si>
  <si>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</si>
  <si>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</si>
  <si>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</si>
  <si>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</si>
  <si>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</si>
  <si>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</si>
  <si>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</si>
  <si>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</si>
  <si>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</si>
  <si>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</si>
  <si>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</si>
  <si>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</si>
  <si>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</si>
  <si>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</si>
  <si>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</si>
  <si>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</si>
  <si>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</si>
  <si>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</si>
  <si>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</si>
  <si>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</si>
  <si>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</si>
  <si>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</si>
  <si>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</si>
  <si>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</si>
  <si>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</si>
  <si>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</si>
  <si>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</si>
  <si>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</si>
  <si>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</si>
  <si>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</si>
  <si>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</si>
  <si>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</si>
  <si>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</si>
  <si>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</si>
  <si>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</si>
  <si>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</si>
  <si>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</si>
  <si>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</si>
  <si>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</si>
  <si>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</si>
  <si>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</si>
  <si>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</si>
  <si>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</si>
  <si>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</si>
  <si>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</si>
  <si>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</si>
  <si>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</si>
  <si>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</si>
  <si>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</si>
  <si>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</si>
  <si>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</si>
  <si>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</si>
  <si>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</si>
  <si>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</si>
  <si>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</si>
  <si>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</si>
  <si>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</si>
  <si>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</si>
  <si>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</si>
  <si>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</si>
  <si>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</si>
  <si>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</si>
  <si>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</si>
  <si>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</si>
  <si>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</si>
  <si>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</si>
  <si>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</si>
  <si>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</si>
  <si>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</si>
  <si>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</si>
  <si>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</si>
  <si>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</si>
  <si>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</si>
  <si>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</si>
  <si>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</si>
  <si>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</si>
  <si>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</si>
  <si>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</si>
  <si>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</si>
  <si>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</si>
  <si>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</si>
  <si>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</si>
  <si>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</si>
  <si>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</si>
  <si>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</si>
  <si>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</si>
  <si>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</si>
  <si>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</si>
  <si>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</si>
  <si>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</si>
  <si>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</si>
  <si>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</si>
  <si>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</si>
  <si>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</si>
  <si>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</si>
  <si>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</si>
  <si>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</si>
  <si>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</si>
  <si>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</si>
  <si>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</si>
  <si>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</si>
  <si>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</si>
  <si>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</si>
  <si>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</si>
  <si>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</si>
  <si>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</si>
  <si>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</si>
  <si>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</si>
  <si>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</si>
  <si>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</si>
  <si>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</si>
  <si>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</si>
  <si>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</si>
  <si>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</si>
  <si>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</si>
  <si>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</si>
  <si>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</si>
  <si>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</si>
  <si>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</si>
  <si>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</si>
  <si>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</si>
  <si>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</si>
  <si>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</si>
  <si>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</si>
  <si>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</si>
  <si>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</si>
  <si>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</si>
  <si>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</si>
  <si>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</si>
  <si>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</si>
  <si>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</si>
  <si>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</si>
  <si>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</si>
  <si>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</si>
  <si>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</si>
  <si>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</si>
  <si>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</si>
  <si>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</si>
  <si>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</si>
  <si>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</si>
  <si>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</si>
  <si>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</si>
  <si>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</si>
  <si>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</si>
  <si>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</si>
  <si>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</si>
  <si>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</si>
  <si>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</si>
  <si>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</si>
  <si>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</si>
  <si>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</si>
  <si>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</si>
  <si>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</si>
  <si>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</si>
  <si>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</si>
  <si>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</si>
  <si>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</si>
  <si>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</si>
  <si>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</si>
  <si>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</si>
  <si>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</si>
  <si>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</si>
  <si>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</si>
  <si>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</si>
  <si>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</si>
  <si>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</si>
  <si>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</si>
  <si>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</si>
  <si>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</si>
  <si>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</si>
  <si>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</si>
  <si>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</si>
  <si>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</si>
  <si>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</si>
  <si>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</si>
  <si>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</si>
  <si>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</si>
  <si>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</si>
  <si>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</si>
  <si>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</si>
  <si>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</si>
  <si>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</si>
  <si>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</si>
  <si>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</si>
  <si>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</si>
  <si>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</si>
  <si>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</si>
  <si>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</si>
  <si>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</si>
  <si>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</si>
  <si>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</si>
  <si>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</si>
  <si>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</si>
  <si>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</si>
  <si>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</si>
  <si>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</si>
  <si>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</si>
  <si>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</si>
  <si>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</si>
  <si>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</si>
  <si>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</si>
  <si>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</si>
  <si>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</si>
  <si>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</si>
  <si>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</si>
  <si>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</si>
  <si>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</si>
  <si>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</si>
  <si>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</si>
  <si>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</si>
  <si>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</si>
  <si>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</si>
  <si>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</si>
  <si>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</si>
  <si>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</si>
  <si>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</si>
  <si>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</si>
  <si>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</si>
  <si>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</si>
  <si>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</si>
  <si>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</si>
  <si>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</si>
  <si>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</si>
  <si>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</si>
  <si>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</si>
  <si>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</si>
  <si>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</si>
  <si>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</si>
  <si>
    <t>080-9240-9845</t>
  </si>
  <si>
    <t>児嶋 乃綾</t>
  </si>
  <si>
    <t>Kojima Noa</t>
  </si>
  <si>
    <t>〒815-0031
福岡市南区清水4-4-10-503</t>
  </si>
  <si>
    <t>meg21moe25@yahoo.co.jp</t>
  </si>
  <si>
    <t>稲永　瀬</t>
  </si>
  <si>
    <t>イナガ　セナ</t>
  </si>
  <si>
    <t>〒811-1347
福岡市南区野多目1-8-1-309</t>
  </si>
  <si>
    <t>sena_0418@docomo.ne.jp</t>
  </si>
  <si>
    <t>refund for nao absence</t>
    <phoneticPr fontId="43"/>
  </si>
  <si>
    <t>n</t>
    <phoneticPr fontId="43"/>
  </si>
  <si>
    <t>August</t>
  </si>
  <si>
    <t>July and august not paid as rico was declined. Ou comment l imcompetence des autres te fait perdre du temps.</t>
  </si>
  <si>
    <r>
      <t>高橋</t>
    </r>
    <r>
      <rPr>
        <sz val="12"/>
        <color theme="1"/>
        <rFont val="Aptos"/>
        <family val="2"/>
      </rPr>
      <t xml:space="preserve"> </t>
    </r>
    <r>
      <rPr>
        <sz val="12"/>
        <color theme="1"/>
        <rFont val="Yu Gothic"/>
        <family val="2"/>
      </rPr>
      <t>優空</t>
    </r>
  </si>
  <si>
    <t>yukino.0322@icloud.com</t>
  </si>
  <si>
    <t>090-5486-2451</t>
  </si>
  <si>
    <t>September</t>
  </si>
  <si>
    <t>commment</t>
  </si>
  <si>
    <t>start 1h private</t>
  </si>
  <si>
    <t>stops</t>
  </si>
  <si>
    <t>October</t>
  </si>
  <si>
    <t>comment</t>
  </si>
  <si>
    <t>the rico accuont was set at 13200 - has been corrected</t>
  </si>
  <si>
    <t>タカハシ ユア</t>
  </si>
  <si>
    <t>〒811-1347 福岡市南区野多目2-16-41-101</t>
  </si>
  <si>
    <t>南 來那</t>
  </si>
  <si>
    <t xml:space="preserve">〒815-0033 福岡市南区大橋2-28-25-1101
</t>
  </si>
  <si>
    <t>070-4193-9551</t>
  </si>
  <si>
    <t>kurando@gmail.com</t>
  </si>
  <si>
    <t>ミナミ ナナ</t>
  </si>
  <si>
    <t>She is not supposed to pay the shokei hi. So I refund January and July on August 14</t>
  </si>
  <si>
    <t xml:space="preserve">6050 + 10100 </t>
  </si>
  <si>
    <t>refund for July and June - She had quit already</t>
  </si>
  <si>
    <t>mei.yume0214@icloud.com</t>
  </si>
  <si>
    <t>濵部萌衣</t>
  </si>
  <si>
    <t>Origin</t>
  </si>
  <si>
    <t>BOOKING SOURCE: KIDS CAMPAIGN
TRIAL TYPE: FREE</t>
  </si>
  <si>
    <t>080-1788-4917</t>
  </si>
  <si>
    <t>Kids campaign</t>
  </si>
  <si>
    <t>プライベートレッスン</t>
  </si>
  <si>
    <t>quit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</si>
</sst>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6">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
      <sz val="12"/>
      <color theme="1"/>
      <name val="Yu Gothic"/>
      <family val="2"/>
    </font>
  </fonts>
  <fills count="29">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
      <patternFill patternType="solid">
        <fgColor rgb="FF00B050"/>
        <bgColor theme="0" tint="-0.14999847407452621"/>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5">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66" fontId="0" fillId="16" borderId="0" xfId="0" applyNumberFormat="1" applyFill="1"/>
    <xf numFmtId="0" fontId="45" fillId="0" borderId="0" xfId="0" applyFont="1"/>
    <xf numFmtId="0" fontId="0" fillId="28" borderId="0" xfId="0" applyFill="1"/>
    <xf numFmtId="14" fontId="8" fillId="0" borderId="0" xfId="0" applyNumberFormat="1" applyFont="1"/>
    <xf numFmtId="20" fontId="8" fillId="0" borderId="0" xfId="0" applyNumberFormat="1" applyFont="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Accent1" xfId="4" builtinId="29"/>
    <cellStyle name="Comma" xfId="3" builtinId="3"/>
    <cellStyle name="Hyperlink" xfId="1" builtinId="8"/>
    <cellStyle name="Normal" xfId="0" builtinId="0"/>
    <cellStyle name="Percent" xfId="2" builtinId="5"/>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xdr:row>
          <xdr:rowOff>38100</xdr:rowOff>
        </xdr:from>
        <xdr:to>
          <xdr:col>0</xdr:col>
          <xdr:colOff>1019175</xdr:colOff>
          <xdr:row>1</xdr:row>
          <xdr:rowOff>409575</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0</xdr:row>
          <xdr:rowOff>28575</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66675</xdr:rowOff>
        </xdr:from>
        <xdr:to>
          <xdr:col>10</xdr:col>
          <xdr:colOff>981075</xdr:colOff>
          <xdr:row>1</xdr:row>
          <xdr:rowOff>371475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409575</xdr:colOff>
          <xdr:row>0</xdr:row>
          <xdr:rowOff>104775</xdr:rowOff>
        </xdr:from>
        <xdr:to>
          <xdr:col>4</xdr:col>
          <xdr:colOff>485775</xdr:colOff>
          <xdr:row>0</xdr:row>
          <xdr:rowOff>600075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561975</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142875</xdr:colOff>
          <xdr:row>10</xdr:row>
          <xdr:rowOff>66675</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66675</xdr:rowOff>
        </xdr:from>
        <xdr:to>
          <xdr:col>15</xdr:col>
          <xdr:colOff>523875</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15</xdr:row>
          <xdr:rowOff>0</xdr:rowOff>
        </xdr:from>
        <xdr:to>
          <xdr:col>15</xdr:col>
          <xdr:colOff>533400</xdr:colOff>
          <xdr:row>15</xdr:row>
          <xdr:rowOff>142875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142875</xdr:colOff>
          <xdr:row>16</xdr:row>
          <xdr:rowOff>180975</xdr:rowOff>
        </xdr:from>
        <xdr:to>
          <xdr:col>15</xdr:col>
          <xdr:colOff>600075</xdr:colOff>
          <xdr:row>16</xdr:row>
          <xdr:rowOff>866775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66675</xdr:rowOff>
        </xdr:from>
        <xdr:to>
          <xdr:col>15</xdr:col>
          <xdr:colOff>533400</xdr:colOff>
          <xdr:row>18</xdr:row>
          <xdr:rowOff>142875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33</xdr:row>
          <xdr:rowOff>47625</xdr:rowOff>
        </xdr:from>
        <xdr:to>
          <xdr:col>15</xdr:col>
          <xdr:colOff>561975</xdr:colOff>
          <xdr:row>33</xdr:row>
          <xdr:rowOff>180975</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6</xdr:col>
      <xdr:colOff>0</xdr:colOff>
      <xdr:row>1</xdr:row>
      <xdr:rowOff>9525</xdr:rowOff>
    </xdr:from>
    <xdr:to>
      <xdr:col>6</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5" headerRowBorderDxfId="44" tableBorderDxfId="43">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2">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1"/>
    <tableColumn id="25" xr3:uid="{00000000-0010-0000-0000-000019000000}" name="Birthday"/>
    <tableColumn id="27" xr3:uid="{00000000-0010-0000-0000-00001B000000}" name="Joining Date" dataDxfId="40"/>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39"/>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38"/>
    <tableColumn id="66" xr3:uid="{00000000-0010-0000-0000-000042000000}" name="Column1" dataDxfId="37"/>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36"/>
    <tableColumn id="41" xr3:uid="{00000000-0010-0000-0000-000029000000}" name="Clean Frequency" dataDxfId="35"/>
    <tableColumn id="42" xr3:uid="{00000000-0010-0000-0000-00002A000000}" name="Month" dataDxfId="34"/>
    <tableColumn id="43" xr3:uid="{00000000-0010-0000-0000-00002B000000}" name="Year" dataDxfId="33"/>
    <tableColumn id="44" xr3:uid="{00000000-0010-0000-0000-00002C000000}" name="Helper" dataDxfId="32"/>
    <tableColumn id="47" xr3:uid="{00000000-0010-0000-0000-00002F000000}" name="Group Frequency" dataDxfId="31"/>
    <tableColumn id="45" xr3:uid="{00000000-0010-0000-0000-00002D000000}" name="First Occurrence" dataDxfId="30"/>
    <tableColumn id="57" xr3:uid="{00000000-0010-0000-0000-000039000000}" name="Final PrivateFrequency" dataDxfId="29"/>
    <tableColumn id="51" xr3:uid="{00000000-0010-0000-0000-000033000000}" name="Final Group Frequency2" dataDxfId="28"/>
    <tableColumn id="46" xr3:uid="{00000000-0010-0000-0000-00002E000000}" name="Duration" dataDxfId="27"/>
    <tableColumn id="48" xr3:uid="{00000000-0010-0000-0000-000030000000}" name="Customer name" dataDxfId="26"/>
    <tableColumn id="58" xr3:uid="{00000000-0010-0000-0000-00003A000000}" name="Salary without Alex" dataDxfId="25"/>
    <tableColumn id="61" xr3:uid="{00000000-0010-0000-0000-00003D000000}" name="Fee without Alex" dataDxfId="24"/>
    <tableColumn id="49" xr3:uid="{00000000-0010-0000-0000-000031000000}" name="Pay Type" dataDxfId="23"/>
    <tableColumn id="50" xr3:uid="{00000000-0010-0000-0000-000032000000}" name="Salary / Hourly Rate" dataDxfId="22"/>
    <tableColumn id="52" xr3:uid="{00000000-0010-0000-0000-000034000000}" name="Group Salary" dataDxfId="21"/>
    <tableColumn id="53" xr3:uid="{00000000-0010-0000-0000-000035000000}" name="Private Salary" dataDxfId="20"/>
    <tableColumn id="54" xr3:uid="{00000000-0010-0000-0000-000036000000}" name="Total Salary" dataDxfId="19"/>
    <tableColumn id="64" xr3:uid="{00000000-0010-0000-0000-000040000000}" name="Money Spend" dataDxfId="18"/>
    <tableColumn id="55" xr3:uid="{00000000-0010-0000-0000-000037000000}" name="Profit" dataDxfId="17"/>
    <tableColumn id="59" xr3:uid="{00000000-0010-0000-0000-00003B000000}" name="For Amount" dataDxfId="16"/>
    <tableColumn id="65" xr3:uid="{00000000-0010-0000-0000-000041000000}" name="For Count" dataDxfId="15"/>
    <tableColumn id="56" xr3:uid="{00000000-0010-0000-0000-000038000000}" name="For Salary" dataDxfId="14"/>
    <tableColumn id="60" xr3:uid="{00000000-0010-0000-0000-00003C000000}" name="For Frequency" dataDxfId="13"/>
    <tableColumn id="62" xr3:uid="{00000000-0010-0000-0000-00003E000000}" name="For End Date" dataDxfId="12">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AA109" totalsRowShown="0" headerRowDxfId="49">
  <autoFilter ref="A1:AA109" xr:uid="{00000000-0009-0000-0100-000002000000}"/>
  <tableColumns count="27">
    <tableColumn id="1" xr3:uid="{00000000-0010-0000-0100-000001000000}" name="Column1"/>
    <tableColumn id="27" xr3:uid="{894FBEB2-BFFF-4D12-AFCF-5B36F98256C5}" name="Origin"/>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48"/>
    <tableColumn id="5" xr3:uid="{00000000-0010-0000-0100-000005000000}" name="how they reached out" dataDxfId="47"/>
    <tableColumn id="6" xr3:uid="{00000000-0010-0000-0100-000006000000}" name="day of taiken"/>
    <tableColumn id="7" xr3:uid="{00000000-0010-0000-0100-000007000000}" name="Time of Taiken" dataDxfId="46"/>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hyperlink" Target="mailto:yukino.0322@icloud.com" TargetMode="Externa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8" Type="http://schemas.openxmlformats.org/officeDocument/2006/relationships/drawing" Target="../drawings/drawing4.xml"/><Relationship Id="rId5" Type="http://schemas.openxmlformats.org/officeDocument/2006/relationships/hyperlink" Target="mailto:shiina.19880615@gmail.com" TargetMode="External"/><Relationship Id="rId19" Type="http://schemas.openxmlformats.org/officeDocument/2006/relationships/hyperlink" Target="mailto:shu.kanouchi@icloud.com"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hyperlink" Target="mailto:mei.yume0214@icloud.com" TargetMode="Externa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59" Type="http://schemas.openxmlformats.org/officeDocument/2006/relationships/table" Target="../tables/table2.xm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 Id="rId57" Type="http://schemas.openxmlformats.org/officeDocument/2006/relationships/printerSettings" Target="../printerSettings/printerSettings2.bin"/><Relationship Id="rId10" Type="http://schemas.openxmlformats.org/officeDocument/2006/relationships/hyperlink" Target="mailto:atonemasami@gmail.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40" activePane="bottomLeft" state="frozen"/>
      <selection pane="bottomLeft" activeCell="A247" sqref="A247"/>
    </sheetView>
  </sheetViews>
  <sheetFormatPr defaultRowHeight="18" customHeight="1"/>
  <cols>
    <col min="1" max="1" width="16" customWidth="1"/>
    <col min="2" max="2" width="16.28515625" customWidth="1"/>
    <col min="3" max="3" width="11.85546875" customWidth="1"/>
    <col min="4" max="4" width="18" customWidth="1"/>
    <col min="5" max="5" width="18.28515625" customWidth="1"/>
    <col min="6" max="6" width="16.85546875" hidden="1" customWidth="1"/>
    <col min="7" max="7" width="8" customWidth="1"/>
    <col min="8" max="8" width="7" customWidth="1"/>
    <col min="9" max="9" width="5.5703125" customWidth="1"/>
    <col min="10" max="10" width="24.7109375" customWidth="1"/>
    <col min="11" max="11" width="13" bestFit="1" customWidth="1"/>
    <col min="12" max="12" width="16" customWidth="1"/>
    <col min="13" max="13" width="10.85546875" customWidth="1"/>
    <col min="14" max="14" width="17.28515625" customWidth="1"/>
    <col min="15" max="17" width="15.28515625" customWidth="1"/>
    <col min="18" max="19" width="20.85546875" customWidth="1"/>
    <col min="20" max="20" width="38.28515625" customWidth="1"/>
    <col min="21" max="22" width="20.85546875" customWidth="1"/>
    <col min="23" max="23" width="14.28515625" customWidth="1"/>
    <col min="24" max="24" width="5.85546875" customWidth="1"/>
    <col min="25" max="25" width="45.28515625" customWidth="1"/>
    <col min="26" max="26" width="14" customWidth="1"/>
    <col min="27" max="27" width="14.28515625" customWidth="1"/>
    <col min="28" max="28" width="28.28515625" customWidth="1"/>
    <col min="29" max="29" width="17.7109375" customWidth="1"/>
    <col min="30" max="30" width="18.28515625" customWidth="1"/>
    <col min="31" max="31" width="24" style="130" customWidth="1"/>
    <col min="32" max="32" width="21.7109375" hidden="1" customWidth="1"/>
    <col min="33" max="33" width="21.85546875" hidden="1" customWidth="1"/>
    <col min="34" max="34" width="21.5703125" hidden="1" customWidth="1"/>
    <col min="35" max="35" width="21.85546875" hidden="1" customWidth="1"/>
    <col min="36" max="36" width="65.85546875" hidden="1" customWidth="1"/>
    <col min="37" max="37" width="33.28515625" hidden="1" customWidth="1"/>
    <col min="38" max="38" width="18" customWidth="1"/>
    <col min="39" max="39" width="19.28515625" customWidth="1"/>
    <col min="40" max="41" width="18.7109375" style="38" customWidth="1"/>
    <col min="42" max="42" width="23" customWidth="1"/>
    <col min="43" max="43" width="17.28515625" customWidth="1"/>
    <col min="44" max="44" width="15.5703125" customWidth="1"/>
    <col min="45" max="45" width="22.28515625" customWidth="1"/>
    <col min="46" max="46" width="20.85546875" customWidth="1"/>
    <col min="47" max="47" width="12" customWidth="1"/>
    <col min="48" max="48" width="11.28515625" customWidth="1"/>
    <col min="49" max="50" width="20.5703125" customWidth="1"/>
    <col min="51" max="51" width="15.85546875" customWidth="1"/>
    <col min="52" max="52" width="21" customWidth="1"/>
    <col min="53" max="53" width="21.5703125" customWidth="1"/>
    <col min="54" max="54" width="15.5703125" customWidth="1"/>
    <col min="55" max="57" width="20" customWidth="1"/>
    <col min="58" max="58" width="17.7109375" customWidth="1"/>
    <col min="59" max="59" width="19.85546875" customWidth="1"/>
    <col min="60" max="60" width="18.28515625" customWidth="1"/>
    <col min="61" max="61" width="19.85546875" customWidth="1"/>
    <col min="62" max="63" width="19.28515625" customWidth="1"/>
    <col min="64" max="64" width="16.28515625" customWidth="1"/>
    <col min="65" max="65" width="14.28515625" customWidth="1"/>
    <col min="66" max="66" width="16" customWidth="1"/>
    <col min="67" max="67" width="14.85546875" customWidth="1"/>
    <col min="68" max="68" width="18" customWidth="1"/>
    <col min="69" max="69" width="15.7109375" style="38" customWidth="1"/>
    <col min="70" max="70" width="13.2851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3.1"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3.1"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3.1"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3.1"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561</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3.1"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3.1"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3.1"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3.1"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3.1"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3.1"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3.1"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3.1"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3.1"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3.1"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1208</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3.1"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3.1"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3.1"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3.1"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3.1"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3.1"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3.1"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3.1"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3.1"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3.1"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3.1"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963</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3.1"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3.1"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3.1"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3.1"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3.1"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3.1"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3.1"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3.1"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3.1"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3.1"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3.1"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3.1"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3.1"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3.1"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3.1"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3.1"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963</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3154</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3.1"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3.1"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3.1"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3.1"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3.1"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3.1"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872</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2444</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689</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689</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689</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3.1"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3.1"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3.1"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3.1"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3.1"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3154</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3.1"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3.1"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3.1"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1147</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3.1"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3.1"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1235</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3.1"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3.1"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3.1"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3.1"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3.1"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2340</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2340</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3.1"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3.1"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3154</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3.1"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3.1"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3.1"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3.1"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3.1"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1051</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3.1"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3.1"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3.1"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3.1"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3.1"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3.1"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3.1"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3.1"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3.1"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1236</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3.1"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3.1"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3.1"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3.1"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3.1"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3.1"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3.1"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3.1"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3.1"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3.1"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3.1"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872</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932</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689</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3.1"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811</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3.1"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3154</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3.1"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3.1"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3.1"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3.1"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3.1"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3.1"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3.1"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3.1"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3.1"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3.1"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3.1"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3.1"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12100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781</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3.1"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3.1"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3.1"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3.1"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3.1"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3.1"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3.1"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3.1"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3.1"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3.1"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3.1"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3.1"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66</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t="str">
        <f ca="1">IF(B150="Y", IF(Table1[[#This Row],[Stop]]="", TODAY() - Table1[[#This Row],[Joining Date]], Table1[[#This Row],[Stop]] - Table1[[#This Row],[Joining Date]]), "")</f>
        <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3.1"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3.1"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3.1"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872</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3.1"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3.1"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3.1"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3.1"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3.1"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3.1"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3.1"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3.1"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3.1"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3.1"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872</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2453</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811</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3.1"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3.1"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1054</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3.1"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3.1"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932</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932</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3.1"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3.1"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3154</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3.1"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3.1"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719</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3.1"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3.1"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3.1"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3.1"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3.1"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3.1"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3.1"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3.1"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3.1"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3.1"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3.1"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3.1"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1233</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3.1"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66</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t="str">
        <f ca="1">IF(B204="Y", IF(Table1[[#This Row],[Stop]]="", TODAY() - Table1[[#This Row],[Joining Date]], Table1[[#This Row],[Stop]] - Table1[[#This Row],[Joining Date]]), "")</f>
        <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3.1"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3.1"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1238</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3.1"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3.1"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3.1"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3.1"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3.1"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3.1"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3.1"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3.1"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3.1"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597</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872</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3.1"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532</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487</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482</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2480</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46255</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46255</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441</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2459</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2458</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412</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408</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2459</v>
      </c>
      <c r="C239" t="s">
        <v>1272</v>
      </c>
      <c r="D239" t="s">
        <v>1084</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c r="AM239" s="301">
        <v>46234</v>
      </c>
    </row>
    <row r="240" spans="1:68" ht="18" customHeight="1">
      <c r="A240">
        <v>183</v>
      </c>
      <c r="B240" t="s">
        <v>2459</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c r="AM240" s="301">
        <v>46234</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2284</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66</v>
      </c>
      <c r="C247" t="s">
        <v>2282</v>
      </c>
      <c r="D247" t="s">
        <v>364</v>
      </c>
      <c r="G247" s="278" t="s">
        <v>2225</v>
      </c>
      <c r="H247" s="278" t="s">
        <v>2225</v>
      </c>
      <c r="J247" t="s">
        <v>109</v>
      </c>
      <c r="O247">
        <v>14050</v>
      </c>
      <c r="T247" s="38">
        <v>46055</v>
      </c>
      <c r="V247" s="278" t="s">
        <v>2226</v>
      </c>
      <c r="Y247" s="278" t="s">
        <v>2227</v>
      </c>
      <c r="AM247" s="38">
        <v>46295</v>
      </c>
    </row>
    <row r="248" spans="1:39" ht="18" customHeight="1">
      <c r="A248">
        <v>191</v>
      </c>
      <c r="B248" t="s">
        <v>2459</v>
      </c>
      <c r="C248" t="s">
        <v>2389</v>
      </c>
      <c r="D248" t="s">
        <v>2337</v>
      </c>
      <c r="G248" s="256" t="s">
        <v>2286</v>
      </c>
      <c r="H248" s="256" t="s">
        <v>2288</v>
      </c>
      <c r="J248" t="s">
        <v>109</v>
      </c>
      <c r="O248">
        <v>12100</v>
      </c>
      <c r="V248" s="256" t="s">
        <v>2267</v>
      </c>
      <c r="W248" s="256"/>
      <c r="Y248" s="256" t="s">
        <v>2266</v>
      </c>
      <c r="AB248" s="40" t="s">
        <v>2346</v>
      </c>
    </row>
    <row r="249" spans="1:39" ht="18" customHeight="1">
      <c r="A249">
        <v>191</v>
      </c>
      <c r="B249" t="s">
        <v>2459</v>
      </c>
      <c r="C249" t="s">
        <v>2285</v>
      </c>
      <c r="D249" t="s">
        <v>2337</v>
      </c>
      <c r="G249" s="256" t="s">
        <v>2286</v>
      </c>
      <c r="H249" s="256" t="s">
        <v>2287</v>
      </c>
      <c r="J249" t="s">
        <v>109</v>
      </c>
      <c r="O249">
        <v>12100</v>
      </c>
      <c r="T249" s="282"/>
      <c r="AB249" s="40" t="s">
        <v>2346</v>
      </c>
    </row>
    <row r="250" spans="1:39" ht="18" customHeight="1">
      <c r="A250">
        <v>193</v>
      </c>
      <c r="B250" t="s">
        <v>103</v>
      </c>
      <c r="C250" t="s">
        <v>2280</v>
      </c>
      <c r="D250" t="s">
        <v>2281</v>
      </c>
      <c r="G250" t="s">
        <v>2342</v>
      </c>
      <c r="H250" s="256" t="s">
        <v>2283</v>
      </c>
      <c r="J250" t="s">
        <v>109</v>
      </c>
      <c r="O250">
        <v>7000</v>
      </c>
      <c r="V250" s="176" t="s">
        <v>2268</v>
      </c>
      <c r="Y250" s="266" t="s">
        <v>2265</v>
      </c>
    </row>
    <row r="251" spans="1:39" ht="18" customHeight="1">
      <c r="A251">
        <v>194</v>
      </c>
      <c r="B251" t="s">
        <v>103</v>
      </c>
      <c r="C251" t="s">
        <v>2318</v>
      </c>
      <c r="D251" t="s">
        <v>2317</v>
      </c>
      <c r="G251" s="256" t="s">
        <v>2314</v>
      </c>
      <c r="H251" s="256" t="s">
        <v>2371</v>
      </c>
      <c r="J251" t="s">
        <v>109</v>
      </c>
      <c r="K251" t="s">
        <v>1545</v>
      </c>
      <c r="L251" t="s">
        <v>197</v>
      </c>
      <c r="O251">
        <v>20500</v>
      </c>
      <c r="T251" t="s">
        <v>2319</v>
      </c>
      <c r="V251" s="256" t="s">
        <v>2305</v>
      </c>
      <c r="Y251" s="266" t="s">
        <v>2296</v>
      </c>
      <c r="AB251" s="281" t="s">
        <v>2304</v>
      </c>
    </row>
    <row r="252" spans="1:39" ht="18" customHeight="1">
      <c r="A252">
        <v>195</v>
      </c>
      <c r="B252" t="s">
        <v>103</v>
      </c>
      <c r="C252" s="280" t="s">
        <v>2320</v>
      </c>
      <c r="D252" s="280" t="s">
        <v>1313</v>
      </c>
      <c r="H252" s="56"/>
      <c r="J252" t="s">
        <v>109</v>
      </c>
      <c r="K252" t="s">
        <v>2321</v>
      </c>
      <c r="L252" t="s">
        <v>197</v>
      </c>
      <c r="O252" t="s">
        <v>2321</v>
      </c>
      <c r="T252" t="s">
        <v>2319</v>
      </c>
    </row>
    <row r="253" spans="1:39" ht="18" customHeight="1">
      <c r="A253">
        <v>196</v>
      </c>
      <c r="B253" t="s">
        <v>103</v>
      </c>
      <c r="C253" t="s">
        <v>2333</v>
      </c>
      <c r="D253" t="s">
        <v>490</v>
      </c>
      <c r="G253" s="56" t="s">
        <v>493</v>
      </c>
      <c r="H253" s="56" t="s">
        <v>2332</v>
      </c>
      <c r="J253" t="s">
        <v>109</v>
      </c>
      <c r="K253" t="s">
        <v>110</v>
      </c>
      <c r="O253">
        <v>20500</v>
      </c>
      <c r="T253" s="38">
        <v>46081</v>
      </c>
      <c r="V253" s="67" t="s">
        <v>2299</v>
      </c>
      <c r="Y253" s="86" t="s">
        <v>2300</v>
      </c>
      <c r="AB253" t="s">
        <v>2334</v>
      </c>
    </row>
    <row r="254" spans="1:39" ht="18" customHeight="1">
      <c r="A254">
        <v>197</v>
      </c>
      <c r="B254" t="s">
        <v>103</v>
      </c>
      <c r="C254" s="280" t="s">
        <v>196</v>
      </c>
      <c r="D254" t="s">
        <v>2481</v>
      </c>
      <c r="G254" s="280" t="s">
        <v>2431</v>
      </c>
      <c r="H254" s="280" t="s">
        <v>2432</v>
      </c>
      <c r="J254" t="s">
        <v>109</v>
      </c>
      <c r="K254" t="s">
        <v>110</v>
      </c>
      <c r="O254">
        <v>20500</v>
      </c>
      <c r="T254" s="38">
        <v>46143</v>
      </c>
      <c r="V254" s="243" t="s">
        <v>2427</v>
      </c>
      <c r="Y254" s="292" t="s">
        <v>2375</v>
      </c>
      <c r="AB254" s="293" t="s">
        <v>2430</v>
      </c>
    </row>
    <row r="255" spans="1:39" ht="18" customHeight="1">
      <c r="A255">
        <v>198</v>
      </c>
      <c r="B255" t="s">
        <v>103</v>
      </c>
      <c r="C255" s="294" t="s">
        <v>2435</v>
      </c>
      <c r="D255" s="294" t="s">
        <v>2436</v>
      </c>
      <c r="G255" s="294" t="s">
        <v>2433</v>
      </c>
      <c r="H255" s="294" t="s">
        <v>2434</v>
      </c>
      <c r="J255" t="s">
        <v>109</v>
      </c>
      <c r="K255" t="s">
        <v>1559</v>
      </c>
      <c r="L255" s="227" t="s">
        <v>502</v>
      </c>
      <c r="O255">
        <v>7000</v>
      </c>
      <c r="T255" s="38">
        <v>46144</v>
      </c>
      <c r="V255" t="s">
        <v>2388</v>
      </c>
      <c r="Y255" t="s">
        <v>2437</v>
      </c>
      <c r="AB255" s="40" t="s">
        <v>2438</v>
      </c>
    </row>
    <row r="256" spans="1:39" ht="18" customHeight="1">
      <c r="A256">
        <v>199</v>
      </c>
      <c r="B256" t="s">
        <v>2480</v>
      </c>
      <c r="C256" t="s">
        <v>1080</v>
      </c>
      <c r="D256" t="s">
        <v>2478</v>
      </c>
      <c r="G256" t="s">
        <v>2476</v>
      </c>
      <c r="H256" t="s">
        <v>2477</v>
      </c>
      <c r="J256" t="s">
        <v>1955</v>
      </c>
      <c r="K256" t="s">
        <v>1559</v>
      </c>
      <c r="O256">
        <v>7600</v>
      </c>
      <c r="T256" s="38">
        <v>46189</v>
      </c>
      <c r="V256" t="s">
        <v>2474</v>
      </c>
      <c r="Y256" t="s">
        <v>2473</v>
      </c>
      <c r="AB256" s="40" t="s">
        <v>2475</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66675</xdr:colOff>
                    <xdr:row>1</xdr:row>
                    <xdr:rowOff>38100</xdr:rowOff>
                  </from>
                  <to>
                    <xdr:col>0</xdr:col>
                    <xdr:colOff>1019175</xdr:colOff>
                    <xdr:row>1</xdr:row>
                    <xdr:rowOff>409575</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R76"/>
  <sheetViews>
    <sheetView zoomScaleNormal="100" workbookViewId="0">
      <pane xSplit="4" ySplit="1" topLeftCell="X50" activePane="bottomRight" state="frozen"/>
      <selection pane="topRight" activeCell="E1" sqref="E1"/>
      <selection pane="bottomLeft" activeCell="A2" sqref="A2"/>
      <selection pane="bottomRight" activeCell="D66" sqref="D66"/>
    </sheetView>
  </sheetViews>
  <sheetFormatPr defaultRowHeight="15"/>
  <cols>
    <col min="15" max="15" width="21" customWidth="1"/>
  </cols>
  <sheetData>
    <row r="1" spans="1:44">
      <c r="J1" t="s">
        <v>109</v>
      </c>
      <c r="L1" t="s">
        <v>2256</v>
      </c>
      <c r="M1" t="s">
        <v>2257</v>
      </c>
      <c r="N1" t="s">
        <v>2258</v>
      </c>
      <c r="O1" t="s">
        <v>2259</v>
      </c>
      <c r="P1" t="s">
        <v>2289</v>
      </c>
      <c r="Q1" t="s">
        <v>2259</v>
      </c>
      <c r="S1" t="s">
        <v>2308</v>
      </c>
      <c r="T1" t="s">
        <v>2259</v>
      </c>
      <c r="U1" t="s">
        <v>1565</v>
      </c>
      <c r="V1" t="s">
        <v>1839</v>
      </c>
      <c r="W1" t="s">
        <v>2259</v>
      </c>
      <c r="X1" t="s">
        <v>1565</v>
      </c>
      <c r="Y1" t="s">
        <v>1840</v>
      </c>
      <c r="Z1" t="s">
        <v>2259</v>
      </c>
      <c r="AA1" t="s">
        <v>1565</v>
      </c>
      <c r="AB1" t="s">
        <v>2309</v>
      </c>
      <c r="AC1" t="s">
        <v>2259</v>
      </c>
      <c r="AD1" t="s">
        <v>1565</v>
      </c>
      <c r="AE1" t="s">
        <v>2462</v>
      </c>
      <c r="AG1" t="s">
        <v>2259</v>
      </c>
      <c r="AH1" t="s">
        <v>1565</v>
      </c>
      <c r="AI1" t="s">
        <v>2522</v>
      </c>
      <c r="AK1" t="s">
        <v>2259</v>
      </c>
      <c r="AL1" t="s">
        <v>1565</v>
      </c>
      <c r="AM1" t="s">
        <v>2527</v>
      </c>
      <c r="AN1" t="s">
        <v>2528</v>
      </c>
      <c r="AO1" t="s">
        <v>1565</v>
      </c>
      <c r="AP1" t="s">
        <v>2531</v>
      </c>
      <c r="AQ1" t="s">
        <v>2532</v>
      </c>
      <c r="AR1" t="s">
        <v>1565</v>
      </c>
    </row>
    <row r="2" spans="1:4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8" si="3">AE2+3500</f>
        <v>9550</v>
      </c>
      <c r="AI2" s="168">
        <v>6050</v>
      </c>
    </row>
    <row r="3" spans="1:44" s="59" customFormat="1">
      <c r="A3" s="303">
        <v>15</v>
      </c>
      <c r="B3" s="303" t="s">
        <v>103</v>
      </c>
      <c r="C3" s="303" t="s">
        <v>548</v>
      </c>
      <c r="D3" s="303" t="s">
        <v>549</v>
      </c>
      <c r="E3" s="303"/>
      <c r="F3" s="303" t="s">
        <v>550</v>
      </c>
      <c r="G3" s="303" t="s">
        <v>551</v>
      </c>
      <c r="H3" s="303" t="s">
        <v>552</v>
      </c>
      <c r="I3" s="303">
        <v>8800</v>
      </c>
      <c r="J3" s="303" t="s">
        <v>553</v>
      </c>
      <c r="L3" s="303">
        <v>8800</v>
      </c>
      <c r="M3" s="59">
        <v>3500</v>
      </c>
      <c r="N3" s="59">
        <f t="shared" si="0"/>
        <v>12300</v>
      </c>
      <c r="P3" s="59">
        <f t="shared" si="1"/>
        <v>8800</v>
      </c>
      <c r="S3" s="59">
        <f t="shared" si="2"/>
        <v>8800</v>
      </c>
      <c r="V3" s="59">
        <v>8800</v>
      </c>
      <c r="Y3" s="59">
        <v>8800</v>
      </c>
      <c r="AE3" s="303">
        <v>8800</v>
      </c>
      <c r="AF3" s="303">
        <f t="shared" si="3"/>
        <v>12300</v>
      </c>
      <c r="AI3" s="303">
        <v>8800</v>
      </c>
      <c r="AK3" s="59" t="s">
        <v>2541</v>
      </c>
      <c r="AL3" s="59">
        <v>7000</v>
      </c>
    </row>
    <row r="4" spans="1:4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c r="AI4" s="168">
        <v>14800</v>
      </c>
    </row>
    <row r="5" spans="1:4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c r="AI5" s="168">
        <v>17600</v>
      </c>
    </row>
    <row r="6" spans="1:4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c r="AI6" s="168">
        <v>10900</v>
      </c>
    </row>
    <row r="7" spans="1:4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2510</v>
      </c>
      <c r="AH7">
        <v>11000</v>
      </c>
      <c r="AI7" s="168">
        <v>10900</v>
      </c>
    </row>
    <row r="8" spans="1:4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c r="AI8">
        <v>6050</v>
      </c>
    </row>
    <row r="9" spans="1:44">
      <c r="A9" s="168">
        <v>49</v>
      </c>
      <c r="B9" s="168" t="s">
        <v>66</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c r="AI9" s="168">
        <v>0</v>
      </c>
    </row>
    <row r="10" spans="1:44">
      <c r="A10" s="168">
        <v>87</v>
      </c>
      <c r="B10" s="168" t="s">
        <v>2493</v>
      </c>
      <c r="C10" t="s">
        <v>191</v>
      </c>
      <c r="D10" t="s">
        <v>192</v>
      </c>
      <c r="F10" t="s">
        <v>193</v>
      </c>
      <c r="G10" t="s">
        <v>194</v>
      </c>
      <c r="H10" t="s">
        <v>195</v>
      </c>
      <c r="I10" s="168">
        <v>15800</v>
      </c>
      <c r="J10" s="168"/>
      <c r="P10">
        <f t="shared" si="1"/>
        <v>15800</v>
      </c>
      <c r="V10">
        <v>15800</v>
      </c>
      <c r="AE10" s="168">
        <v>15800</v>
      </c>
      <c r="AF10" s="168">
        <f t="shared" si="3"/>
        <v>19300</v>
      </c>
      <c r="AI10" s="168">
        <v>15800</v>
      </c>
    </row>
    <row r="11" spans="1:4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5" si="4">M11+L11</f>
        <v>23300</v>
      </c>
      <c r="P11">
        <f t="shared" si="1"/>
        <v>19800</v>
      </c>
      <c r="S11">
        <f t="shared" ref="S11:S17" si="5">L11</f>
        <v>19800</v>
      </c>
      <c r="V11">
        <v>19800</v>
      </c>
      <c r="Y11">
        <v>19800</v>
      </c>
      <c r="AE11" s="168">
        <v>19800</v>
      </c>
      <c r="AF11" s="168">
        <f t="shared" si="3"/>
        <v>23300</v>
      </c>
      <c r="AI11" s="168">
        <v>19800</v>
      </c>
    </row>
    <row r="12" spans="1:4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c r="AI12" s="168">
        <v>6050</v>
      </c>
    </row>
    <row r="13" spans="1:4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c r="AI13">
        <v>19800</v>
      </c>
    </row>
    <row r="14" spans="1:4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c r="AI14" s="168">
        <v>6050</v>
      </c>
    </row>
    <row r="15" spans="1:4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2452</v>
      </c>
      <c r="AA15" s="197">
        <v>15070</v>
      </c>
      <c r="AE15" s="168">
        <v>14850</v>
      </c>
      <c r="AF15" s="168">
        <f t="shared" si="3"/>
        <v>18350</v>
      </c>
      <c r="AI15" s="168">
        <v>59400</v>
      </c>
    </row>
    <row r="16" spans="1:4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2411</v>
      </c>
      <c r="V16">
        <v>19800</v>
      </c>
      <c r="W16" s="197" t="s">
        <v>2410</v>
      </c>
      <c r="X16">
        <v>36600</v>
      </c>
      <c r="Y16" s="197">
        <v>1500</v>
      </c>
      <c r="AE16">
        <v>19800</v>
      </c>
      <c r="AF16" s="168">
        <f t="shared" si="3"/>
        <v>23300</v>
      </c>
      <c r="AI16" s="218">
        <v>1500</v>
      </c>
    </row>
    <row r="17" spans="1:43">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c r="AI17" s="168">
        <v>6050</v>
      </c>
    </row>
    <row r="18" spans="1:43"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2396</v>
      </c>
      <c r="Y18">
        <v>59400</v>
      </c>
      <c r="AE18" s="168">
        <v>59400</v>
      </c>
      <c r="AF18" s="168">
        <f t="shared" si="3"/>
        <v>62900</v>
      </c>
      <c r="AI18" s="168">
        <v>59400</v>
      </c>
    </row>
    <row r="19" spans="1:43">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c r="AI19" s="168">
        <v>15000</v>
      </c>
    </row>
    <row r="20" spans="1:43">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c r="AI20" s="168">
        <v>6600</v>
      </c>
      <c r="AP20" s="197">
        <v>0</v>
      </c>
      <c r="AQ20" t="s">
        <v>2530</v>
      </c>
    </row>
    <row r="21" spans="1:43" s="168" customFormat="1">
      <c r="A21" s="168">
        <v>126</v>
      </c>
      <c r="B21" s="168" t="s">
        <v>66</v>
      </c>
      <c r="C21" s="168" t="s">
        <v>1080</v>
      </c>
      <c r="D21" s="168" t="s">
        <v>1084</v>
      </c>
      <c r="I21" s="168">
        <v>6050</v>
      </c>
      <c r="J21" s="168" t="s">
        <v>66</v>
      </c>
      <c r="AG21" s="168" t="s">
        <v>2543</v>
      </c>
      <c r="AH21" s="168" t="s">
        <v>2542</v>
      </c>
    </row>
    <row r="22" spans="1:43">
      <c r="A22" s="168">
        <v>125</v>
      </c>
      <c r="B22" s="168" t="s">
        <v>66</v>
      </c>
      <c r="C22" s="168" t="s">
        <v>200</v>
      </c>
      <c r="D22" s="168" t="s">
        <v>201</v>
      </c>
      <c r="E22" s="168"/>
      <c r="F22" s="168" t="s">
        <v>202</v>
      </c>
      <c r="G22" s="168" t="s">
        <v>203</v>
      </c>
      <c r="H22" s="168" t="s">
        <v>204</v>
      </c>
      <c r="I22" s="168">
        <v>14850</v>
      </c>
      <c r="J22" s="168" t="s">
        <v>196</v>
      </c>
      <c r="L22" s="168">
        <v>14850</v>
      </c>
      <c r="M22">
        <v>3500</v>
      </c>
      <c r="N22">
        <f t="shared" si="4"/>
        <v>18350</v>
      </c>
      <c r="P22">
        <f>I22</f>
        <v>14850</v>
      </c>
      <c r="S22">
        <f>L22</f>
        <v>14850</v>
      </c>
      <c r="V22">
        <v>14850</v>
      </c>
      <c r="AE22" s="168">
        <v>14850</v>
      </c>
      <c r="AF22" s="168">
        <f t="shared" si="3"/>
        <v>18350</v>
      </c>
      <c r="AI22" s="168">
        <v>3300</v>
      </c>
    </row>
    <row r="23" spans="1:43">
      <c r="A23" s="168">
        <v>127</v>
      </c>
      <c r="B23" s="168" t="s">
        <v>103</v>
      </c>
      <c r="C23" s="168" t="s">
        <v>475</v>
      </c>
      <c r="D23" s="168" t="s">
        <v>482</v>
      </c>
      <c r="E23" s="168"/>
      <c r="F23" s="168" t="s">
        <v>483</v>
      </c>
      <c r="G23" s="168" t="s">
        <v>484</v>
      </c>
      <c r="H23" s="168" t="s">
        <v>485</v>
      </c>
      <c r="I23" s="168">
        <v>19800</v>
      </c>
      <c r="J23" s="168" t="s">
        <v>196</v>
      </c>
      <c r="L23" s="168">
        <v>19800</v>
      </c>
      <c r="M23">
        <v>3500</v>
      </c>
      <c r="N23">
        <f t="shared" si="4"/>
        <v>23300</v>
      </c>
      <c r="P23" s="160">
        <v>0</v>
      </c>
      <c r="S23" s="160">
        <v>12900</v>
      </c>
      <c r="T23" t="s">
        <v>2355</v>
      </c>
      <c r="V23">
        <v>12900</v>
      </c>
      <c r="Y23">
        <v>12900</v>
      </c>
      <c r="AE23" s="168">
        <v>12900</v>
      </c>
      <c r="AF23" s="168">
        <f t="shared" si="3"/>
        <v>16400</v>
      </c>
      <c r="AI23" s="168">
        <v>12900</v>
      </c>
    </row>
    <row r="24" spans="1:43">
      <c r="A24">
        <v>129</v>
      </c>
      <c r="B24" t="s">
        <v>66</v>
      </c>
      <c r="C24" t="s">
        <v>761</v>
      </c>
      <c r="D24" t="s">
        <v>762</v>
      </c>
      <c r="F24" t="s">
        <v>763</v>
      </c>
      <c r="G24" t="s">
        <v>764</v>
      </c>
      <c r="H24" t="s">
        <v>765</v>
      </c>
      <c r="I24" s="168">
        <v>6600</v>
      </c>
      <c r="J24" s="168" t="s">
        <v>109</v>
      </c>
      <c r="L24" s="168">
        <v>6600</v>
      </c>
      <c r="M24">
        <v>3500</v>
      </c>
      <c r="N24">
        <f t="shared" si="4"/>
        <v>10100</v>
      </c>
      <c r="P24">
        <f>I24</f>
        <v>6600</v>
      </c>
      <c r="S24">
        <f>L24</f>
        <v>6600</v>
      </c>
      <c r="V24">
        <v>6600</v>
      </c>
      <c r="Y24">
        <v>6600</v>
      </c>
      <c r="Z24" t="s">
        <v>2451</v>
      </c>
      <c r="AA24" s="197">
        <v>13200</v>
      </c>
      <c r="AE24" s="168">
        <v>6600</v>
      </c>
      <c r="AF24" s="168">
        <f t="shared" si="3"/>
        <v>10100</v>
      </c>
      <c r="AI24" s="168">
        <v>6600</v>
      </c>
    </row>
    <row r="25" spans="1:43">
      <c r="A25">
        <v>133</v>
      </c>
      <c r="B25" t="s">
        <v>66</v>
      </c>
      <c r="C25" t="s">
        <v>233</v>
      </c>
      <c r="D25" t="s">
        <v>234</v>
      </c>
      <c r="F25" t="s">
        <v>235</v>
      </c>
      <c r="G25" t="s">
        <v>236</v>
      </c>
      <c r="H25" t="s">
        <v>237</v>
      </c>
      <c r="I25">
        <v>6050</v>
      </c>
      <c r="J25" t="s">
        <v>109</v>
      </c>
      <c r="L25">
        <v>6050</v>
      </c>
      <c r="M25">
        <v>3500</v>
      </c>
      <c r="N25">
        <f t="shared" si="4"/>
        <v>9550</v>
      </c>
      <c r="P25">
        <f>I25</f>
        <v>6050</v>
      </c>
      <c r="S25">
        <f>L25</f>
        <v>6050</v>
      </c>
      <c r="V25">
        <v>6050</v>
      </c>
      <c r="AE25">
        <v>6050</v>
      </c>
      <c r="AF25" s="168">
        <f t="shared" si="3"/>
        <v>9550</v>
      </c>
      <c r="AI25" s="168">
        <v>12100</v>
      </c>
    </row>
    <row r="26" spans="1:43">
      <c r="A26" s="168">
        <v>134</v>
      </c>
      <c r="B26" s="168" t="s">
        <v>103</v>
      </c>
      <c r="C26" s="168" t="s">
        <v>1257</v>
      </c>
      <c r="D26" s="168" t="s">
        <v>1258</v>
      </c>
      <c r="E26" s="168"/>
      <c r="F26" s="168" t="s">
        <v>1259</v>
      </c>
      <c r="G26" s="168" t="s">
        <v>1260</v>
      </c>
      <c r="H26" s="168" t="s">
        <v>1261</v>
      </c>
      <c r="I26" s="168">
        <v>9900</v>
      </c>
      <c r="J26" s="168" t="s">
        <v>494</v>
      </c>
      <c r="L26" s="168">
        <v>9900</v>
      </c>
      <c r="M26">
        <v>3500</v>
      </c>
      <c r="N26">
        <f t="shared" si="4"/>
        <v>13400</v>
      </c>
      <c r="P26">
        <v>13200</v>
      </c>
      <c r="S26" s="160">
        <v>16500</v>
      </c>
      <c r="T26" t="s">
        <v>2331</v>
      </c>
      <c r="V26">
        <v>16500</v>
      </c>
      <c r="Y26">
        <v>16500</v>
      </c>
      <c r="AE26" s="168">
        <v>16500</v>
      </c>
      <c r="AF26" s="168">
        <f t="shared" si="3"/>
        <v>20000</v>
      </c>
      <c r="AI26" s="168">
        <v>16500</v>
      </c>
    </row>
    <row r="27" spans="1:43">
      <c r="A27" s="168">
        <v>135</v>
      </c>
      <c r="B27" s="168" t="s">
        <v>103</v>
      </c>
      <c r="C27" s="168" t="s">
        <v>866</v>
      </c>
      <c r="D27" s="168" t="s">
        <v>867</v>
      </c>
      <c r="E27" s="168"/>
      <c r="F27" s="168" t="s">
        <v>868</v>
      </c>
      <c r="G27" s="168" t="s">
        <v>869</v>
      </c>
      <c r="H27" s="168" t="s">
        <v>870</v>
      </c>
      <c r="I27" s="168">
        <v>9900</v>
      </c>
      <c r="J27" s="168" t="s">
        <v>494</v>
      </c>
      <c r="L27" s="168">
        <v>9900</v>
      </c>
      <c r="M27">
        <v>3500</v>
      </c>
      <c r="N27">
        <f t="shared" si="4"/>
        <v>13400</v>
      </c>
      <c r="P27">
        <f t="shared" ref="P27:P64" si="6">I27</f>
        <v>9900</v>
      </c>
      <c r="S27">
        <f t="shared" ref="S27:S62" si="7">L27</f>
        <v>9900</v>
      </c>
      <c r="V27">
        <v>16875</v>
      </c>
      <c r="W27" t="s">
        <v>2398</v>
      </c>
      <c r="Y27">
        <v>0</v>
      </c>
      <c r="AE27" s="168">
        <v>16500</v>
      </c>
      <c r="AF27" s="168">
        <f t="shared" si="3"/>
        <v>20000</v>
      </c>
      <c r="AI27">
        <v>16875</v>
      </c>
    </row>
    <row r="28" spans="1:43">
      <c r="A28" s="168">
        <v>135</v>
      </c>
      <c r="B28" s="168" t="s">
        <v>103</v>
      </c>
      <c r="C28" s="168" t="s">
        <v>866</v>
      </c>
      <c r="D28" s="168" t="s">
        <v>867</v>
      </c>
      <c r="E28" s="168"/>
      <c r="F28" s="168" t="s">
        <v>868</v>
      </c>
      <c r="G28" s="168" t="s">
        <v>869</v>
      </c>
      <c r="H28" s="168" t="s">
        <v>870</v>
      </c>
      <c r="I28" s="168">
        <v>3300</v>
      </c>
      <c r="J28" s="168" t="s">
        <v>494</v>
      </c>
      <c r="L28" s="168">
        <v>3300</v>
      </c>
      <c r="N28">
        <f t="shared" si="4"/>
        <v>3300</v>
      </c>
      <c r="P28">
        <f t="shared" si="6"/>
        <v>3300</v>
      </c>
      <c r="S28">
        <f t="shared" si="7"/>
        <v>3300</v>
      </c>
      <c r="V28">
        <v>0</v>
      </c>
      <c r="AE28" s="168"/>
      <c r="AF28" s="168"/>
      <c r="AI28" s="168">
        <v>19800</v>
      </c>
    </row>
    <row r="29" spans="1:43">
      <c r="A29" s="168">
        <v>137</v>
      </c>
      <c r="B29" s="168" t="s">
        <v>103</v>
      </c>
      <c r="C29" s="168" t="s">
        <v>1190</v>
      </c>
      <c r="D29" s="168" t="s">
        <v>1199</v>
      </c>
      <c r="E29" s="168" t="s">
        <v>1199</v>
      </c>
      <c r="F29" s="168" t="s">
        <v>1200</v>
      </c>
      <c r="G29" s="168" t="s">
        <v>1201</v>
      </c>
      <c r="H29" s="168" t="s">
        <v>832</v>
      </c>
      <c r="I29" s="168">
        <v>7000</v>
      </c>
      <c r="J29" s="168" t="s">
        <v>109</v>
      </c>
      <c r="L29" s="168">
        <v>7000</v>
      </c>
      <c r="M29">
        <v>3500</v>
      </c>
      <c r="N29">
        <f t="shared" si="4"/>
        <v>10500</v>
      </c>
      <c r="P29">
        <f t="shared" si="6"/>
        <v>7000</v>
      </c>
      <c r="S29">
        <f t="shared" si="7"/>
        <v>7000</v>
      </c>
      <c r="V29">
        <v>7000</v>
      </c>
      <c r="Y29">
        <v>7000</v>
      </c>
      <c r="AD29" s="197" t="s">
        <v>2454</v>
      </c>
      <c r="AE29" s="168">
        <v>7000</v>
      </c>
      <c r="AF29" s="168">
        <f t="shared" si="3"/>
        <v>10500</v>
      </c>
      <c r="AI29">
        <v>7000</v>
      </c>
    </row>
    <row r="30" spans="1:43">
      <c r="A30" s="168">
        <v>138</v>
      </c>
      <c r="B30" s="168" t="s">
        <v>103</v>
      </c>
      <c r="C30" s="168" t="s">
        <v>1217</v>
      </c>
      <c r="D30" s="168" t="s">
        <v>1121</v>
      </c>
      <c r="E30" s="168"/>
      <c r="F30" s="168" t="s">
        <v>1218</v>
      </c>
      <c r="G30" s="168" t="s">
        <v>1219</v>
      </c>
      <c r="H30" s="168" t="s">
        <v>1124</v>
      </c>
      <c r="I30" s="168">
        <v>6600</v>
      </c>
      <c r="J30" s="168" t="s">
        <v>109</v>
      </c>
      <c r="L30" s="168">
        <v>6600</v>
      </c>
      <c r="M30">
        <v>3500</v>
      </c>
      <c r="N30">
        <f t="shared" si="4"/>
        <v>10100</v>
      </c>
      <c r="P30">
        <f t="shared" si="6"/>
        <v>6600</v>
      </c>
      <c r="S30">
        <f t="shared" si="7"/>
        <v>6600</v>
      </c>
      <c r="V30">
        <v>6600</v>
      </c>
      <c r="Y30">
        <v>6600</v>
      </c>
      <c r="Z30" t="s">
        <v>2456</v>
      </c>
      <c r="AA30" t="s">
        <v>2457</v>
      </c>
      <c r="AC30" t="s">
        <v>2455</v>
      </c>
      <c r="AE30" s="168">
        <v>6600</v>
      </c>
      <c r="AF30" s="168">
        <f t="shared" si="3"/>
        <v>10100</v>
      </c>
      <c r="AI30" s="168">
        <v>6600</v>
      </c>
    </row>
    <row r="31" spans="1:43">
      <c r="A31">
        <v>139</v>
      </c>
      <c r="B31" t="s">
        <v>103</v>
      </c>
      <c r="C31" t="s">
        <v>989</v>
      </c>
      <c r="D31" t="s">
        <v>990</v>
      </c>
      <c r="F31" t="s">
        <v>991</v>
      </c>
      <c r="G31" t="s">
        <v>992</v>
      </c>
      <c r="H31" t="s">
        <v>993</v>
      </c>
      <c r="I31" s="168">
        <v>12100</v>
      </c>
      <c r="J31" s="168" t="s">
        <v>109</v>
      </c>
      <c r="L31" s="168">
        <v>12100</v>
      </c>
      <c r="M31">
        <v>3500</v>
      </c>
      <c r="N31">
        <f t="shared" si="4"/>
        <v>15600</v>
      </c>
      <c r="P31">
        <f t="shared" si="6"/>
        <v>12100</v>
      </c>
      <c r="S31">
        <f t="shared" si="7"/>
        <v>12100</v>
      </c>
      <c r="V31">
        <v>12100</v>
      </c>
      <c r="Y31">
        <v>12100</v>
      </c>
      <c r="AB31" s="197">
        <v>14300</v>
      </c>
      <c r="AC31" t="s">
        <v>2443</v>
      </c>
      <c r="AE31" s="168">
        <v>12100</v>
      </c>
      <c r="AF31" s="168">
        <f t="shared" si="3"/>
        <v>15600</v>
      </c>
      <c r="AI31" s="168">
        <v>13200</v>
      </c>
      <c r="AK31" t="s">
        <v>2533</v>
      </c>
      <c r="AL31">
        <v>1100</v>
      </c>
    </row>
    <row r="32" spans="1:43">
      <c r="A32">
        <v>140</v>
      </c>
      <c r="B32" t="s">
        <v>103</v>
      </c>
      <c r="C32" t="s">
        <v>630</v>
      </c>
      <c r="D32" t="s">
        <v>631</v>
      </c>
      <c r="F32" t="s">
        <v>1221</v>
      </c>
      <c r="G32" t="s">
        <v>1222</v>
      </c>
      <c r="H32" t="s">
        <v>634</v>
      </c>
      <c r="I32" s="168">
        <v>6050</v>
      </c>
      <c r="J32" s="168" t="s">
        <v>109</v>
      </c>
      <c r="L32" s="168">
        <v>6050</v>
      </c>
      <c r="M32">
        <v>3500</v>
      </c>
      <c r="N32">
        <f t="shared" si="4"/>
        <v>9550</v>
      </c>
      <c r="P32">
        <f t="shared" si="6"/>
        <v>6050</v>
      </c>
      <c r="S32">
        <f t="shared" si="7"/>
        <v>6050</v>
      </c>
      <c r="V32">
        <v>6050</v>
      </c>
      <c r="Y32">
        <v>6050</v>
      </c>
      <c r="AE32" s="168">
        <v>6050</v>
      </c>
      <c r="AF32" s="168">
        <f t="shared" si="3"/>
        <v>9550</v>
      </c>
      <c r="AI32" s="168">
        <v>6050</v>
      </c>
    </row>
    <row r="33" spans="1:40">
      <c r="A33" s="168">
        <v>142</v>
      </c>
      <c r="B33" s="168" t="s">
        <v>103</v>
      </c>
      <c r="C33" s="168" t="s">
        <v>1308</v>
      </c>
      <c r="D33" s="168" t="s">
        <v>762</v>
      </c>
      <c r="E33" s="168"/>
      <c r="F33" s="168" t="s">
        <v>1309</v>
      </c>
      <c r="G33" s="168" t="s">
        <v>1310</v>
      </c>
      <c r="H33" s="168" t="s">
        <v>765</v>
      </c>
      <c r="I33" s="168">
        <v>6600</v>
      </c>
      <c r="J33" s="168" t="s">
        <v>109</v>
      </c>
      <c r="L33" s="168">
        <v>6600</v>
      </c>
      <c r="M33">
        <v>3500</v>
      </c>
      <c r="N33">
        <f t="shared" si="4"/>
        <v>10100</v>
      </c>
      <c r="P33">
        <f t="shared" si="6"/>
        <v>6600</v>
      </c>
      <c r="S33">
        <f t="shared" si="7"/>
        <v>6600</v>
      </c>
      <c r="V33">
        <v>6600</v>
      </c>
      <c r="Y33">
        <v>6600</v>
      </c>
      <c r="AE33" s="168">
        <v>6600</v>
      </c>
      <c r="AF33" s="168">
        <f t="shared" si="3"/>
        <v>10100</v>
      </c>
      <c r="AI33" s="168">
        <v>6600</v>
      </c>
    </row>
    <row r="34" spans="1:40">
      <c r="A34">
        <v>149</v>
      </c>
      <c r="B34" t="s">
        <v>103</v>
      </c>
      <c r="C34" t="s">
        <v>1106</v>
      </c>
      <c r="D34" t="s">
        <v>1115</v>
      </c>
      <c r="F34" t="s">
        <v>1116</v>
      </c>
      <c r="G34" t="s">
        <v>1117</v>
      </c>
      <c r="H34" t="s">
        <v>1118</v>
      </c>
      <c r="I34" s="168">
        <v>19800</v>
      </c>
      <c r="J34" s="168" t="s">
        <v>196</v>
      </c>
      <c r="L34" s="168">
        <v>19800</v>
      </c>
      <c r="M34">
        <v>3500</v>
      </c>
      <c r="N34">
        <f t="shared" si="4"/>
        <v>23300</v>
      </c>
      <c r="P34">
        <f t="shared" si="6"/>
        <v>19800</v>
      </c>
      <c r="S34">
        <f t="shared" si="7"/>
        <v>19800</v>
      </c>
      <c r="V34">
        <v>19800</v>
      </c>
      <c r="Y34">
        <v>19800</v>
      </c>
      <c r="AE34" s="168">
        <v>19800</v>
      </c>
      <c r="AF34" s="168">
        <f t="shared" si="3"/>
        <v>23300</v>
      </c>
      <c r="AI34" s="168">
        <v>19800</v>
      </c>
    </row>
    <row r="35" spans="1:40">
      <c r="A35">
        <v>151</v>
      </c>
      <c r="B35" t="s">
        <v>103</v>
      </c>
      <c r="C35" t="s">
        <v>1289</v>
      </c>
      <c r="D35" t="s">
        <v>1463</v>
      </c>
      <c r="H35" t="s">
        <v>1466</v>
      </c>
      <c r="I35" s="168">
        <v>19800</v>
      </c>
      <c r="J35" s="168" t="s">
        <v>196</v>
      </c>
      <c r="L35" s="168">
        <v>19800</v>
      </c>
      <c r="M35">
        <v>3500</v>
      </c>
      <c r="N35">
        <f t="shared" si="4"/>
        <v>23300</v>
      </c>
      <c r="P35">
        <f t="shared" si="6"/>
        <v>19800</v>
      </c>
      <c r="S35">
        <f t="shared" si="7"/>
        <v>19800</v>
      </c>
      <c r="V35">
        <v>19800</v>
      </c>
      <c r="Y35">
        <v>19800</v>
      </c>
      <c r="AE35" s="168">
        <v>19800</v>
      </c>
      <c r="AF35" s="168">
        <f t="shared" si="3"/>
        <v>23300</v>
      </c>
      <c r="AG35">
        <v>19800</v>
      </c>
      <c r="AH35" t="s">
        <v>2520</v>
      </c>
      <c r="AI35" s="168">
        <v>19800</v>
      </c>
    </row>
    <row r="36" spans="1:40">
      <c r="A36" s="168">
        <v>152</v>
      </c>
      <c r="B36" s="168" t="s">
        <v>66</v>
      </c>
      <c r="C36" s="168" t="s">
        <v>652</v>
      </c>
      <c r="D36" s="168" t="s">
        <v>644</v>
      </c>
      <c r="E36" s="168"/>
      <c r="F36" s="168" t="s">
        <v>653</v>
      </c>
      <c r="G36" s="168" t="s">
        <v>654</v>
      </c>
      <c r="H36" s="168" t="s">
        <v>647</v>
      </c>
      <c r="I36" s="168">
        <v>6050</v>
      </c>
      <c r="J36" s="168" t="s">
        <v>109</v>
      </c>
      <c r="L36" s="168">
        <v>6050</v>
      </c>
      <c r="M36">
        <v>3500</v>
      </c>
      <c r="N36">
        <f t="shared" si="4"/>
        <v>9550</v>
      </c>
      <c r="P36">
        <f t="shared" si="6"/>
        <v>6050</v>
      </c>
      <c r="S36">
        <f t="shared" si="7"/>
        <v>6050</v>
      </c>
      <c r="V36">
        <v>6050</v>
      </c>
      <c r="Y36">
        <v>6050</v>
      </c>
      <c r="AE36" s="168">
        <v>6050</v>
      </c>
      <c r="AF36" s="168">
        <f t="shared" si="3"/>
        <v>9550</v>
      </c>
      <c r="AI36" s="168">
        <v>7000</v>
      </c>
    </row>
    <row r="37" spans="1:40">
      <c r="A37" s="168">
        <v>152</v>
      </c>
      <c r="B37" s="168" t="s">
        <v>66</v>
      </c>
      <c r="C37" t="s">
        <v>643</v>
      </c>
      <c r="D37" t="s">
        <v>644</v>
      </c>
      <c r="F37" t="s">
        <v>645</v>
      </c>
      <c r="G37" t="s">
        <v>646</v>
      </c>
      <c r="H37" t="s">
        <v>647</v>
      </c>
      <c r="I37">
        <v>6050</v>
      </c>
      <c r="J37" s="168" t="s">
        <v>109</v>
      </c>
      <c r="L37">
        <v>6050</v>
      </c>
      <c r="M37">
        <v>3500</v>
      </c>
      <c r="N37">
        <f t="shared" si="4"/>
        <v>9550</v>
      </c>
      <c r="P37">
        <f t="shared" si="6"/>
        <v>6050</v>
      </c>
      <c r="S37">
        <f t="shared" si="7"/>
        <v>6050</v>
      </c>
      <c r="V37">
        <v>6050</v>
      </c>
      <c r="Y37">
        <v>6050</v>
      </c>
      <c r="AE37">
        <v>6050</v>
      </c>
      <c r="AF37" s="168">
        <f t="shared" si="3"/>
        <v>9550</v>
      </c>
      <c r="AI37" s="168">
        <v>7000</v>
      </c>
    </row>
    <row r="38" spans="1:40" ht="13.5" customHeight="1">
      <c r="A38" s="168">
        <v>157</v>
      </c>
      <c r="B38" s="168" t="s">
        <v>103</v>
      </c>
      <c r="C38" s="168" t="s">
        <v>889</v>
      </c>
      <c r="D38" s="168" t="s">
        <v>890</v>
      </c>
      <c r="E38" s="168"/>
      <c r="F38" s="168" t="s">
        <v>891</v>
      </c>
      <c r="G38" s="168" t="s">
        <v>892</v>
      </c>
      <c r="H38" s="168" t="s">
        <v>893</v>
      </c>
      <c r="I38" s="168">
        <v>11700</v>
      </c>
      <c r="J38" s="168" t="s">
        <v>109</v>
      </c>
      <c r="L38" s="168">
        <v>11700</v>
      </c>
      <c r="M38">
        <v>3500</v>
      </c>
      <c r="N38">
        <f t="shared" si="4"/>
        <v>15200</v>
      </c>
      <c r="P38">
        <f t="shared" si="6"/>
        <v>11700</v>
      </c>
      <c r="S38">
        <f t="shared" si="7"/>
        <v>11700</v>
      </c>
      <c r="V38">
        <v>11700</v>
      </c>
      <c r="Y38">
        <v>11700</v>
      </c>
      <c r="AE38" s="168">
        <v>11700</v>
      </c>
      <c r="AF38" s="168">
        <f t="shared" si="3"/>
        <v>15200</v>
      </c>
      <c r="AI38" s="168">
        <v>11700</v>
      </c>
      <c r="AM38" s="197">
        <v>20500</v>
      </c>
      <c r="AN38" t="s">
        <v>2529</v>
      </c>
    </row>
    <row r="39" spans="1:40">
      <c r="A39" s="168">
        <v>160</v>
      </c>
      <c r="B39" s="168" t="s">
        <v>103</v>
      </c>
      <c r="C39" t="s">
        <v>489</v>
      </c>
      <c r="D39" t="s">
        <v>490</v>
      </c>
      <c r="F39" t="s">
        <v>491</v>
      </c>
      <c r="G39" t="s">
        <v>492</v>
      </c>
      <c r="H39" t="s">
        <v>493</v>
      </c>
      <c r="I39" s="217">
        <v>9500</v>
      </c>
      <c r="J39" t="s">
        <v>109</v>
      </c>
      <c r="L39" s="217">
        <v>20500</v>
      </c>
      <c r="M39">
        <v>3500</v>
      </c>
      <c r="N39">
        <f t="shared" si="4"/>
        <v>24000</v>
      </c>
      <c r="P39">
        <f t="shared" si="6"/>
        <v>9500</v>
      </c>
      <c r="S39">
        <f t="shared" si="7"/>
        <v>20500</v>
      </c>
      <c r="V39">
        <v>20500</v>
      </c>
      <c r="Y39">
        <v>20500</v>
      </c>
      <c r="AE39" s="217">
        <v>9500</v>
      </c>
      <c r="AF39" s="168">
        <f t="shared" si="3"/>
        <v>13000</v>
      </c>
      <c r="AI39" s="217">
        <v>9500</v>
      </c>
    </row>
    <row r="40" spans="1:40">
      <c r="A40" s="168">
        <v>160</v>
      </c>
      <c r="B40" s="168" t="s">
        <v>103</v>
      </c>
      <c r="C40" s="168" t="s">
        <v>499</v>
      </c>
      <c r="D40" s="168" t="s">
        <v>490</v>
      </c>
      <c r="E40" s="168"/>
      <c r="F40" s="168" t="s">
        <v>500</v>
      </c>
      <c r="G40" s="168" t="s">
        <v>501</v>
      </c>
      <c r="H40" s="168" t="s">
        <v>493</v>
      </c>
      <c r="I40" s="217">
        <v>7000</v>
      </c>
      <c r="J40" t="s">
        <v>109</v>
      </c>
      <c r="L40" s="217">
        <v>7000</v>
      </c>
      <c r="M40">
        <v>3500</v>
      </c>
      <c r="N40">
        <f t="shared" si="4"/>
        <v>10500</v>
      </c>
      <c r="P40">
        <f t="shared" si="6"/>
        <v>7000</v>
      </c>
      <c r="S40">
        <f t="shared" si="7"/>
        <v>7000</v>
      </c>
      <c r="V40">
        <v>7000</v>
      </c>
      <c r="W40" s="197" t="s">
        <v>2412</v>
      </c>
      <c r="Y40">
        <v>7900</v>
      </c>
      <c r="AB40" s="197">
        <v>7600</v>
      </c>
      <c r="AE40" s="217">
        <v>7000</v>
      </c>
      <c r="AF40" s="168">
        <f t="shared" si="3"/>
        <v>10500</v>
      </c>
      <c r="AI40" s="217">
        <v>7000</v>
      </c>
    </row>
    <row r="41" spans="1:40">
      <c r="A41" s="168">
        <v>160</v>
      </c>
      <c r="B41" s="168" t="s">
        <v>103</v>
      </c>
      <c r="C41" t="s">
        <v>504</v>
      </c>
      <c r="D41" t="s">
        <v>490</v>
      </c>
      <c r="F41" t="s">
        <v>505</v>
      </c>
      <c r="G41" t="s">
        <v>506</v>
      </c>
      <c r="H41" t="s">
        <v>493</v>
      </c>
      <c r="I41" s="217">
        <v>20500</v>
      </c>
      <c r="J41" t="s">
        <v>109</v>
      </c>
      <c r="L41" s="217">
        <v>9500</v>
      </c>
      <c r="M41">
        <v>3500</v>
      </c>
      <c r="N41">
        <f t="shared" si="4"/>
        <v>13000</v>
      </c>
      <c r="P41">
        <f t="shared" si="6"/>
        <v>20500</v>
      </c>
      <c r="S41">
        <f t="shared" si="7"/>
        <v>9500</v>
      </c>
      <c r="V41">
        <v>9500</v>
      </c>
      <c r="Y41">
        <v>9500</v>
      </c>
      <c r="AE41" s="217">
        <v>20500</v>
      </c>
      <c r="AF41" s="168">
        <f t="shared" si="3"/>
        <v>24000</v>
      </c>
      <c r="AI41" s="217">
        <v>20500</v>
      </c>
    </row>
    <row r="42" spans="1:40">
      <c r="A42" s="168">
        <v>161</v>
      </c>
      <c r="B42" s="168" t="s">
        <v>103</v>
      </c>
      <c r="C42" s="168" t="s">
        <v>104</v>
      </c>
      <c r="D42" s="168" t="s">
        <v>114</v>
      </c>
      <c r="E42" s="168"/>
      <c r="F42" s="168" t="s">
        <v>106</v>
      </c>
      <c r="G42" s="168" t="s">
        <v>115</v>
      </c>
      <c r="H42" s="168" t="s">
        <v>116</v>
      </c>
      <c r="I42" s="217">
        <v>6600</v>
      </c>
      <c r="J42" t="s">
        <v>109</v>
      </c>
      <c r="L42" s="217"/>
      <c r="P42">
        <f t="shared" si="6"/>
        <v>6600</v>
      </c>
      <c r="AE42" s="217">
        <v>6600</v>
      </c>
      <c r="AF42" s="168">
        <f t="shared" si="3"/>
        <v>10100</v>
      </c>
      <c r="AI42" s="217">
        <v>6600</v>
      </c>
    </row>
    <row r="43" spans="1:40">
      <c r="A43">
        <v>165</v>
      </c>
      <c r="B43" t="s">
        <v>103</v>
      </c>
      <c r="C43" t="s">
        <v>1470</v>
      </c>
      <c r="D43" t="s">
        <v>740</v>
      </c>
      <c r="F43" t="s">
        <v>1471</v>
      </c>
      <c r="G43" t="s">
        <v>1472</v>
      </c>
      <c r="H43" t="s">
        <v>743</v>
      </c>
      <c r="I43" s="168">
        <v>6600</v>
      </c>
      <c r="J43" t="s">
        <v>109</v>
      </c>
      <c r="L43" s="168">
        <v>6600</v>
      </c>
      <c r="M43">
        <v>3500</v>
      </c>
      <c r="N43">
        <f t="shared" si="4"/>
        <v>10100</v>
      </c>
      <c r="P43">
        <f t="shared" si="6"/>
        <v>6600</v>
      </c>
      <c r="S43">
        <f t="shared" si="7"/>
        <v>6600</v>
      </c>
      <c r="V43">
        <v>6600</v>
      </c>
      <c r="Y43">
        <v>6600</v>
      </c>
      <c r="AE43" s="168">
        <v>6600</v>
      </c>
      <c r="AF43" s="168">
        <f t="shared" si="3"/>
        <v>10100</v>
      </c>
      <c r="AI43" s="168">
        <v>6600</v>
      </c>
    </row>
    <row r="44" spans="1:40">
      <c r="A44">
        <v>166</v>
      </c>
      <c r="B44" t="s">
        <v>103</v>
      </c>
      <c r="C44" t="s">
        <v>1499</v>
      </c>
      <c r="D44" t="s">
        <v>1500</v>
      </c>
      <c r="F44" t="s">
        <v>1501</v>
      </c>
      <c r="G44" t="s">
        <v>1502</v>
      </c>
      <c r="H44" t="s">
        <v>1503</v>
      </c>
      <c r="I44" s="168">
        <v>7000</v>
      </c>
      <c r="J44" t="s">
        <v>109</v>
      </c>
      <c r="L44" s="168">
        <v>7000</v>
      </c>
      <c r="M44">
        <v>3500</v>
      </c>
      <c r="N44">
        <f t="shared" si="4"/>
        <v>10500</v>
      </c>
      <c r="P44">
        <f t="shared" si="6"/>
        <v>7000</v>
      </c>
      <c r="S44">
        <f t="shared" si="7"/>
        <v>7000</v>
      </c>
      <c r="V44">
        <v>7000</v>
      </c>
      <c r="Y44">
        <v>7000</v>
      </c>
      <c r="AE44" s="168">
        <v>7000</v>
      </c>
      <c r="AF44" s="168">
        <f t="shared" si="3"/>
        <v>10500</v>
      </c>
      <c r="AI44" s="168">
        <v>7000</v>
      </c>
    </row>
    <row r="45" spans="1:40">
      <c r="A45" s="168">
        <v>167</v>
      </c>
      <c r="B45" s="168" t="s">
        <v>66</v>
      </c>
      <c r="C45" s="168" t="s">
        <v>1508</v>
      </c>
      <c r="D45" s="168" t="s">
        <v>1509</v>
      </c>
      <c r="E45" s="168"/>
      <c r="F45" s="168" t="s">
        <v>1510</v>
      </c>
      <c r="G45" s="168" t="s">
        <v>1511</v>
      </c>
      <c r="H45" s="168" t="s">
        <v>1512</v>
      </c>
      <c r="I45" s="168">
        <v>7000</v>
      </c>
      <c r="J45" t="s">
        <v>109</v>
      </c>
      <c r="L45" s="218">
        <v>7000</v>
      </c>
      <c r="M45" s="197">
        <v>3500</v>
      </c>
      <c r="N45" s="197">
        <f t="shared" si="4"/>
        <v>10500</v>
      </c>
      <c r="O45" t="s">
        <v>2264</v>
      </c>
      <c r="P45">
        <f t="shared" si="6"/>
        <v>7000</v>
      </c>
      <c r="S45">
        <f t="shared" si="7"/>
        <v>7000</v>
      </c>
      <c r="V45">
        <v>7000</v>
      </c>
      <c r="Y45">
        <v>7000</v>
      </c>
      <c r="AE45" s="168">
        <v>7000</v>
      </c>
      <c r="AF45" s="168">
        <f t="shared" si="3"/>
        <v>10500</v>
      </c>
      <c r="AI45" s="168">
        <v>7000</v>
      </c>
    </row>
    <row r="46" spans="1:40">
      <c r="A46">
        <v>168</v>
      </c>
      <c r="B46" t="s">
        <v>103</v>
      </c>
      <c r="C46" t="s">
        <v>1516</v>
      </c>
      <c r="D46" t="s">
        <v>1517</v>
      </c>
      <c r="F46" t="s">
        <v>1518</v>
      </c>
      <c r="G46" t="s">
        <v>1519</v>
      </c>
      <c r="H46" t="s">
        <v>1520</v>
      </c>
      <c r="I46" s="168">
        <v>7000</v>
      </c>
      <c r="J46" t="s">
        <v>109</v>
      </c>
      <c r="L46" s="168">
        <v>7000</v>
      </c>
      <c r="M46">
        <v>3500</v>
      </c>
      <c r="N46">
        <f t="shared" si="4"/>
        <v>10500</v>
      </c>
      <c r="P46">
        <f t="shared" si="6"/>
        <v>7000</v>
      </c>
      <c r="S46">
        <f t="shared" si="7"/>
        <v>7000</v>
      </c>
      <c r="V46">
        <v>7000</v>
      </c>
      <c r="Y46">
        <v>7000</v>
      </c>
      <c r="AE46" s="168">
        <v>7000</v>
      </c>
      <c r="AF46" s="168">
        <f t="shared" si="3"/>
        <v>10500</v>
      </c>
      <c r="AI46" s="168">
        <v>7000</v>
      </c>
    </row>
    <row r="47" spans="1:40">
      <c r="A47" s="168">
        <v>169</v>
      </c>
      <c r="B47" s="168" t="s">
        <v>103</v>
      </c>
      <c r="C47" s="168" t="s">
        <v>1524</v>
      </c>
      <c r="D47" s="168" t="s">
        <v>1525</v>
      </c>
      <c r="E47" s="168"/>
      <c r="F47" s="168" t="s">
        <v>1526</v>
      </c>
      <c r="G47" s="168" t="s">
        <v>1527</v>
      </c>
      <c r="H47" s="168" t="s">
        <v>1528</v>
      </c>
      <c r="I47" s="168">
        <v>7000</v>
      </c>
      <c r="J47" t="s">
        <v>109</v>
      </c>
      <c r="L47" s="168">
        <v>7000</v>
      </c>
      <c r="M47">
        <v>3500</v>
      </c>
      <c r="N47">
        <f t="shared" si="4"/>
        <v>10500</v>
      </c>
      <c r="P47">
        <f t="shared" si="6"/>
        <v>7000</v>
      </c>
      <c r="S47">
        <f t="shared" si="7"/>
        <v>7000</v>
      </c>
      <c r="V47">
        <v>7000</v>
      </c>
      <c r="Y47">
        <v>7000</v>
      </c>
      <c r="AB47" s="197">
        <v>0</v>
      </c>
      <c r="AC47" t="s">
        <v>2423</v>
      </c>
      <c r="AE47" s="168">
        <v>7000</v>
      </c>
      <c r="AF47" s="168">
        <f t="shared" si="3"/>
        <v>10500</v>
      </c>
      <c r="AI47">
        <v>7000</v>
      </c>
    </row>
    <row r="48" spans="1:40">
      <c r="A48">
        <v>170</v>
      </c>
      <c r="B48" t="s">
        <v>103</v>
      </c>
      <c r="C48" t="s">
        <v>1532</v>
      </c>
      <c r="D48" t="s">
        <v>854</v>
      </c>
      <c r="F48" t="s">
        <v>1533</v>
      </c>
      <c r="G48" t="s">
        <v>1534</v>
      </c>
      <c r="H48" t="s">
        <v>1535</v>
      </c>
      <c r="I48" s="168">
        <v>7000</v>
      </c>
      <c r="J48" t="s">
        <v>109</v>
      </c>
      <c r="L48" s="168">
        <v>7000</v>
      </c>
      <c r="M48">
        <v>3500</v>
      </c>
      <c r="N48">
        <f t="shared" si="4"/>
        <v>10500</v>
      </c>
      <c r="P48">
        <f t="shared" si="6"/>
        <v>7000</v>
      </c>
      <c r="S48">
        <f t="shared" si="7"/>
        <v>7000</v>
      </c>
      <c r="V48">
        <v>7000</v>
      </c>
      <c r="Y48">
        <v>7000</v>
      </c>
      <c r="AE48" s="168">
        <v>7000</v>
      </c>
      <c r="AF48" s="168">
        <f t="shared" si="3"/>
        <v>10500</v>
      </c>
      <c r="AI48" s="168">
        <v>7000</v>
      </c>
    </row>
    <row r="49" spans="1:43">
      <c r="A49" s="168">
        <v>171</v>
      </c>
      <c r="B49" s="168" t="s">
        <v>103</v>
      </c>
      <c r="C49" s="168" t="s">
        <v>1390</v>
      </c>
      <c r="D49" s="168" t="s">
        <v>490</v>
      </c>
      <c r="E49" s="168"/>
      <c r="F49" s="168" t="s">
        <v>1537</v>
      </c>
      <c r="G49" s="168" t="s">
        <v>1538</v>
      </c>
      <c r="H49" s="168" t="s">
        <v>493</v>
      </c>
      <c r="I49" s="168">
        <v>7000</v>
      </c>
      <c r="J49" t="s">
        <v>109</v>
      </c>
      <c r="L49" s="168">
        <v>7000</v>
      </c>
      <c r="M49">
        <v>3500</v>
      </c>
      <c r="N49">
        <f t="shared" si="4"/>
        <v>10500</v>
      </c>
      <c r="P49">
        <f t="shared" si="6"/>
        <v>7000</v>
      </c>
      <c r="S49">
        <f t="shared" si="7"/>
        <v>7000</v>
      </c>
      <c r="V49">
        <v>7000</v>
      </c>
      <c r="Y49">
        <v>12100</v>
      </c>
      <c r="AE49" s="168">
        <v>7000</v>
      </c>
      <c r="AF49" s="168">
        <f>AE49+3500</f>
        <v>10500</v>
      </c>
      <c r="AI49" s="168">
        <v>7000</v>
      </c>
    </row>
    <row r="50" spans="1:43">
      <c r="A50">
        <v>172</v>
      </c>
      <c r="B50" t="s">
        <v>103</v>
      </c>
      <c r="C50" t="s">
        <v>1540</v>
      </c>
      <c r="D50" t="s">
        <v>1541</v>
      </c>
      <c r="F50" t="s">
        <v>1542</v>
      </c>
      <c r="G50" t="s">
        <v>1543</v>
      </c>
      <c r="H50" t="s">
        <v>1544</v>
      </c>
      <c r="I50" s="168">
        <v>12100</v>
      </c>
      <c r="J50" t="s">
        <v>109</v>
      </c>
      <c r="L50" s="168">
        <v>12100</v>
      </c>
      <c r="M50">
        <v>3500</v>
      </c>
      <c r="N50">
        <f t="shared" si="4"/>
        <v>15600</v>
      </c>
      <c r="P50">
        <f t="shared" si="6"/>
        <v>12100</v>
      </c>
      <c r="S50">
        <f t="shared" si="7"/>
        <v>12100</v>
      </c>
      <c r="V50">
        <v>12100</v>
      </c>
      <c r="Y50">
        <v>9500</v>
      </c>
      <c r="AE50" s="168">
        <v>12100</v>
      </c>
      <c r="AF50" s="168">
        <f t="shared" ref="AF50:AF74" si="8">AE50+3500</f>
        <v>15600</v>
      </c>
      <c r="AI50" s="168">
        <v>12100</v>
      </c>
    </row>
    <row r="51" spans="1:43">
      <c r="A51" s="168">
        <v>173</v>
      </c>
      <c r="B51" s="168" t="s">
        <v>2460</v>
      </c>
      <c r="C51" s="168" t="s">
        <v>1524</v>
      </c>
      <c r="D51" s="168" t="s">
        <v>1550</v>
      </c>
      <c r="E51" s="168"/>
      <c r="F51" s="168" t="s">
        <v>1551</v>
      </c>
      <c r="G51" s="168" t="s">
        <v>1552</v>
      </c>
      <c r="H51" s="168" t="s">
        <v>1552</v>
      </c>
      <c r="I51" s="168">
        <v>9500</v>
      </c>
      <c r="J51" t="s">
        <v>109</v>
      </c>
      <c r="L51" s="168">
        <v>9500</v>
      </c>
      <c r="M51">
        <v>3500</v>
      </c>
      <c r="N51">
        <f t="shared" si="4"/>
        <v>13000</v>
      </c>
      <c r="P51">
        <f t="shared" si="6"/>
        <v>9500</v>
      </c>
      <c r="S51">
        <f t="shared" si="7"/>
        <v>9500</v>
      </c>
      <c r="V51">
        <v>9500</v>
      </c>
      <c r="Y51">
        <v>7000</v>
      </c>
      <c r="AC51" t="s">
        <v>2461</v>
      </c>
      <c r="AE51" s="168">
        <v>9500</v>
      </c>
      <c r="AF51" s="168">
        <f t="shared" si="8"/>
        <v>13000</v>
      </c>
      <c r="AI51" s="280">
        <v>13200</v>
      </c>
    </row>
    <row r="52" spans="1:43">
      <c r="A52">
        <v>174</v>
      </c>
      <c r="B52" t="s">
        <v>103</v>
      </c>
      <c r="C52" t="s">
        <v>149</v>
      </c>
      <c r="D52" t="s">
        <v>749</v>
      </c>
      <c r="F52" t="s">
        <v>1557</v>
      </c>
      <c r="G52" t="s">
        <v>1558</v>
      </c>
      <c r="H52" t="s">
        <v>752</v>
      </c>
      <c r="I52" s="168">
        <v>7000</v>
      </c>
      <c r="J52" t="s">
        <v>109</v>
      </c>
      <c r="L52" s="168">
        <v>7000</v>
      </c>
      <c r="M52">
        <v>3500</v>
      </c>
      <c r="N52">
        <f t="shared" si="4"/>
        <v>10500</v>
      </c>
      <c r="P52">
        <f t="shared" si="6"/>
        <v>7000</v>
      </c>
      <c r="S52">
        <f t="shared" si="7"/>
        <v>7000</v>
      </c>
      <c r="V52">
        <v>7000</v>
      </c>
      <c r="Y52">
        <v>7000</v>
      </c>
      <c r="AE52" s="168">
        <v>7000</v>
      </c>
      <c r="AF52" s="168">
        <f t="shared" si="8"/>
        <v>10500</v>
      </c>
      <c r="AI52" s="218">
        <v>1500</v>
      </c>
    </row>
    <row r="53" spans="1:43">
      <c r="A53" s="168">
        <v>175</v>
      </c>
      <c r="B53" s="168" t="s">
        <v>103</v>
      </c>
      <c r="C53" s="168" t="s">
        <v>1940</v>
      </c>
      <c r="D53" s="168" t="s">
        <v>1937</v>
      </c>
      <c r="E53" s="168"/>
      <c r="F53" s="168" t="s">
        <v>1938</v>
      </c>
      <c r="G53" s="168" t="s">
        <v>1939</v>
      </c>
      <c r="H53" s="168" t="s">
        <v>1372</v>
      </c>
      <c r="I53" s="168">
        <v>6600</v>
      </c>
      <c r="J53" t="s">
        <v>109</v>
      </c>
      <c r="L53" s="168">
        <v>6600</v>
      </c>
      <c r="M53">
        <v>3500</v>
      </c>
      <c r="N53">
        <f t="shared" si="4"/>
        <v>10100</v>
      </c>
      <c r="P53">
        <f t="shared" si="6"/>
        <v>6600</v>
      </c>
      <c r="S53">
        <f t="shared" si="7"/>
        <v>6600</v>
      </c>
      <c r="V53">
        <v>6600</v>
      </c>
      <c r="Y53">
        <v>6600</v>
      </c>
      <c r="AE53" s="168">
        <v>6600</v>
      </c>
      <c r="AF53" s="168">
        <f t="shared" si="8"/>
        <v>10100</v>
      </c>
      <c r="AI53" s="168">
        <v>6600</v>
      </c>
    </row>
    <row r="54" spans="1:43">
      <c r="A54" s="168">
        <v>177</v>
      </c>
      <c r="B54" s="168" t="s">
        <v>103</v>
      </c>
      <c r="C54" s="168" t="s">
        <v>2010</v>
      </c>
      <c r="D54" s="168" t="s">
        <v>2011</v>
      </c>
      <c r="E54" s="168"/>
      <c r="F54" t="s">
        <v>2040</v>
      </c>
      <c r="G54" t="s">
        <v>2008</v>
      </c>
      <c r="H54" t="s">
        <v>2009</v>
      </c>
      <c r="I54" s="168">
        <v>7000</v>
      </c>
      <c r="J54" t="s">
        <v>109</v>
      </c>
      <c r="L54" s="168">
        <v>7000</v>
      </c>
      <c r="M54">
        <v>3500</v>
      </c>
      <c r="N54">
        <f t="shared" si="4"/>
        <v>10500</v>
      </c>
      <c r="P54">
        <f t="shared" si="6"/>
        <v>7000</v>
      </c>
      <c r="S54">
        <f t="shared" si="7"/>
        <v>7000</v>
      </c>
      <c r="V54">
        <v>7000</v>
      </c>
      <c r="Y54">
        <v>7000</v>
      </c>
      <c r="AE54" s="168">
        <v>7000</v>
      </c>
      <c r="AF54" s="168">
        <f t="shared" si="8"/>
        <v>10500</v>
      </c>
      <c r="AI54" s="168">
        <v>7000</v>
      </c>
      <c r="AP54" s="197">
        <v>0</v>
      </c>
      <c r="AQ54" t="s">
        <v>2530</v>
      </c>
    </row>
    <row r="55" spans="1:43">
      <c r="A55" s="227">
        <v>178</v>
      </c>
      <c r="B55" s="227" t="s">
        <v>103</v>
      </c>
      <c r="C55" s="227" t="s">
        <v>586</v>
      </c>
      <c r="D55" s="227" t="s">
        <v>587</v>
      </c>
      <c r="E55" s="227"/>
      <c r="F55" s="227" t="s">
        <v>588</v>
      </c>
      <c r="G55" s="227" t="s">
        <v>589</v>
      </c>
      <c r="H55" s="227" t="s">
        <v>590</v>
      </c>
      <c r="I55" s="168">
        <v>7600</v>
      </c>
      <c r="J55" t="s">
        <v>109</v>
      </c>
      <c r="L55" s="168">
        <v>7000</v>
      </c>
      <c r="M55">
        <v>3500</v>
      </c>
      <c r="N55">
        <f t="shared" si="4"/>
        <v>10500</v>
      </c>
      <c r="P55">
        <f t="shared" si="6"/>
        <v>7600</v>
      </c>
      <c r="S55">
        <f t="shared" si="7"/>
        <v>7000</v>
      </c>
      <c r="V55" s="197">
        <v>17250</v>
      </c>
      <c r="W55" s="197" t="s">
        <v>2397</v>
      </c>
      <c r="Y55" s="197">
        <v>8800</v>
      </c>
      <c r="Z55" t="s">
        <v>2422</v>
      </c>
      <c r="AB55" s="197">
        <v>7600</v>
      </c>
      <c r="AE55" s="168">
        <v>7000</v>
      </c>
      <c r="AF55" s="168">
        <f t="shared" si="8"/>
        <v>10500</v>
      </c>
      <c r="AI55" s="168">
        <v>7600</v>
      </c>
    </row>
    <row r="56" spans="1:43">
      <c r="A56">
        <v>179</v>
      </c>
      <c r="B56" t="s">
        <v>103</v>
      </c>
      <c r="C56" t="s">
        <v>630</v>
      </c>
      <c r="D56" t="s">
        <v>2034</v>
      </c>
      <c r="F56" t="s">
        <v>2038</v>
      </c>
      <c r="G56" t="s">
        <v>2033</v>
      </c>
      <c r="H56" t="s">
        <v>2035</v>
      </c>
      <c r="I56" s="168">
        <v>7000</v>
      </c>
      <c r="J56" t="s">
        <v>109</v>
      </c>
      <c r="L56" s="236">
        <v>6600</v>
      </c>
      <c r="M56">
        <v>3500</v>
      </c>
      <c r="N56" t="s">
        <v>2341</v>
      </c>
      <c r="P56">
        <f t="shared" si="6"/>
        <v>7000</v>
      </c>
      <c r="S56">
        <f t="shared" si="7"/>
        <v>6600</v>
      </c>
      <c r="V56">
        <v>6600</v>
      </c>
      <c r="Y56">
        <v>6600</v>
      </c>
      <c r="AB56" s="197">
        <v>7800</v>
      </c>
      <c r="AC56" t="s">
        <v>2442</v>
      </c>
      <c r="AE56" s="168">
        <v>7000</v>
      </c>
      <c r="AF56" s="168">
        <f t="shared" si="8"/>
        <v>10500</v>
      </c>
      <c r="AI56" s="168">
        <v>7000</v>
      </c>
    </row>
    <row r="57" spans="1:43">
      <c r="A57">
        <v>181</v>
      </c>
      <c r="B57" t="s">
        <v>103</v>
      </c>
      <c r="C57" t="s">
        <v>2100</v>
      </c>
      <c r="D57" t="s">
        <v>490</v>
      </c>
      <c r="F57" t="s">
        <v>2132</v>
      </c>
      <c r="G57" t="s">
        <v>2131</v>
      </c>
      <c r="H57" t="s">
        <v>493</v>
      </c>
      <c r="I57">
        <v>9500</v>
      </c>
      <c r="J57" t="s">
        <v>109</v>
      </c>
      <c r="L57" s="236">
        <v>22750</v>
      </c>
      <c r="M57">
        <v>3500</v>
      </c>
      <c r="N57">
        <f t="shared" ref="N57:N63" si="9">M57+L57</f>
        <v>26250</v>
      </c>
      <c r="P57">
        <f t="shared" si="6"/>
        <v>9500</v>
      </c>
      <c r="S57">
        <f t="shared" si="7"/>
        <v>22750</v>
      </c>
      <c r="V57">
        <v>22750</v>
      </c>
      <c r="Y57">
        <v>22750</v>
      </c>
      <c r="AE57">
        <v>9500</v>
      </c>
      <c r="AF57" s="168">
        <f t="shared" si="8"/>
        <v>13000</v>
      </c>
      <c r="AI57">
        <v>9500</v>
      </c>
    </row>
    <row r="58" spans="1:43">
      <c r="A58" s="168">
        <v>182</v>
      </c>
      <c r="B58" t="s">
        <v>2521</v>
      </c>
      <c r="C58" t="s">
        <v>1272</v>
      </c>
      <c r="D58" t="s">
        <v>1084</v>
      </c>
      <c r="F58" s="49" t="s">
        <v>2117</v>
      </c>
      <c r="G58" s="49" t="s">
        <v>2070</v>
      </c>
      <c r="H58" s="49" t="s">
        <v>2114</v>
      </c>
      <c r="I58" s="168">
        <v>7000</v>
      </c>
      <c r="J58" t="s">
        <v>109</v>
      </c>
      <c r="L58" s="168">
        <v>7000</v>
      </c>
      <c r="M58">
        <v>3500</v>
      </c>
      <c r="N58">
        <f t="shared" si="9"/>
        <v>10500</v>
      </c>
      <c r="P58">
        <f t="shared" si="6"/>
        <v>7000</v>
      </c>
      <c r="S58">
        <f t="shared" si="7"/>
        <v>7000</v>
      </c>
      <c r="V58">
        <v>7000</v>
      </c>
      <c r="Y58">
        <v>7000</v>
      </c>
      <c r="AE58" s="168">
        <v>7000</v>
      </c>
      <c r="AF58" s="168">
        <f t="shared" si="8"/>
        <v>10500</v>
      </c>
      <c r="AI58" s="168">
        <v>7000</v>
      </c>
    </row>
    <row r="59" spans="1:43">
      <c r="A59" s="168">
        <v>183</v>
      </c>
      <c r="B59" t="s">
        <v>2521</v>
      </c>
      <c r="C59" t="s">
        <v>67</v>
      </c>
      <c r="D59" t="s">
        <v>2115</v>
      </c>
      <c r="F59" s="275" t="s">
        <v>2118</v>
      </c>
      <c r="G59" s="275" t="s">
        <v>2066</v>
      </c>
      <c r="H59" s="275" t="s">
        <v>2116</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43">
      <c r="A60" s="168">
        <v>184</v>
      </c>
      <c r="B60" t="s">
        <v>103</v>
      </c>
      <c r="C60" t="s">
        <v>560</v>
      </c>
      <c r="D60" t="s">
        <v>2126</v>
      </c>
      <c r="G60" s="49" t="s">
        <v>2084</v>
      </c>
      <c r="H60" t="s">
        <v>562</v>
      </c>
      <c r="I60" s="168">
        <v>7000</v>
      </c>
      <c r="J60" t="s">
        <v>109</v>
      </c>
      <c r="L60" s="168">
        <v>7000</v>
      </c>
      <c r="M60">
        <v>3500</v>
      </c>
      <c r="N60">
        <f t="shared" si="9"/>
        <v>10500</v>
      </c>
      <c r="P60">
        <f t="shared" si="6"/>
        <v>7000</v>
      </c>
      <c r="S60">
        <f t="shared" si="7"/>
        <v>7000</v>
      </c>
      <c r="V60">
        <v>7000</v>
      </c>
      <c r="Y60">
        <v>7000</v>
      </c>
      <c r="AE60" s="168">
        <v>7000</v>
      </c>
      <c r="AF60" s="168">
        <f t="shared" si="8"/>
        <v>10500</v>
      </c>
      <c r="AI60">
        <v>7000</v>
      </c>
    </row>
    <row r="61" spans="1:43">
      <c r="A61" s="168">
        <v>185</v>
      </c>
      <c r="B61" t="s">
        <v>103</v>
      </c>
      <c r="C61" t="s">
        <v>2127</v>
      </c>
      <c r="D61" t="s">
        <v>2125</v>
      </c>
      <c r="G61" s="256" t="s">
        <v>2079</v>
      </c>
      <c r="H61" s="49" t="s">
        <v>2128</v>
      </c>
      <c r="I61" s="168">
        <v>7000</v>
      </c>
      <c r="J61" t="s">
        <v>109</v>
      </c>
      <c r="L61" s="168">
        <v>7000</v>
      </c>
      <c r="M61">
        <v>3500</v>
      </c>
      <c r="N61">
        <f t="shared" si="9"/>
        <v>10500</v>
      </c>
      <c r="P61">
        <f t="shared" si="6"/>
        <v>7000</v>
      </c>
      <c r="S61">
        <f t="shared" si="7"/>
        <v>7000</v>
      </c>
      <c r="V61">
        <v>7000</v>
      </c>
      <c r="Y61">
        <v>7000</v>
      </c>
      <c r="AE61" s="168">
        <v>7000</v>
      </c>
      <c r="AF61" s="168">
        <f t="shared" si="8"/>
        <v>10500</v>
      </c>
      <c r="AI61" s="168">
        <v>7000</v>
      </c>
    </row>
    <row r="62" spans="1:43">
      <c r="A62" s="168">
        <v>186</v>
      </c>
      <c r="B62" t="s">
        <v>66</v>
      </c>
      <c r="C62" t="s">
        <v>1327</v>
      </c>
      <c r="D62" t="s">
        <v>234</v>
      </c>
      <c r="G62" s="275"/>
      <c r="H62" s="256" t="s">
        <v>237</v>
      </c>
      <c r="I62" s="168">
        <v>7000</v>
      </c>
      <c r="J62" t="s">
        <v>109</v>
      </c>
      <c r="L62" s="168">
        <v>7000</v>
      </c>
      <c r="M62">
        <v>3500</v>
      </c>
      <c r="N62">
        <f t="shared" si="9"/>
        <v>10500</v>
      </c>
      <c r="P62">
        <f t="shared" si="6"/>
        <v>7000</v>
      </c>
      <c r="S62">
        <f t="shared" si="7"/>
        <v>7000</v>
      </c>
      <c r="V62">
        <v>7000</v>
      </c>
      <c r="Y62">
        <v>7000</v>
      </c>
      <c r="AE62" s="168">
        <v>7000</v>
      </c>
      <c r="AF62" s="168">
        <f t="shared" si="8"/>
        <v>10500</v>
      </c>
      <c r="AI62">
        <v>7000</v>
      </c>
    </row>
    <row r="63" spans="1:43" ht="18" customHeight="1">
      <c r="A63">
        <v>187</v>
      </c>
      <c r="B63" t="s">
        <v>66</v>
      </c>
      <c r="C63" t="s">
        <v>2284</v>
      </c>
      <c r="H63" s="256" t="s">
        <v>2147</v>
      </c>
      <c r="I63" s="168">
        <v>7000</v>
      </c>
      <c r="J63" t="s">
        <v>109</v>
      </c>
      <c r="L63" s="168">
        <v>7000</v>
      </c>
      <c r="M63">
        <v>3500</v>
      </c>
      <c r="N63">
        <f t="shared" si="9"/>
        <v>10500</v>
      </c>
      <c r="O63" t="s">
        <v>2262</v>
      </c>
      <c r="P63">
        <f t="shared" si="6"/>
        <v>7000</v>
      </c>
      <c r="S63" s="271">
        <v>7000</v>
      </c>
      <c r="T63" t="s">
        <v>2380</v>
      </c>
      <c r="V63">
        <v>7000</v>
      </c>
      <c r="Y63">
        <v>7000</v>
      </c>
      <c r="AE63" s="168">
        <v>7000</v>
      </c>
      <c r="AF63" s="168">
        <f t="shared" si="8"/>
        <v>10500</v>
      </c>
      <c r="AI63">
        <v>7000</v>
      </c>
    </row>
    <row r="64" spans="1:43" ht="18.75" customHeight="1">
      <c r="A64">
        <v>188</v>
      </c>
      <c r="B64" t="s">
        <v>2505</v>
      </c>
      <c r="C64" t="s">
        <v>948</v>
      </c>
      <c r="D64" t="s">
        <v>2279</v>
      </c>
      <c r="G64" t="s">
        <v>2243</v>
      </c>
      <c r="H64" s="275" t="s">
        <v>951</v>
      </c>
      <c r="I64" s="168">
        <v>9500</v>
      </c>
      <c r="J64" t="s">
        <v>109</v>
      </c>
      <c r="L64" s="168">
        <v>9500</v>
      </c>
      <c r="P64">
        <f t="shared" si="6"/>
        <v>9500</v>
      </c>
      <c r="S64">
        <f>L64</f>
        <v>9500</v>
      </c>
      <c r="V64">
        <v>9500</v>
      </c>
      <c r="Y64">
        <v>9500</v>
      </c>
      <c r="AB64" s="295"/>
      <c r="AC64" t="s">
        <v>2449</v>
      </c>
      <c r="AE64" s="168">
        <v>0</v>
      </c>
      <c r="AF64" s="168">
        <v>0</v>
      </c>
      <c r="AI64">
        <v>6600</v>
      </c>
    </row>
    <row r="65" spans="1:43">
      <c r="A65">
        <v>189</v>
      </c>
      <c r="B65" t="s">
        <v>103</v>
      </c>
      <c r="C65" t="s">
        <v>1168</v>
      </c>
      <c r="D65" t="s">
        <v>2260</v>
      </c>
      <c r="F65" t="s">
        <v>2230</v>
      </c>
      <c r="G65" t="s">
        <v>2229</v>
      </c>
      <c r="H65" t="s">
        <v>2229</v>
      </c>
      <c r="I65">
        <v>6600</v>
      </c>
      <c r="J65" t="s">
        <v>109</v>
      </c>
      <c r="P65">
        <v>7600</v>
      </c>
      <c r="Q65" t="s">
        <v>2336</v>
      </c>
      <c r="S65">
        <v>7600</v>
      </c>
      <c r="T65" s="197" t="s">
        <v>2379</v>
      </c>
      <c r="V65">
        <v>7600</v>
      </c>
      <c r="Y65">
        <v>7600</v>
      </c>
      <c r="AE65">
        <v>6600</v>
      </c>
      <c r="AF65" s="168">
        <f t="shared" si="8"/>
        <v>10100</v>
      </c>
      <c r="AI65">
        <v>6600</v>
      </c>
    </row>
    <row r="66" spans="1:43">
      <c r="A66">
        <v>190</v>
      </c>
      <c r="B66" t="s">
        <v>66</v>
      </c>
      <c r="C66" s="275" t="s">
        <v>2282</v>
      </c>
      <c r="D66" s="275" t="s">
        <v>364</v>
      </c>
      <c r="E66" s="275"/>
      <c r="F66" s="275"/>
      <c r="G66" s="278" t="s">
        <v>2225</v>
      </c>
      <c r="H66" s="278" t="s">
        <v>2225</v>
      </c>
      <c r="I66" s="280">
        <v>13200</v>
      </c>
      <c r="J66" t="s">
        <v>109</v>
      </c>
      <c r="L66">
        <v>13200</v>
      </c>
      <c r="M66" t="s">
        <v>2338</v>
      </c>
      <c r="P66" s="197">
        <v>13200</v>
      </c>
      <c r="Q66" t="s">
        <v>2339</v>
      </c>
      <c r="S66">
        <v>13200</v>
      </c>
      <c r="T66" t="s">
        <v>2395</v>
      </c>
      <c r="V66">
        <v>13200</v>
      </c>
      <c r="Y66">
        <v>13200</v>
      </c>
      <c r="AE66" s="280">
        <v>13200</v>
      </c>
      <c r="AF66" s="168">
        <f t="shared" si="8"/>
        <v>16700</v>
      </c>
      <c r="AI66" s="280">
        <v>13200</v>
      </c>
      <c r="AM66">
        <v>13200</v>
      </c>
      <c r="AP66">
        <v>0</v>
      </c>
      <c r="AQ66" t="s">
        <v>2551</v>
      </c>
    </row>
    <row r="67" spans="1:43" ht="14.25" customHeight="1">
      <c r="A67">
        <v>191</v>
      </c>
      <c r="B67" t="s">
        <v>2495</v>
      </c>
      <c r="C67" t="s">
        <v>560</v>
      </c>
      <c r="D67" t="s">
        <v>2285</v>
      </c>
      <c r="G67" s="256" t="s">
        <v>2286</v>
      </c>
      <c r="H67" s="256" t="s">
        <v>2288</v>
      </c>
      <c r="I67" s="168">
        <v>12100</v>
      </c>
      <c r="J67" t="s">
        <v>109</v>
      </c>
      <c r="L67" t="s">
        <v>1586</v>
      </c>
      <c r="P67">
        <v>12100</v>
      </c>
      <c r="Q67" t="s">
        <v>2338</v>
      </c>
      <c r="S67">
        <v>12100</v>
      </c>
      <c r="T67" t="s">
        <v>2395</v>
      </c>
      <c r="V67">
        <v>12100</v>
      </c>
      <c r="Y67">
        <v>12100</v>
      </c>
      <c r="AE67" s="168">
        <v>0</v>
      </c>
      <c r="AF67" s="168">
        <v>0</v>
      </c>
      <c r="AI67">
        <v>20500</v>
      </c>
    </row>
    <row r="68" spans="1:43">
      <c r="A68">
        <v>191</v>
      </c>
      <c r="B68" t="s">
        <v>2495</v>
      </c>
      <c r="C68" t="s">
        <v>560</v>
      </c>
      <c r="G68" s="256" t="s">
        <v>2286</v>
      </c>
      <c r="H68" s="256" t="s">
        <v>2287</v>
      </c>
      <c r="I68" s="168">
        <v>12100</v>
      </c>
      <c r="J68" t="s">
        <v>109</v>
      </c>
      <c r="L68" t="s">
        <v>1586</v>
      </c>
      <c r="P68">
        <v>12100</v>
      </c>
      <c r="Q68" t="s">
        <v>2338</v>
      </c>
      <c r="S68">
        <v>12100</v>
      </c>
      <c r="T68" t="s">
        <v>2395</v>
      </c>
      <c r="V68">
        <v>12100</v>
      </c>
      <c r="Y68">
        <v>12100</v>
      </c>
      <c r="AE68" s="168">
        <v>0</v>
      </c>
      <c r="AF68" s="168">
        <v>0</v>
      </c>
      <c r="AI68">
        <v>20500</v>
      </c>
    </row>
    <row r="69" spans="1:43">
      <c r="A69">
        <v>193</v>
      </c>
      <c r="B69" t="s">
        <v>103</v>
      </c>
      <c r="C69" t="s">
        <v>2280</v>
      </c>
      <c r="D69" t="s">
        <v>2281</v>
      </c>
      <c r="G69" s="275" t="s">
        <v>2342</v>
      </c>
      <c r="H69" s="256" t="s">
        <v>2283</v>
      </c>
      <c r="I69" s="168">
        <v>7000</v>
      </c>
      <c r="J69" t="s">
        <v>109</v>
      </c>
      <c r="L69" t="s">
        <v>1586</v>
      </c>
      <c r="P69">
        <v>7000</v>
      </c>
      <c r="Q69" t="s">
        <v>2338</v>
      </c>
      <c r="S69" s="197">
        <v>7000</v>
      </c>
      <c r="T69" t="s">
        <v>2370</v>
      </c>
      <c r="V69">
        <v>7000</v>
      </c>
      <c r="Y69">
        <v>7000</v>
      </c>
      <c r="AE69" s="168">
        <v>7000</v>
      </c>
      <c r="AF69" s="168">
        <f t="shared" si="8"/>
        <v>10500</v>
      </c>
      <c r="AI69" s="168">
        <v>7000</v>
      </c>
    </row>
    <row r="70" spans="1:43">
      <c r="A70">
        <v>194</v>
      </c>
      <c r="B70" t="s">
        <v>103</v>
      </c>
      <c r="C70" t="s">
        <v>2318</v>
      </c>
      <c r="D70" t="s">
        <v>2317</v>
      </c>
      <c r="G70" s="49" t="s">
        <v>2314</v>
      </c>
      <c r="H70" s="256" t="s">
        <v>2316</v>
      </c>
      <c r="I70" s="168">
        <v>20500</v>
      </c>
      <c r="J70" t="s">
        <v>109</v>
      </c>
      <c r="O70">
        <v>20500</v>
      </c>
      <c r="P70">
        <v>20500</v>
      </c>
      <c r="Q70" t="s">
        <v>1586</v>
      </c>
      <c r="S70">
        <v>20500</v>
      </c>
      <c r="T70" t="s">
        <v>2362</v>
      </c>
      <c r="V70">
        <v>20500</v>
      </c>
      <c r="Y70">
        <v>20500</v>
      </c>
      <c r="AE70" s="168">
        <v>20500</v>
      </c>
      <c r="AF70" s="168">
        <f t="shared" si="8"/>
        <v>24000</v>
      </c>
      <c r="AI70" s="168">
        <v>20500</v>
      </c>
    </row>
    <row r="71" spans="1:43" ht="15.75">
      <c r="A71">
        <v>195</v>
      </c>
      <c r="B71" t="s">
        <v>66</v>
      </c>
      <c r="C71" s="168" t="s">
        <v>2320</v>
      </c>
      <c r="D71" s="168" t="s">
        <v>1313</v>
      </c>
      <c r="G71" s="275"/>
      <c r="H71" s="297"/>
      <c r="J71" t="s">
        <v>109</v>
      </c>
      <c r="O71" t="s">
        <v>2321</v>
      </c>
      <c r="P71" s="271" t="s">
        <v>2335</v>
      </c>
      <c r="Q71" s="197" t="s">
        <v>2335</v>
      </c>
      <c r="AF71" s="168">
        <v>0</v>
      </c>
      <c r="AI71">
        <v>7600</v>
      </c>
    </row>
    <row r="72" spans="1:43" ht="15.75">
      <c r="A72">
        <v>196</v>
      </c>
      <c r="B72" t="s">
        <v>103</v>
      </c>
      <c r="C72" s="275" t="s">
        <v>2333</v>
      </c>
      <c r="D72" s="275" t="s">
        <v>490</v>
      </c>
      <c r="G72" s="56" t="s">
        <v>493</v>
      </c>
      <c r="H72" s="56" t="s">
        <v>2332</v>
      </c>
      <c r="I72" s="168">
        <v>20500</v>
      </c>
      <c r="J72" t="s">
        <v>109</v>
      </c>
      <c r="K72" t="s">
        <v>110</v>
      </c>
      <c r="O72">
        <v>20500</v>
      </c>
      <c r="P72" s="271" t="s">
        <v>2335</v>
      </c>
      <c r="Q72" s="197" t="s">
        <v>2335</v>
      </c>
      <c r="S72">
        <v>20500</v>
      </c>
      <c r="V72">
        <v>20500</v>
      </c>
      <c r="Y72">
        <v>20500</v>
      </c>
      <c r="AE72" s="168">
        <v>20500</v>
      </c>
      <c r="AF72" s="168"/>
      <c r="AI72" s="168">
        <v>20500</v>
      </c>
    </row>
    <row r="73" spans="1:43">
      <c r="A73">
        <v>197</v>
      </c>
      <c r="B73" t="s">
        <v>2493</v>
      </c>
      <c r="C73" s="168" t="s">
        <v>196</v>
      </c>
      <c r="D73" t="s">
        <v>2481</v>
      </c>
      <c r="G73" s="168" t="s">
        <v>2431</v>
      </c>
      <c r="H73" s="168" t="s">
        <v>2432</v>
      </c>
      <c r="I73" s="168">
        <v>20500</v>
      </c>
      <c r="J73" t="s">
        <v>2482</v>
      </c>
      <c r="Y73">
        <v>20500</v>
      </c>
      <c r="AB73">
        <v>20500</v>
      </c>
      <c r="AC73" t="s">
        <v>2502</v>
      </c>
      <c r="AE73" s="168">
        <v>20500</v>
      </c>
      <c r="AF73" s="168">
        <f t="shared" si="8"/>
        <v>24000</v>
      </c>
      <c r="AI73" s="168">
        <v>20500</v>
      </c>
    </row>
    <row r="74" spans="1:43">
      <c r="A74">
        <v>198</v>
      </c>
      <c r="B74" t="s">
        <v>2493</v>
      </c>
      <c r="C74" s="294" t="s">
        <v>2435</v>
      </c>
      <c r="D74" s="31" t="s">
        <v>2436</v>
      </c>
      <c r="G74" s="294" t="s">
        <v>2433</v>
      </c>
      <c r="H74" s="294" t="s">
        <v>2434</v>
      </c>
      <c r="I74" s="168">
        <v>7000</v>
      </c>
      <c r="J74" t="s">
        <v>2482</v>
      </c>
      <c r="AB74">
        <v>7000</v>
      </c>
      <c r="AC74" t="s">
        <v>2504</v>
      </c>
      <c r="AE74" s="168">
        <v>7000</v>
      </c>
      <c r="AF74" s="168">
        <f t="shared" si="8"/>
        <v>10500</v>
      </c>
      <c r="AI74" s="168">
        <v>7000</v>
      </c>
    </row>
    <row r="75" spans="1:43">
      <c r="A75">
        <v>199</v>
      </c>
      <c r="B75" t="s">
        <v>103</v>
      </c>
      <c r="C75" s="275" t="s">
        <v>1080</v>
      </c>
      <c r="D75" s="275" t="s">
        <v>2478</v>
      </c>
      <c r="G75" s="275" t="s">
        <v>2476</v>
      </c>
      <c r="H75" s="275" t="s">
        <v>2477</v>
      </c>
      <c r="I75">
        <v>7600</v>
      </c>
      <c r="J75" t="s">
        <v>1955</v>
      </c>
      <c r="AB75" t="s">
        <v>2479</v>
      </c>
      <c r="AC75" t="s">
        <v>2494</v>
      </c>
      <c r="AE75">
        <v>7600</v>
      </c>
      <c r="AF75" s="168" t="s">
        <v>2503</v>
      </c>
      <c r="AI75">
        <v>7600</v>
      </c>
      <c r="AJ75" t="s">
        <v>2523</v>
      </c>
    </row>
    <row r="76" spans="1:43">
      <c r="AE76">
        <v>6600</v>
      </c>
      <c r="AF76" s="168">
        <f>SUBTOTAL(9,AF4:AF75)</f>
        <v>923400</v>
      </c>
      <c r="AI76">
        <v>7000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8515625" defaultRowHeight="15"/>
  <cols>
    <col min="14" max="14" width="9.85546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104775</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66675</xdr:colOff>
                    <xdr:row>0</xdr:row>
                    <xdr:rowOff>28575</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66675</xdr:rowOff>
                  </from>
                  <to>
                    <xdr:col>10</xdr:col>
                    <xdr:colOff>981075</xdr:colOff>
                    <xdr:row>1</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abSelected="1" zoomScaleNormal="100" workbookViewId="0">
      <pane ySplit="2" topLeftCell="A17" activePane="bottomLeft" state="frozen"/>
      <selection pane="bottomLeft" activeCell="J26" sqref="J26"/>
    </sheetView>
  </sheetViews>
  <sheetFormatPr defaultRowHeight="15"/>
  <cols>
    <col min="1" max="1" width="9" style="146" customWidth="1"/>
    <col min="3" max="3" width="30" customWidth="1"/>
    <col min="7" max="7" width="20.85546875" customWidth="1"/>
    <col min="8" max="8" width="18.5703125" customWidth="1"/>
    <col min="9" max="9" width="17.28515625" customWidth="1"/>
    <col min="10" max="10" width="21" customWidth="1"/>
    <col min="11" max="11" width="22.28515625" style="156" customWidth="1"/>
    <col min="12" max="12" width="21" customWidth="1"/>
    <col min="13" max="13" width="15.5703125" style="156" customWidth="1"/>
    <col min="14" max="14" width="17.28515625" customWidth="1"/>
    <col min="15" max="15" width="9.85546875" bestFit="1" customWidth="1"/>
  </cols>
  <sheetData>
    <row r="1" spans="1:16" ht="57.75" customHeight="1">
      <c r="A1" s="306"/>
      <c r="B1" s="307"/>
      <c r="C1" s="307"/>
      <c r="D1" s="307"/>
      <c r="E1" s="307"/>
      <c r="G1" s="308"/>
      <c r="H1" s="308"/>
      <c r="J1" s="308"/>
      <c r="K1" s="309"/>
      <c r="L1" s="307"/>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90">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65">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105">
      <c r="A17">
        <v>181</v>
      </c>
      <c r="B17" t="s">
        <v>103</v>
      </c>
      <c r="C17" t="s">
        <v>2131</v>
      </c>
      <c r="D17" t="s">
        <v>2328</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2369</v>
      </c>
      <c r="D24" t="s">
        <v>2363</v>
      </c>
      <c r="G24" t="s">
        <v>2364</v>
      </c>
      <c r="H24" t="s">
        <v>2365</v>
      </c>
      <c r="K24" s="156" t="s">
        <v>2368</v>
      </c>
      <c r="L24" t="s">
        <v>2366</v>
      </c>
      <c r="M24" s="156" t="s">
        <v>2367</v>
      </c>
      <c r="N24">
        <v>9500</v>
      </c>
      <c r="O24" s="38">
        <v>46085</v>
      </c>
    </row>
    <row r="25" spans="1:15">
      <c r="A25" s="146">
        <v>189</v>
      </c>
      <c r="C25" t="s">
        <v>2290</v>
      </c>
      <c r="D25" t="s">
        <v>2291</v>
      </c>
      <c r="E25" t="s">
        <v>2231</v>
      </c>
      <c r="G25" t="s">
        <v>1604</v>
      </c>
      <c r="H25" t="s">
        <v>1620</v>
      </c>
      <c r="I25" s="92" t="s">
        <v>2292</v>
      </c>
      <c r="J25" t="s">
        <v>1607</v>
      </c>
      <c r="K25">
        <v>989243</v>
      </c>
      <c r="L25" s="156" t="s">
        <v>1609</v>
      </c>
      <c r="M25" s="156" t="s">
        <v>2293</v>
      </c>
      <c r="N25">
        <v>7600</v>
      </c>
      <c r="O25">
        <v>202503</v>
      </c>
    </row>
    <row r="26" spans="1:15">
      <c r="A26" s="146">
        <v>191</v>
      </c>
      <c r="B26" t="s">
        <v>103</v>
      </c>
      <c r="C26" t="s">
        <v>2353</v>
      </c>
      <c r="D26" t="s">
        <v>2354</v>
      </c>
      <c r="E26" t="s">
        <v>2266</v>
      </c>
      <c r="G26" t="s">
        <v>1604</v>
      </c>
      <c r="H26" t="s">
        <v>2349</v>
      </c>
      <c r="I26" t="s">
        <v>2350</v>
      </c>
      <c r="J26" t="s">
        <v>1607</v>
      </c>
      <c r="K26" s="156" t="s">
        <v>2347</v>
      </c>
      <c r="L26" s="156" t="s">
        <v>1609</v>
      </c>
      <c r="M26" s="156" t="s">
        <v>2348</v>
      </c>
      <c r="N26">
        <v>24200</v>
      </c>
      <c r="O26">
        <v>202503</v>
      </c>
    </row>
    <row r="27" spans="1:15">
      <c r="L27" s="156"/>
    </row>
    <row r="28" spans="1:15">
      <c r="A28">
        <v>193</v>
      </c>
      <c r="B28" t="s">
        <v>103</v>
      </c>
      <c r="C28" t="s">
        <v>2352</v>
      </c>
      <c r="D28" t="s">
        <v>2351</v>
      </c>
      <c r="E28" t="s">
        <v>2343</v>
      </c>
      <c r="G28" t="s">
        <v>1604</v>
      </c>
      <c r="H28" t="s">
        <v>2344</v>
      </c>
      <c r="J28" t="s">
        <v>1607</v>
      </c>
      <c r="K28" s="156" t="s">
        <v>2345</v>
      </c>
      <c r="L28" s="156" t="s">
        <v>1609</v>
      </c>
      <c r="M28" s="156" t="s">
        <v>2175</v>
      </c>
      <c r="N28">
        <v>7000</v>
      </c>
      <c r="O28">
        <v>202503</v>
      </c>
    </row>
    <row r="29" spans="1:15">
      <c r="L29" s="156"/>
    </row>
    <row r="30" spans="1:15">
      <c r="L30" s="156"/>
    </row>
    <row r="31" spans="1:15" ht="15.75">
      <c r="A31" s="146">
        <v>196</v>
      </c>
      <c r="B31" t="s">
        <v>103</v>
      </c>
      <c r="C31" s="56" t="s">
        <v>2356</v>
      </c>
      <c r="D31" t="s">
        <v>2358</v>
      </c>
      <c r="E31" t="s">
        <v>2300</v>
      </c>
      <c r="G31" t="s">
        <v>1604</v>
      </c>
      <c r="H31" t="s">
        <v>2357</v>
      </c>
      <c r="I31" t="s">
        <v>2361</v>
      </c>
      <c r="J31" t="s">
        <v>1607</v>
      </c>
      <c r="K31" s="156" t="s">
        <v>2360</v>
      </c>
      <c r="L31" s="156" t="s">
        <v>1609</v>
      </c>
      <c r="M31" s="156" t="s">
        <v>2359</v>
      </c>
      <c r="N31">
        <v>20500</v>
      </c>
      <c r="O31" s="38">
        <v>46101</v>
      </c>
    </row>
    <row r="32" spans="1:15">
      <c r="A32" s="146">
        <v>197</v>
      </c>
      <c r="C32" t="s">
        <v>2483</v>
      </c>
      <c r="D32" t="s">
        <v>2484</v>
      </c>
      <c r="K32" s="156" t="s">
        <v>2485</v>
      </c>
      <c r="L32" s="156" t="s">
        <v>2486</v>
      </c>
      <c r="N32">
        <v>20500</v>
      </c>
    </row>
    <row r="33" spans="1:16">
      <c r="A33" s="146">
        <v>198</v>
      </c>
      <c r="C33" t="s">
        <v>2488</v>
      </c>
      <c r="D33" t="s">
        <v>2487</v>
      </c>
      <c r="G33" t="s">
        <v>1604</v>
      </c>
      <c r="H33" s="296" t="s">
        <v>2489</v>
      </c>
      <c r="J33" t="s">
        <v>1607</v>
      </c>
      <c r="K33" s="156" t="s">
        <v>2490</v>
      </c>
      <c r="L33" s="156" t="s">
        <v>1609</v>
      </c>
      <c r="M33" s="156" t="s">
        <v>2491</v>
      </c>
      <c r="N33">
        <v>7000</v>
      </c>
    </row>
    <row r="34" spans="1:16">
      <c r="A34" s="146">
        <v>199</v>
      </c>
      <c r="C34" t="s">
        <v>2498</v>
      </c>
      <c r="D34" t="s">
        <v>2499</v>
      </c>
      <c r="G34" t="s">
        <v>1604</v>
      </c>
      <c r="H34" s="92" t="s">
        <v>2500</v>
      </c>
      <c r="I34" s="92" t="s">
        <v>2500</v>
      </c>
      <c r="J34" t="s">
        <v>1607</v>
      </c>
      <c r="K34" s="92">
        <v>1116061</v>
      </c>
      <c r="L34" s="156" t="s">
        <v>1609</v>
      </c>
      <c r="M34" s="156" t="s">
        <v>2501</v>
      </c>
      <c r="N34">
        <v>7000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409575</xdr:colOff>
                    <xdr:row>0</xdr:row>
                    <xdr:rowOff>104775</xdr:rowOff>
                  </from>
                  <to>
                    <xdr:col>4</xdr:col>
                    <xdr:colOff>485775</xdr:colOff>
                    <xdr:row>0</xdr:row>
                    <xdr:rowOff>600075</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561975</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142875</xdr:colOff>
                    <xdr:row>10</xdr:row>
                    <xdr:rowOff>66675</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104775</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66675</xdr:rowOff>
                  </from>
                  <to>
                    <xdr:col>15</xdr:col>
                    <xdr:colOff>523875</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66675</xdr:colOff>
                    <xdr:row>15</xdr:row>
                    <xdr:rowOff>0</xdr:rowOff>
                  </from>
                  <to>
                    <xdr:col>15</xdr:col>
                    <xdr:colOff>533400</xdr:colOff>
                    <xdr:row>15</xdr:row>
                    <xdr:rowOff>142875</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142875</xdr:colOff>
                    <xdr:row>16</xdr:row>
                    <xdr:rowOff>180975</xdr:rowOff>
                  </from>
                  <to>
                    <xdr:col>15</xdr:col>
                    <xdr:colOff>600075</xdr:colOff>
                    <xdr:row>16</xdr:row>
                    <xdr:rowOff>866775</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104775</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66675</xdr:rowOff>
                  </from>
                  <to>
                    <xdr:col>15</xdr:col>
                    <xdr:colOff>533400</xdr:colOff>
                    <xdr:row>18</xdr:row>
                    <xdr:rowOff>142875</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104775</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28575</xdr:colOff>
                    <xdr:row>33</xdr:row>
                    <xdr:rowOff>47625</xdr:rowOff>
                  </from>
                  <to>
                    <xdr:col>15</xdr:col>
                    <xdr:colOff>561975</xdr:colOff>
                    <xdr:row>33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5"/>
  <sheetData>
    <row r="1" spans="1:2" ht="31.5">
      <c r="A1" s="261" t="s">
        <v>2155</v>
      </c>
      <c r="B1" s="262" t="s">
        <v>2156</v>
      </c>
    </row>
    <row r="2" spans="1:2" ht="31.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T109"/>
  <sheetViews>
    <sheetView zoomScale="85" zoomScaleNormal="85" workbookViewId="0">
      <pane ySplit="1" topLeftCell="A96" activePane="bottomLeft" state="frozen"/>
      <selection pane="bottomLeft" activeCell="D109" sqref="D109"/>
    </sheetView>
  </sheetViews>
  <sheetFormatPr defaultColWidth="7" defaultRowHeight="15"/>
  <cols>
    <col min="1" max="2" width="12" customWidth="1"/>
    <col min="3" max="3" width="26.5703125" bestFit="1" customWidth="1"/>
    <col min="4" max="6" width="26.5703125" customWidth="1"/>
    <col min="7" max="7" width="27.5703125" bestFit="1" customWidth="1"/>
    <col min="8" max="8" width="13.7109375" bestFit="1" customWidth="1"/>
    <col min="9" max="9" width="25.7109375" bestFit="1" customWidth="1"/>
    <col min="10" max="10" width="14.7109375" style="78" bestFit="1" customWidth="1"/>
    <col min="11" max="11" width="16.28515625" bestFit="1" customWidth="1"/>
    <col min="12" max="13" width="19.28515625" bestFit="1" customWidth="1"/>
    <col min="14" max="14" width="29" bestFit="1" customWidth="1"/>
    <col min="15" max="15" width="10.5703125" bestFit="1" customWidth="1"/>
    <col min="16" max="16" width="10.5703125" customWidth="1"/>
    <col min="17" max="17" width="10.28515625" bestFit="1" customWidth="1"/>
    <col min="18" max="18" width="6.85546875" customWidth="1"/>
    <col min="19" max="19" width="23.28515625" bestFit="1" customWidth="1"/>
    <col min="20" max="20" width="16" bestFit="1" customWidth="1"/>
    <col min="21" max="21" width="16.85546875" customWidth="1"/>
    <col min="22" max="22" width="10.28515625" bestFit="1" customWidth="1"/>
    <col min="23" max="23" width="9.28515625" bestFit="1" customWidth="1"/>
    <col min="24" max="24" width="9.28515625" customWidth="1"/>
    <col min="25" max="25" width="30.7109375" bestFit="1" customWidth="1"/>
    <col min="26" max="26" width="18" customWidth="1"/>
    <col min="27" max="27" width="15.85546875" bestFit="1" customWidth="1"/>
  </cols>
  <sheetData>
    <row r="1" spans="1:27" ht="29.85" customHeight="1" thickBot="1">
      <c r="A1" s="121" t="s">
        <v>37</v>
      </c>
      <c r="B1" s="121" t="s">
        <v>2546</v>
      </c>
      <c r="C1" s="122" t="s">
        <v>38</v>
      </c>
      <c r="D1" s="122" t="s">
        <v>2050</v>
      </c>
      <c r="E1" s="122" t="s">
        <v>2313</v>
      </c>
      <c r="F1" s="122" t="s">
        <v>1654</v>
      </c>
      <c r="G1" s="122" t="s">
        <v>1639</v>
      </c>
      <c r="H1" s="122" t="s">
        <v>1640</v>
      </c>
      <c r="I1" s="122" t="s">
        <v>1641</v>
      </c>
      <c r="J1" s="123" t="s">
        <v>1642</v>
      </c>
      <c r="K1" s="122" t="s">
        <v>1643</v>
      </c>
      <c r="L1" s="122" t="s">
        <v>1644</v>
      </c>
      <c r="M1" s="122" t="s">
        <v>1645</v>
      </c>
      <c r="N1" s="122" t="s">
        <v>1646</v>
      </c>
      <c r="O1" s="122" t="s">
        <v>1647</v>
      </c>
      <c r="P1" s="122" t="s">
        <v>1648</v>
      </c>
      <c r="Q1" s="122" t="s">
        <v>1649</v>
      </c>
      <c r="R1" s="122" t="s">
        <v>1650</v>
      </c>
      <c r="S1" s="122" t="s">
        <v>1651</v>
      </c>
      <c r="T1" s="122" t="s">
        <v>1652</v>
      </c>
      <c r="U1" s="122" t="s">
        <v>1653</v>
      </c>
      <c r="V1" s="122" t="s">
        <v>9</v>
      </c>
      <c r="W1" s="122" t="s">
        <v>1935</v>
      </c>
      <c r="X1" s="122" t="s">
        <v>1655</v>
      </c>
      <c r="Y1" s="122" t="s">
        <v>1656</v>
      </c>
      <c r="Z1" s="124" t="s">
        <v>1657</v>
      </c>
      <c r="AA1" s="125" t="s">
        <v>1658</v>
      </c>
    </row>
    <row r="2" spans="1:27" ht="44.25" customHeight="1" thickBot="1">
      <c r="A2" s="2" t="s">
        <v>1659</v>
      </c>
      <c r="B2" s="2"/>
      <c r="C2" s="3" t="s">
        <v>1534</v>
      </c>
      <c r="D2" s="3"/>
      <c r="E2" s="3"/>
      <c r="F2" s="2" t="s">
        <v>1663</v>
      </c>
      <c r="G2" s="4" t="s">
        <v>1536</v>
      </c>
      <c r="H2" s="5">
        <v>8052745552</v>
      </c>
      <c r="I2" s="2" t="s">
        <v>1639</v>
      </c>
      <c r="J2" s="69">
        <v>45666</v>
      </c>
      <c r="K2" s="6"/>
      <c r="L2" s="6"/>
      <c r="M2" s="6"/>
      <c r="N2" s="7" t="s">
        <v>1660</v>
      </c>
      <c r="O2" s="7"/>
      <c r="P2" s="7"/>
      <c r="Q2" s="6"/>
      <c r="R2" s="6"/>
      <c r="S2" s="8" t="s">
        <v>1661</v>
      </c>
      <c r="T2" s="6"/>
      <c r="U2" s="2" t="s">
        <v>1662</v>
      </c>
      <c r="V2" s="2" t="s">
        <v>109</v>
      </c>
      <c r="W2" s="2" t="s">
        <v>1663</v>
      </c>
      <c r="X2" s="2"/>
      <c r="Y2" s="6"/>
      <c r="Z2" s="1"/>
    </row>
    <row r="3" spans="1:27" ht="16.350000000000001" customHeight="1" thickBot="1">
      <c r="A3" s="2" t="s">
        <v>1659</v>
      </c>
      <c r="B3" s="2"/>
      <c r="C3" s="3" t="s">
        <v>1538</v>
      </c>
      <c r="D3" s="3"/>
      <c r="E3" s="3"/>
      <c r="F3" s="2" t="s">
        <v>1663</v>
      </c>
      <c r="G3" s="4" t="s">
        <v>1539</v>
      </c>
      <c r="H3" s="5">
        <v>9059486299</v>
      </c>
      <c r="I3" s="2" t="s">
        <v>1639</v>
      </c>
      <c r="J3" s="69">
        <v>45666</v>
      </c>
      <c r="K3" s="6"/>
      <c r="L3" s="6"/>
      <c r="M3" s="6"/>
      <c r="N3" s="7" t="s">
        <v>102</v>
      </c>
      <c r="O3" s="7"/>
      <c r="P3" s="7"/>
      <c r="Q3" s="6"/>
      <c r="R3" s="6"/>
      <c r="S3" s="109" t="s">
        <v>1661</v>
      </c>
      <c r="T3" s="110"/>
      <c r="U3" s="111"/>
      <c r="V3" s="2" t="s">
        <v>109</v>
      </c>
      <c r="W3" s="2" t="s">
        <v>1663</v>
      </c>
      <c r="X3" s="2"/>
      <c r="Y3" s="6"/>
      <c r="Z3" s="1"/>
    </row>
    <row r="4" spans="1:27" ht="174.75" customHeight="1" thickBot="1">
      <c r="A4" s="1"/>
      <c r="B4" s="1"/>
      <c r="C4" s="1"/>
      <c r="D4" s="1"/>
      <c r="E4" s="1"/>
      <c r="F4" s="1"/>
      <c r="G4" s="4" t="s">
        <v>1664</v>
      </c>
      <c r="H4" s="9">
        <v>9074671607</v>
      </c>
      <c r="I4" s="10" t="s">
        <v>1665</v>
      </c>
      <c r="J4" s="70">
        <v>45664</v>
      </c>
      <c r="K4" s="1"/>
      <c r="L4" s="10" t="s">
        <v>196</v>
      </c>
      <c r="M4" s="1"/>
      <c r="N4" s="10" t="s">
        <v>1666</v>
      </c>
      <c r="O4" s="10"/>
      <c r="P4" s="10"/>
      <c r="Q4" s="1"/>
      <c r="R4" s="1"/>
      <c r="S4" s="10" t="s">
        <v>1667</v>
      </c>
      <c r="T4" s="1"/>
      <c r="U4" s="10" t="s">
        <v>1668</v>
      </c>
      <c r="V4" s="10" t="s">
        <v>196</v>
      </c>
      <c r="W4" s="1"/>
      <c r="X4" s="1"/>
      <c r="Y4" s="1"/>
      <c r="Z4" s="1"/>
    </row>
    <row r="5" spans="1:27" ht="15" customHeight="1" thickBot="1">
      <c r="A5" s="2" t="s">
        <v>1669</v>
      </c>
      <c r="B5" s="2"/>
      <c r="C5" s="2" t="s">
        <v>115</v>
      </c>
      <c r="D5" s="2"/>
      <c r="E5" s="2"/>
      <c r="F5" s="6"/>
      <c r="G5" s="11" t="s">
        <v>1670</v>
      </c>
      <c r="H5" s="5">
        <v>9064205927</v>
      </c>
      <c r="I5" s="2" t="s">
        <v>1665</v>
      </c>
      <c r="J5" s="71">
        <v>45673</v>
      </c>
      <c r="K5" s="6"/>
      <c r="L5" s="2" t="s">
        <v>104</v>
      </c>
      <c r="M5" s="6"/>
      <c r="N5" s="2" t="s">
        <v>72</v>
      </c>
      <c r="O5" s="2"/>
      <c r="P5" s="2"/>
      <c r="Q5" s="6"/>
      <c r="R5" s="6"/>
      <c r="S5" s="2" t="s">
        <v>1667</v>
      </c>
      <c r="T5" s="6"/>
      <c r="U5" s="6"/>
      <c r="V5" s="2" t="s">
        <v>109</v>
      </c>
      <c r="W5" s="6"/>
      <c r="X5" s="6"/>
      <c r="Y5" s="5">
        <v>36980</v>
      </c>
      <c r="Z5" s="6"/>
    </row>
    <row r="6" spans="1:27" ht="276" customHeight="1" thickBot="1">
      <c r="C6" s="12" t="s">
        <v>1671</v>
      </c>
      <c r="D6" s="12"/>
      <c r="E6" s="12"/>
      <c r="F6" s="16"/>
      <c r="G6" s="13" t="s">
        <v>1672</v>
      </c>
      <c r="H6" s="14"/>
      <c r="I6" s="12" t="s">
        <v>1639</v>
      </c>
      <c r="J6" s="72">
        <v>45689</v>
      </c>
      <c r="K6" s="15">
        <v>0.58333333333333337</v>
      </c>
      <c r="L6" s="16"/>
      <c r="M6" s="16"/>
      <c r="N6" s="17" t="s">
        <v>1673</v>
      </c>
      <c r="O6" s="17"/>
      <c r="P6" s="17"/>
      <c r="Q6" s="16"/>
      <c r="R6" s="16"/>
      <c r="S6" s="18" t="s">
        <v>1674</v>
      </c>
      <c r="T6" s="16"/>
      <c r="U6" s="12" t="s">
        <v>1675</v>
      </c>
      <c r="V6" s="12" t="s">
        <v>109</v>
      </c>
      <c r="W6" s="16"/>
      <c r="X6" s="16"/>
      <c r="Y6" s="12" t="s">
        <v>1676</v>
      </c>
    </row>
    <row r="7" spans="1:27" ht="16.350000000000001" customHeight="1" thickBot="1">
      <c r="C7" s="19" t="s">
        <v>1677</v>
      </c>
      <c r="D7" s="19"/>
      <c r="E7" s="19"/>
      <c r="F7" s="1"/>
      <c r="G7" t="s">
        <v>1678</v>
      </c>
      <c r="H7" s="9"/>
      <c r="I7" s="10" t="s">
        <v>1639</v>
      </c>
      <c r="J7" s="70">
        <v>45675</v>
      </c>
      <c r="K7" s="1"/>
      <c r="L7" s="1"/>
      <c r="M7" s="1"/>
      <c r="N7" s="112" t="s">
        <v>1679</v>
      </c>
      <c r="O7" s="113"/>
      <c r="P7" s="113"/>
      <c r="Q7" s="114"/>
      <c r="R7" s="1"/>
      <c r="S7" s="20" t="s">
        <v>1674</v>
      </c>
      <c r="T7" s="1"/>
      <c r="U7" s="20" t="s">
        <v>1680</v>
      </c>
      <c r="V7" s="1"/>
      <c r="W7" s="1"/>
      <c r="X7" s="1"/>
      <c r="Y7" s="21" t="s">
        <v>1681</v>
      </c>
    </row>
    <row r="8" spans="1:27" ht="350.85" customHeight="1" thickBot="1">
      <c r="C8" s="22" t="s">
        <v>1682</v>
      </c>
      <c r="D8" s="22"/>
      <c r="E8" s="22"/>
      <c r="F8" s="1"/>
      <c r="G8" s="13" t="s">
        <v>1683</v>
      </c>
      <c r="H8" s="1"/>
      <c r="I8" s="10" t="s">
        <v>1639</v>
      </c>
      <c r="J8" s="70">
        <v>45687</v>
      </c>
      <c r="K8" s="23">
        <v>0.70833333333333337</v>
      </c>
      <c r="L8" s="1"/>
      <c r="M8" s="1"/>
      <c r="N8" s="21" t="s">
        <v>1684</v>
      </c>
      <c r="O8" s="21"/>
      <c r="P8" s="21"/>
      <c r="Q8" s="1"/>
      <c r="R8" s="1"/>
      <c r="S8" s="20" t="s">
        <v>1674</v>
      </c>
      <c r="T8" s="1"/>
      <c r="U8" s="10" t="s">
        <v>1685</v>
      </c>
      <c r="V8" s="10" t="s">
        <v>109</v>
      </c>
      <c r="W8" s="1"/>
      <c r="X8" s="1"/>
      <c r="Y8" s="1"/>
    </row>
    <row r="9" spans="1:27" ht="116.85" customHeight="1" thickBot="1">
      <c r="C9" s="12" t="s">
        <v>1686</v>
      </c>
      <c r="D9" s="117"/>
      <c r="E9" s="117"/>
      <c r="F9" s="117"/>
      <c r="G9" s="67" t="s">
        <v>1561</v>
      </c>
      <c r="H9" s="12" t="s">
        <v>1687</v>
      </c>
      <c r="I9" s="12" t="s">
        <v>1665</v>
      </c>
      <c r="J9" s="72">
        <v>45689</v>
      </c>
      <c r="K9" s="15">
        <v>0.45833333333333331</v>
      </c>
      <c r="L9" s="16"/>
      <c r="M9" s="16"/>
      <c r="N9" s="16"/>
      <c r="O9" s="16"/>
      <c r="P9" s="16"/>
      <c r="Q9" s="16"/>
      <c r="R9" s="115" t="s">
        <v>1688</v>
      </c>
      <c r="S9" s="116"/>
      <c r="T9" s="16"/>
      <c r="U9" s="115" t="s">
        <v>1689</v>
      </c>
      <c r="V9" s="117"/>
      <c r="W9" s="117"/>
      <c r="X9" s="117"/>
      <c r="Y9" s="116"/>
    </row>
    <row r="10" spans="1:27" s="49" customFormat="1" ht="15" customHeight="1" thickBot="1">
      <c r="C10" s="2" t="s">
        <v>749</v>
      </c>
      <c r="D10" s="2"/>
      <c r="E10" s="2"/>
      <c r="F10" s="206">
        <v>45843</v>
      </c>
      <c r="G10" s="67"/>
      <c r="H10" s="2" t="s">
        <v>1562</v>
      </c>
      <c r="I10" s="2" t="s">
        <v>1665</v>
      </c>
      <c r="J10" s="69">
        <v>45696</v>
      </c>
      <c r="K10" s="25">
        <v>0.45833333333333331</v>
      </c>
      <c r="L10" s="2" t="s">
        <v>149</v>
      </c>
      <c r="M10" s="6"/>
      <c r="N10" s="2" t="s">
        <v>1690</v>
      </c>
      <c r="O10" s="2"/>
      <c r="P10" s="2"/>
      <c r="Q10" s="6"/>
      <c r="R10" s="6"/>
      <c r="S10" s="7" t="s">
        <v>1674</v>
      </c>
      <c r="T10" s="6"/>
      <c r="U10" s="2" t="s">
        <v>1691</v>
      </c>
      <c r="V10" s="6"/>
      <c r="W10" s="206">
        <v>45843</v>
      </c>
      <c r="X10" s="6"/>
      <c r="Y10" s="6"/>
    </row>
    <row r="11" spans="1:27" ht="189" customHeight="1" thickBot="1">
      <c r="C11" s="10" t="s">
        <v>1692</v>
      </c>
      <c r="D11" s="107"/>
      <c r="E11" s="107"/>
      <c r="F11" s="107"/>
      <c r="G11" s="24" t="s">
        <v>1504</v>
      </c>
      <c r="H11" s="1"/>
      <c r="I11" s="10" t="s">
        <v>1665</v>
      </c>
      <c r="J11" s="70">
        <v>45700</v>
      </c>
      <c r="K11" s="23">
        <v>0.5625</v>
      </c>
      <c r="L11" s="21" t="s">
        <v>1693</v>
      </c>
      <c r="M11" s="1"/>
      <c r="N11" s="21" t="s">
        <v>1694</v>
      </c>
      <c r="O11" s="21"/>
      <c r="P11" s="21"/>
      <c r="Q11" s="1"/>
      <c r="R11" s="1"/>
      <c r="S11" s="20" t="s">
        <v>1695</v>
      </c>
      <c r="T11" s="1"/>
      <c r="U11" s="106" t="s">
        <v>1696</v>
      </c>
      <c r="V11" s="107"/>
      <c r="W11" s="107"/>
      <c r="X11" s="107"/>
      <c r="Y11" s="108"/>
    </row>
    <row r="12" spans="1:27" ht="15" customHeight="1" thickBot="1">
      <c r="C12" s="2" t="s">
        <v>1457</v>
      </c>
      <c r="D12" s="2"/>
      <c r="E12" s="2"/>
      <c r="F12" s="2" t="s">
        <v>1697</v>
      </c>
      <c r="G12" s="6"/>
      <c r="H12" s="6"/>
      <c r="I12" s="2" t="s">
        <v>1639</v>
      </c>
      <c r="J12" s="69">
        <v>45705</v>
      </c>
      <c r="K12" s="25">
        <v>0.70833333333333337</v>
      </c>
      <c r="L12" s="6"/>
      <c r="M12" s="6"/>
      <c r="N12" s="6"/>
      <c r="O12" s="6"/>
      <c r="P12" s="6"/>
      <c r="Q12" s="6"/>
      <c r="R12" s="6"/>
      <c r="S12" s="6"/>
      <c r="T12" s="6"/>
      <c r="U12" s="6"/>
      <c r="V12" s="2" t="s">
        <v>494</v>
      </c>
      <c r="W12" s="2" t="s">
        <v>1697</v>
      </c>
      <c r="X12" s="2"/>
      <c r="Y12" s="6"/>
    </row>
    <row r="13" spans="1:27" ht="29.85" customHeight="1" thickBot="1">
      <c r="C13" s="12" t="s">
        <v>1698</v>
      </c>
      <c r="D13" s="12"/>
      <c r="E13" s="12"/>
      <c r="F13" s="16"/>
      <c r="G13" s="104" t="s">
        <v>1699</v>
      </c>
      <c r="H13" s="105"/>
      <c r="I13" s="16"/>
      <c r="J13" s="73"/>
      <c r="K13" s="16"/>
      <c r="L13" s="16"/>
      <c r="M13" s="16"/>
      <c r="N13" s="12" t="s">
        <v>1700</v>
      </c>
      <c r="O13" s="12"/>
      <c r="P13" s="12"/>
      <c r="Q13" s="16"/>
      <c r="R13" s="16"/>
      <c r="S13" s="16"/>
      <c r="T13" s="16"/>
      <c r="U13" s="115" t="s">
        <v>1701</v>
      </c>
      <c r="V13" s="116"/>
      <c r="W13" s="16"/>
      <c r="X13" s="16"/>
      <c r="Y13" s="16"/>
    </row>
    <row r="14" spans="1:27" ht="58.5" customHeight="1" thickBot="1">
      <c r="C14" s="10" t="s">
        <v>1702</v>
      </c>
      <c r="D14" s="108"/>
      <c r="E14" s="108"/>
      <c r="F14" s="108"/>
      <c r="G14" s="104" t="s">
        <v>1703</v>
      </c>
      <c r="H14" s="105"/>
      <c r="I14" s="10" t="s">
        <v>1665</v>
      </c>
      <c r="J14" s="70">
        <v>45709</v>
      </c>
      <c r="K14" s="23">
        <v>0.70833333333333337</v>
      </c>
      <c r="L14" s="1"/>
      <c r="M14" s="1"/>
      <c r="N14" s="10" t="s">
        <v>1690</v>
      </c>
      <c r="O14" s="10"/>
      <c r="P14" s="10"/>
      <c r="Q14" s="1"/>
      <c r="R14" s="1"/>
      <c r="S14" s="1"/>
      <c r="T14" s="1"/>
      <c r="U14" s="106" t="s">
        <v>1704</v>
      </c>
      <c r="V14" s="107"/>
      <c r="W14" s="108"/>
      <c r="X14" s="108"/>
      <c r="Y14" s="1"/>
    </row>
    <row r="15" spans="1:27" ht="116.85" customHeight="1" thickBot="1">
      <c r="C15" s="1"/>
      <c r="D15" s="230"/>
      <c r="E15" s="230"/>
      <c r="F15" s="107"/>
      <c r="G15" s="1"/>
      <c r="H15" s="1"/>
      <c r="I15" s="10" t="s">
        <v>1665</v>
      </c>
      <c r="J15" s="70">
        <v>45710</v>
      </c>
      <c r="K15" s="23">
        <v>0.54166666666666663</v>
      </c>
      <c r="L15" s="21" t="s">
        <v>1705</v>
      </c>
      <c r="M15" s="1"/>
      <c r="N15" s="1"/>
      <c r="O15" s="1"/>
      <c r="P15" s="1"/>
      <c r="Q15" s="1"/>
      <c r="R15" s="1"/>
      <c r="S15" s="1"/>
      <c r="T15" s="1"/>
      <c r="U15" s="106" t="s">
        <v>1706</v>
      </c>
      <c r="V15" s="107"/>
      <c r="W15" s="107"/>
      <c r="X15" s="107"/>
      <c r="Y15" s="108"/>
    </row>
    <row r="16" spans="1:27" ht="15" customHeight="1" thickBot="1">
      <c r="C16" s="26" t="s">
        <v>1707</v>
      </c>
      <c r="D16" s="26"/>
      <c r="E16" s="26"/>
      <c r="F16" s="27"/>
      <c r="G16" s="27"/>
      <c r="H16" s="27"/>
      <c r="I16" s="26" t="s">
        <v>1665</v>
      </c>
      <c r="J16" s="74">
        <v>45717</v>
      </c>
      <c r="K16" s="28">
        <v>0.41666666666666669</v>
      </c>
      <c r="L16" s="27"/>
      <c r="M16" s="27"/>
      <c r="N16" s="26" t="s">
        <v>1708</v>
      </c>
      <c r="O16" s="26"/>
      <c r="P16" s="26"/>
      <c r="Q16" s="27"/>
      <c r="R16" s="27"/>
      <c r="S16" s="27"/>
      <c r="T16" s="27"/>
      <c r="U16" s="29" t="s">
        <v>1709</v>
      </c>
      <c r="V16" s="27"/>
      <c r="W16" s="27"/>
      <c r="X16" s="27"/>
      <c r="Y16" s="27"/>
    </row>
    <row r="17" spans="3:27" s="49" customFormat="1" ht="16.5" customHeight="1" thickBot="1">
      <c r="C17" s="56" t="s">
        <v>1480</v>
      </c>
      <c r="D17" s="56"/>
      <c r="E17" s="56"/>
      <c r="F17" s="6"/>
      <c r="G17" s="47" t="s">
        <v>1483</v>
      </c>
      <c r="H17" s="6"/>
      <c r="I17" s="2" t="s">
        <v>1639</v>
      </c>
      <c r="J17" s="69">
        <v>45719</v>
      </c>
      <c r="K17" s="25">
        <v>0.66666666666666663</v>
      </c>
      <c r="L17" s="6"/>
      <c r="M17" s="6"/>
      <c r="N17" s="8" t="s">
        <v>72</v>
      </c>
      <c r="O17" s="6"/>
      <c r="P17" s="6"/>
      <c r="Q17" s="6"/>
      <c r="R17" s="6"/>
      <c r="S17" s="7" t="s">
        <v>1674</v>
      </c>
      <c r="T17" s="6"/>
      <c r="U17" s="8" t="s">
        <v>1710</v>
      </c>
      <c r="V17" s="6"/>
      <c r="W17" s="6"/>
      <c r="X17" s="6"/>
      <c r="Y17" s="6"/>
    </row>
    <row r="18" spans="3:27" s="49" customFormat="1" ht="16.5" customHeight="1" thickBot="1">
      <c r="C18" s="46" t="s">
        <v>1711</v>
      </c>
      <c r="D18" s="46"/>
      <c r="E18" s="46"/>
      <c r="F18" s="6"/>
      <c r="G18" s="47" t="s">
        <v>1473</v>
      </c>
      <c r="H18" s="48" t="s">
        <v>1474</v>
      </c>
      <c r="I18" s="2" t="s">
        <v>1639</v>
      </c>
      <c r="J18" s="69">
        <v>45728</v>
      </c>
      <c r="K18" s="25">
        <v>0.66666666666666663</v>
      </c>
      <c r="L18" s="6"/>
      <c r="M18" s="6"/>
      <c r="N18" s="8" t="s">
        <v>72</v>
      </c>
      <c r="O18" s="2"/>
      <c r="P18" s="2"/>
      <c r="Q18" s="6"/>
      <c r="R18" s="6"/>
      <c r="S18" s="7" t="s">
        <v>1674</v>
      </c>
      <c r="T18" s="2" t="s">
        <v>1553</v>
      </c>
      <c r="U18" s="6" t="s">
        <v>1712</v>
      </c>
      <c r="V18" s="6"/>
      <c r="W18" s="6"/>
      <c r="X18" s="6"/>
      <c r="Y18" s="6"/>
    </row>
    <row r="19" spans="3:27" s="31" customFormat="1" ht="39" customHeight="1" thickBot="1">
      <c r="C19" s="33" t="s">
        <v>1713</v>
      </c>
      <c r="D19" s="33"/>
      <c r="E19" s="33"/>
      <c r="F19" s="16"/>
      <c r="G19" s="30" t="s">
        <v>1714</v>
      </c>
      <c r="H19" s="32" t="s">
        <v>1715</v>
      </c>
      <c r="I19" s="12" t="s">
        <v>1639</v>
      </c>
      <c r="J19" s="75">
        <v>45735</v>
      </c>
      <c r="K19" s="34">
        <v>0.83333333333333337</v>
      </c>
      <c r="L19" s="16"/>
      <c r="M19" s="16"/>
      <c r="N19" s="16" t="s">
        <v>495</v>
      </c>
      <c r="O19" s="16"/>
      <c r="P19" s="16"/>
      <c r="Q19" s="16"/>
      <c r="R19" s="16"/>
      <c r="S19" s="18" t="s">
        <v>1674</v>
      </c>
      <c r="T19" s="16" t="s">
        <v>1716</v>
      </c>
      <c r="U19" s="16" t="s">
        <v>1717</v>
      </c>
      <c r="V19" s="16"/>
      <c r="W19" s="16"/>
      <c r="X19" s="16"/>
      <c r="Y19" s="16"/>
    </row>
    <row r="20" spans="3:27" s="49" customFormat="1" ht="409.6" customHeight="1" thickBot="1">
      <c r="C20" s="50" t="s">
        <v>1489</v>
      </c>
      <c r="D20" s="50"/>
      <c r="E20" s="50"/>
      <c r="F20" s="6"/>
      <c r="G20" s="47" t="s">
        <v>1491</v>
      </c>
      <c r="H20" s="6"/>
      <c r="I20" s="47" t="s">
        <v>1491</v>
      </c>
      <c r="J20" s="76">
        <v>45749</v>
      </c>
      <c r="K20" s="51">
        <v>0.625</v>
      </c>
      <c r="L20" s="6"/>
      <c r="M20" s="6"/>
      <c r="N20" s="6"/>
      <c r="O20" s="6"/>
      <c r="P20" s="6"/>
      <c r="Q20" s="6"/>
      <c r="R20" s="7" t="s">
        <v>1718</v>
      </c>
      <c r="S20" s="7" t="s">
        <v>1674</v>
      </c>
      <c r="T20" s="6" t="s">
        <v>1719</v>
      </c>
      <c r="U20" s="6"/>
      <c r="V20" s="6"/>
      <c r="W20" s="6"/>
      <c r="X20" s="6"/>
      <c r="Y20" s="6"/>
    </row>
    <row r="21" spans="3:27" ht="320.25" customHeight="1" thickBot="1">
      <c r="C21" s="36" t="s">
        <v>1720</v>
      </c>
      <c r="D21" s="36"/>
      <c r="E21" s="36"/>
      <c r="G21" s="13" t="s">
        <v>1513</v>
      </c>
      <c r="H21" s="37" t="s">
        <v>1514</v>
      </c>
      <c r="J21" s="77">
        <v>45741</v>
      </c>
      <c r="K21">
        <v>1100</v>
      </c>
      <c r="N21" s="39" t="s">
        <v>102</v>
      </c>
      <c r="O21" s="39"/>
      <c r="P21" s="39"/>
      <c r="R21" s="40" t="s">
        <v>1721</v>
      </c>
      <c r="S21" s="20" t="s">
        <v>1674</v>
      </c>
      <c r="T21" s="41" t="s">
        <v>1722</v>
      </c>
    </row>
    <row r="22" spans="3:27" ht="16.5" customHeight="1" thickBot="1">
      <c r="C22" s="36" t="s">
        <v>1723</v>
      </c>
      <c r="D22" s="36"/>
      <c r="E22" s="36"/>
      <c r="G22" s="13" t="s">
        <v>1724</v>
      </c>
      <c r="H22" s="37">
        <v>8043637252</v>
      </c>
      <c r="I22" s="12" t="s">
        <v>1639</v>
      </c>
      <c r="J22" s="77">
        <v>45740</v>
      </c>
      <c r="K22">
        <v>1400</v>
      </c>
      <c r="N22" s="39" t="s">
        <v>102</v>
      </c>
      <c r="O22" s="39"/>
      <c r="P22" s="39"/>
      <c r="S22" s="20" t="s">
        <v>1674</v>
      </c>
      <c r="T22" s="41" t="s">
        <v>117</v>
      </c>
      <c r="V22" t="s">
        <v>109</v>
      </c>
    </row>
    <row r="23" spans="3:27" ht="15" customHeight="1" thickBot="1">
      <c r="C23" t="s">
        <v>1725</v>
      </c>
      <c r="H23">
        <v>9043444492</v>
      </c>
      <c r="I23" s="42" t="s">
        <v>1665</v>
      </c>
      <c r="J23" s="77">
        <v>45738</v>
      </c>
      <c r="K23">
        <v>1730</v>
      </c>
      <c r="N23" s="1" t="s">
        <v>495</v>
      </c>
      <c r="O23" s="43"/>
      <c r="P23" s="43"/>
      <c r="S23" s="44" t="s">
        <v>1726</v>
      </c>
      <c r="V23" t="s">
        <v>494</v>
      </c>
    </row>
    <row r="24" spans="3:27">
      <c r="C24" t="s">
        <v>1727</v>
      </c>
      <c r="H24" t="s">
        <v>1728</v>
      </c>
      <c r="I24" s="42" t="s">
        <v>1640</v>
      </c>
      <c r="R24" t="s">
        <v>1729</v>
      </c>
    </row>
    <row r="25" spans="3:27" ht="145.5" customHeight="1">
      <c r="C25" s="36" t="s">
        <v>1730</v>
      </c>
      <c r="D25" s="36"/>
      <c r="E25" s="36"/>
      <c r="G25" t="s">
        <v>1731</v>
      </c>
      <c r="H25" s="32" t="s">
        <v>1732</v>
      </c>
      <c r="I25" s="42" t="s">
        <v>1639</v>
      </c>
      <c r="J25" s="77">
        <v>45747</v>
      </c>
      <c r="K25" s="45">
        <v>0.70833333333333337</v>
      </c>
      <c r="R25" s="40" t="s">
        <v>1733</v>
      </c>
      <c r="S25" s="39" t="s">
        <v>1674</v>
      </c>
      <c r="T25" s="41" t="s">
        <v>117</v>
      </c>
      <c r="U25" s="40" t="s">
        <v>1734</v>
      </c>
      <c r="V25" t="s">
        <v>109</v>
      </c>
    </row>
    <row r="26" spans="3:27" s="59" customFormat="1" ht="218.25" customHeight="1" thickBot="1">
      <c r="C26" s="57" t="s">
        <v>1495</v>
      </c>
      <c r="D26" s="57"/>
      <c r="E26" s="57"/>
      <c r="G26" s="58" t="s">
        <v>1497</v>
      </c>
      <c r="I26" s="60" t="s">
        <v>1639</v>
      </c>
      <c r="J26" s="79">
        <v>45749</v>
      </c>
      <c r="K26" s="61">
        <v>0.70833333333333337</v>
      </c>
      <c r="N26" s="59" t="s">
        <v>661</v>
      </c>
      <c r="O26" s="59" t="s">
        <v>1735</v>
      </c>
      <c r="Q26" s="62"/>
      <c r="R26" s="63" t="s">
        <v>1736</v>
      </c>
      <c r="S26" s="62" t="s">
        <v>1737</v>
      </c>
      <c r="T26" s="64" t="s">
        <v>1738</v>
      </c>
      <c r="U26" s="63"/>
    </row>
    <row r="27" spans="3:27" s="49" customFormat="1" ht="44.85" customHeight="1" thickBot="1">
      <c r="C27" s="83" t="s">
        <v>1739</v>
      </c>
      <c r="D27" s="83"/>
      <c r="E27" s="83"/>
      <c r="F27" s="49" t="s">
        <v>1663</v>
      </c>
      <c r="G27" s="67" t="s">
        <v>1740</v>
      </c>
      <c r="H27" s="83">
        <v>9074606571</v>
      </c>
      <c r="I27" s="84" t="s">
        <v>1639</v>
      </c>
      <c r="J27" s="80">
        <v>45759</v>
      </c>
      <c r="K27" s="85">
        <v>0.45833333333333331</v>
      </c>
      <c r="N27" s="7" t="s">
        <v>102</v>
      </c>
      <c r="O27" s="66" t="s">
        <v>1741</v>
      </c>
      <c r="P27" s="66"/>
      <c r="R27" s="86" t="s">
        <v>1742</v>
      </c>
      <c r="S27" s="7" t="s">
        <v>1674</v>
      </c>
      <c r="T27" s="66" t="s">
        <v>1476</v>
      </c>
      <c r="U27" s="49" t="s">
        <v>1712</v>
      </c>
      <c r="V27" s="49" t="s">
        <v>1743</v>
      </c>
      <c r="AA27" s="87" t="s">
        <v>1531</v>
      </c>
    </row>
    <row r="28" spans="3:27" s="49" customFormat="1" ht="44.25" customHeight="1" thickBot="1">
      <c r="C28" s="49" t="s">
        <v>1744</v>
      </c>
      <c r="F28" s="49" t="s">
        <v>1663</v>
      </c>
      <c r="G28" s="67" t="s">
        <v>1521</v>
      </c>
      <c r="H28" s="49" t="s">
        <v>1745</v>
      </c>
      <c r="I28" s="49" t="s">
        <v>1746</v>
      </c>
      <c r="J28" s="80">
        <v>45755</v>
      </c>
      <c r="K28" s="65">
        <v>0.75</v>
      </c>
      <c r="O28" s="66" t="s">
        <v>1741</v>
      </c>
      <c r="P28" s="66"/>
      <c r="S28" s="7" t="s">
        <v>1674</v>
      </c>
      <c r="T28" s="66" t="s">
        <v>1476</v>
      </c>
      <c r="U28" s="49" t="s">
        <v>1747</v>
      </c>
      <c r="V28" s="49" t="s">
        <v>1743</v>
      </c>
      <c r="AA28" s="87" t="s">
        <v>1523</v>
      </c>
    </row>
    <row r="29" spans="3:27" s="31" customFormat="1">
      <c r="C29" s="31" t="s">
        <v>1748</v>
      </c>
      <c r="H29" s="31" t="s">
        <v>1749</v>
      </c>
      <c r="I29" s="42" t="s">
        <v>1665</v>
      </c>
      <c r="J29" s="81"/>
      <c r="O29" s="39" t="s">
        <v>1741</v>
      </c>
      <c r="P29" s="39"/>
      <c r="U29" s="31" t="s">
        <v>1750</v>
      </c>
    </row>
    <row r="30" spans="3:27" s="197" customFormat="1" ht="16.350000000000001" customHeight="1">
      <c r="C30" s="191" t="s">
        <v>1751</v>
      </c>
      <c r="D30" s="191"/>
      <c r="E30" s="191"/>
      <c r="F30" s="197" t="s">
        <v>66</v>
      </c>
      <c r="G30" s="192" t="s">
        <v>1752</v>
      </c>
      <c r="H30" s="193" t="s">
        <v>1522</v>
      </c>
      <c r="I30" s="194" t="s">
        <v>1639</v>
      </c>
      <c r="J30" s="195">
        <v>45763</v>
      </c>
      <c r="K30" s="196">
        <v>0.70833333333333337</v>
      </c>
      <c r="N30" s="198" t="s">
        <v>102</v>
      </c>
      <c r="O30" s="198" t="s">
        <v>1741</v>
      </c>
      <c r="P30" s="198"/>
      <c r="S30" s="198" t="s">
        <v>1674</v>
      </c>
      <c r="T30" s="198" t="s">
        <v>1476</v>
      </c>
      <c r="U30" s="197" t="s">
        <v>1753</v>
      </c>
      <c r="W30" s="197" t="s">
        <v>66</v>
      </c>
      <c r="X30" s="199">
        <v>45811</v>
      </c>
    </row>
    <row r="31" spans="3:27" ht="131.85" customHeight="1" thickBot="1">
      <c r="C31" s="36" t="s">
        <v>1754</v>
      </c>
      <c r="D31" s="36"/>
      <c r="E31" s="36"/>
      <c r="G31" s="13" t="s">
        <v>1755</v>
      </c>
      <c r="H31" s="37">
        <v>9094829486</v>
      </c>
      <c r="I31" s="42" t="s">
        <v>1639</v>
      </c>
      <c r="J31" s="77">
        <v>45764</v>
      </c>
      <c r="K31" s="45">
        <v>0.66666666666666663</v>
      </c>
      <c r="N31" s="39" t="s">
        <v>102</v>
      </c>
      <c r="O31" s="39" t="s">
        <v>1741</v>
      </c>
      <c r="P31" s="39"/>
      <c r="S31" s="39" t="s">
        <v>1674</v>
      </c>
      <c r="T31" s="36" t="s">
        <v>1680</v>
      </c>
      <c r="U31" s="40" t="s">
        <v>1756</v>
      </c>
    </row>
    <row r="32" spans="3:27" s="49" customFormat="1" ht="20.85" customHeight="1" thickBot="1">
      <c r="C32" s="177" t="s">
        <v>1757</v>
      </c>
      <c r="D32" s="177"/>
      <c r="E32" s="177"/>
      <c r="F32" s="49" t="s">
        <v>1663</v>
      </c>
      <c r="G32" s="67" t="s">
        <v>1546</v>
      </c>
      <c r="H32" s="86" t="s">
        <v>1758</v>
      </c>
      <c r="I32" s="84" t="s">
        <v>1639</v>
      </c>
      <c r="J32" s="178" t="s">
        <v>1759</v>
      </c>
      <c r="K32" s="85">
        <v>0.66666666666666663</v>
      </c>
      <c r="L32" s="49" t="s">
        <v>1540</v>
      </c>
      <c r="N32" s="8" t="s">
        <v>72</v>
      </c>
      <c r="S32" s="66" t="s">
        <v>1674</v>
      </c>
      <c r="V32" s="49" t="s">
        <v>109</v>
      </c>
      <c r="W32" s="49" t="s">
        <v>1663</v>
      </c>
    </row>
    <row r="33" spans="3:27" s="49" customFormat="1" ht="20.85" customHeight="1" thickBot="1">
      <c r="C33" s="56" t="s">
        <v>1760</v>
      </c>
      <c r="D33" s="56"/>
      <c r="E33" s="56"/>
      <c r="F33" s="49" t="s">
        <v>1663</v>
      </c>
      <c r="G33" s="67" t="s">
        <v>1761</v>
      </c>
      <c r="H33" s="86" t="s">
        <v>1762</v>
      </c>
      <c r="I33" s="84" t="s">
        <v>1639</v>
      </c>
      <c r="J33" s="178" t="s">
        <v>1763</v>
      </c>
      <c r="K33" s="85">
        <v>0.6875</v>
      </c>
      <c r="N33" s="8" t="s">
        <v>72</v>
      </c>
      <c r="S33" s="49" t="s">
        <v>1768</v>
      </c>
      <c r="U33" s="49" t="s">
        <v>1764</v>
      </c>
      <c r="W33" s="49" t="s">
        <v>66</v>
      </c>
      <c r="X33" s="226">
        <v>45811</v>
      </c>
    </row>
    <row r="34" spans="3:27">
      <c r="C34" t="s">
        <v>1765</v>
      </c>
      <c r="G34" s="13" t="s">
        <v>1766</v>
      </c>
      <c r="H34" t="s">
        <v>1767</v>
      </c>
      <c r="I34" s="68" t="s">
        <v>1665</v>
      </c>
      <c r="J34" s="77">
        <v>45773</v>
      </c>
      <c r="K34" s="45">
        <v>0.45833333333333331</v>
      </c>
      <c r="N34" s="39" t="s">
        <v>102</v>
      </c>
      <c r="O34" s="39" t="s">
        <v>1741</v>
      </c>
      <c r="P34" s="39"/>
      <c r="S34" t="s">
        <v>1768</v>
      </c>
      <c r="T34" s="39" t="s">
        <v>1476</v>
      </c>
      <c r="V34" t="s">
        <v>109</v>
      </c>
    </row>
    <row r="35" spans="3:27" ht="20.85" customHeight="1" thickBot="1">
      <c r="C35" t="s">
        <v>1769</v>
      </c>
      <c r="G35" t="s">
        <v>1770</v>
      </c>
      <c r="H35" s="37" t="s">
        <v>1771</v>
      </c>
      <c r="I35" s="42" t="s">
        <v>1639</v>
      </c>
      <c r="J35" s="82" t="s">
        <v>1772</v>
      </c>
      <c r="K35" s="45">
        <v>0.66666666666666663</v>
      </c>
      <c r="N35" s="39" t="s">
        <v>102</v>
      </c>
      <c r="O35" s="39" t="s">
        <v>1741</v>
      </c>
      <c r="P35" s="39"/>
      <c r="S35" s="39" t="s">
        <v>1674</v>
      </c>
    </row>
    <row r="36" spans="3:27" s="160" customFormat="1" ht="20.85" customHeight="1" thickBot="1">
      <c r="C36" s="160" t="s">
        <v>1773</v>
      </c>
      <c r="G36" s="161" t="s">
        <v>1774</v>
      </c>
      <c r="H36" s="162" t="s">
        <v>1775</v>
      </c>
      <c r="I36" s="163" t="s">
        <v>1639</v>
      </c>
      <c r="J36" s="164" t="s">
        <v>1776</v>
      </c>
      <c r="K36" s="165">
        <v>0.5</v>
      </c>
      <c r="N36" s="166" t="s">
        <v>197</v>
      </c>
      <c r="S36" s="167" t="s">
        <v>1674</v>
      </c>
    </row>
    <row r="37" spans="3:27" s="197" customFormat="1" ht="15" customHeight="1" thickBot="1">
      <c r="C37" s="197" t="s">
        <v>1777</v>
      </c>
      <c r="F37" s="197" t="s">
        <v>66</v>
      </c>
      <c r="G37" s="192"/>
      <c r="H37" s="197" t="s">
        <v>1778</v>
      </c>
      <c r="I37" s="201" t="s">
        <v>1665</v>
      </c>
      <c r="J37" s="195">
        <v>45791</v>
      </c>
      <c r="K37" s="196">
        <v>0.6875</v>
      </c>
      <c r="N37" s="202" t="s">
        <v>197</v>
      </c>
      <c r="O37" s="198"/>
      <c r="P37" s="198"/>
      <c r="T37" s="198"/>
      <c r="W37" s="197" t="s">
        <v>66</v>
      </c>
    </row>
    <row r="38" spans="3:27" ht="15" customHeight="1" thickBot="1">
      <c r="C38" t="s">
        <v>1779</v>
      </c>
      <c r="G38" t="s">
        <v>1780</v>
      </c>
      <c r="H38" s="37" t="s">
        <v>1781</v>
      </c>
      <c r="I38" s="42" t="s">
        <v>1639</v>
      </c>
      <c r="J38" s="77">
        <v>45801</v>
      </c>
      <c r="K38" s="45">
        <v>0.5</v>
      </c>
      <c r="N38" s="8" t="s">
        <v>72</v>
      </c>
      <c r="S38" t="s">
        <v>1768</v>
      </c>
      <c r="T38" s="39" t="s">
        <v>1476</v>
      </c>
      <c r="U38" t="s">
        <v>1782</v>
      </c>
    </row>
    <row r="39" spans="3:27">
      <c r="C39" t="s">
        <v>1783</v>
      </c>
      <c r="G39" t="s">
        <v>1784</v>
      </c>
      <c r="H39" s="37">
        <v>9057434397</v>
      </c>
      <c r="I39" s="42" t="s">
        <v>1639</v>
      </c>
      <c r="J39" s="158">
        <v>45808</v>
      </c>
      <c r="K39" s="159">
        <v>0.66666666666666663</v>
      </c>
      <c r="O39" s="39" t="s">
        <v>1741</v>
      </c>
      <c r="P39" t="s">
        <v>1785</v>
      </c>
      <c r="V39" t="s">
        <v>109</v>
      </c>
    </row>
    <row r="40" spans="3:27" s="160" customFormat="1" ht="101.25" customHeight="1">
      <c r="C40" s="160" t="s">
        <v>1786</v>
      </c>
      <c r="D40" s="160" t="s">
        <v>2101</v>
      </c>
      <c r="G40" s="161" t="s">
        <v>1787</v>
      </c>
      <c r="H40" s="162" t="s">
        <v>1788</v>
      </c>
      <c r="I40" s="163" t="s">
        <v>1639</v>
      </c>
      <c r="J40" s="251">
        <v>45815</v>
      </c>
      <c r="K40" s="165">
        <v>0.45833333333333331</v>
      </c>
      <c r="N40" s="167" t="s">
        <v>102</v>
      </c>
      <c r="O40" s="167" t="s">
        <v>1741</v>
      </c>
      <c r="P40" s="167" t="s">
        <v>1476</v>
      </c>
      <c r="R40" s="255" t="s">
        <v>1789</v>
      </c>
      <c r="S40" s="160" t="s">
        <v>1674</v>
      </c>
      <c r="T40" s="167" t="s">
        <v>1476</v>
      </c>
      <c r="U40" s="160" t="s">
        <v>1691</v>
      </c>
      <c r="V40" s="160" t="s">
        <v>109</v>
      </c>
      <c r="AA40" s="160" t="s">
        <v>1790</v>
      </c>
    </row>
    <row r="41" spans="3:27">
      <c r="C41" t="s">
        <v>1791</v>
      </c>
      <c r="G41" t="s">
        <v>1792</v>
      </c>
      <c r="H41" s="203" t="s">
        <v>1793</v>
      </c>
      <c r="I41" s="42" t="s">
        <v>1746</v>
      </c>
      <c r="J41" t="s">
        <v>1794</v>
      </c>
      <c r="K41">
        <v>18</v>
      </c>
      <c r="N41" t="s">
        <v>1795</v>
      </c>
      <c r="P41" s="54" t="s">
        <v>1476</v>
      </c>
      <c r="S41" s="31" t="s">
        <v>1674</v>
      </c>
      <c r="T41" s="54" t="s">
        <v>1476</v>
      </c>
      <c r="V41" t="s">
        <v>494</v>
      </c>
      <c r="AA41" t="s">
        <v>1796</v>
      </c>
    </row>
    <row r="42" spans="3:27" s="160" customFormat="1" ht="16.5" customHeight="1">
      <c r="C42" s="160" t="s">
        <v>2019</v>
      </c>
      <c r="G42" s="160" t="s">
        <v>1797</v>
      </c>
      <c r="H42" s="250" t="s">
        <v>1798</v>
      </c>
      <c r="I42" s="163" t="s">
        <v>1639</v>
      </c>
      <c r="J42" s="251">
        <v>45850</v>
      </c>
      <c r="K42" s="165">
        <v>0.45833333333333331</v>
      </c>
      <c r="N42" s="160" t="s">
        <v>102</v>
      </c>
      <c r="P42" s="160" t="s">
        <v>1476</v>
      </c>
      <c r="S42" s="160" t="s">
        <v>1674</v>
      </c>
      <c r="T42" s="167" t="s">
        <v>1476</v>
      </c>
      <c r="U42" s="160" t="s">
        <v>1956</v>
      </c>
      <c r="V42" s="160" t="s">
        <v>109</v>
      </c>
      <c r="AA42" s="252" t="s">
        <v>1954</v>
      </c>
    </row>
    <row r="43" spans="3:27" s="49" customFormat="1">
      <c r="C43" s="49" t="s">
        <v>1799</v>
      </c>
      <c r="G43" s="13" t="s">
        <v>2007</v>
      </c>
      <c r="H43" s="49" t="s">
        <v>1800</v>
      </c>
      <c r="I43" s="84" t="s">
        <v>1639</v>
      </c>
      <c r="J43" s="237">
        <v>45822</v>
      </c>
      <c r="K43" s="85">
        <v>0.75</v>
      </c>
      <c r="N43" s="49" t="s">
        <v>102</v>
      </c>
      <c r="P43" s="49" t="s">
        <v>1476</v>
      </c>
      <c r="S43" s="49" t="s">
        <v>1674</v>
      </c>
      <c r="T43" s="49" t="s">
        <v>1476</v>
      </c>
      <c r="V43" s="49" t="s">
        <v>109</v>
      </c>
    </row>
    <row r="44" spans="3:27" s="31" customFormat="1" ht="41.25" customHeight="1">
      <c r="C44" s="31" t="s">
        <v>1917</v>
      </c>
      <c r="D44" t="s">
        <v>1973</v>
      </c>
      <c r="E44"/>
      <c r="G44" s="31" t="s">
        <v>1918</v>
      </c>
      <c r="H44" s="31" t="s">
        <v>1919</v>
      </c>
      <c r="I44" s="68" t="s">
        <v>1665</v>
      </c>
      <c r="J44" s="200">
        <v>45857</v>
      </c>
      <c r="K44" s="53">
        <v>0.54166666666666663</v>
      </c>
      <c r="S44" s="31" t="s">
        <v>1674</v>
      </c>
      <c r="U44" s="220" t="s">
        <v>1971</v>
      </c>
      <c r="AA44" t="s">
        <v>1972</v>
      </c>
    </row>
    <row r="45" spans="3:27" s="160" customFormat="1">
      <c r="C45" s="160" t="s">
        <v>1920</v>
      </c>
      <c r="G45" s="160" t="s">
        <v>1921</v>
      </c>
      <c r="H45" s="160" t="s">
        <v>1922</v>
      </c>
      <c r="I45" s="252" t="s">
        <v>1639</v>
      </c>
      <c r="J45" s="253">
        <v>45850</v>
      </c>
      <c r="K45" s="165">
        <v>0.45833333333333331</v>
      </c>
      <c r="N45" s="160" t="s">
        <v>1741</v>
      </c>
      <c r="P45" s="160" t="s">
        <v>1476</v>
      </c>
      <c r="S45" s="160" t="s">
        <v>1768</v>
      </c>
      <c r="T45" s="160" t="s">
        <v>1476</v>
      </c>
      <c r="U45" s="160" t="s">
        <v>1956</v>
      </c>
      <c r="V45" s="160" t="s">
        <v>1955</v>
      </c>
      <c r="AA45" s="160" t="s">
        <v>1953</v>
      </c>
    </row>
    <row r="46" spans="3:27" s="31" customFormat="1">
      <c r="C46" s="31" t="s">
        <v>1923</v>
      </c>
      <c r="G46" s="52"/>
      <c r="H46" s="37" t="s">
        <v>1934</v>
      </c>
      <c r="I46" s="68" t="s">
        <v>1665</v>
      </c>
      <c r="J46" s="81"/>
      <c r="K46" s="53"/>
      <c r="U46" s="31" t="s">
        <v>1924</v>
      </c>
    </row>
    <row r="47" spans="3:27">
      <c r="C47" t="s">
        <v>951</v>
      </c>
      <c r="G47" t="s">
        <v>1925</v>
      </c>
      <c r="H47" t="s">
        <v>1926</v>
      </c>
      <c r="I47" s="220" t="s">
        <v>1639</v>
      </c>
      <c r="K47" s="45"/>
      <c r="U47" t="s">
        <v>1933</v>
      </c>
    </row>
    <row r="48" spans="3:27" s="222" customFormat="1">
      <c r="C48" s="31" t="s">
        <v>1974</v>
      </c>
      <c r="D48" s="31" t="s">
        <v>1975</v>
      </c>
      <c r="E48" s="31"/>
      <c r="F48" s="222" t="s">
        <v>66</v>
      </c>
      <c r="G48" s="223" t="s">
        <v>1928</v>
      </c>
      <c r="H48" s="224" t="s">
        <v>1927</v>
      </c>
      <c r="I48" s="221" t="s">
        <v>1665</v>
      </c>
      <c r="J48" s="229">
        <v>45855</v>
      </c>
      <c r="K48" s="225">
        <v>0.75</v>
      </c>
      <c r="U48" s="222" t="s">
        <v>1929</v>
      </c>
      <c r="AA48" s="31" t="s">
        <v>1976</v>
      </c>
    </row>
    <row r="49" spans="3:46" s="49" customFormat="1" ht="120.75" thickBot="1">
      <c r="C49" s="49" t="s">
        <v>1930</v>
      </c>
      <c r="F49" s="49" t="s">
        <v>1663</v>
      </c>
      <c r="G49" s="49" t="s">
        <v>1931</v>
      </c>
      <c r="H49" s="49" t="s">
        <v>1932</v>
      </c>
      <c r="I49" s="87" t="s">
        <v>1639</v>
      </c>
      <c r="J49" s="80">
        <v>45857</v>
      </c>
      <c r="K49" s="85">
        <v>0.41666666666666669</v>
      </c>
      <c r="N49" s="231" t="s">
        <v>72</v>
      </c>
      <c r="P49" s="49" t="s">
        <v>1476</v>
      </c>
      <c r="S49" s="49" t="s">
        <v>1674</v>
      </c>
      <c r="U49" s="87" t="s">
        <v>1977</v>
      </c>
      <c r="V49" s="49" t="s">
        <v>109</v>
      </c>
      <c r="AA49" t="s">
        <v>1984</v>
      </c>
    </row>
    <row r="50" spans="3:46" s="197" customFormat="1" ht="15.75" thickBot="1">
      <c r="C50" s="197" t="s">
        <v>1996</v>
      </c>
      <c r="G50" s="192" t="s">
        <v>1997</v>
      </c>
      <c r="H50" s="193" t="s">
        <v>1951</v>
      </c>
      <c r="I50" s="248" t="s">
        <v>1640</v>
      </c>
      <c r="J50" s="195">
        <v>45855</v>
      </c>
      <c r="K50" s="196">
        <v>0.70833333333333337</v>
      </c>
      <c r="N50" s="197" t="s">
        <v>102</v>
      </c>
      <c r="P50" s="197" t="s">
        <v>1476</v>
      </c>
      <c r="S50" s="254" t="s">
        <v>1674</v>
      </c>
      <c r="U50" s="197" t="s">
        <v>1952</v>
      </c>
      <c r="V50" s="197" t="s">
        <v>109</v>
      </c>
      <c r="AA50" s="197" t="s">
        <v>1970</v>
      </c>
    </row>
    <row r="51" spans="3:46" s="31" customFormat="1">
      <c r="C51" s="31" t="s">
        <v>930</v>
      </c>
      <c r="G51" s="13" t="s">
        <v>2020</v>
      </c>
      <c r="H51" s="55" t="s">
        <v>2014</v>
      </c>
      <c r="I51" s="220" t="s">
        <v>1640</v>
      </c>
      <c r="J51" s="229">
        <v>45871</v>
      </c>
      <c r="K51" s="53">
        <v>0.41666666666666669</v>
      </c>
      <c r="P51" s="31" t="s">
        <v>1476</v>
      </c>
      <c r="S51" s="31" t="s">
        <v>1220</v>
      </c>
      <c r="U51" s="31" t="s">
        <v>2017</v>
      </c>
      <c r="V51" s="31" t="s">
        <v>109</v>
      </c>
      <c r="AA51" t="s">
        <v>2021</v>
      </c>
    </row>
    <row r="52" spans="3:46" s="31" customFormat="1" ht="15.75">
      <c r="C52" s="238" t="s">
        <v>2026</v>
      </c>
      <c r="G52" s="239" t="s">
        <v>2016</v>
      </c>
      <c r="H52" s="55" t="s">
        <v>2025</v>
      </c>
      <c r="I52" s="220"/>
      <c r="J52" s="229">
        <v>45873</v>
      </c>
      <c r="K52" s="53"/>
      <c r="N52" t="s">
        <v>1795</v>
      </c>
      <c r="U52" s="31" t="s">
        <v>2018</v>
      </c>
    </row>
    <row r="53" spans="3:46">
      <c r="C53" s="59" t="s">
        <v>2022</v>
      </c>
      <c r="F53" s="59" t="s">
        <v>1663</v>
      </c>
      <c r="G53" s="58"/>
      <c r="H53" s="242" t="s">
        <v>2024</v>
      </c>
      <c r="I53" s="63" t="s">
        <v>1640</v>
      </c>
      <c r="J53" s="79">
        <v>45878</v>
      </c>
      <c r="K53" s="53">
        <v>0.625</v>
      </c>
      <c r="L53" s="59"/>
      <c r="M53" s="59"/>
      <c r="N53" s="59"/>
      <c r="O53" s="59"/>
      <c r="P53" s="59" t="s">
        <v>1476</v>
      </c>
      <c r="Q53" s="59"/>
      <c r="R53" s="59"/>
      <c r="S53" s="59" t="s">
        <v>1220</v>
      </c>
      <c r="T53" s="59"/>
      <c r="U53" s="59" t="s">
        <v>2023</v>
      </c>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row>
    <row r="54" spans="3:46" s="197" customFormat="1">
      <c r="C54" s="197" t="s">
        <v>2049</v>
      </c>
      <c r="D54" s="197" t="s">
        <v>2051</v>
      </c>
      <c r="F54" s="197" t="s">
        <v>2133</v>
      </c>
      <c r="G54" s="192" t="s">
        <v>2052</v>
      </c>
      <c r="H54" s="193" t="s">
        <v>2053</v>
      </c>
      <c r="I54" s="248"/>
      <c r="J54" s="195">
        <v>45881</v>
      </c>
      <c r="K54" s="196">
        <v>0.47916666666666669</v>
      </c>
      <c r="AA54" s="197" t="s">
        <v>2054</v>
      </c>
    </row>
    <row r="55" spans="3:46">
      <c r="C55" t="s">
        <v>2059</v>
      </c>
      <c r="G55" s="244" t="s">
        <v>2060</v>
      </c>
      <c r="H55" t="s">
        <v>2061</v>
      </c>
      <c r="I55" s="220" t="s">
        <v>1639</v>
      </c>
      <c r="J55" s="77">
        <v>45892</v>
      </c>
      <c r="K55" s="45">
        <v>0.5625</v>
      </c>
    </row>
    <row r="56" spans="3:46" s="49" customFormat="1">
      <c r="C56" s="49" t="s">
        <v>2108</v>
      </c>
      <c r="D56" s="49" t="s">
        <v>2063</v>
      </c>
      <c r="F56" s="226">
        <v>45934</v>
      </c>
      <c r="G56" s="13" t="s">
        <v>2110</v>
      </c>
      <c r="H56" s="86" t="s">
        <v>2109</v>
      </c>
      <c r="I56" s="87"/>
      <c r="J56" s="260"/>
      <c r="K56" s="85"/>
    </row>
    <row r="57" spans="3:46" s="49" customFormat="1" ht="45">
      <c r="C57" s="49" t="s">
        <v>2066</v>
      </c>
      <c r="D57" s="49" t="s">
        <v>2067</v>
      </c>
      <c r="F57" s="49" t="s">
        <v>1663</v>
      </c>
      <c r="G57" s="67" t="s">
        <v>2107</v>
      </c>
      <c r="H57" s="86" t="s">
        <v>2065</v>
      </c>
      <c r="I57" s="87" t="s">
        <v>1665</v>
      </c>
      <c r="J57" s="80">
        <v>45902</v>
      </c>
      <c r="K57" s="85">
        <v>0.6875</v>
      </c>
      <c r="L57" s="49" t="s">
        <v>67</v>
      </c>
      <c r="N57" s="49" t="s">
        <v>102</v>
      </c>
      <c r="P57" s="49" t="s">
        <v>1476</v>
      </c>
      <c r="S57" s="49" t="s">
        <v>2069</v>
      </c>
      <c r="V57" s="49" t="s">
        <v>109</v>
      </c>
      <c r="AA57" s="87" t="s">
        <v>2068</v>
      </c>
    </row>
    <row r="58" spans="3:46" s="49" customFormat="1" ht="45">
      <c r="C58" s="49" t="s">
        <v>2070</v>
      </c>
      <c r="D58" s="49" t="s">
        <v>2071</v>
      </c>
      <c r="F58" s="49" t="s">
        <v>1663</v>
      </c>
      <c r="G58" s="13" t="s">
        <v>2111</v>
      </c>
      <c r="H58" s="49" t="s">
        <v>2072</v>
      </c>
      <c r="I58" s="87" t="s">
        <v>1640</v>
      </c>
      <c r="J58" s="80">
        <v>45902</v>
      </c>
      <c r="K58" s="85">
        <v>0.6875</v>
      </c>
      <c r="L58" s="49" t="s">
        <v>1272</v>
      </c>
      <c r="N58" s="49" t="s">
        <v>102</v>
      </c>
      <c r="P58" s="49" t="s">
        <v>1476</v>
      </c>
      <c r="S58" s="49" t="s">
        <v>2069</v>
      </c>
      <c r="V58" s="49" t="s">
        <v>109</v>
      </c>
      <c r="AA58" s="87" t="s">
        <v>2073</v>
      </c>
    </row>
    <row r="59" spans="3:46" s="49" customFormat="1" ht="45">
      <c r="C59" s="49" t="s">
        <v>2094</v>
      </c>
      <c r="D59" s="49" t="s">
        <v>2095</v>
      </c>
      <c r="F59" s="49" t="s">
        <v>1663</v>
      </c>
      <c r="G59" t="s">
        <v>2097</v>
      </c>
      <c r="H59" s="86" t="s">
        <v>2098</v>
      </c>
      <c r="I59" s="87" t="s">
        <v>1665</v>
      </c>
      <c r="J59" s="80">
        <v>45906</v>
      </c>
      <c r="K59" s="85">
        <v>0.52083333333333337</v>
      </c>
      <c r="U59" s="49" t="s">
        <v>2078</v>
      </c>
      <c r="V59" s="49" t="s">
        <v>109</v>
      </c>
      <c r="AA59" s="87" t="s">
        <v>2096</v>
      </c>
    </row>
    <row r="60" spans="3:46" s="49" customFormat="1" ht="45">
      <c r="C60" s="49" t="s">
        <v>2079</v>
      </c>
      <c r="D60" s="49" t="s">
        <v>2080</v>
      </c>
      <c r="F60" s="49" t="s">
        <v>1663</v>
      </c>
      <c r="G60" s="67" t="s">
        <v>2083</v>
      </c>
      <c r="H60" s="49" t="s">
        <v>2082</v>
      </c>
      <c r="I60" s="87" t="s">
        <v>1665</v>
      </c>
      <c r="J60" s="80">
        <v>45903</v>
      </c>
      <c r="K60" s="85"/>
      <c r="S60" s="49" t="s">
        <v>1768</v>
      </c>
      <c r="U60" s="49" t="s">
        <v>2088</v>
      </c>
      <c r="AA60" s="87" t="s">
        <v>2081</v>
      </c>
    </row>
    <row r="61" spans="3:46" ht="60">
      <c r="C61" s="49" t="s">
        <v>2084</v>
      </c>
      <c r="D61" s="49" t="s">
        <v>2085</v>
      </c>
      <c r="E61" s="49"/>
      <c r="F61" s="49" t="s">
        <v>1663</v>
      </c>
      <c r="G61" s="49" t="s">
        <v>2086</v>
      </c>
      <c r="H61" t="s">
        <v>2089</v>
      </c>
      <c r="I61" s="220" t="s">
        <v>1665</v>
      </c>
      <c r="J61" s="77">
        <v>45903</v>
      </c>
      <c r="K61" s="45"/>
      <c r="S61" s="31" t="s">
        <v>1768</v>
      </c>
      <c r="U61" t="s">
        <v>2088</v>
      </c>
      <c r="AA61" s="40" t="s">
        <v>2087</v>
      </c>
    </row>
    <row r="62" spans="3:46" s="197" customFormat="1" ht="15.75" thickBot="1">
      <c r="G62" s="192" t="s">
        <v>2091</v>
      </c>
      <c r="H62" s="193" t="s">
        <v>2093</v>
      </c>
      <c r="I62" s="248" t="s">
        <v>1639</v>
      </c>
      <c r="J62" s="195">
        <v>45906</v>
      </c>
      <c r="K62" s="196">
        <v>0.41666666666666669</v>
      </c>
      <c r="N62" s="249" t="s">
        <v>72</v>
      </c>
      <c r="S62" s="197" t="s">
        <v>2069</v>
      </c>
      <c r="U62" s="197" t="s">
        <v>2092</v>
      </c>
    </row>
    <row r="63" spans="3:46" ht="15.75" thickBot="1">
      <c r="C63" t="s">
        <v>2112</v>
      </c>
      <c r="G63" s="13"/>
      <c r="H63" s="37" t="s">
        <v>2113</v>
      </c>
      <c r="I63" s="220" t="s">
        <v>1640</v>
      </c>
      <c r="J63" s="77">
        <v>45917</v>
      </c>
      <c r="K63" s="45">
        <v>0.54166666666666663</v>
      </c>
      <c r="N63" s="166" t="s">
        <v>197</v>
      </c>
    </row>
    <row r="64" spans="3:46" ht="60">
      <c r="C64" t="s">
        <v>2121</v>
      </c>
      <c r="G64" t="s">
        <v>2122</v>
      </c>
      <c r="H64" s="37" t="s">
        <v>2120</v>
      </c>
      <c r="I64" s="220" t="s">
        <v>1639</v>
      </c>
      <c r="J64" s="77">
        <v>45924</v>
      </c>
      <c r="K64" s="45">
        <v>0.70833333333333337</v>
      </c>
      <c r="L64" t="s">
        <v>2150</v>
      </c>
      <c r="N64" t="s">
        <v>72</v>
      </c>
      <c r="S64" s="197" t="s">
        <v>2069</v>
      </c>
      <c r="U64" t="s">
        <v>1691</v>
      </c>
      <c r="AA64" s="40" t="s">
        <v>2151</v>
      </c>
    </row>
    <row r="65" spans="3:27">
      <c r="C65" t="s">
        <v>2139</v>
      </c>
      <c r="G65" s="13" t="s">
        <v>2140</v>
      </c>
      <c r="H65" s="37" t="s">
        <v>2141</v>
      </c>
      <c r="I65" s="220" t="s">
        <v>1639</v>
      </c>
      <c r="J65" s="77">
        <v>45927</v>
      </c>
      <c r="K65" s="45">
        <v>0.66666666666666663</v>
      </c>
      <c r="L65" t="s">
        <v>2152</v>
      </c>
      <c r="N65" t="s">
        <v>1795</v>
      </c>
      <c r="S65" s="197" t="s">
        <v>2069</v>
      </c>
      <c r="U65" t="s">
        <v>2153</v>
      </c>
    </row>
    <row r="66" spans="3:27" ht="60">
      <c r="C66" t="s">
        <v>2144</v>
      </c>
      <c r="G66" t="s">
        <v>2145</v>
      </c>
      <c r="H66" s="37" t="s">
        <v>2143</v>
      </c>
      <c r="I66" s="220" t="s">
        <v>1639</v>
      </c>
      <c r="J66" s="77">
        <v>45925</v>
      </c>
      <c r="K66" s="85">
        <v>0.6875</v>
      </c>
      <c r="L66" t="s">
        <v>2142</v>
      </c>
      <c r="S66" s="197" t="s">
        <v>2069</v>
      </c>
      <c r="AA66" s="40" t="s">
        <v>2154</v>
      </c>
    </row>
    <row r="67" spans="3:27" s="49" customFormat="1">
      <c r="C67" s="49" t="s">
        <v>2147</v>
      </c>
      <c r="G67" s="49" t="s">
        <v>2148</v>
      </c>
      <c r="H67" s="49" t="s">
        <v>2149</v>
      </c>
      <c r="I67" s="87" t="s">
        <v>1639</v>
      </c>
      <c r="J67" s="80">
        <v>45929</v>
      </c>
      <c r="K67" s="85">
        <v>0.70833333333333337</v>
      </c>
      <c r="N67" s="49" t="s">
        <v>102</v>
      </c>
      <c r="U67" s="49" t="s">
        <v>2158</v>
      </c>
    </row>
    <row r="68" spans="3:27" ht="45">
      <c r="C68" t="s">
        <v>2206</v>
      </c>
      <c r="D68" t="s">
        <v>2205</v>
      </c>
      <c r="G68" t="s">
        <v>2203</v>
      </c>
      <c r="H68" s="37" t="s">
        <v>2165</v>
      </c>
      <c r="I68" s="220" t="s">
        <v>1665</v>
      </c>
      <c r="J68" s="77">
        <v>45962</v>
      </c>
      <c r="K68" s="45">
        <v>0.45833333333333331</v>
      </c>
      <c r="N68" s="49" t="s">
        <v>102</v>
      </c>
      <c r="S68" s="31" t="s">
        <v>1768</v>
      </c>
      <c r="U68" t="s">
        <v>2204</v>
      </c>
      <c r="AA68" s="40" t="s">
        <v>2202</v>
      </c>
    </row>
    <row r="69" spans="3:27" ht="18.75">
      <c r="C69" s="263" t="s">
        <v>2170</v>
      </c>
      <c r="G69" t="s">
        <v>2169</v>
      </c>
      <c r="H69" s="37" t="s">
        <v>2168</v>
      </c>
      <c r="I69" s="220" t="s">
        <v>1639</v>
      </c>
      <c r="J69" s="77">
        <v>45969</v>
      </c>
      <c r="K69" s="45">
        <v>0.45833333333333331</v>
      </c>
      <c r="N69" s="49" t="s">
        <v>102</v>
      </c>
      <c r="S69" s="197" t="s">
        <v>2069</v>
      </c>
    </row>
    <row r="70" spans="3:27" ht="45">
      <c r="C70" t="s">
        <v>2197</v>
      </c>
      <c r="D70" t="s">
        <v>2198</v>
      </c>
      <c r="G70" t="s">
        <v>2201</v>
      </c>
      <c r="H70" t="s">
        <v>2200</v>
      </c>
      <c r="I70" s="220" t="s">
        <v>1665</v>
      </c>
      <c r="J70" s="77">
        <v>45972</v>
      </c>
      <c r="K70" s="45">
        <v>0.75</v>
      </c>
      <c r="L70" t="s">
        <v>866</v>
      </c>
      <c r="N70" t="s">
        <v>495</v>
      </c>
      <c r="S70" s="197" t="s">
        <v>2069</v>
      </c>
      <c r="AA70" s="40" t="s">
        <v>2199</v>
      </c>
    </row>
    <row r="71" spans="3:27" s="59" customFormat="1">
      <c r="C71" s="59" t="s">
        <v>2225</v>
      </c>
      <c r="D71" s="59" t="s">
        <v>2232</v>
      </c>
      <c r="G71" s="59" t="s">
        <v>2226</v>
      </c>
      <c r="H71" s="59" t="s">
        <v>2227</v>
      </c>
      <c r="I71" s="63"/>
      <c r="J71" s="79">
        <v>46001</v>
      </c>
      <c r="K71" s="61">
        <v>0.79166666666666663</v>
      </c>
      <c r="N71" s="59" t="s">
        <v>132</v>
      </c>
      <c r="P71" s="59" t="s">
        <v>2228</v>
      </c>
      <c r="U71" s="59" t="s">
        <v>2248</v>
      </c>
    </row>
    <row r="72" spans="3:27" s="59" customFormat="1" ht="45">
      <c r="C72" s="59" t="s">
        <v>2229</v>
      </c>
      <c r="D72" s="59" t="s">
        <v>2229</v>
      </c>
      <c r="G72" s="59" t="s">
        <v>2230</v>
      </c>
      <c r="H72" s="59" t="s">
        <v>2231</v>
      </c>
      <c r="I72" s="63"/>
      <c r="J72" s="79">
        <v>45992</v>
      </c>
      <c r="K72" s="61">
        <v>0.79166666666666663</v>
      </c>
      <c r="N72" s="59" t="s">
        <v>661</v>
      </c>
      <c r="P72" s="49" t="s">
        <v>102</v>
      </c>
      <c r="S72" s="59" t="s">
        <v>2069</v>
      </c>
      <c r="U72" s="59" t="s">
        <v>2238</v>
      </c>
      <c r="AA72" s="63" t="s">
        <v>2247</v>
      </c>
    </row>
    <row r="73" spans="3:27" s="197" customFormat="1" ht="16.5">
      <c r="C73" s="197" t="s">
        <v>2233</v>
      </c>
      <c r="D73" s="197" t="s">
        <v>2278</v>
      </c>
      <c r="G73" s="192" t="s">
        <v>2234</v>
      </c>
      <c r="H73" s="197" t="s">
        <v>2235</v>
      </c>
      <c r="I73" s="248"/>
      <c r="J73" s="268"/>
      <c r="K73" s="196"/>
      <c r="N73" s="197" t="s">
        <v>2236</v>
      </c>
      <c r="P73" s="197" t="s">
        <v>1476</v>
      </c>
      <c r="U73" s="269" t="s">
        <v>2237</v>
      </c>
    </row>
    <row r="74" spans="3:27" s="271" customFormat="1" ht="15.75">
      <c r="C74" s="270" t="s">
        <v>2240</v>
      </c>
      <c r="D74" s="271" t="s">
        <v>2242</v>
      </c>
      <c r="G74" s="271" t="s">
        <v>2241</v>
      </c>
      <c r="H74" s="271">
        <v>9050837827</v>
      </c>
      <c r="I74" s="272"/>
      <c r="J74" s="273">
        <v>45997</v>
      </c>
      <c r="K74" s="274">
        <v>0.45833333333333331</v>
      </c>
    </row>
    <row r="75" spans="3:27" ht="45">
      <c r="C75" t="s">
        <v>2249</v>
      </c>
      <c r="G75" t="s">
        <v>2251</v>
      </c>
      <c r="H75" t="s">
        <v>2250</v>
      </c>
      <c r="I75" s="220"/>
      <c r="J75" s="77">
        <v>46004</v>
      </c>
      <c r="K75" s="45">
        <v>0.54166666666666663</v>
      </c>
      <c r="N75" t="s">
        <v>90</v>
      </c>
      <c r="P75" t="s">
        <v>1680</v>
      </c>
      <c r="S75" t="s">
        <v>2069</v>
      </c>
      <c r="U75" t="s">
        <v>2252</v>
      </c>
      <c r="AA75" s="40" t="s">
        <v>2253</v>
      </c>
    </row>
    <row r="76" spans="3:27" s="49" customFormat="1" ht="60">
      <c r="C76" s="49" t="s">
        <v>2274</v>
      </c>
      <c r="G76" s="13" t="s">
        <v>2268</v>
      </c>
      <c r="H76" s="86" t="s">
        <v>2265</v>
      </c>
      <c r="I76" s="87" t="s">
        <v>1665</v>
      </c>
      <c r="J76" s="80">
        <v>46030</v>
      </c>
      <c r="K76" s="85">
        <v>0.70833333333333337</v>
      </c>
      <c r="N76" s="49" t="s">
        <v>102</v>
      </c>
      <c r="P76" s="49" t="s">
        <v>102</v>
      </c>
      <c r="S76" s="49" t="s">
        <v>2069</v>
      </c>
      <c r="U76" s="49" t="s">
        <v>2272</v>
      </c>
      <c r="AA76" s="87" t="s">
        <v>2271</v>
      </c>
    </row>
    <row r="77" spans="3:27" s="49" customFormat="1">
      <c r="C77" s="49" t="s">
        <v>2269</v>
      </c>
      <c r="G77" s="49" t="s">
        <v>2267</v>
      </c>
      <c r="H77" s="49" t="s">
        <v>2266</v>
      </c>
      <c r="I77" s="87" t="s">
        <v>1639</v>
      </c>
      <c r="J77" s="80">
        <v>46030</v>
      </c>
      <c r="K77" s="85">
        <v>0.70833333333333337</v>
      </c>
      <c r="N77" s="49" t="s">
        <v>661</v>
      </c>
      <c r="P77" s="49" t="s">
        <v>2228</v>
      </c>
      <c r="S77" s="49" t="s">
        <v>2069</v>
      </c>
      <c r="U77" s="49" t="s">
        <v>2273</v>
      </c>
      <c r="AA77" s="49" t="s">
        <v>2270</v>
      </c>
    </row>
    <row r="78" spans="3:27" ht="16.5">
      <c r="C78" s="277" t="s">
        <v>2277</v>
      </c>
      <c r="G78" s="276" t="s">
        <v>2276</v>
      </c>
      <c r="H78" s="37" t="s">
        <v>2275</v>
      </c>
      <c r="I78" s="87" t="s">
        <v>1639</v>
      </c>
      <c r="J78" s="77">
        <v>46039</v>
      </c>
      <c r="K78" s="45">
        <v>0.54166666666666663</v>
      </c>
      <c r="N78" t="s">
        <v>90</v>
      </c>
    </row>
    <row r="79" spans="3:27" s="49" customFormat="1" ht="30">
      <c r="C79" s="49" t="s">
        <v>2310</v>
      </c>
      <c r="G79" s="67"/>
      <c r="H79" s="86" t="s">
        <v>2295</v>
      </c>
      <c r="I79" s="87" t="s">
        <v>1665</v>
      </c>
      <c r="J79" s="80">
        <v>46051</v>
      </c>
      <c r="K79" s="85">
        <v>0.52083333333333337</v>
      </c>
      <c r="N79" s="49" t="s">
        <v>90</v>
      </c>
      <c r="P79" s="49" t="s">
        <v>2228</v>
      </c>
      <c r="U79" s="49" t="s">
        <v>2294</v>
      </c>
      <c r="AA79" s="87" t="s">
        <v>2311</v>
      </c>
    </row>
    <row r="80" spans="3:27" s="49" customFormat="1" ht="30">
      <c r="C80" s="49" t="s">
        <v>2315</v>
      </c>
      <c r="E80" s="49" t="s">
        <v>1663</v>
      </c>
      <c r="G80" s="49" t="s">
        <v>2305</v>
      </c>
      <c r="H80" s="86" t="s">
        <v>2296</v>
      </c>
      <c r="I80" s="87" t="s">
        <v>1665</v>
      </c>
      <c r="J80" s="80">
        <v>46049</v>
      </c>
      <c r="K80" s="85">
        <v>0.58333333333333337</v>
      </c>
      <c r="N80" s="49" t="s">
        <v>90</v>
      </c>
      <c r="AA80" s="87" t="s">
        <v>2304</v>
      </c>
    </row>
    <row r="81" spans="3:27" ht="15.75">
      <c r="C81" s="36" t="s">
        <v>2297</v>
      </c>
      <c r="E81" t="s">
        <v>1663</v>
      </c>
      <c r="G81" s="13" t="s">
        <v>2303</v>
      </c>
      <c r="H81" s="37" t="s">
        <v>2298</v>
      </c>
      <c r="I81" s="220" t="s">
        <v>19</v>
      </c>
      <c r="J81" s="279">
        <v>46051</v>
      </c>
      <c r="K81" s="45">
        <v>0.66666666666666663</v>
      </c>
      <c r="N81" s="39" t="s">
        <v>90</v>
      </c>
      <c r="P81" s="39" t="s">
        <v>1785</v>
      </c>
      <c r="AA81" t="s">
        <v>2312</v>
      </c>
    </row>
    <row r="82" spans="3:27" s="49" customFormat="1" ht="15.75">
      <c r="C82" s="56" t="s">
        <v>2329</v>
      </c>
      <c r="G82" s="67" t="s">
        <v>2299</v>
      </c>
      <c r="H82" s="86" t="s">
        <v>2300</v>
      </c>
      <c r="I82" s="87" t="s">
        <v>19</v>
      </c>
      <c r="J82" s="80">
        <v>46053</v>
      </c>
      <c r="K82" s="85">
        <v>0.625</v>
      </c>
      <c r="N82" s="49" t="s">
        <v>90</v>
      </c>
      <c r="P82" s="49" t="s">
        <v>1680</v>
      </c>
      <c r="U82" s="49" t="s">
        <v>2330</v>
      </c>
      <c r="AA82" t="s">
        <v>2334</v>
      </c>
    </row>
    <row r="83" spans="3:27" ht="60">
      <c r="C83" s="36" t="s">
        <v>2326</v>
      </c>
      <c r="G83" s="13" t="s">
        <v>2301</v>
      </c>
      <c r="H83" t="s">
        <v>2302</v>
      </c>
      <c r="I83" s="220" t="s">
        <v>19</v>
      </c>
      <c r="J83" s="77">
        <v>46053</v>
      </c>
      <c r="K83" s="45">
        <v>0.58333333333333337</v>
      </c>
      <c r="N83" t="s">
        <v>72</v>
      </c>
      <c r="P83" t="s">
        <v>1476</v>
      </c>
      <c r="U83" t="s">
        <v>1691</v>
      </c>
      <c r="AA83" s="40" t="s">
        <v>2327</v>
      </c>
    </row>
    <row r="84" spans="3:27" s="31" customFormat="1">
      <c r="C84" s="31" t="s">
        <v>2307</v>
      </c>
      <c r="G84" s="52"/>
      <c r="H84" s="55" t="s">
        <v>2306</v>
      </c>
      <c r="I84" s="220"/>
      <c r="J84" s="81"/>
      <c r="K84" s="53"/>
    </row>
    <row r="85" spans="3:27" ht="45">
      <c r="C85" t="s">
        <v>2324</v>
      </c>
      <c r="G85" s="13" t="s">
        <v>2322</v>
      </c>
      <c r="H85" s="37" t="s">
        <v>2323</v>
      </c>
      <c r="I85" s="220"/>
      <c r="J85" s="77">
        <v>46053</v>
      </c>
      <c r="K85" s="45">
        <v>0.41666666666666669</v>
      </c>
      <c r="N85" t="s">
        <v>72</v>
      </c>
      <c r="P85" t="s">
        <v>1476</v>
      </c>
      <c r="AA85" s="40" t="s">
        <v>2325</v>
      </c>
    </row>
    <row r="86" spans="3:27" s="31" customFormat="1">
      <c r="C86" s="31" t="s">
        <v>2372</v>
      </c>
      <c r="G86" t="s">
        <v>2374</v>
      </c>
      <c r="H86" s="55"/>
      <c r="I86" s="220"/>
      <c r="J86" s="81"/>
      <c r="K86" s="53"/>
      <c r="P86" s="49" t="s">
        <v>1680</v>
      </c>
      <c r="U86" s="31" t="s">
        <v>2373</v>
      </c>
    </row>
    <row r="87" spans="3:27" s="59" customFormat="1">
      <c r="C87" t="s">
        <v>2429</v>
      </c>
      <c r="F87" s="59" t="s">
        <v>1663</v>
      </c>
      <c r="G87" s="13" t="s">
        <v>2427</v>
      </c>
      <c r="H87" s="242" t="s">
        <v>2375</v>
      </c>
      <c r="I87" s="63" t="s">
        <v>1640</v>
      </c>
      <c r="J87" s="79">
        <v>46083</v>
      </c>
      <c r="K87" s="61">
        <v>0.8125</v>
      </c>
      <c r="L87" s="59" t="s">
        <v>196</v>
      </c>
      <c r="N87" s="59" t="s">
        <v>132</v>
      </c>
      <c r="P87" s="59" t="s">
        <v>1680</v>
      </c>
      <c r="U87" s="59" t="s">
        <v>2376</v>
      </c>
      <c r="AA87" s="59" t="s">
        <v>2430</v>
      </c>
    </row>
    <row r="88" spans="3:27">
      <c r="G88" s="13"/>
      <c r="H88" s="37" t="s">
        <v>2377</v>
      </c>
      <c r="I88" s="220" t="s">
        <v>1640</v>
      </c>
      <c r="K88" s="45"/>
      <c r="N88" s="59" t="s">
        <v>132</v>
      </c>
      <c r="P88" t="s">
        <v>1476</v>
      </c>
      <c r="U88" t="s">
        <v>2378</v>
      </c>
    </row>
    <row r="89" spans="3:27" s="31" customFormat="1">
      <c r="G89" s="52"/>
      <c r="H89" s="55" t="s">
        <v>2381</v>
      </c>
      <c r="I89" s="220" t="s">
        <v>1640</v>
      </c>
      <c r="J89" s="81"/>
      <c r="K89" s="53"/>
      <c r="U89" t="s">
        <v>2382</v>
      </c>
    </row>
    <row r="90" spans="3:27" s="31" customFormat="1" ht="225">
      <c r="C90" s="283" t="s">
        <v>2385</v>
      </c>
      <c r="G90" s="52" t="s">
        <v>2386</v>
      </c>
      <c r="H90" s="55" t="s">
        <v>2383</v>
      </c>
      <c r="I90" s="220" t="s">
        <v>19</v>
      </c>
      <c r="J90" s="31" t="s">
        <v>2428</v>
      </c>
      <c r="K90" s="53"/>
      <c r="N90" s="31" t="s">
        <v>90</v>
      </c>
      <c r="P90" s="31" t="s">
        <v>1476</v>
      </c>
      <c r="S90" s="54" t="s">
        <v>1737</v>
      </c>
      <c r="U90" s="220" t="s">
        <v>2384</v>
      </c>
    </row>
    <row r="91" spans="3:27" s="31" customFormat="1" ht="315">
      <c r="C91" s="284" t="s">
        <v>2391</v>
      </c>
      <c r="G91" s="52" t="s">
        <v>2390</v>
      </c>
      <c r="H91" s="55"/>
      <c r="I91" s="220" t="s">
        <v>19</v>
      </c>
      <c r="J91" s="81"/>
      <c r="K91" s="53"/>
      <c r="N91" s="31" t="s">
        <v>72</v>
      </c>
      <c r="P91" s="31" t="s">
        <v>1476</v>
      </c>
      <c r="U91" s="220" t="s">
        <v>2392</v>
      </c>
    </row>
    <row r="92" spans="3:27" s="285" customFormat="1">
      <c r="G92" s="286" t="s">
        <v>2393</v>
      </c>
      <c r="H92" s="287"/>
      <c r="I92" s="288"/>
      <c r="J92" s="289"/>
      <c r="K92" s="290"/>
      <c r="U92" s="285" t="s">
        <v>2394</v>
      </c>
    </row>
    <row r="93" spans="3:27" s="31" customFormat="1" ht="45">
      <c r="C93" s="31" t="s">
        <v>2402</v>
      </c>
      <c r="G93" s="52" t="s">
        <v>2401</v>
      </c>
      <c r="H93" s="55" t="s">
        <v>2399</v>
      </c>
      <c r="I93" s="220"/>
      <c r="J93" s="31" t="s">
        <v>2406</v>
      </c>
      <c r="K93" s="53">
        <v>0.41666666666666669</v>
      </c>
      <c r="N93" s="31" t="s">
        <v>72</v>
      </c>
      <c r="P93" s="31" t="s">
        <v>1476</v>
      </c>
      <c r="S93" s="31" t="s">
        <v>1674</v>
      </c>
      <c r="U93" s="31" t="s">
        <v>2403</v>
      </c>
      <c r="V93" s="31" t="s">
        <v>109</v>
      </c>
      <c r="AA93" s="220" t="s">
        <v>2400</v>
      </c>
    </row>
    <row r="94" spans="3:27" s="59" customFormat="1" ht="60">
      <c r="C94" s="59" t="s">
        <v>2404</v>
      </c>
      <c r="F94" s="59" t="s">
        <v>1663</v>
      </c>
      <c r="G94" s="58" t="s">
        <v>2388</v>
      </c>
      <c r="H94" s="59" t="s">
        <v>2387</v>
      </c>
      <c r="I94" s="63" t="s">
        <v>19</v>
      </c>
      <c r="J94" s="59" t="s">
        <v>2406</v>
      </c>
      <c r="K94" s="61">
        <v>0.45833333333333331</v>
      </c>
      <c r="N94" s="59" t="s">
        <v>102</v>
      </c>
      <c r="P94" s="59" t="s">
        <v>1476</v>
      </c>
      <c r="S94" s="59" t="s">
        <v>1674</v>
      </c>
      <c r="V94" s="59" t="s">
        <v>109</v>
      </c>
      <c r="AA94" s="63" t="s">
        <v>2405</v>
      </c>
    </row>
    <row r="95" spans="3:27" ht="15.75">
      <c r="C95" s="36" t="s">
        <v>2408</v>
      </c>
      <c r="G95" s="13" t="s">
        <v>2409</v>
      </c>
      <c r="H95" s="37" t="s">
        <v>2407</v>
      </c>
      <c r="I95" s="220"/>
      <c r="J95" s="77">
        <v>46120</v>
      </c>
      <c r="K95" s="45">
        <v>0.54166666666666663</v>
      </c>
      <c r="N95" s="39" t="s">
        <v>661</v>
      </c>
      <c r="P95" t="s">
        <v>1476</v>
      </c>
      <c r="S95" t="s">
        <v>1674</v>
      </c>
      <c r="V95" s="31" t="s">
        <v>109</v>
      </c>
    </row>
    <row r="96" spans="3:27">
      <c r="G96" s="13" t="s">
        <v>2413</v>
      </c>
      <c r="H96" t="s">
        <v>2414</v>
      </c>
      <c r="I96" s="220" t="s">
        <v>19</v>
      </c>
      <c r="J96" t="s">
        <v>2418</v>
      </c>
      <c r="K96" s="45">
        <v>0.45833333333333331</v>
      </c>
      <c r="N96" t="s">
        <v>102</v>
      </c>
      <c r="P96" t="s">
        <v>1476</v>
      </c>
      <c r="S96" t="s">
        <v>1674</v>
      </c>
      <c r="V96" t="s">
        <v>109</v>
      </c>
    </row>
    <row r="97" spans="1:27" ht="15.75">
      <c r="C97" s="291" t="s">
        <v>2417</v>
      </c>
      <c r="G97" s="13" t="s">
        <v>2416</v>
      </c>
      <c r="H97" s="37" t="s">
        <v>2415</v>
      </c>
      <c r="I97" s="220" t="s">
        <v>19</v>
      </c>
      <c r="J97" t="s">
        <v>2421</v>
      </c>
      <c r="K97" s="45">
        <v>0.66666666666666663</v>
      </c>
      <c r="N97" t="s">
        <v>102</v>
      </c>
      <c r="P97" t="s">
        <v>1476</v>
      </c>
      <c r="S97" t="s">
        <v>1674</v>
      </c>
      <c r="V97" t="s">
        <v>109</v>
      </c>
    </row>
    <row r="98" spans="1:27">
      <c r="C98" t="s">
        <v>2424</v>
      </c>
      <c r="G98" s="13" t="s">
        <v>2420</v>
      </c>
      <c r="H98" s="37" t="s">
        <v>2419</v>
      </c>
      <c r="I98" s="220" t="s">
        <v>19</v>
      </c>
      <c r="J98" s="279">
        <v>46134</v>
      </c>
      <c r="K98" s="45">
        <v>0.66666666666666663</v>
      </c>
      <c r="N98" s="39" t="s">
        <v>72</v>
      </c>
      <c r="P98" t="s">
        <v>1476</v>
      </c>
      <c r="S98" t="s">
        <v>1674</v>
      </c>
      <c r="V98" t="s">
        <v>109</v>
      </c>
    </row>
    <row r="99" spans="1:27" ht="15.75">
      <c r="C99" s="36" t="s">
        <v>2425</v>
      </c>
      <c r="G99" s="13" t="s">
        <v>2426</v>
      </c>
      <c r="H99" s="37" t="s">
        <v>2492</v>
      </c>
      <c r="I99" s="220" t="s">
        <v>19</v>
      </c>
      <c r="J99" s="279">
        <v>46140</v>
      </c>
      <c r="K99" s="45">
        <v>0.45833333333333331</v>
      </c>
      <c r="N99" s="39" t="s">
        <v>661</v>
      </c>
      <c r="P99" s="39" t="s">
        <v>1680</v>
      </c>
      <c r="S99" t="s">
        <v>1674</v>
      </c>
      <c r="V99" t="s">
        <v>1955</v>
      </c>
    </row>
    <row r="100" spans="1:27" ht="15.75">
      <c r="C100" s="36" t="s">
        <v>2439</v>
      </c>
      <c r="D100" t="s">
        <v>2450</v>
      </c>
      <c r="G100" s="13" t="s">
        <v>2440</v>
      </c>
      <c r="H100" s="37" t="s">
        <v>2441</v>
      </c>
      <c r="I100" s="220" t="s">
        <v>19</v>
      </c>
      <c r="J100" s="77">
        <v>46154</v>
      </c>
      <c r="K100" s="45">
        <v>0.625</v>
      </c>
      <c r="N100" s="39" t="s">
        <v>72</v>
      </c>
      <c r="P100" t="s">
        <v>1476</v>
      </c>
      <c r="S100" t="s">
        <v>1674</v>
      </c>
      <c r="V100" t="s">
        <v>109</v>
      </c>
    </row>
    <row r="101" spans="1:27" ht="15.75">
      <c r="C101" s="36" t="s">
        <v>2445</v>
      </c>
      <c r="D101" t="s">
        <v>2446</v>
      </c>
      <c r="G101" s="13" t="s">
        <v>2448</v>
      </c>
      <c r="H101" s="37" t="s">
        <v>2447</v>
      </c>
      <c r="I101" s="220" t="s">
        <v>19</v>
      </c>
      <c r="J101" s="279">
        <v>46165</v>
      </c>
      <c r="K101" s="45">
        <v>0.45833333333333331</v>
      </c>
      <c r="N101" t="s">
        <v>102</v>
      </c>
      <c r="P101" t="s">
        <v>1476</v>
      </c>
    </row>
    <row r="102" spans="1:27" s="160" customFormat="1" ht="60">
      <c r="C102" s="298" t="s">
        <v>2463</v>
      </c>
      <c r="G102" s="161" t="s">
        <v>2466</v>
      </c>
      <c r="H102" s="299" t="s">
        <v>2465</v>
      </c>
      <c r="I102" s="252" t="s">
        <v>19</v>
      </c>
      <c r="J102" s="300">
        <v>46191</v>
      </c>
      <c r="K102" s="165" t="s">
        <v>2464</v>
      </c>
      <c r="N102" s="167" t="s">
        <v>661</v>
      </c>
      <c r="P102" s="167" t="s">
        <v>1680</v>
      </c>
      <c r="S102" s="160" t="s">
        <v>1674</v>
      </c>
      <c r="U102" s="160" t="s">
        <v>2497</v>
      </c>
      <c r="AA102" s="252" t="s">
        <v>2496</v>
      </c>
    </row>
    <row r="103" spans="1:27" ht="15.75">
      <c r="C103" s="36" t="s">
        <v>2469</v>
      </c>
      <c r="G103" s="13" t="s">
        <v>2467</v>
      </c>
      <c r="H103" s="37" t="s">
        <v>2468</v>
      </c>
      <c r="I103" s="220" t="s">
        <v>19</v>
      </c>
      <c r="J103" s="279">
        <v>46209</v>
      </c>
      <c r="K103" s="45">
        <v>0.66666666666666663</v>
      </c>
      <c r="N103" s="39" t="s">
        <v>102</v>
      </c>
      <c r="P103" t="s">
        <v>1476</v>
      </c>
      <c r="AA103" t="s">
        <v>2509</v>
      </c>
    </row>
    <row r="104" spans="1:27" s="31" customFormat="1" ht="45">
      <c r="A104" s="31" t="s">
        <v>103</v>
      </c>
      <c r="C104" s="31" t="s">
        <v>2472</v>
      </c>
      <c r="D104" s="31" t="s">
        <v>2471</v>
      </c>
      <c r="G104" s="31" t="s">
        <v>2474</v>
      </c>
      <c r="H104" s="31" t="s">
        <v>2473</v>
      </c>
      <c r="I104" s="220" t="s">
        <v>19</v>
      </c>
      <c r="J104" s="31" t="s">
        <v>2470</v>
      </c>
      <c r="K104" s="53" t="s">
        <v>2464</v>
      </c>
      <c r="N104" s="54" t="s">
        <v>661</v>
      </c>
      <c r="P104" s="31" t="s">
        <v>1476</v>
      </c>
      <c r="S104" s="31" t="s">
        <v>1674</v>
      </c>
      <c r="AA104" s="220" t="s">
        <v>2475</v>
      </c>
    </row>
    <row r="105" spans="1:27" ht="45">
      <c r="C105" t="s">
        <v>2512</v>
      </c>
      <c r="D105" t="s">
        <v>2513</v>
      </c>
      <c r="G105" t="s">
        <v>2515</v>
      </c>
      <c r="H105" s="37" t="s">
        <v>2506</v>
      </c>
      <c r="I105" s="42" t="s">
        <v>2507</v>
      </c>
      <c r="J105" s="78" t="s">
        <v>2508</v>
      </c>
      <c r="K105" s="45">
        <v>0.66666666666666663</v>
      </c>
      <c r="N105" s="54" t="s">
        <v>661</v>
      </c>
      <c r="P105" s="31" t="s">
        <v>1476</v>
      </c>
      <c r="AA105" s="40" t="s">
        <v>2514</v>
      </c>
    </row>
    <row r="106" spans="1:27" ht="45">
      <c r="C106" t="s">
        <v>2516</v>
      </c>
      <c r="D106" t="s">
        <v>2517</v>
      </c>
      <c r="G106" t="s">
        <v>2519</v>
      </c>
      <c r="H106" s="37" t="s">
        <v>2511</v>
      </c>
      <c r="I106" s="42" t="s">
        <v>2507</v>
      </c>
      <c r="J106" s="77">
        <v>46218</v>
      </c>
      <c r="K106" s="45">
        <v>0.72916666666666663</v>
      </c>
      <c r="N106">
        <v>19</v>
      </c>
      <c r="S106" s="31" t="s">
        <v>1674</v>
      </c>
      <c r="AA106" s="40" t="s">
        <v>2518</v>
      </c>
    </row>
    <row r="107" spans="1:27" ht="19.5">
      <c r="C107" s="302" t="s">
        <v>2524</v>
      </c>
      <c r="D107" t="s">
        <v>2534</v>
      </c>
      <c r="G107" s="13" t="s">
        <v>2525</v>
      </c>
      <c r="H107" s="291" t="s">
        <v>2526</v>
      </c>
      <c r="I107" s="220" t="s">
        <v>1639</v>
      </c>
      <c r="J107" s="77">
        <v>46237</v>
      </c>
      <c r="K107" s="45">
        <v>0.54166666666666663</v>
      </c>
      <c r="N107">
        <v>4</v>
      </c>
      <c r="AA107" t="s">
        <v>2535</v>
      </c>
    </row>
    <row r="108" spans="1:27" ht="60">
      <c r="C108" t="s">
        <v>2536</v>
      </c>
      <c r="D108" t="s">
        <v>2540</v>
      </c>
      <c r="G108" t="s">
        <v>2539</v>
      </c>
      <c r="H108" t="s">
        <v>2538</v>
      </c>
      <c r="I108" s="220" t="s">
        <v>1639</v>
      </c>
      <c r="J108" s="77">
        <v>46244</v>
      </c>
      <c r="K108" s="45">
        <v>0.70833333333333337</v>
      </c>
      <c r="N108">
        <v>6</v>
      </c>
      <c r="AA108" s="40" t="s">
        <v>2537</v>
      </c>
    </row>
    <row r="109" spans="1:27" ht="90">
      <c r="B109" s="40" t="s">
        <v>2547</v>
      </c>
      <c r="C109" s="36" t="s">
        <v>2545</v>
      </c>
      <c r="G109" s="13" t="s">
        <v>2544</v>
      </c>
      <c r="H109" s="291" t="s">
        <v>2548</v>
      </c>
      <c r="I109" s="220"/>
      <c r="J109" s="304">
        <v>46266</v>
      </c>
      <c r="K109" s="305">
        <v>0.54166666666666663</v>
      </c>
      <c r="N109" s="291">
        <v>23</v>
      </c>
      <c r="P109" s="36" t="s">
        <v>2550</v>
      </c>
      <c r="S109" t="s">
        <v>2549</v>
      </c>
      <c r="T109" s="36" t="s">
        <v>2550</v>
      </c>
    </row>
  </sheetData>
  <phoneticPr fontId="43"/>
  <hyperlinks>
    <hyperlink ref="G2" r:id="rId1" display="mailto:cakwtnb31@gmail.com" xr:uid="{00000000-0004-0000-0300-000000000000}"/>
    <hyperlink ref="G3" r:id="rId2" display="mailto:halka0130@yahoo.co.jp" xr:uid="{00000000-0004-0000-0300-000001000000}"/>
    <hyperlink ref="G4" r:id="rId3" display="mailto:yukino.540lll@gmail.com" xr:uid="{00000000-0004-0000-0300-000002000000}"/>
    <hyperlink ref="G5" r:id="rId4" display="mailto:hatsumi0911.la@gmail.com" xr:uid="{00000000-0004-0000-0300-000003000000}"/>
    <hyperlink ref="G6" r:id="rId5" xr:uid="{00000000-0004-0000-0300-000004000000}"/>
    <hyperlink ref="G8" r:id="rId6" xr:uid="{00000000-0004-0000-0300-000005000000}"/>
    <hyperlink ref="G9" r:id="rId7" xr:uid="{00000000-0004-0000-0300-000006000000}"/>
    <hyperlink ref="G11" r:id="rId8" display="mailto:machabebe@yahoo" xr:uid="{00000000-0004-0000-0300-000007000000}"/>
    <hyperlink ref="G13" r:id="rId9" display="mailto:yorozoyurika@gmail.com" xr:uid="{00000000-0004-0000-0300-000008000000}"/>
    <hyperlink ref="G14" r:id="rId10" display="mailto:atonemasami@gmail.com" xr:uid="{00000000-0004-0000-0300-000009000000}"/>
    <hyperlink ref="G17" r:id="rId11" display="mailto:prunus_mume2@yahoo.co.jp" xr:uid="{00000000-0004-0000-0300-00000A000000}"/>
    <hyperlink ref="G18" r:id="rId12" display="mailto:yama-izumi@ymail.ne.jp" xr:uid="{00000000-0004-0000-0300-00000B000000}"/>
    <hyperlink ref="G19" r:id="rId13" display="mailto:shimamoko178@yahoo.co.jp" xr:uid="{00000000-0004-0000-0300-00000C000000}"/>
    <hyperlink ref="G20" r:id="rId14" display="mailto:riekorange1123@icloud.com" xr:uid="{00000000-0004-0000-0300-00000D000000}"/>
    <hyperlink ref="I20" r:id="rId15" display="mailto:riekorange1123@icloud.com" xr:uid="{00000000-0004-0000-0300-00000E000000}"/>
    <hyperlink ref="G21" r:id="rId16" display="mailto:sawa.looksupto.u@icloud.com" xr:uid="{00000000-0004-0000-0300-00000F000000}"/>
    <hyperlink ref="G22" r:id="rId17" xr:uid="{00000000-0004-0000-0300-000010000000}"/>
    <hyperlink ref="G26" r:id="rId18" display="mailto:mako543366@gmail.com" xr:uid="{00000000-0004-0000-0300-000011000000}"/>
    <hyperlink ref="G27" r:id="rId19" xr:uid="{00000000-0004-0000-0300-000012000000}"/>
    <hyperlink ref="G28" r:id="rId20" xr:uid="{00000000-0004-0000-0300-000013000000}"/>
    <hyperlink ref="G30" r:id="rId21" display="mailto:mu25fukuhime@gmail.com" xr:uid="{00000000-0004-0000-0300-000014000000}"/>
    <hyperlink ref="G31" r:id="rId22" display="mailto:monamame@outlook.jp" xr:uid="{00000000-0004-0000-0300-000015000000}"/>
    <hyperlink ref="G32" r:id="rId23" display="mailto:yasunorinozomi@yahoo.co.jp" xr:uid="{00000000-0004-0000-0300-000016000000}"/>
    <hyperlink ref="G33" r:id="rId24" display="mailto:t0nn0e_0905@yahoo.co.jp" xr:uid="{00000000-0004-0000-0300-000017000000}"/>
    <hyperlink ref="G34" r:id="rId25" xr:uid="{00000000-0004-0000-0300-000018000000}"/>
    <hyperlink ref="G36" r:id="rId26" display="mailto:meguya_h@yahoo.co.jp" xr:uid="{00000000-0004-0000-0300-000019000000}"/>
    <hyperlink ref="G50" r:id="rId27" xr:uid="{EE0A2749-4A16-4941-9CB1-4FCA1EA6F99A}"/>
    <hyperlink ref="G43" r:id="rId28" xr:uid="{D724F713-AE19-4ED8-A63D-463537712797}"/>
    <hyperlink ref="G51" r:id="rId29" xr:uid="{41D42DC0-8B87-423A-8121-0D3C3D42B1DF}"/>
    <hyperlink ref="G54" r:id="rId30" xr:uid="{20C92D6A-A11F-41EB-B752-69A2ACA95792}"/>
    <hyperlink ref="G60" r:id="rId31" xr:uid="{86D59859-3936-4AB7-B1B5-C222FB988C2F}"/>
    <hyperlink ref="G57" r:id="rId32" xr:uid="{87BA0CA7-5E7B-41E4-97FA-B34BF50934D7}"/>
    <hyperlink ref="G58" r:id="rId33" xr:uid="{DA3B9C68-39FE-422D-9FA9-76E4AE8470C6}"/>
    <hyperlink ref="G65" r:id="rId34" xr:uid="{AA21993C-B603-4A81-BDF4-23FEA68FE4F0}"/>
    <hyperlink ref="G56" r:id="rId35" xr:uid="{6B9C7106-4976-4BEC-8A59-28C524869CDF}"/>
    <hyperlink ref="G73" r:id="rId36" xr:uid="{8F75D639-D4D8-468E-A5C7-18025E7C9E9A}"/>
    <hyperlink ref="G76" r:id="rId37" xr:uid="{F689C850-19E4-4F73-96A2-CC605589D3B4}"/>
    <hyperlink ref="G83" r:id="rId38" display="mailto:tncoco33@gmail.com" xr:uid="{D41A050E-8F7A-4161-A342-44C27643CD15}"/>
    <hyperlink ref="G81" r:id="rId39" display="mailto:kanyacoo@gmail.com" xr:uid="{A3436D1C-4243-4C48-97E1-BAD77CCF2D15}"/>
    <hyperlink ref="G85" r:id="rId40" xr:uid="{42811F57-D277-45C3-96D8-E8E71660F940}"/>
    <hyperlink ref="G90" r:id="rId41" xr:uid="{67036293-AB86-4DC8-A2CC-2720E90F1C17}"/>
    <hyperlink ref="G91" r:id="rId42" display="mailto:chry0607@yahoo.co.jp" xr:uid="{609FE2B5-FC39-4901-A52D-033439980DF5}"/>
    <hyperlink ref="G92" r:id="rId43" display="mailto:ayanone203@gmail.com" xr:uid="{ABE07B14-008C-4551-84E9-D281BE0DCF70}"/>
    <hyperlink ref="G93" r:id="rId44" xr:uid="{FD73C819-E9E6-46AF-8C06-DF620D1F4D7E}"/>
    <hyperlink ref="G95" r:id="rId45" xr:uid="{FE94F247-7EA0-4A79-A35C-D79593348C54}"/>
    <hyperlink ref="G97" r:id="rId46" display="mailto:sayo320193@gmail.com" xr:uid="{B7252110-042B-4A54-AC23-C441911C2F3A}"/>
    <hyperlink ref="G98" r:id="rId47" display="mailto:yuinakae0113@gmail.com" xr:uid="{E2E75786-527A-47AC-8978-2167832F914E}"/>
    <hyperlink ref="G99" r:id="rId48" display="mailto:omarupio3104@gmail.com" xr:uid="{913BCCB3-D725-4291-969D-E3BA3C9F0D6C}"/>
    <hyperlink ref="G87" r:id="rId49" xr:uid="{17D11C6C-8F39-4140-9323-60C8C3DB41ED}"/>
    <hyperlink ref="G94" r:id="rId50" display="mailto:natsuki9244@yahoo.co.jp" xr:uid="{35235A54-4CF2-4E44-BE89-85B1AF6A928C}"/>
    <hyperlink ref="G100" r:id="rId51" display="mailto:kiwajj0814@icloud.com" xr:uid="{B006BD0D-F078-4841-84EC-E442D02AC002}"/>
    <hyperlink ref="G101" r:id="rId52" display="mailto:tomtomary@yahoo.co.jp" xr:uid="{F53D03B5-FED7-474D-9133-09FB3A89A847}"/>
    <hyperlink ref="G102" r:id="rId53" display="mailto:fumi.aug.13@docomo.ne.jp" xr:uid="{6714A920-1E0F-4B49-9D84-9B41F4BBABFB}"/>
    <hyperlink ref="G103" r:id="rId54" display="mailto:selena.xoxo.823@gmail.com" xr:uid="{B39A3DB3-F3A6-470D-9853-A6B98BAEC59A}"/>
    <hyperlink ref="G107" r:id="rId55" display="mailto:yukino.0322@icloud.com" xr:uid="{DEBD0422-1DDE-48BD-8B3C-A5C6805A7E51}"/>
    <hyperlink ref="G109" r:id="rId56" display="mailto:mei.yume0214@icloud.com" xr:uid="{1A4F28EC-8A18-471D-9CE2-AB61A04C6C4D}"/>
  </hyperlinks>
  <pageMargins left="0.7" right="0.7" top="0.75" bottom="0.75" header="0.3" footer="0.3"/>
  <pageSetup paperSize="9" orientation="portrait" r:id="rId57"/>
  <drawing r:id="rId58"/>
  <tableParts count="1">
    <tablePart r:id="rId5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5"/>
  <cols>
    <col min="1" max="1" width="32" customWidth="1"/>
    <col min="2" max="2" width="38.85546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5"/>
  <cols>
    <col min="1" max="1" width="4.85546875" customWidth="1"/>
    <col min="2" max="2" width="14.7109375" bestFit="1" customWidth="1"/>
    <col min="3" max="3" width="16.28515625" bestFit="1" customWidth="1"/>
    <col min="4" max="4" width="5.5703125" bestFit="1" customWidth="1"/>
    <col min="5" max="6" width="7.28515625" bestFit="1" customWidth="1"/>
    <col min="7" max="7" width="10.85546875" bestFit="1" customWidth="1"/>
    <col min="8" max="8" width="9" hidden="1" customWidth="1"/>
    <col min="9" max="9" width="11.85546875" hidden="1" customWidth="1"/>
    <col min="10" max="10" width="8.85546875" hidden="1" customWidth="1"/>
    <col min="11" max="11" width="11.85546875" hidden="1" customWidth="1"/>
    <col min="12" max="12" width="12.28515625" hidden="1" customWidth="1"/>
    <col min="13" max="13" width="0" hidden="1"/>
    <col min="14" max="14" width="13" bestFit="1" customWidth="1"/>
    <col min="15" max="15" width="16.28515625" bestFit="1" customWidth="1"/>
    <col min="16" max="16" width="6" bestFit="1" customWidth="1"/>
    <col min="17" max="17" width="7.28515625" bestFit="1" customWidth="1"/>
    <col min="18" max="18" width="10.85546875" bestFit="1" customWidth="1"/>
    <col min="22" max="22" width="18" customWidth="1"/>
    <col min="23" max="24" width="0" hidden="1"/>
    <col min="25" max="25" width="19.85546875" hidden="1" customWidth="1"/>
    <col min="26" max="26" width="24" hidden="1" customWidth="1"/>
    <col min="27" max="27" width="22" hidden="1" customWidth="1"/>
    <col min="29" max="29" width="10.28515625" bestFit="1" customWidth="1"/>
    <col min="30" max="30" width="16.28515625" bestFit="1" customWidth="1"/>
    <col min="31" max="31" width="18.28515625" bestFit="1" customWidth="1"/>
    <col min="34" max="34" width="12.28515625" customWidth="1"/>
    <col min="40" max="40" width="12" bestFit="1" customWidth="1"/>
    <col min="42" max="42" width="14" bestFit="1" customWidth="1"/>
    <col min="43" max="43" width="18.28515625" bestFit="1" customWidth="1"/>
    <col min="44" max="44" width="25" bestFit="1" customWidth="1"/>
    <col min="45" max="45" width="5" bestFit="1" customWidth="1"/>
    <col min="46" max="46" width="12" customWidth="1"/>
    <col min="47" max="47" width="16.85546875" customWidth="1"/>
    <col min="48" max="48" width="11" customWidth="1"/>
    <col min="51" max="51" width="17.85546875" bestFit="1" customWidth="1"/>
    <col min="52" max="52" width="16.28515625" bestFit="1" customWidth="1"/>
    <col min="53" max="53" width="5.5703125" bestFit="1" customWidth="1"/>
    <col min="54" max="55" width="7.28515625" bestFit="1" customWidth="1"/>
    <col min="56" max="56" width="10.85546875" bestFit="1" customWidth="1"/>
    <col min="57" max="57" width="9.28515625" bestFit="1" customWidth="1"/>
    <col min="58" max="58" width="8.5703125" bestFit="1" customWidth="1"/>
    <col min="76" max="76" width="22.7109375" bestFit="1" customWidth="1"/>
    <col min="77" max="77" width="6.28515625" bestFit="1" customWidth="1"/>
    <col min="78" max="78" width="5.5703125" bestFit="1" customWidth="1"/>
    <col min="79" max="79" width="6" bestFit="1" customWidth="1"/>
    <col min="80" max="81" width="17.28515625" customWidth="1"/>
    <col min="82" max="82" width="11" bestFit="1" customWidth="1"/>
    <col min="84" max="84" width="18" bestFit="1" customWidth="1"/>
    <col min="85" max="85" width="20.28515625" bestFit="1" customWidth="1"/>
    <col min="87" max="87" width="17.85546875" customWidth="1"/>
    <col min="88" max="88" width="21.7109375" customWidth="1"/>
    <col min="91" max="91" width="29" customWidth="1"/>
    <col min="92" max="92" width="9" bestFit="1" customWidth="1"/>
    <col min="94" max="94" width="24" bestFit="1" customWidth="1"/>
    <col min="99" max="99" width="12.5703125" bestFit="1" customWidth="1"/>
    <col min="100" max="100" width="14" bestFit="1" customWidth="1"/>
    <col min="101" max="101" width="5.5703125" bestFit="1" customWidth="1"/>
    <col min="102" max="102" width="6.28515625" bestFit="1" customWidth="1"/>
    <col min="103" max="103" width="4" bestFit="1" customWidth="1"/>
    <col min="104" max="104" width="4.85546875" bestFit="1" customWidth="1"/>
    <col min="105" max="105" width="8.7109375" customWidth="1"/>
    <col min="106" max="106" width="6" bestFit="1" customWidth="1"/>
    <col min="107" max="107" width="6.28515625" customWidth="1"/>
    <col min="108" max="108" width="6.85546875" customWidth="1"/>
    <col min="109" max="109" width="7" bestFit="1" customWidth="1"/>
    <col min="110" max="110" width="10.85546875" bestFit="1" customWidth="1"/>
    <col min="111" max="111" width="9.7109375" bestFit="1" customWidth="1"/>
    <col min="112" max="114" width="7" bestFit="1" customWidth="1"/>
    <col min="115" max="115" width="9.7109375" bestFit="1" customWidth="1"/>
    <col min="116" max="118" width="7" bestFit="1" customWidth="1"/>
    <col min="119" max="119" width="9.7109375" bestFit="1" customWidth="1"/>
    <col min="120" max="126" width="7" bestFit="1" customWidth="1"/>
    <col min="127" max="127" width="9.7109375" bestFit="1" customWidth="1"/>
    <col min="128" max="136" width="7" bestFit="1" customWidth="1"/>
    <col min="137" max="137" width="9.7109375" bestFit="1" customWidth="1"/>
    <col min="138" max="142" width="7" bestFit="1" customWidth="1"/>
    <col min="143" max="143" width="9.7109375" bestFit="1" customWidth="1"/>
    <col min="144" max="144" width="8.5703125" bestFit="1" customWidth="1"/>
    <col min="145" max="145" width="5.7109375" bestFit="1" customWidth="1"/>
    <col min="146" max="147" width="10.85546875" bestFit="1" customWidth="1"/>
  </cols>
  <sheetData>
    <row r="1" spans="2:201" s="97" customFormat="1" ht="14.85" customHeight="1">
      <c r="B1" s="310" t="s">
        <v>1819</v>
      </c>
      <c r="C1" s="311"/>
      <c r="D1" s="311"/>
      <c r="E1" s="118"/>
      <c r="F1" s="118"/>
      <c r="H1" s="312" t="s">
        <v>1820</v>
      </c>
      <c r="I1" s="311"/>
      <c r="J1" s="311"/>
      <c r="K1" s="311"/>
      <c r="L1" s="311"/>
      <c r="M1" s="98"/>
      <c r="N1" s="312" t="s">
        <v>1821</v>
      </c>
      <c r="O1" s="311"/>
      <c r="P1" s="311"/>
      <c r="Q1" s="311"/>
      <c r="R1" s="311"/>
      <c r="S1" s="311"/>
      <c r="T1" s="311"/>
      <c r="U1" s="311"/>
      <c r="V1" s="311"/>
      <c r="X1" s="312" t="s">
        <v>1822</v>
      </c>
      <c r="Y1" s="311"/>
      <c r="Z1" s="311"/>
      <c r="AA1" s="311"/>
      <c r="AC1" s="310" t="s">
        <v>1823</v>
      </c>
      <c r="AD1" s="311"/>
      <c r="AE1" s="311"/>
      <c r="AF1" s="311"/>
      <c r="AG1" s="311"/>
      <c r="AH1" s="311"/>
      <c r="AI1" s="311"/>
      <c r="AJ1" s="311"/>
      <c r="AK1" s="311"/>
      <c r="AL1" s="100"/>
      <c r="AM1" s="100"/>
      <c r="AN1" s="100"/>
      <c r="AP1" s="310" t="s">
        <v>1824</v>
      </c>
      <c r="AQ1" s="311"/>
      <c r="AR1" s="311"/>
      <c r="AS1" s="311"/>
      <c r="AT1" s="311"/>
      <c r="AU1" s="311"/>
      <c r="AV1" s="311"/>
      <c r="AW1" s="311"/>
      <c r="AY1" s="310" t="s">
        <v>1825</v>
      </c>
      <c r="AZ1" s="311"/>
      <c r="BA1" s="311"/>
      <c r="BB1" s="311"/>
      <c r="BC1" s="311"/>
      <c r="BD1" s="94"/>
      <c r="BE1" s="310" t="s">
        <v>1826</v>
      </c>
      <c r="BF1" s="311"/>
      <c r="BG1" s="311"/>
      <c r="BJ1" s="310" t="s">
        <v>1827</v>
      </c>
      <c r="BK1" s="311"/>
      <c r="BL1" s="311"/>
      <c r="BM1" s="311"/>
      <c r="BN1" s="311"/>
      <c r="BO1" s="311"/>
      <c r="BP1" s="311"/>
      <c r="BQ1" s="311"/>
      <c r="BR1" s="311"/>
      <c r="BS1" s="311"/>
      <c r="BT1" s="311"/>
      <c r="BU1" s="311"/>
      <c r="BV1" s="311"/>
      <c r="BX1" s="313" t="s">
        <v>1828</v>
      </c>
      <c r="BY1" s="311"/>
      <c r="BZ1" s="311"/>
      <c r="CA1" s="311"/>
      <c r="CB1" s="311"/>
      <c r="CC1" s="311"/>
      <c r="CD1" s="311"/>
      <c r="CE1" s="94"/>
      <c r="CF1" s="88" t="s">
        <v>1</v>
      </c>
      <c r="CG1" t="s">
        <v>103</v>
      </c>
      <c r="CI1" s="310" t="s">
        <v>1829</v>
      </c>
      <c r="CJ1" s="311"/>
      <c r="CM1" s="136" t="s">
        <v>1830</v>
      </c>
      <c r="CN1" s="136" t="s">
        <v>43</v>
      </c>
      <c r="CP1" s="137" t="e">
        <f>INDEX(CP2:CP13, MATCH(TRUE, INDEX(CP2:CP13&lt;&gt;"", 0), 0))</f>
        <v>#N/A</v>
      </c>
    </row>
    <row r="2" spans="2:201" ht="14.8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5"/>
  <cols>
    <col min="1" max="3" width="9" customWidth="1"/>
  </cols>
  <sheetData>
    <row r="1" spans="1:2">
      <c r="A1" s="308"/>
      <c r="B1" s="307"/>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5"/>
  <cols>
    <col min="2" max="2" width="18" bestFit="1" customWidth="1"/>
    <col min="3" max="3" width="10" bestFit="1" customWidth="1"/>
    <col min="4" max="4" width="11.28515625" bestFit="1" customWidth="1"/>
    <col min="5" max="5" width="4.28515625" bestFit="1" customWidth="1"/>
    <col min="6" max="7" width="6" bestFit="1" customWidth="1"/>
    <col min="8" max="8" width="5" bestFit="1" customWidth="1"/>
    <col min="9" max="9" width="6" bestFit="1" customWidth="1"/>
    <col min="10" max="10" width="4" bestFit="1" customWidth="1"/>
    <col min="11" max="11" width="6" bestFit="1" customWidth="1"/>
    <col min="12" max="13" width="10.85546875" bestFit="1" customWidth="1"/>
    <col min="15" max="15" width="12.5703125" bestFit="1" customWidth="1"/>
    <col min="16" max="16" width="10" bestFit="1" customWidth="1"/>
    <col min="17" max="17" width="11.28515625" bestFit="1" customWidth="1"/>
    <col min="18" max="18" width="5" bestFit="1" customWidth="1"/>
    <col min="19" max="20" width="6.7109375" bestFit="1" customWidth="1"/>
    <col min="21" max="21" width="5.7109375" bestFit="1" customWidth="1"/>
    <col min="22" max="22" width="5" bestFit="1" customWidth="1"/>
    <col min="23" max="23" width="4" bestFit="1" customWidth="1"/>
    <col min="24" max="24" width="6.7109375" bestFit="1" customWidth="1"/>
    <col min="25" max="26" width="10.85546875" bestFit="1" customWidth="1"/>
  </cols>
  <sheetData>
    <row r="1" spans="2:26">
      <c r="B1" s="314" t="s">
        <v>1902</v>
      </c>
      <c r="C1" s="307"/>
      <c r="D1" s="307"/>
      <c r="E1" s="307"/>
      <c r="F1" s="307"/>
      <c r="G1" s="307"/>
      <c r="H1" s="307"/>
      <c r="I1" s="307"/>
      <c r="J1" s="307"/>
      <c r="K1" s="307"/>
      <c r="L1" s="307"/>
      <c r="M1" s="307"/>
      <c r="O1" s="314" t="s">
        <v>1903</v>
      </c>
      <c r="P1" s="307"/>
      <c r="Q1" s="307"/>
      <c r="R1" s="307"/>
      <c r="S1" s="307"/>
      <c r="T1" s="307"/>
      <c r="U1" s="307"/>
      <c r="V1" s="307"/>
      <c r="W1" s="307"/>
      <c r="X1" s="307"/>
      <c r="Y1" s="307"/>
      <c r="Z1" s="307"/>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5"/>
  <cols>
    <col min="1" max="1" width="7.5703125" bestFit="1" customWidth="1"/>
    <col min="2" max="2" width="8" bestFit="1" customWidth="1"/>
    <col min="3" max="3" width="17.2851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2026-08-21T04:13:34Z</dcterms:modified>
</cp:coreProperties>
</file>