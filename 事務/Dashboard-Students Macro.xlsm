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drawings/drawing3.xml" ContentType="application/vnd.openxmlformats-officedocument.drawing+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drawings/drawing4.xml" ContentType="application/vnd.openxmlformats-officedocument.drawing+xml"/>
  <Override PartName="/xl/tables/table2.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5.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pivotTables/pivotTable11.xml" ContentType="application/vnd.openxmlformats-officedocument.spreadsheetml.pivotTable+xml"/>
  <Override PartName="/xl/pivotTables/pivotTable12.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C:\Users\Lenovo\bee-school-knowledge\事務\"/>
    </mc:Choice>
  </mc:AlternateContent>
  <xr:revisionPtr revIDLastSave="0" documentId="13_ncr:1_{463C24C9-B53D-4FB9-9EC9-516D95451B86}" xr6:coauthVersionLast="47" xr6:coauthVersionMax="47" xr10:uidLastSave="{00000000-0000-0000-0000-000000000000}"/>
  <bookViews>
    <workbookView xWindow="-98" yWindow="-98" windowWidth="19396" windowHeight="10276" tabRatio="587" activeTab="1" xr2:uid="{00000000-000D-0000-FFFF-FFFF00000000}"/>
  </bookViews>
  <sheets>
    <sheet name="Students" sheetId="1" r:id="rId1"/>
    <sheet name="F 2026" sheetId="13" r:id="rId2"/>
    <sheet name="F 2025" sheetId="2" r:id="rId3"/>
    <sheet name="Rico" sheetId="3" r:id="rId4"/>
    <sheet name="Cafe" sheetId="12" r:id="rId5"/>
    <sheet name="Taiken" sheetId="4" r:id="rId6"/>
    <sheet name="DropdownValues" sheetId="5" r:id="rId7"/>
    <sheet name="KPI+Pivot" sheetId="6" r:id="rId8"/>
    <sheet name="Dashboard" sheetId="7" r:id="rId9"/>
    <sheet name="Payroll(summary)" sheetId="8" r:id="rId10"/>
    <sheet name="Data validation" sheetId="9" r:id="rId11"/>
    <sheet name="Teachers Salaries" sheetId="10" r:id="rId12"/>
  </sheets>
  <definedNames>
    <definedName name="_xlnm._FilterDatabase" localSheetId="2" hidden="1">'F 2025'!$A$1:$AS$147</definedName>
    <definedName name="_xlnm._FilterDatabase" localSheetId="1" hidden="1">'F 2026'!$A$1:$AC$72</definedName>
    <definedName name="Slicer_Active1">#N/A</definedName>
    <definedName name="Slicer_Clean_Lesson_Type">#N/A</definedName>
    <definedName name="Slicer_Month">#N/A</definedName>
    <definedName name="Slicer_Teacher">#N/A</definedName>
  </definedNames>
  <calcPr calcId="191029"/>
  <pivotCaches>
    <pivotCache cacheId="0" r:id="rId13"/>
  </pivotCaches>
</workbook>
</file>

<file path=xl/calcChain.xml><?xml version="1.0" encoding="utf-8"?>
<calcChain xmlns="http://schemas.openxmlformats.org/spreadsheetml/2006/main">
  <c r="I71" i="13" l="1"/>
  <c r="S31" i="13"/>
  <c r="S32" i="13"/>
  <c r="S33" i="13"/>
  <c r="S34" i="13"/>
  <c r="S35" i="13"/>
  <c r="S36" i="13"/>
  <c r="S37" i="13"/>
  <c r="S38" i="13"/>
  <c r="S39" i="13"/>
  <c r="S40" i="13"/>
  <c r="S41" i="13"/>
  <c r="S42" i="13"/>
  <c r="S43" i="13"/>
  <c r="S44" i="13"/>
  <c r="S45" i="13"/>
  <c r="S46" i="13"/>
  <c r="S47" i="13"/>
  <c r="S48" i="13"/>
  <c r="S49" i="13"/>
  <c r="S50" i="13"/>
  <c r="S51" i="13"/>
  <c r="S52" i="13"/>
  <c r="S53" i="13"/>
  <c r="S54" i="13"/>
  <c r="S55" i="13"/>
  <c r="S56" i="13"/>
  <c r="S57" i="13"/>
  <c r="S58" i="13"/>
  <c r="S59" i="13"/>
  <c r="S60" i="13"/>
  <c r="S62" i="13"/>
  <c r="P31" i="13"/>
  <c r="S2" i="13"/>
  <c r="S3" i="13"/>
  <c r="S4" i="13"/>
  <c r="S5" i="13"/>
  <c r="S6" i="13"/>
  <c r="S7" i="13"/>
  <c r="S9" i="13"/>
  <c r="S10" i="13"/>
  <c r="S11" i="13"/>
  <c r="S12" i="13"/>
  <c r="S13" i="13"/>
  <c r="S14" i="13"/>
  <c r="S15" i="13"/>
  <c r="S17" i="13"/>
  <c r="S18" i="13"/>
  <c r="S19" i="13"/>
  <c r="S20" i="13"/>
  <c r="S21" i="13"/>
  <c r="S22" i="13"/>
  <c r="S23" i="13"/>
  <c r="S24" i="13"/>
  <c r="S25" i="13"/>
  <c r="S26" i="13"/>
  <c r="S27" i="13"/>
  <c r="S28" i="13"/>
  <c r="S29" i="13"/>
  <c r="P3" i="13"/>
  <c r="P4" i="13"/>
  <c r="P5" i="13"/>
  <c r="P6" i="13"/>
  <c r="P7" i="13"/>
  <c r="P9" i="13"/>
  <c r="P10" i="13"/>
  <c r="P11" i="13"/>
  <c r="P12" i="13"/>
  <c r="P13" i="13"/>
  <c r="P14" i="13"/>
  <c r="P15" i="13"/>
  <c r="P17" i="13"/>
  <c r="P18" i="13"/>
  <c r="P19" i="13"/>
  <c r="P20" i="13"/>
  <c r="P21" i="13"/>
  <c r="P22" i="13"/>
  <c r="P23" i="13"/>
  <c r="P24" i="13"/>
  <c r="P25" i="13"/>
  <c r="P26" i="13"/>
  <c r="P27" i="13"/>
  <c r="P28" i="13"/>
  <c r="P29" i="13"/>
  <c r="P32" i="13"/>
  <c r="P33" i="13"/>
  <c r="P34" i="13"/>
  <c r="P35" i="13"/>
  <c r="P36" i="13"/>
  <c r="P37" i="13"/>
  <c r="P38" i="13"/>
  <c r="P39" i="13"/>
  <c r="P40" i="13"/>
  <c r="P41" i="13"/>
  <c r="P42" i="13"/>
  <c r="P43" i="13"/>
  <c r="P44" i="13"/>
  <c r="P45" i="13"/>
  <c r="P46" i="13"/>
  <c r="P47" i="13"/>
  <c r="P48" i="13"/>
  <c r="P49" i="13"/>
  <c r="P50" i="13"/>
  <c r="P51" i="13"/>
  <c r="P52" i="13"/>
  <c r="P53" i="13"/>
  <c r="P54" i="13"/>
  <c r="P55" i="13"/>
  <c r="P56" i="13"/>
  <c r="P57" i="13"/>
  <c r="P58" i="13"/>
  <c r="P59" i="13"/>
  <c r="P60" i="13"/>
  <c r="P61" i="13"/>
  <c r="P62" i="13"/>
  <c r="P2" i="13"/>
  <c r="N11" i="13"/>
  <c r="N3" i="13"/>
  <c r="N4" i="13"/>
  <c r="N5" i="13"/>
  <c r="N6" i="13"/>
  <c r="N7" i="13"/>
  <c r="N8" i="13"/>
  <c r="N9" i="13"/>
  <c r="N10" i="13"/>
  <c r="N12" i="13"/>
  <c r="N13" i="13"/>
  <c r="N14" i="13"/>
  <c r="N15" i="13"/>
  <c r="N16" i="13"/>
  <c r="N17" i="13"/>
  <c r="N18" i="13"/>
  <c r="N19" i="13"/>
  <c r="N20" i="13"/>
  <c r="N21" i="13"/>
  <c r="N22" i="13"/>
  <c r="N23" i="13"/>
  <c r="N24" i="13"/>
  <c r="N25" i="13"/>
  <c r="N26" i="13"/>
  <c r="N27" i="13"/>
  <c r="N28" i="13"/>
  <c r="N29" i="13"/>
  <c r="N30" i="13"/>
  <c r="N31" i="13"/>
  <c r="N32" i="13"/>
  <c r="N33" i="13"/>
  <c r="N34" i="13"/>
  <c r="N35" i="13"/>
  <c r="N36" i="13"/>
  <c r="N37" i="13"/>
  <c r="N38" i="13"/>
  <c r="N39" i="13"/>
  <c r="N40" i="13"/>
  <c r="N41" i="13"/>
  <c r="N42" i="13"/>
  <c r="N43" i="13"/>
  <c r="N44" i="13"/>
  <c r="N45" i="13"/>
  <c r="N46" i="13"/>
  <c r="N47" i="13"/>
  <c r="N48" i="13"/>
  <c r="N49" i="13"/>
  <c r="N50" i="13"/>
  <c r="N51" i="13"/>
  <c r="N52" i="13"/>
  <c r="N53" i="13"/>
  <c r="N55" i="13"/>
  <c r="N56" i="13"/>
  <c r="N57" i="13"/>
  <c r="N58" i="13"/>
  <c r="N59" i="13"/>
  <c r="N60" i="13"/>
  <c r="N61" i="13"/>
  <c r="N2" i="13"/>
  <c r="AM16" i="2"/>
  <c r="AS80" i="2"/>
  <c r="I240" i="1"/>
  <c r="I239" i="1"/>
  <c r="I238" i="1"/>
  <c r="I237" i="1"/>
  <c r="I236" i="1"/>
  <c r="AJ79" i="2"/>
  <c r="AJ80" i="2"/>
  <c r="BP236" i="1"/>
  <c r="BO236" i="1"/>
  <c r="BN236" i="1"/>
  <c r="BM236" i="1"/>
  <c r="BL236" i="1"/>
  <c r="BK236" i="1"/>
  <c r="BJ236" i="1"/>
  <c r="BI236" i="1"/>
  <c r="BH236" i="1"/>
  <c r="BG236" i="1"/>
  <c r="BF236" i="1"/>
  <c r="BE236" i="1"/>
  <c r="BD236" i="1"/>
  <c r="BC236" i="1"/>
  <c r="BB236" i="1"/>
  <c r="BA236" i="1"/>
  <c r="AZ236" i="1"/>
  <c r="AY236" i="1"/>
  <c r="AW236" i="1"/>
  <c r="AV236" i="1"/>
  <c r="AU236" i="1"/>
  <c r="AT236" i="1"/>
  <c r="AS236" i="1"/>
  <c r="AR236" i="1"/>
  <c r="I235" i="1"/>
  <c r="BP235" i="1"/>
  <c r="AJ147" i="2"/>
  <c r="I234" i="1"/>
  <c r="AR234" i="1"/>
  <c r="AS234" i="1"/>
  <c r="AT234" i="1"/>
  <c r="AU234" i="1"/>
  <c r="AV234" i="1"/>
  <c r="AW234" i="1" s="1"/>
  <c r="AY234" i="1"/>
  <c r="BA234" i="1"/>
  <c r="BB234" i="1"/>
  <c r="BC234" i="1"/>
  <c r="BD234" i="1"/>
  <c r="BE234" i="1"/>
  <c r="BF234" i="1"/>
  <c r="BJ234" i="1"/>
  <c r="I233" i="1"/>
  <c r="AR233" i="1"/>
  <c r="AS233" i="1"/>
  <c r="AT233" i="1"/>
  <c r="AU233" i="1"/>
  <c r="AV233" i="1"/>
  <c r="AW233" i="1" s="1"/>
  <c r="AY233" i="1"/>
  <c r="BA233" i="1"/>
  <c r="BB233" i="1"/>
  <c r="BE233" i="1"/>
  <c r="BH233" i="1" s="1"/>
  <c r="BF233" i="1"/>
  <c r="AD73" i="2"/>
  <c r="AD74" i="2"/>
  <c r="BH234" i="1" l="1"/>
  <c r="AD14" i="2"/>
  <c r="AD6" i="2"/>
  <c r="AG6" i="2" s="1"/>
  <c r="AD3" i="2"/>
  <c r="AD9" i="2"/>
  <c r="AD8" i="2"/>
  <c r="AM8" i="2" s="1"/>
  <c r="AD7" i="2"/>
  <c r="AJ7" i="2" s="1"/>
  <c r="AD13" i="2"/>
  <c r="AD12" i="2"/>
  <c r="AJ11" i="2"/>
  <c r="AD19" i="2"/>
  <c r="AD18" i="2"/>
  <c r="AS18" i="2" s="1"/>
  <c r="AD17" i="2"/>
  <c r="AD24" i="2"/>
  <c r="AM24" i="2" s="1"/>
  <c r="AD23" i="2"/>
  <c r="AJ23" i="2" s="1"/>
  <c r="AD22" i="2"/>
  <c r="AD21" i="2"/>
  <c r="AD26" i="2"/>
  <c r="AS26" i="2" s="1"/>
  <c r="AD28" i="2"/>
  <c r="AM28" i="2" s="1"/>
  <c r="AD38" i="2"/>
  <c r="AD37" i="2"/>
  <c r="AD36" i="2"/>
  <c r="AD35" i="2"/>
  <c r="AS34" i="2"/>
  <c r="AD33" i="2"/>
  <c r="AD32" i="2"/>
  <c r="AD31" i="2"/>
  <c r="AD30" i="2"/>
  <c r="AS30" i="2" s="1"/>
  <c r="AD43" i="2"/>
  <c r="AJ43" i="2" s="1"/>
  <c r="AD42" i="2"/>
  <c r="AS42" i="2" s="1"/>
  <c r="AD41" i="2"/>
  <c r="AD58" i="2"/>
  <c r="AS58" i="2" s="1"/>
  <c r="AD57" i="2"/>
  <c r="AD55" i="2"/>
  <c r="AJ55" i="2" s="1"/>
  <c r="AD54" i="2"/>
  <c r="AD53" i="2"/>
  <c r="AD48" i="2"/>
  <c r="AD46" i="2"/>
  <c r="AS46" i="2" s="1"/>
  <c r="AD45" i="2"/>
  <c r="AD59" i="2"/>
  <c r="AJ59" i="2" s="1"/>
  <c r="AD10" i="2"/>
  <c r="AS10" i="2" s="1"/>
  <c r="AD15" i="2"/>
  <c r="AD20" i="2"/>
  <c r="AD25" i="2"/>
  <c r="AD27" i="2"/>
  <c r="AJ27" i="2" s="1"/>
  <c r="AD29" i="2"/>
  <c r="AD39" i="2"/>
  <c r="AJ39" i="2" s="1"/>
  <c r="AD40" i="2"/>
  <c r="AM40" i="2" s="1"/>
  <c r="AD44" i="2"/>
  <c r="AS50" i="2"/>
  <c r="AM56" i="2"/>
  <c r="AD60" i="2"/>
  <c r="AD61" i="2"/>
  <c r="AD62" i="2"/>
  <c r="AS62" i="2" s="1"/>
  <c r="AD63" i="2"/>
  <c r="AD64" i="2"/>
  <c r="AD65" i="2"/>
  <c r="AD66" i="2"/>
  <c r="AD67" i="2"/>
  <c r="AD68" i="2"/>
  <c r="AD69" i="2"/>
  <c r="AD70" i="2"/>
  <c r="AJ71" i="2"/>
  <c r="AM72" i="2"/>
  <c r="AS74" i="2"/>
  <c r="AJ75" i="2"/>
  <c r="AS78" i="2"/>
  <c r="AD228" i="2"/>
  <c r="AJ228" i="2" s="1"/>
  <c r="AD229" i="2"/>
  <c r="AG229" i="2" s="1"/>
  <c r="AD230" i="2"/>
  <c r="AJ230" i="2" s="1"/>
  <c r="AD231" i="2"/>
  <c r="AJ231" i="2" s="1"/>
  <c r="AD232" i="2"/>
  <c r="AJ232" i="2" s="1"/>
  <c r="AD233" i="2"/>
  <c r="AJ233" i="2" s="1"/>
  <c r="AD234" i="2"/>
  <c r="AJ234" i="2" s="1"/>
  <c r="AD235" i="2"/>
  <c r="AJ235" i="2" s="1"/>
  <c r="AD236" i="2"/>
  <c r="AJ236" i="2" s="1"/>
  <c r="AD237" i="2"/>
  <c r="AG237" i="2" s="1"/>
  <c r="AD238" i="2"/>
  <c r="AJ238" i="2" s="1"/>
  <c r="AD239" i="2"/>
  <c r="AJ239" i="2" s="1"/>
  <c r="AD240" i="2"/>
  <c r="AJ240" i="2" s="1"/>
  <c r="AD241" i="2"/>
  <c r="AG241" i="2" s="1"/>
  <c r="AD242" i="2"/>
  <c r="AJ242" i="2" s="1"/>
  <c r="AD243" i="2"/>
  <c r="AJ243" i="2" s="1"/>
  <c r="AD244" i="2"/>
  <c r="AJ244" i="2" s="1"/>
  <c r="AD245" i="2"/>
  <c r="AG245" i="2" s="1"/>
  <c r="AD246" i="2"/>
  <c r="AJ246" i="2" s="1"/>
  <c r="AD247" i="2"/>
  <c r="AJ247" i="2" s="1"/>
  <c r="AD248" i="2"/>
  <c r="AJ248" i="2" s="1"/>
  <c r="AD249" i="2"/>
  <c r="AJ249" i="2" s="1"/>
  <c r="AD250" i="2"/>
  <c r="AJ250" i="2" s="1"/>
  <c r="AD251" i="2"/>
  <c r="AJ251" i="2" s="1"/>
  <c r="AD252" i="2"/>
  <c r="AJ252" i="2" s="1"/>
  <c r="AD253" i="2"/>
  <c r="AG253" i="2" s="1"/>
  <c r="AD254" i="2"/>
  <c r="AJ254" i="2" s="1"/>
  <c r="AD255" i="2"/>
  <c r="AJ255" i="2" s="1"/>
  <c r="AD256" i="2"/>
  <c r="AJ256" i="2" s="1"/>
  <c r="AD257" i="2"/>
  <c r="AG257" i="2" s="1"/>
  <c r="AD258" i="2"/>
  <c r="AJ258" i="2" s="1"/>
  <c r="AD259" i="2"/>
  <c r="AJ259" i="2" s="1"/>
  <c r="AD260" i="2"/>
  <c r="AJ260" i="2" s="1"/>
  <c r="AD261" i="2"/>
  <c r="AG261" i="2" s="1"/>
  <c r="AD262" i="2"/>
  <c r="AJ262" i="2" s="1"/>
  <c r="AD263" i="2"/>
  <c r="AJ263" i="2" s="1"/>
  <c r="AD264" i="2"/>
  <c r="AJ264" i="2" s="1"/>
  <c r="AD265" i="2"/>
  <c r="AJ265" i="2" s="1"/>
  <c r="AD266" i="2"/>
  <c r="AJ266" i="2" s="1"/>
  <c r="AD267" i="2"/>
  <c r="AJ267" i="2" s="1"/>
  <c r="AD268" i="2"/>
  <c r="AJ268" i="2" s="1"/>
  <c r="AD269" i="2"/>
  <c r="AG269" i="2" s="1"/>
  <c r="AD270" i="2"/>
  <c r="AJ270" i="2" s="1"/>
  <c r="AD271" i="2"/>
  <c r="AJ271" i="2" s="1"/>
  <c r="AD272" i="2"/>
  <c r="AJ272" i="2" s="1"/>
  <c r="AD273" i="2"/>
  <c r="AG273" i="2" s="1"/>
  <c r="AD274" i="2"/>
  <c r="AJ274" i="2" s="1"/>
  <c r="AD275" i="2"/>
  <c r="AJ275" i="2" s="1"/>
  <c r="AD276" i="2"/>
  <c r="AJ276" i="2" s="1"/>
  <c r="AD277" i="2"/>
  <c r="AG277" i="2" s="1"/>
  <c r="AD278" i="2"/>
  <c r="AG278" i="2" s="1"/>
  <c r="AD279" i="2"/>
  <c r="AG279" i="2" s="1"/>
  <c r="AD280" i="2"/>
  <c r="AG280" i="2" s="1"/>
  <c r="AD281" i="2"/>
  <c r="AG281" i="2" s="1"/>
  <c r="AD282" i="2"/>
  <c r="AG282" i="2" s="1"/>
  <c r="AD283" i="2"/>
  <c r="AG283" i="2" s="1"/>
  <c r="AD284" i="2"/>
  <c r="AG284" i="2" s="1"/>
  <c r="AD285" i="2"/>
  <c r="AG285" i="2" s="1"/>
  <c r="AD286" i="2"/>
  <c r="AG286" i="2" s="1"/>
  <c r="AD287" i="2"/>
  <c r="AG287" i="2" s="1"/>
  <c r="AD288" i="2"/>
  <c r="AG288" i="2" s="1"/>
  <c r="AD289" i="2"/>
  <c r="AG289" i="2" s="1"/>
  <c r="AD290" i="2"/>
  <c r="AG290" i="2" s="1"/>
  <c r="AD291" i="2"/>
  <c r="AG291" i="2" s="1"/>
  <c r="AD292" i="2"/>
  <c r="AG292" i="2" s="1"/>
  <c r="AD293" i="2"/>
  <c r="AG293" i="2" s="1"/>
  <c r="AD294" i="2"/>
  <c r="AG294" i="2" s="1"/>
  <c r="AD295" i="2"/>
  <c r="AG295" i="2" s="1"/>
  <c r="AD296" i="2"/>
  <c r="AG296" i="2" s="1"/>
  <c r="AD297" i="2"/>
  <c r="AG297" i="2" s="1"/>
  <c r="AD298" i="2"/>
  <c r="AG298" i="2" s="1"/>
  <c r="AD299" i="2"/>
  <c r="AG299" i="2" s="1"/>
  <c r="AD300" i="2"/>
  <c r="AG300" i="2" s="1"/>
  <c r="AD301" i="2"/>
  <c r="AG301" i="2" s="1"/>
  <c r="AD302" i="2"/>
  <c r="AG302" i="2" s="1"/>
  <c r="AD303" i="2"/>
  <c r="AG303" i="2" s="1"/>
  <c r="AD304" i="2"/>
  <c r="AG304" i="2" s="1"/>
  <c r="AD305" i="2"/>
  <c r="AG305" i="2" s="1"/>
  <c r="AD306" i="2"/>
  <c r="AG306" i="2" s="1"/>
  <c r="AD307" i="2"/>
  <c r="AG307" i="2" s="1"/>
  <c r="AD308" i="2"/>
  <c r="AG308" i="2" s="1"/>
  <c r="AD309" i="2"/>
  <c r="AG309" i="2" s="1"/>
  <c r="AD310" i="2"/>
  <c r="AG310" i="2" s="1"/>
  <c r="AD311" i="2"/>
  <c r="AG311" i="2" s="1"/>
  <c r="AD312" i="2"/>
  <c r="AG312" i="2" s="1"/>
  <c r="AD313" i="2"/>
  <c r="AG313" i="2" s="1"/>
  <c r="AD314" i="2"/>
  <c r="AG314" i="2" s="1"/>
  <c r="AD315" i="2"/>
  <c r="AG315" i="2" s="1"/>
  <c r="AD316" i="2"/>
  <c r="AG316" i="2" s="1"/>
  <c r="AD317" i="2"/>
  <c r="AG317" i="2" s="1"/>
  <c r="AD318" i="2"/>
  <c r="AG318" i="2" s="1"/>
  <c r="AD319" i="2"/>
  <c r="AG319" i="2" s="1"/>
  <c r="AD320" i="2"/>
  <c r="AG320" i="2" s="1"/>
  <c r="AD321" i="2"/>
  <c r="AG321" i="2" s="1"/>
  <c r="AD322" i="2"/>
  <c r="AG322" i="2" s="1"/>
  <c r="AD323" i="2"/>
  <c r="AG323" i="2" s="1"/>
  <c r="AD324" i="2"/>
  <c r="AG324" i="2" s="1"/>
  <c r="AD325" i="2"/>
  <c r="AG325" i="2" s="1"/>
  <c r="AD326" i="2"/>
  <c r="AG326" i="2" s="1"/>
  <c r="AD327" i="2"/>
  <c r="AG327" i="2" s="1"/>
  <c r="AD328" i="2"/>
  <c r="AG328" i="2" s="1"/>
  <c r="AD329" i="2"/>
  <c r="AG329" i="2" s="1"/>
  <c r="AD330" i="2"/>
  <c r="AG330" i="2" s="1"/>
  <c r="AD331" i="2"/>
  <c r="AG331" i="2" s="1"/>
  <c r="AD332" i="2"/>
  <c r="AG332" i="2" s="1"/>
  <c r="AD333" i="2"/>
  <c r="AG333" i="2" s="1"/>
  <c r="AD334" i="2"/>
  <c r="AG334" i="2" s="1"/>
  <c r="AD335" i="2"/>
  <c r="AG335" i="2" s="1"/>
  <c r="AD336" i="2"/>
  <c r="AG336" i="2" s="1"/>
  <c r="AD337" i="2"/>
  <c r="AG337" i="2" s="1"/>
  <c r="AD338" i="2"/>
  <c r="AG338" i="2" s="1"/>
  <c r="AD339" i="2"/>
  <c r="AG339" i="2" s="1"/>
  <c r="AD340" i="2"/>
  <c r="AG340" i="2" s="1"/>
  <c r="AD341" i="2"/>
  <c r="AG341" i="2" s="1"/>
  <c r="AD342" i="2"/>
  <c r="AG342" i="2" s="1"/>
  <c r="AD343" i="2"/>
  <c r="AG343" i="2" s="1"/>
  <c r="AD344" i="2"/>
  <c r="AG344" i="2" s="1"/>
  <c r="AD345" i="2"/>
  <c r="AG345" i="2" s="1"/>
  <c r="AD346" i="2"/>
  <c r="AG346" i="2" s="1"/>
  <c r="AD347" i="2"/>
  <c r="AG347" i="2" s="1"/>
  <c r="AD348" i="2"/>
  <c r="AG348" i="2" s="1"/>
  <c r="AD349" i="2"/>
  <c r="AG349" i="2" s="1"/>
  <c r="AD350" i="2"/>
  <c r="AG350" i="2" s="1"/>
  <c r="AD351" i="2"/>
  <c r="AG351" i="2" s="1"/>
  <c r="AD352" i="2"/>
  <c r="AG352" i="2" s="1"/>
  <c r="AD353" i="2"/>
  <c r="AG353" i="2" s="1"/>
  <c r="AD354" i="2"/>
  <c r="AG354" i="2" s="1"/>
  <c r="AD355" i="2"/>
  <c r="AG355" i="2" s="1"/>
  <c r="AD356" i="2"/>
  <c r="AG356" i="2" s="1"/>
  <c r="AD357" i="2"/>
  <c r="AG357" i="2" s="1"/>
  <c r="AD358" i="2"/>
  <c r="AG358" i="2" s="1"/>
  <c r="AD359" i="2"/>
  <c r="AG359" i="2" s="1"/>
  <c r="AD360" i="2"/>
  <c r="AG360" i="2" s="1"/>
  <c r="AD361" i="2"/>
  <c r="AG361" i="2" s="1"/>
  <c r="AD362" i="2"/>
  <c r="AG362" i="2" s="1"/>
  <c r="AD363" i="2"/>
  <c r="AG363" i="2" s="1"/>
  <c r="AD364" i="2"/>
  <c r="AG364" i="2" s="1"/>
  <c r="AD365" i="2"/>
  <c r="AG365" i="2" s="1"/>
  <c r="AD366" i="2"/>
  <c r="AG366" i="2" s="1"/>
  <c r="AD367" i="2"/>
  <c r="AG367" i="2" s="1"/>
  <c r="AD368" i="2"/>
  <c r="AG368" i="2" s="1"/>
  <c r="AD369" i="2"/>
  <c r="AD370" i="2"/>
  <c r="AD371" i="2"/>
  <c r="AD372" i="2"/>
  <c r="AD373" i="2"/>
  <c r="AD374" i="2"/>
  <c r="AD375" i="2"/>
  <c r="AD376" i="2"/>
  <c r="AD377" i="2"/>
  <c r="AD378" i="2"/>
  <c r="AD379" i="2"/>
  <c r="AD380" i="2"/>
  <c r="AD381" i="2"/>
  <c r="AD382" i="2"/>
  <c r="AD383" i="2"/>
  <c r="AD384" i="2"/>
  <c r="AD385" i="2"/>
  <c r="AD386" i="2"/>
  <c r="AD387" i="2"/>
  <c r="AD388" i="2"/>
  <c r="AD389" i="2"/>
  <c r="AD390" i="2"/>
  <c r="AD391" i="2"/>
  <c r="AD392" i="2"/>
  <c r="AD393" i="2"/>
  <c r="AD394" i="2"/>
  <c r="AD395" i="2"/>
  <c r="AD396" i="2"/>
  <c r="AD397" i="2"/>
  <c r="AD398" i="2"/>
  <c r="AD399" i="2"/>
  <c r="AD400" i="2"/>
  <c r="AD401" i="2"/>
  <c r="AD402" i="2"/>
  <c r="AD403" i="2"/>
  <c r="AD404" i="2"/>
  <c r="AD405" i="2"/>
  <c r="AD406" i="2"/>
  <c r="AD407" i="2"/>
  <c r="AD408" i="2"/>
  <c r="AD409" i="2"/>
  <c r="AD410" i="2"/>
  <c r="AD411" i="2"/>
  <c r="AD412" i="2"/>
  <c r="AD413" i="2"/>
  <c r="AD414" i="2"/>
  <c r="AD415" i="2"/>
  <c r="AD416" i="2"/>
  <c r="AD417" i="2"/>
  <c r="AD418" i="2"/>
  <c r="AD419" i="2"/>
  <c r="AD420" i="2"/>
  <c r="AD421" i="2"/>
  <c r="AD422" i="2"/>
  <c r="AD423" i="2"/>
  <c r="AD424" i="2"/>
  <c r="AD425" i="2"/>
  <c r="AD426" i="2"/>
  <c r="AD427" i="2"/>
  <c r="AD428" i="2"/>
  <c r="AD429" i="2"/>
  <c r="AD430" i="2"/>
  <c r="AD431" i="2"/>
  <c r="AD432" i="2"/>
  <c r="AD433" i="2"/>
  <c r="AD434" i="2"/>
  <c r="AD435" i="2"/>
  <c r="AD436" i="2"/>
  <c r="AD437" i="2"/>
  <c r="AD438" i="2"/>
  <c r="AD439" i="2"/>
  <c r="AD440" i="2"/>
  <c r="AD441" i="2"/>
  <c r="AD442" i="2"/>
  <c r="AD443" i="2"/>
  <c r="AD444" i="2"/>
  <c r="AD445" i="2"/>
  <c r="AD446" i="2"/>
  <c r="AD447" i="2"/>
  <c r="AD448" i="2"/>
  <c r="AD449" i="2"/>
  <c r="AD450" i="2"/>
  <c r="AD451" i="2"/>
  <c r="AD452" i="2"/>
  <c r="AD453" i="2"/>
  <c r="AD454" i="2"/>
  <c r="AD455" i="2"/>
  <c r="AD456" i="2"/>
  <c r="AD457" i="2"/>
  <c r="AD458" i="2"/>
  <c r="AD459" i="2"/>
  <c r="AD460" i="2"/>
  <c r="AD461" i="2"/>
  <c r="AD462" i="2"/>
  <c r="AD463" i="2"/>
  <c r="AD464" i="2"/>
  <c r="AD465" i="2"/>
  <c r="AD466" i="2"/>
  <c r="AD467" i="2"/>
  <c r="AD468" i="2"/>
  <c r="AD469" i="2"/>
  <c r="AD470" i="2"/>
  <c r="AD471" i="2"/>
  <c r="AD472" i="2"/>
  <c r="AD473" i="2"/>
  <c r="AD474" i="2"/>
  <c r="AD475" i="2"/>
  <c r="AD476" i="2"/>
  <c r="AD477" i="2"/>
  <c r="AD478" i="2"/>
  <c r="AD479" i="2"/>
  <c r="AD480" i="2"/>
  <c r="AD481" i="2"/>
  <c r="AD482" i="2"/>
  <c r="AD483" i="2"/>
  <c r="AD484" i="2"/>
  <c r="AD485" i="2"/>
  <c r="AD486" i="2"/>
  <c r="AD487" i="2"/>
  <c r="AD488" i="2"/>
  <c r="AD489" i="2"/>
  <c r="AD490" i="2"/>
  <c r="AD491" i="2"/>
  <c r="AD492" i="2"/>
  <c r="AD493" i="2"/>
  <c r="AD494" i="2"/>
  <c r="AD495" i="2"/>
  <c r="AD496" i="2"/>
  <c r="AD497" i="2"/>
  <c r="AD498" i="2"/>
  <c r="AD499" i="2"/>
  <c r="AD500" i="2"/>
  <c r="AD501" i="2"/>
  <c r="AD502" i="2"/>
  <c r="AD503" i="2"/>
  <c r="AD504" i="2"/>
  <c r="AD505" i="2"/>
  <c r="AD506" i="2"/>
  <c r="AD507" i="2"/>
  <c r="AD508" i="2"/>
  <c r="AD509" i="2"/>
  <c r="AD510" i="2"/>
  <c r="AD511" i="2"/>
  <c r="AD512" i="2"/>
  <c r="AD513" i="2"/>
  <c r="AD514" i="2"/>
  <c r="AD515" i="2"/>
  <c r="AD516" i="2"/>
  <c r="AD517" i="2"/>
  <c r="AD518" i="2"/>
  <c r="AD519" i="2"/>
  <c r="AD520" i="2"/>
  <c r="AD521" i="2"/>
  <c r="AD522" i="2"/>
  <c r="AD523" i="2"/>
  <c r="AD524" i="2"/>
  <c r="AD525" i="2"/>
  <c r="AD526" i="2"/>
  <c r="AD527" i="2"/>
  <c r="AD528" i="2"/>
  <c r="AD529" i="2"/>
  <c r="AD530" i="2"/>
  <c r="AD531" i="2"/>
  <c r="AD532" i="2"/>
  <c r="AD533" i="2"/>
  <c r="AD534" i="2"/>
  <c r="AD535" i="2"/>
  <c r="AD536" i="2"/>
  <c r="AD537" i="2"/>
  <c r="AD538" i="2"/>
  <c r="AD539" i="2"/>
  <c r="AD540" i="2"/>
  <c r="AD541" i="2"/>
  <c r="AD542" i="2"/>
  <c r="AD543" i="2"/>
  <c r="AD544" i="2"/>
  <c r="AD545" i="2"/>
  <c r="AD546" i="2"/>
  <c r="AD547" i="2"/>
  <c r="AD548" i="2"/>
  <c r="AD549" i="2"/>
  <c r="AD550" i="2"/>
  <c r="AD551" i="2"/>
  <c r="AD552" i="2"/>
  <c r="AD553" i="2"/>
  <c r="AD554" i="2"/>
  <c r="AD555" i="2"/>
  <c r="AD556" i="2"/>
  <c r="AD557" i="2"/>
  <c r="AD558" i="2"/>
  <c r="AD559" i="2"/>
  <c r="AD560" i="2"/>
  <c r="AD561" i="2"/>
  <c r="AD562" i="2"/>
  <c r="AD563" i="2"/>
  <c r="AD564" i="2"/>
  <c r="AD565" i="2"/>
  <c r="AD566" i="2"/>
  <c r="AD567" i="2"/>
  <c r="AD568" i="2"/>
  <c r="AD569" i="2"/>
  <c r="AD570" i="2"/>
  <c r="AD571" i="2"/>
  <c r="AD572" i="2"/>
  <c r="AD573" i="2"/>
  <c r="AD574" i="2"/>
  <c r="AD575" i="2"/>
  <c r="AD576" i="2"/>
  <c r="AD577" i="2"/>
  <c r="AD578" i="2"/>
  <c r="AD579" i="2"/>
  <c r="AD580" i="2"/>
  <c r="AD581" i="2"/>
  <c r="AD582" i="2"/>
  <c r="AD583" i="2"/>
  <c r="AD584" i="2"/>
  <c r="AD585" i="2"/>
  <c r="AD586" i="2"/>
  <c r="AD587" i="2"/>
  <c r="AD588" i="2"/>
  <c r="AD589" i="2"/>
  <c r="AD590" i="2"/>
  <c r="AD591" i="2"/>
  <c r="AD592" i="2"/>
  <c r="AD593" i="2"/>
  <c r="AD594" i="2"/>
  <c r="AD595" i="2"/>
  <c r="AD596" i="2"/>
  <c r="AD597" i="2"/>
  <c r="AD598" i="2"/>
  <c r="AD599" i="2"/>
  <c r="AD600" i="2"/>
  <c r="AD601" i="2"/>
  <c r="AD602" i="2"/>
  <c r="AD603" i="2"/>
  <c r="AD604" i="2"/>
  <c r="AD605" i="2"/>
  <c r="AD606" i="2"/>
  <c r="AD607" i="2"/>
  <c r="AD608" i="2"/>
  <c r="AD609" i="2"/>
  <c r="AD610" i="2"/>
  <c r="AD611" i="2"/>
  <c r="AD612" i="2"/>
  <c r="AD613" i="2"/>
  <c r="AD614" i="2"/>
  <c r="AD615" i="2"/>
  <c r="AD616" i="2"/>
  <c r="AD617" i="2"/>
  <c r="AD618" i="2"/>
  <c r="AD619" i="2"/>
  <c r="AD620" i="2"/>
  <c r="AD621" i="2"/>
  <c r="AD622" i="2"/>
  <c r="AD623" i="2"/>
  <c r="AD624" i="2"/>
  <c r="AD625" i="2"/>
  <c r="AD626" i="2"/>
  <c r="AD627" i="2"/>
  <c r="AD628" i="2"/>
  <c r="AD629" i="2"/>
  <c r="AD630" i="2"/>
  <c r="AD631" i="2"/>
  <c r="AD632" i="2"/>
  <c r="AD633" i="2"/>
  <c r="AD634" i="2"/>
  <c r="AD635" i="2"/>
  <c r="AD636" i="2"/>
  <c r="AD637" i="2"/>
  <c r="AD638" i="2"/>
  <c r="AD639" i="2"/>
  <c r="AD640" i="2"/>
  <c r="AD641" i="2"/>
  <c r="AD642" i="2"/>
  <c r="AD643" i="2"/>
  <c r="AD644" i="2"/>
  <c r="AD645" i="2"/>
  <c r="AD646" i="2"/>
  <c r="AD647" i="2"/>
  <c r="AD648" i="2"/>
  <c r="AD649" i="2"/>
  <c r="AD650" i="2"/>
  <c r="AD651" i="2"/>
  <c r="AD652" i="2"/>
  <c r="AD653" i="2"/>
  <c r="AD654" i="2"/>
  <c r="AD655" i="2"/>
  <c r="AD656" i="2"/>
  <c r="AD657" i="2"/>
  <c r="AD658" i="2"/>
  <c r="AD659" i="2"/>
  <c r="AD660" i="2"/>
  <c r="AD661" i="2"/>
  <c r="AD662" i="2"/>
  <c r="AD663" i="2"/>
  <c r="AD664" i="2"/>
  <c r="AD665" i="2"/>
  <c r="AD666" i="2"/>
  <c r="AD667" i="2"/>
  <c r="AD668" i="2"/>
  <c r="AD669" i="2"/>
  <c r="AD670" i="2"/>
  <c r="AD671" i="2"/>
  <c r="AD672" i="2"/>
  <c r="AD673" i="2"/>
  <c r="AD674" i="2"/>
  <c r="AD675" i="2"/>
  <c r="AD676" i="2"/>
  <c r="AD677" i="2"/>
  <c r="AD678" i="2"/>
  <c r="AD679" i="2"/>
  <c r="AD680" i="2"/>
  <c r="AD681" i="2"/>
  <c r="AD682" i="2"/>
  <c r="AD683" i="2"/>
  <c r="AD684" i="2"/>
  <c r="AD685" i="2"/>
  <c r="AD686" i="2"/>
  <c r="AD687" i="2"/>
  <c r="AD688" i="2"/>
  <c r="AD689" i="2"/>
  <c r="AD690" i="2"/>
  <c r="AD691" i="2"/>
  <c r="AD692" i="2"/>
  <c r="AD693" i="2"/>
  <c r="AD694" i="2"/>
  <c r="AD695" i="2"/>
  <c r="AD696" i="2"/>
  <c r="AD697" i="2"/>
  <c r="AD698" i="2"/>
  <c r="AD699" i="2"/>
  <c r="AD700" i="2"/>
  <c r="AD701" i="2"/>
  <c r="AD702" i="2"/>
  <c r="AD703" i="2"/>
  <c r="AD704" i="2"/>
  <c r="AD705" i="2"/>
  <c r="AD706" i="2"/>
  <c r="AD707" i="2"/>
  <c r="AD708" i="2"/>
  <c r="AD709" i="2"/>
  <c r="AD710" i="2"/>
  <c r="AD711" i="2"/>
  <c r="AD712" i="2"/>
  <c r="AD713" i="2"/>
  <c r="AD714" i="2"/>
  <c r="AD715" i="2"/>
  <c r="AD716" i="2"/>
  <c r="AD717" i="2"/>
  <c r="AD718" i="2"/>
  <c r="AD719" i="2"/>
  <c r="AD720" i="2"/>
  <c r="AD721" i="2"/>
  <c r="AD722" i="2"/>
  <c r="AD723" i="2"/>
  <c r="AD724" i="2"/>
  <c r="AD725" i="2"/>
  <c r="AD726" i="2"/>
  <c r="AD727" i="2"/>
  <c r="AD728" i="2"/>
  <c r="AD729" i="2"/>
  <c r="AD730" i="2"/>
  <c r="AD731" i="2"/>
  <c r="AD732" i="2"/>
  <c r="AD733" i="2"/>
  <c r="AD734" i="2"/>
  <c r="AD735" i="2"/>
  <c r="AD736" i="2"/>
  <c r="AD737" i="2"/>
  <c r="AD738" i="2"/>
  <c r="AD739" i="2"/>
  <c r="AD740" i="2"/>
  <c r="AD741" i="2"/>
  <c r="AD742" i="2"/>
  <c r="AD743" i="2"/>
  <c r="AD744" i="2"/>
  <c r="AD745" i="2"/>
  <c r="AD746" i="2"/>
  <c r="AD747" i="2"/>
  <c r="AD748" i="2"/>
  <c r="AD749" i="2"/>
  <c r="AD750" i="2"/>
  <c r="AD751" i="2"/>
  <c r="AD752" i="2"/>
  <c r="AD753" i="2"/>
  <c r="AD754" i="2"/>
  <c r="AD755" i="2"/>
  <c r="AD756" i="2"/>
  <c r="AD757" i="2"/>
  <c r="AD758" i="2"/>
  <c r="AD759" i="2"/>
  <c r="AD760" i="2"/>
  <c r="AD761" i="2"/>
  <c r="AD762" i="2"/>
  <c r="AD763" i="2"/>
  <c r="AD764" i="2"/>
  <c r="AD765" i="2"/>
  <c r="AD766" i="2"/>
  <c r="AD767" i="2"/>
  <c r="AD768" i="2"/>
  <c r="AD769" i="2"/>
  <c r="AD770" i="2"/>
  <c r="AD771" i="2"/>
  <c r="AD772" i="2"/>
  <c r="AD773" i="2"/>
  <c r="AD774" i="2"/>
  <c r="AD775" i="2"/>
  <c r="AD776" i="2"/>
  <c r="AD777" i="2"/>
  <c r="AD778" i="2"/>
  <c r="AD779" i="2"/>
  <c r="AD780" i="2"/>
  <c r="AD781" i="2"/>
  <c r="AD782" i="2"/>
  <c r="AD783" i="2"/>
  <c r="AD784" i="2"/>
  <c r="AD785" i="2"/>
  <c r="AD786" i="2"/>
  <c r="AD787" i="2"/>
  <c r="AD788" i="2"/>
  <c r="AD789" i="2"/>
  <c r="AD790" i="2"/>
  <c r="AD791" i="2"/>
  <c r="AD792" i="2"/>
  <c r="AD793" i="2"/>
  <c r="AD794" i="2"/>
  <c r="AD795" i="2"/>
  <c r="AD796" i="2"/>
  <c r="AD797" i="2"/>
  <c r="AD798" i="2"/>
  <c r="AD799" i="2"/>
  <c r="AD800" i="2"/>
  <c r="AD801" i="2"/>
  <c r="AD802" i="2"/>
  <c r="AD803" i="2"/>
  <c r="AD804" i="2"/>
  <c r="AD805" i="2"/>
  <c r="AD806" i="2"/>
  <c r="AD807" i="2"/>
  <c r="AD808" i="2"/>
  <c r="AD809" i="2"/>
  <c r="AD810" i="2"/>
  <c r="AD811" i="2"/>
  <c r="AD812" i="2"/>
  <c r="AD813" i="2"/>
  <c r="AD814" i="2"/>
  <c r="AD815" i="2"/>
  <c r="AD816" i="2"/>
  <c r="AD817" i="2"/>
  <c r="AD818" i="2"/>
  <c r="AD819" i="2"/>
  <c r="AD820" i="2"/>
  <c r="AD821" i="2"/>
  <c r="AD822" i="2"/>
  <c r="AD823" i="2"/>
  <c r="AD824" i="2"/>
  <c r="AD825" i="2"/>
  <c r="AD826" i="2"/>
  <c r="AD827" i="2"/>
  <c r="AD828" i="2"/>
  <c r="AD829" i="2"/>
  <c r="AD830" i="2"/>
  <c r="AD831" i="2"/>
  <c r="AD832" i="2"/>
  <c r="AD833" i="2"/>
  <c r="AD834" i="2"/>
  <c r="AD835" i="2"/>
  <c r="AD836" i="2"/>
  <c r="AD837" i="2"/>
  <c r="AD838" i="2"/>
  <c r="AD839" i="2"/>
  <c r="AD840" i="2"/>
  <c r="AD841" i="2"/>
  <c r="AD842" i="2"/>
  <c r="AD843" i="2"/>
  <c r="AD844" i="2"/>
  <c r="AD845" i="2"/>
  <c r="AD846" i="2"/>
  <c r="AD847" i="2"/>
  <c r="AD848" i="2"/>
  <c r="AD849" i="2"/>
  <c r="AD850" i="2"/>
  <c r="AD851" i="2"/>
  <c r="AD852" i="2"/>
  <c r="AD853" i="2"/>
  <c r="AD854" i="2"/>
  <c r="AD855" i="2"/>
  <c r="AD856" i="2"/>
  <c r="AD857" i="2"/>
  <c r="AD858" i="2"/>
  <c r="AD859" i="2"/>
  <c r="AD860" i="2"/>
  <c r="AD861" i="2"/>
  <c r="AD862" i="2"/>
  <c r="AD863" i="2"/>
  <c r="AD864" i="2"/>
  <c r="AD865" i="2"/>
  <c r="AD866" i="2"/>
  <c r="AD867" i="2"/>
  <c r="AD868" i="2"/>
  <c r="AD869" i="2"/>
  <c r="AD870" i="2"/>
  <c r="AD871" i="2"/>
  <c r="AD872" i="2"/>
  <c r="AD873" i="2"/>
  <c r="AD874" i="2"/>
  <c r="AD875" i="2"/>
  <c r="AD876" i="2"/>
  <c r="AD877" i="2"/>
  <c r="AD878" i="2"/>
  <c r="AD879" i="2"/>
  <c r="AD880" i="2"/>
  <c r="AD881" i="2"/>
  <c r="AD882" i="2"/>
  <c r="AD883" i="2"/>
  <c r="AD884" i="2"/>
  <c r="AD885" i="2"/>
  <c r="AD886" i="2"/>
  <c r="AD887" i="2"/>
  <c r="AD888" i="2"/>
  <c r="AD889" i="2"/>
  <c r="AD890" i="2"/>
  <c r="AD891" i="2"/>
  <c r="AD892" i="2"/>
  <c r="AD893" i="2"/>
  <c r="AD894" i="2"/>
  <c r="AD895" i="2"/>
  <c r="AD896" i="2"/>
  <c r="AD897" i="2"/>
  <c r="AD898" i="2"/>
  <c r="AD899" i="2"/>
  <c r="AD900" i="2"/>
  <c r="AD901" i="2"/>
  <c r="AD902" i="2"/>
  <c r="AD903" i="2"/>
  <c r="AD904" i="2"/>
  <c r="AD905" i="2"/>
  <c r="AD906" i="2"/>
  <c r="AD907" i="2"/>
  <c r="AD908" i="2"/>
  <c r="A2" i="9"/>
  <c r="A3" i="9" s="1"/>
  <c r="A4" i="9" s="1"/>
  <c r="A5" i="9" s="1"/>
  <c r="A6" i="9" s="1"/>
  <c r="A7" i="9" s="1"/>
  <c r="A8" i="9" s="1"/>
  <c r="A9" i="9" s="1"/>
  <c r="AG67" i="6"/>
  <c r="AI67" i="6" s="1"/>
  <c r="AG66" i="6"/>
  <c r="AH66" i="6" s="1"/>
  <c r="AG65" i="6"/>
  <c r="AH65" i="6" s="1"/>
  <c r="AG64" i="6"/>
  <c r="AH64" i="6" s="1"/>
  <c r="AG63" i="6"/>
  <c r="AH63" i="6" s="1"/>
  <c r="AG62" i="6"/>
  <c r="AI62" i="6" s="1"/>
  <c r="T16" i="6"/>
  <c r="V16" i="6" s="1"/>
  <c r="L16" i="6"/>
  <c r="K16" i="6"/>
  <c r="T15" i="6"/>
  <c r="U15" i="6" s="1"/>
  <c r="L15" i="6"/>
  <c r="K15" i="6"/>
  <c r="T14" i="6"/>
  <c r="U14" i="6" s="1"/>
  <c r="L14" i="6"/>
  <c r="K14" i="6"/>
  <c r="CO13" i="6"/>
  <c r="S16" i="6" s="1"/>
  <c r="CJ13" i="6"/>
  <c r="CI13" i="6"/>
  <c r="T13" i="6"/>
  <c r="V13" i="6" s="1"/>
  <c r="L13" i="6"/>
  <c r="K13" i="6"/>
  <c r="CO12" i="6"/>
  <c r="S15" i="6" s="1"/>
  <c r="CJ12" i="6"/>
  <c r="CI12" i="6"/>
  <c r="T12" i="6"/>
  <c r="V12" i="6" s="1"/>
  <c r="L12" i="6"/>
  <c r="K12" i="6"/>
  <c r="CO11" i="6"/>
  <c r="S14" i="6" s="1"/>
  <c r="CJ11" i="6"/>
  <c r="CI11" i="6"/>
  <c r="T11" i="6"/>
  <c r="U11" i="6" s="1"/>
  <c r="L11" i="6"/>
  <c r="K11" i="6"/>
  <c r="C11" i="6"/>
  <c r="CO10" i="6"/>
  <c r="S13" i="6" s="1"/>
  <c r="CJ10" i="6"/>
  <c r="CI10" i="6"/>
  <c r="T10" i="6"/>
  <c r="V10" i="6" s="1"/>
  <c r="L10" i="6"/>
  <c r="K10" i="6"/>
  <c r="C10" i="6"/>
  <c r="CO9" i="6"/>
  <c r="S12" i="6" s="1"/>
  <c r="CJ9" i="6"/>
  <c r="CI9" i="6"/>
  <c r="T9" i="6"/>
  <c r="U9" i="6" s="1"/>
  <c r="L9" i="6"/>
  <c r="K9" i="6"/>
  <c r="CO8" i="6"/>
  <c r="S11" i="6" s="1"/>
  <c r="CJ8" i="6"/>
  <c r="CI8" i="6"/>
  <c r="CD8" i="6"/>
  <c r="CC8" i="6"/>
  <c r="CB8" i="6"/>
  <c r="AI8" i="6"/>
  <c r="AH8" i="6"/>
  <c r="T8" i="6"/>
  <c r="V8" i="6" s="1"/>
  <c r="L8" i="6"/>
  <c r="K8" i="6"/>
  <c r="CO7" i="6"/>
  <c r="CP7" i="6" s="1"/>
  <c r="CJ7" i="6"/>
  <c r="CI7" i="6"/>
  <c r="CD7" i="6"/>
  <c r="CC7" i="6"/>
  <c r="CB7" i="6"/>
  <c r="AI7" i="6"/>
  <c r="AH7" i="6"/>
  <c r="T7" i="6"/>
  <c r="U7" i="6" s="1"/>
  <c r="L7" i="6"/>
  <c r="K7" i="6"/>
  <c r="CO6" i="6"/>
  <c r="S9" i="6" s="1"/>
  <c r="CJ6" i="6"/>
  <c r="CI6" i="6"/>
  <c r="CD6" i="6"/>
  <c r="CC6" i="6"/>
  <c r="CB6" i="6"/>
  <c r="BH6" i="6"/>
  <c r="AV6" i="6"/>
  <c r="AW6" i="6" s="1"/>
  <c r="AU6" i="6"/>
  <c r="AI6" i="6"/>
  <c r="AH6" i="6"/>
  <c r="T6" i="6"/>
  <c r="U6" i="6" s="1"/>
  <c r="L6" i="6"/>
  <c r="K6" i="6"/>
  <c r="GS5" i="6"/>
  <c r="GR5" i="6"/>
  <c r="GQ5" i="6"/>
  <c r="GP5" i="6"/>
  <c r="GO5" i="6"/>
  <c r="GN5" i="6"/>
  <c r="GM5" i="6"/>
  <c r="GL5" i="6"/>
  <c r="GK5" i="6"/>
  <c r="GJ5" i="6"/>
  <c r="GI5" i="6"/>
  <c r="GH5" i="6"/>
  <c r="GG5" i="6"/>
  <c r="GF5" i="6"/>
  <c r="GE5" i="6"/>
  <c r="GD5" i="6"/>
  <c r="GC5" i="6"/>
  <c r="GB5" i="6"/>
  <c r="GA5" i="6"/>
  <c r="FZ5" i="6"/>
  <c r="FY5" i="6"/>
  <c r="FX5" i="6"/>
  <c r="FW5" i="6"/>
  <c r="FV5" i="6"/>
  <c r="FU5" i="6"/>
  <c r="FT5" i="6"/>
  <c r="FS5" i="6"/>
  <c r="FR5" i="6"/>
  <c r="FQ5" i="6"/>
  <c r="FP5" i="6"/>
  <c r="FO5" i="6"/>
  <c r="FN5" i="6"/>
  <c r="FM5" i="6"/>
  <c r="FL5" i="6"/>
  <c r="FK5" i="6"/>
  <c r="FJ5" i="6"/>
  <c r="FI5" i="6"/>
  <c r="FH5" i="6"/>
  <c r="FG5" i="6"/>
  <c r="FF5" i="6"/>
  <c r="FE5" i="6"/>
  <c r="FD5" i="6"/>
  <c r="FC5" i="6"/>
  <c r="FB5" i="6"/>
  <c r="FA5" i="6"/>
  <c r="EZ5" i="6"/>
  <c r="EY5" i="6"/>
  <c r="EX5" i="6"/>
  <c r="EW5" i="6"/>
  <c r="EV5" i="6"/>
  <c r="EU5" i="6"/>
  <c r="ET5" i="6"/>
  <c r="ES5" i="6"/>
  <c r="ER5" i="6"/>
  <c r="EQ5" i="6"/>
  <c r="EP5" i="6"/>
  <c r="EO5" i="6"/>
  <c r="EN5" i="6"/>
  <c r="EM5" i="6"/>
  <c r="EL5" i="6"/>
  <c r="EK5" i="6"/>
  <c r="EJ5" i="6"/>
  <c r="EI5" i="6"/>
  <c r="EH5" i="6"/>
  <c r="EG5" i="6"/>
  <c r="EF5" i="6"/>
  <c r="EE5" i="6"/>
  <c r="ED5" i="6"/>
  <c r="EC5" i="6"/>
  <c r="EB5" i="6"/>
  <c r="EA5" i="6"/>
  <c r="DZ5" i="6"/>
  <c r="DY5" i="6"/>
  <c r="DX5" i="6"/>
  <c r="DW5" i="6"/>
  <c r="DV5" i="6"/>
  <c r="DU5" i="6"/>
  <c r="DT5" i="6"/>
  <c r="DS5" i="6"/>
  <c r="DR5" i="6"/>
  <c r="DQ5" i="6"/>
  <c r="DP5" i="6"/>
  <c r="DO5" i="6"/>
  <c r="DN5" i="6"/>
  <c r="DM5" i="6"/>
  <c r="DL5" i="6"/>
  <c r="DK5" i="6"/>
  <c r="DJ5" i="6"/>
  <c r="DI5" i="6"/>
  <c r="DH5" i="6"/>
  <c r="DG5" i="6"/>
  <c r="DF5" i="6"/>
  <c r="DE5" i="6"/>
  <c r="DD5" i="6"/>
  <c r="DC5" i="6"/>
  <c r="DB5" i="6"/>
  <c r="CO5" i="6"/>
  <c r="CP5" i="6" s="1"/>
  <c r="CJ5" i="6"/>
  <c r="CI5" i="6"/>
  <c r="CH5" i="6"/>
  <c r="CH6" i="6" s="1"/>
  <c r="CH7" i="6" s="1"/>
  <c r="CH8" i="6" s="1"/>
  <c r="CH9" i="6" s="1"/>
  <c r="CH10" i="6" s="1"/>
  <c r="CH11" i="6" s="1"/>
  <c r="CH12" i="6" s="1"/>
  <c r="CH13" i="6" s="1"/>
  <c r="CD5" i="6"/>
  <c r="CC5" i="6"/>
  <c r="CB5" i="6"/>
  <c r="AV5" i="6"/>
  <c r="AW5" i="6" s="1"/>
  <c r="AU5" i="6"/>
  <c r="AI5" i="6"/>
  <c r="AH5" i="6"/>
  <c r="T5" i="6"/>
  <c r="V5" i="6" s="1"/>
  <c r="L5" i="6"/>
  <c r="K5" i="6"/>
  <c r="GS4" i="6"/>
  <c r="GR4" i="6"/>
  <c r="GQ4" i="6"/>
  <c r="GP4" i="6"/>
  <c r="GO4" i="6"/>
  <c r="GN4" i="6"/>
  <c r="GM4" i="6"/>
  <c r="GL4" i="6"/>
  <c r="GK4" i="6"/>
  <c r="GJ4" i="6"/>
  <c r="GI4" i="6"/>
  <c r="GH4" i="6"/>
  <c r="GG4" i="6"/>
  <c r="GF4" i="6"/>
  <c r="GE4" i="6"/>
  <c r="GD4" i="6"/>
  <c r="GC4" i="6"/>
  <c r="GB4" i="6"/>
  <c r="GA4" i="6"/>
  <c r="FZ4" i="6"/>
  <c r="FY4" i="6"/>
  <c r="FX4" i="6"/>
  <c r="FW4" i="6"/>
  <c r="FV4" i="6"/>
  <c r="FU4" i="6"/>
  <c r="FT4" i="6"/>
  <c r="FS4" i="6"/>
  <c r="FR4" i="6"/>
  <c r="FQ4" i="6"/>
  <c r="FP4" i="6"/>
  <c r="FO4" i="6"/>
  <c r="FN4" i="6"/>
  <c r="FM4" i="6"/>
  <c r="FL4" i="6"/>
  <c r="FK4" i="6"/>
  <c r="FJ4" i="6"/>
  <c r="FI4" i="6"/>
  <c r="FH4" i="6"/>
  <c r="FG4" i="6"/>
  <c r="FF4" i="6"/>
  <c r="FE4" i="6"/>
  <c r="FD4" i="6"/>
  <c r="FC4" i="6"/>
  <c r="FB4" i="6"/>
  <c r="FA4" i="6"/>
  <c r="EZ4" i="6"/>
  <c r="EY4" i="6"/>
  <c r="EX4" i="6"/>
  <c r="EW4" i="6"/>
  <c r="EV4" i="6"/>
  <c r="EU4" i="6"/>
  <c r="ET4" i="6"/>
  <c r="ES4" i="6"/>
  <c r="ER4" i="6"/>
  <c r="EQ4" i="6"/>
  <c r="EP4" i="6"/>
  <c r="EO4" i="6"/>
  <c r="EN4" i="6"/>
  <c r="EM4" i="6"/>
  <c r="EL4" i="6"/>
  <c r="EK4" i="6"/>
  <c r="EJ4" i="6"/>
  <c r="EI4" i="6"/>
  <c r="EH4" i="6"/>
  <c r="EG4" i="6"/>
  <c r="EF4" i="6"/>
  <c r="EE4" i="6"/>
  <c r="ED4" i="6"/>
  <c r="EC4" i="6"/>
  <c r="EB4" i="6"/>
  <c r="EA4" i="6"/>
  <c r="DZ4" i="6"/>
  <c r="DY4" i="6"/>
  <c r="DX4" i="6"/>
  <c r="DW4" i="6"/>
  <c r="DV4" i="6"/>
  <c r="DU4" i="6"/>
  <c r="DT4" i="6"/>
  <c r="DS4" i="6"/>
  <c r="DR4" i="6"/>
  <c r="DQ4" i="6"/>
  <c r="DP4" i="6"/>
  <c r="DO4" i="6"/>
  <c r="DN4" i="6"/>
  <c r="DM4" i="6"/>
  <c r="DL4" i="6"/>
  <c r="DK4" i="6"/>
  <c r="DJ4" i="6"/>
  <c r="DI4" i="6"/>
  <c r="DH4" i="6"/>
  <c r="DG4" i="6"/>
  <c r="DF4" i="6"/>
  <c r="DE4" i="6"/>
  <c r="DD4" i="6"/>
  <c r="DC4" i="6"/>
  <c r="DB4" i="6"/>
  <c r="DB9" i="6" s="1"/>
  <c r="CO4" i="6"/>
  <c r="CJ4" i="6"/>
  <c r="CI4" i="6"/>
  <c r="CD4" i="6"/>
  <c r="CC4" i="6"/>
  <c r="CB4" i="6"/>
  <c r="AT4" i="6"/>
  <c r="T4" i="6"/>
  <c r="L4" i="6"/>
  <c r="K4" i="6"/>
  <c r="CO3" i="6"/>
  <c r="S6" i="6" s="1"/>
  <c r="CM3" i="6"/>
  <c r="CM4" i="6" s="1"/>
  <c r="CM5" i="6" s="1"/>
  <c r="CM6" i="6" s="1"/>
  <c r="CM7" i="6" s="1"/>
  <c r="CM8" i="6" s="1"/>
  <c r="CM9" i="6" s="1"/>
  <c r="CM10" i="6" s="1"/>
  <c r="CM11" i="6" s="1"/>
  <c r="CM12" i="6" s="1"/>
  <c r="CM13" i="6" s="1"/>
  <c r="CJ3" i="6"/>
  <c r="CI3" i="6"/>
  <c r="CC3" i="6"/>
  <c r="CB3" i="6"/>
  <c r="CO2" i="6"/>
  <c r="CP2" i="6" s="1"/>
  <c r="BP232" i="1"/>
  <c r="BJ232" i="1"/>
  <c r="BF232" i="1"/>
  <c r="BE232" i="1"/>
  <c r="BI232" i="1" s="1"/>
  <c r="BK232" i="1" s="1"/>
  <c r="BD232" i="1"/>
  <c r="BC232" i="1"/>
  <c r="BB232" i="1"/>
  <c r="BA232" i="1"/>
  <c r="AY232" i="1"/>
  <c r="AV232" i="1"/>
  <c r="AW232" i="1" s="1"/>
  <c r="AU232" i="1"/>
  <c r="AT232" i="1"/>
  <c r="AS232" i="1"/>
  <c r="AR232" i="1"/>
  <c r="I232" i="1"/>
  <c r="BP231" i="1"/>
  <c r="BF231" i="1"/>
  <c r="BE231" i="1"/>
  <c r="BB231" i="1"/>
  <c r="BA231" i="1"/>
  <c r="AY231" i="1"/>
  <c r="AV231" i="1"/>
  <c r="AW231" i="1" s="1"/>
  <c r="AU231" i="1"/>
  <c r="AT231" i="1"/>
  <c r="AS231" i="1"/>
  <c r="AR231" i="1"/>
  <c r="I231" i="1"/>
  <c r="BP230" i="1"/>
  <c r="BJ230" i="1"/>
  <c r="BF230" i="1"/>
  <c r="BE230" i="1"/>
  <c r="BG230" i="1" s="1"/>
  <c r="BD230" i="1"/>
  <c r="BC230" i="1"/>
  <c r="BB230" i="1"/>
  <c r="BA230" i="1"/>
  <c r="AV230" i="1"/>
  <c r="AW230" i="1" s="1"/>
  <c r="AU230" i="1"/>
  <c r="AT230" i="1"/>
  <c r="AS230" i="1"/>
  <c r="AY230" i="1" s="1"/>
  <c r="AR230" i="1"/>
  <c r="I230" i="1"/>
  <c r="BP229" i="1"/>
  <c r="BO229" i="1"/>
  <c r="BN229" i="1"/>
  <c r="BM229" i="1"/>
  <c r="BL229" i="1"/>
  <c r="BJ229" i="1"/>
  <c r="BF229" i="1"/>
  <c r="BE229" i="1"/>
  <c r="BI229" i="1" s="1"/>
  <c r="BK229" i="1" s="1"/>
  <c r="BD229" i="1"/>
  <c r="BC229" i="1"/>
  <c r="BB229" i="1"/>
  <c r="BA229" i="1"/>
  <c r="AY229" i="1"/>
  <c r="AV229" i="1"/>
  <c r="AW229" i="1" s="1"/>
  <c r="AU229" i="1"/>
  <c r="AT229" i="1"/>
  <c r="AS229" i="1"/>
  <c r="AR229" i="1"/>
  <c r="I229" i="1"/>
  <c r="BP228" i="1"/>
  <c r="BO228" i="1"/>
  <c r="BN228" i="1"/>
  <c r="BM228" i="1"/>
  <c r="BL228" i="1"/>
  <c r="BJ228" i="1"/>
  <c r="BF228" i="1"/>
  <c r="BE228" i="1"/>
  <c r="BI228" i="1" s="1"/>
  <c r="BK228" i="1" s="1"/>
  <c r="BD228" i="1"/>
  <c r="BC228" i="1"/>
  <c r="BB228" i="1"/>
  <c r="BA228" i="1"/>
  <c r="AY228" i="1"/>
  <c r="AV228" i="1"/>
  <c r="AW228" i="1" s="1"/>
  <c r="AU228" i="1"/>
  <c r="AT228" i="1"/>
  <c r="AS228" i="1"/>
  <c r="AR228" i="1"/>
  <c r="I228" i="1"/>
  <c r="BJ227" i="1"/>
  <c r="BF227" i="1"/>
  <c r="BE227" i="1"/>
  <c r="BG227" i="1" s="1"/>
  <c r="BD227" i="1"/>
  <c r="BC227" i="1"/>
  <c r="BB227" i="1"/>
  <c r="BA227" i="1"/>
  <c r="AY227" i="1"/>
  <c r="AV227" i="1"/>
  <c r="AW227" i="1" s="1"/>
  <c r="AU227" i="1"/>
  <c r="AT227" i="1"/>
  <c r="AS227" i="1"/>
  <c r="AR227" i="1"/>
  <c r="I227" i="1"/>
  <c r="BP226" i="1"/>
  <c r="BJ226" i="1"/>
  <c r="BF226" i="1"/>
  <c r="BE226" i="1"/>
  <c r="BG226" i="1" s="1"/>
  <c r="BD226" i="1"/>
  <c r="BC226" i="1"/>
  <c r="BB226" i="1"/>
  <c r="BA226" i="1"/>
  <c r="AY226" i="1"/>
  <c r="AV226" i="1"/>
  <c r="AW226" i="1" s="1"/>
  <c r="AU226" i="1"/>
  <c r="AT226" i="1"/>
  <c r="AS226" i="1"/>
  <c r="AR226" i="1"/>
  <c r="I226" i="1"/>
  <c r="BP225" i="1"/>
  <c r="BJ225" i="1"/>
  <c r="BF225" i="1"/>
  <c r="BE225" i="1"/>
  <c r="BI225" i="1" s="1"/>
  <c r="BK225" i="1" s="1"/>
  <c r="BD225" i="1"/>
  <c r="BC225" i="1"/>
  <c r="BB225" i="1"/>
  <c r="BA225" i="1"/>
  <c r="AY225" i="1"/>
  <c r="AV225" i="1"/>
  <c r="AW225" i="1" s="1"/>
  <c r="AU225" i="1"/>
  <c r="AT225" i="1"/>
  <c r="AS225" i="1"/>
  <c r="AR225" i="1"/>
  <c r="I225" i="1"/>
  <c r="BP224" i="1"/>
  <c r="BF224" i="1"/>
  <c r="BE224" i="1"/>
  <c r="BB224" i="1"/>
  <c r="BA224" i="1"/>
  <c r="AY224" i="1"/>
  <c r="AV224" i="1"/>
  <c r="AU224" i="1"/>
  <c r="AT224" i="1"/>
  <c r="AS224" i="1"/>
  <c r="AR224" i="1"/>
  <c r="I224" i="1"/>
  <c r="BP223" i="1"/>
  <c r="BJ223" i="1"/>
  <c r="BF223" i="1"/>
  <c r="BE223" i="1"/>
  <c r="BG223" i="1" s="1"/>
  <c r="BD223" i="1"/>
  <c r="BC223" i="1"/>
  <c r="BB223" i="1"/>
  <c r="BA223" i="1"/>
  <c r="AY223" i="1"/>
  <c r="AV223" i="1"/>
  <c r="AW223" i="1" s="1"/>
  <c r="AU223" i="1"/>
  <c r="AT223" i="1"/>
  <c r="AS223" i="1"/>
  <c r="AR223" i="1"/>
  <c r="I223" i="1"/>
  <c r="BF222" i="1"/>
  <c r="BE222" i="1"/>
  <c r="BB222" i="1"/>
  <c r="BA222" i="1"/>
  <c r="AV222" i="1"/>
  <c r="AW222" i="1" s="1"/>
  <c r="AU222" i="1"/>
  <c r="AT222" i="1"/>
  <c r="AS222" i="1"/>
  <c r="AY222" i="1" s="1"/>
  <c r="AR222" i="1"/>
  <c r="I222" i="1"/>
  <c r="BJ221" i="1"/>
  <c r="BF221" i="1"/>
  <c r="BE221" i="1"/>
  <c r="BI221" i="1" s="1"/>
  <c r="BK221" i="1" s="1"/>
  <c r="BD221" i="1"/>
  <c r="BC221" i="1"/>
  <c r="BB221" i="1"/>
  <c r="BA221" i="1"/>
  <c r="AV221" i="1"/>
  <c r="AW221" i="1" s="1"/>
  <c r="AU221" i="1"/>
  <c r="AT221" i="1"/>
  <c r="AS221" i="1"/>
  <c r="AY221" i="1" s="1"/>
  <c r="AR221" i="1"/>
  <c r="I221" i="1"/>
  <c r="BJ220" i="1"/>
  <c r="BF220" i="1"/>
  <c r="BE220" i="1"/>
  <c r="BI220" i="1" s="1"/>
  <c r="BK220" i="1" s="1"/>
  <c r="BD220" i="1"/>
  <c r="BC220" i="1"/>
  <c r="BB220" i="1"/>
  <c r="BA220" i="1"/>
  <c r="AV220" i="1"/>
  <c r="AW220" i="1" s="1"/>
  <c r="AU220" i="1"/>
  <c r="AT220" i="1"/>
  <c r="AS220" i="1"/>
  <c r="AY220" i="1" s="1"/>
  <c r="AR220" i="1"/>
  <c r="I220" i="1"/>
  <c r="BP219" i="1"/>
  <c r="BO219" i="1"/>
  <c r="BN219" i="1"/>
  <c r="BM219" i="1"/>
  <c r="BL219" i="1"/>
  <c r="BJ219" i="1"/>
  <c r="BF219" i="1"/>
  <c r="BE219" i="1"/>
  <c r="BD219" i="1"/>
  <c r="BC219" i="1"/>
  <c r="BB219" i="1"/>
  <c r="BA219" i="1"/>
  <c r="AY219" i="1"/>
  <c r="AV219" i="1"/>
  <c r="AW219" i="1" s="1"/>
  <c r="AU219" i="1"/>
  <c r="AT219" i="1"/>
  <c r="AS219" i="1"/>
  <c r="AR219" i="1"/>
  <c r="I219" i="1"/>
  <c r="BP218" i="1"/>
  <c r="BJ218" i="1"/>
  <c r="BF218" i="1"/>
  <c r="BE218" i="1"/>
  <c r="BG218" i="1" s="1"/>
  <c r="BD218" i="1"/>
  <c r="BC218" i="1"/>
  <c r="BB218" i="1"/>
  <c r="BA218" i="1"/>
  <c r="AV218" i="1"/>
  <c r="AW218" i="1" s="1"/>
  <c r="AU218" i="1"/>
  <c r="AT218" i="1"/>
  <c r="AS218" i="1"/>
  <c r="AY218" i="1" s="1"/>
  <c r="AR218" i="1"/>
  <c r="I218" i="1"/>
  <c r="BP217" i="1"/>
  <c r="BF217" i="1"/>
  <c r="BE217" i="1"/>
  <c r="BB217" i="1"/>
  <c r="BA217" i="1"/>
  <c r="AY217" i="1"/>
  <c r="AV217" i="1"/>
  <c r="AU217" i="1"/>
  <c r="AT217" i="1"/>
  <c r="AS217" i="1"/>
  <c r="AR217" i="1"/>
  <c r="I217" i="1"/>
  <c r="BP216" i="1"/>
  <c r="BO216" i="1"/>
  <c r="BN216" i="1"/>
  <c r="BM216" i="1"/>
  <c r="BL216" i="1"/>
  <c r="BJ216" i="1"/>
  <c r="BF216" i="1"/>
  <c r="BE216" i="1"/>
  <c r="BD216" i="1"/>
  <c r="BC216" i="1"/>
  <c r="BB216" i="1"/>
  <c r="BA216" i="1"/>
  <c r="AY216" i="1"/>
  <c r="AV216" i="1"/>
  <c r="AW216" i="1" s="1"/>
  <c r="AU216" i="1"/>
  <c r="AT216" i="1"/>
  <c r="AS216" i="1"/>
  <c r="AR216" i="1"/>
  <c r="I216" i="1"/>
  <c r="BP215" i="1"/>
  <c r="BO215" i="1"/>
  <c r="BN215" i="1"/>
  <c r="BM215" i="1"/>
  <c r="BL215" i="1"/>
  <c r="BJ215" i="1"/>
  <c r="BF215" i="1"/>
  <c r="BE215" i="1"/>
  <c r="BD215" i="1"/>
  <c r="BC215" i="1"/>
  <c r="BB215" i="1"/>
  <c r="BA215" i="1"/>
  <c r="AY215" i="1"/>
  <c r="AV215" i="1"/>
  <c r="AW215" i="1" s="1"/>
  <c r="AU215" i="1"/>
  <c r="AT215" i="1"/>
  <c r="AS215" i="1"/>
  <c r="AR215" i="1"/>
  <c r="I215" i="1"/>
  <c r="BP214" i="1"/>
  <c r="BO214" i="1"/>
  <c r="BN214" i="1"/>
  <c r="BM214" i="1"/>
  <c r="BL214" i="1"/>
  <c r="BJ214" i="1"/>
  <c r="BF214" i="1"/>
  <c r="BE214" i="1"/>
  <c r="BD214" i="1"/>
  <c r="BC214" i="1"/>
  <c r="BB214" i="1"/>
  <c r="BA214" i="1"/>
  <c r="AY214" i="1"/>
  <c r="AV214" i="1"/>
  <c r="AW214" i="1" s="1"/>
  <c r="AU214" i="1"/>
  <c r="AT214" i="1"/>
  <c r="AS214" i="1"/>
  <c r="AR214" i="1"/>
  <c r="I214" i="1"/>
  <c r="BP213" i="1"/>
  <c r="BJ213" i="1"/>
  <c r="BF213" i="1"/>
  <c r="BE213" i="1"/>
  <c r="BD213" i="1"/>
  <c r="BC213" i="1"/>
  <c r="BB213" i="1"/>
  <c r="BA213" i="1"/>
  <c r="AY213" i="1"/>
  <c r="AV213" i="1"/>
  <c r="AW213" i="1" s="1"/>
  <c r="AU213" i="1"/>
  <c r="AT213" i="1"/>
  <c r="AS213" i="1"/>
  <c r="AR213" i="1"/>
  <c r="I213" i="1"/>
  <c r="BP212" i="1"/>
  <c r="BO212" i="1"/>
  <c r="BN212" i="1"/>
  <c r="BM212" i="1"/>
  <c r="BL212" i="1"/>
  <c r="BJ212" i="1"/>
  <c r="BF212" i="1"/>
  <c r="BE212" i="1"/>
  <c r="BD212" i="1"/>
  <c r="BC212" i="1"/>
  <c r="BB212" i="1"/>
  <c r="BA212" i="1"/>
  <c r="AY212" i="1"/>
  <c r="AV212" i="1"/>
  <c r="AW212" i="1" s="1"/>
  <c r="AU212" i="1"/>
  <c r="AT212" i="1"/>
  <c r="AS212" i="1"/>
  <c r="AR212" i="1"/>
  <c r="I212" i="1"/>
  <c r="BP211" i="1"/>
  <c r="BJ211" i="1"/>
  <c r="BF211" i="1"/>
  <c r="BE211" i="1"/>
  <c r="BD211" i="1"/>
  <c r="BC211" i="1"/>
  <c r="BB211" i="1"/>
  <c r="BA211" i="1"/>
  <c r="AY211" i="1"/>
  <c r="AV211" i="1"/>
  <c r="AW211" i="1" s="1"/>
  <c r="AU211" i="1"/>
  <c r="AT211" i="1"/>
  <c r="AS211" i="1"/>
  <c r="AR211" i="1"/>
  <c r="I211" i="1"/>
  <c r="BP210" i="1"/>
  <c r="BO210" i="1"/>
  <c r="BN210" i="1"/>
  <c r="BM210" i="1"/>
  <c r="BL210" i="1"/>
  <c r="BJ210" i="1"/>
  <c r="BF210" i="1"/>
  <c r="BE210" i="1"/>
  <c r="BD210" i="1"/>
  <c r="BC210" i="1"/>
  <c r="BB210" i="1"/>
  <c r="BA210" i="1"/>
  <c r="AY210" i="1"/>
  <c r="AV210" i="1"/>
  <c r="AW210" i="1" s="1"/>
  <c r="AU210" i="1"/>
  <c r="AT210" i="1"/>
  <c r="AS210" i="1"/>
  <c r="AR210" i="1"/>
  <c r="I210" i="1"/>
  <c r="BP209" i="1"/>
  <c r="BO209" i="1"/>
  <c r="BN209" i="1"/>
  <c r="BM209" i="1"/>
  <c r="BL209" i="1"/>
  <c r="BJ209" i="1"/>
  <c r="BF209" i="1"/>
  <c r="BE209" i="1"/>
  <c r="BD209" i="1"/>
  <c r="BC209" i="1"/>
  <c r="BB209" i="1"/>
  <c r="BA209" i="1"/>
  <c r="AY209" i="1"/>
  <c r="AV209" i="1"/>
  <c r="AW209" i="1" s="1"/>
  <c r="AU209" i="1"/>
  <c r="AT209" i="1"/>
  <c r="AS209" i="1"/>
  <c r="AR209" i="1"/>
  <c r="I209" i="1"/>
  <c r="BP208" i="1"/>
  <c r="BJ208" i="1"/>
  <c r="BF208" i="1"/>
  <c r="BE208" i="1"/>
  <c r="BD208" i="1"/>
  <c r="BC208" i="1"/>
  <c r="BB208" i="1"/>
  <c r="BA208" i="1"/>
  <c r="AY208" i="1"/>
  <c r="AV208" i="1"/>
  <c r="AW208" i="1" s="1"/>
  <c r="AU208" i="1"/>
  <c r="AT208" i="1"/>
  <c r="AS208" i="1"/>
  <c r="AR208" i="1"/>
  <c r="I208" i="1"/>
  <c r="BP207" i="1"/>
  <c r="BF207" i="1"/>
  <c r="BE207" i="1"/>
  <c r="BB207" i="1"/>
  <c r="BA207" i="1"/>
  <c r="AV207" i="1"/>
  <c r="AW207" i="1" s="1"/>
  <c r="AU207" i="1"/>
  <c r="AT207" i="1"/>
  <c r="AS207" i="1"/>
  <c r="AY207" i="1" s="1"/>
  <c r="AR207" i="1"/>
  <c r="I207" i="1"/>
  <c r="BP206" i="1"/>
  <c r="BJ206" i="1"/>
  <c r="BF206" i="1"/>
  <c r="BE206" i="1"/>
  <c r="BD206" i="1"/>
  <c r="BC206" i="1"/>
  <c r="BB206" i="1"/>
  <c r="BA206" i="1"/>
  <c r="AY206" i="1"/>
  <c r="AV206" i="1"/>
  <c r="AW206" i="1" s="1"/>
  <c r="AU206" i="1"/>
  <c r="AT206" i="1"/>
  <c r="AS206" i="1"/>
  <c r="AR206" i="1"/>
  <c r="I206" i="1"/>
  <c r="BP205" i="1"/>
  <c r="BJ205" i="1"/>
  <c r="BF205" i="1"/>
  <c r="BE205" i="1"/>
  <c r="BD205" i="1"/>
  <c r="BC205" i="1"/>
  <c r="BB205" i="1"/>
  <c r="BA205" i="1"/>
  <c r="AY205" i="1"/>
  <c r="AV205" i="1"/>
  <c r="AW205" i="1" s="1"/>
  <c r="AU205" i="1"/>
  <c r="AT205" i="1"/>
  <c r="AS205" i="1"/>
  <c r="AR205" i="1"/>
  <c r="I205" i="1"/>
  <c r="BP204" i="1"/>
  <c r="BF204" i="1"/>
  <c r="BE204" i="1"/>
  <c r="BB204" i="1"/>
  <c r="BA204" i="1"/>
  <c r="AY204" i="1"/>
  <c r="AV204" i="1"/>
  <c r="AU204" i="1"/>
  <c r="AT204" i="1"/>
  <c r="AS204" i="1"/>
  <c r="AR204" i="1"/>
  <c r="I204" i="1"/>
  <c r="BP203" i="1"/>
  <c r="BJ203" i="1"/>
  <c r="BF203" i="1"/>
  <c r="BE203" i="1"/>
  <c r="BD203" i="1"/>
  <c r="BC203" i="1"/>
  <c r="BB203" i="1"/>
  <c r="BA203" i="1"/>
  <c r="AY203" i="1"/>
  <c r="AV203" i="1"/>
  <c r="AW203" i="1" s="1"/>
  <c r="AU203" i="1"/>
  <c r="AT203" i="1"/>
  <c r="AS203" i="1"/>
  <c r="AR203" i="1"/>
  <c r="I203" i="1"/>
  <c r="BP202" i="1"/>
  <c r="BJ202" i="1"/>
  <c r="BF202" i="1"/>
  <c r="BE202" i="1"/>
  <c r="BG202" i="1" s="1"/>
  <c r="BD202" i="1"/>
  <c r="BC202" i="1"/>
  <c r="BB202" i="1"/>
  <c r="BA202" i="1"/>
  <c r="AV202" i="1"/>
  <c r="AW202" i="1" s="1"/>
  <c r="AU202" i="1"/>
  <c r="AT202" i="1"/>
  <c r="AS202" i="1"/>
  <c r="AY202" i="1" s="1"/>
  <c r="AR202" i="1"/>
  <c r="I202" i="1"/>
  <c r="BP201" i="1"/>
  <c r="BJ201" i="1"/>
  <c r="BF201" i="1"/>
  <c r="BE201" i="1"/>
  <c r="BD201" i="1"/>
  <c r="BC201" i="1"/>
  <c r="BB201" i="1"/>
  <c r="BA201" i="1"/>
  <c r="AY201" i="1"/>
  <c r="AV201" i="1"/>
  <c r="AW201" i="1" s="1"/>
  <c r="AU201" i="1"/>
  <c r="AT201" i="1"/>
  <c r="AS201" i="1"/>
  <c r="AR201" i="1"/>
  <c r="I201" i="1"/>
  <c r="BP200" i="1"/>
  <c r="BO200" i="1"/>
  <c r="BN200" i="1"/>
  <c r="BM200" i="1"/>
  <c r="BL200" i="1"/>
  <c r="BJ200" i="1"/>
  <c r="BF200" i="1"/>
  <c r="BE200" i="1"/>
  <c r="BD200" i="1"/>
  <c r="BC200" i="1"/>
  <c r="BB200" i="1"/>
  <c r="BA200" i="1"/>
  <c r="AY200" i="1"/>
  <c r="AV200" i="1"/>
  <c r="AW200" i="1" s="1"/>
  <c r="AU200" i="1"/>
  <c r="AT200" i="1"/>
  <c r="AS200" i="1"/>
  <c r="AR200" i="1"/>
  <c r="I200" i="1"/>
  <c r="BP199" i="1"/>
  <c r="BO199" i="1"/>
  <c r="BN199" i="1"/>
  <c r="BM199" i="1"/>
  <c r="BL199" i="1"/>
  <c r="BJ199" i="1"/>
  <c r="BF199" i="1"/>
  <c r="BE199" i="1"/>
  <c r="BD199" i="1"/>
  <c r="BC199" i="1"/>
  <c r="BB199" i="1"/>
  <c r="BA199" i="1"/>
  <c r="AY199" i="1"/>
  <c r="AV199" i="1"/>
  <c r="AW199" i="1" s="1"/>
  <c r="AU199" i="1"/>
  <c r="AT199" i="1"/>
  <c r="AS199" i="1"/>
  <c r="AR199" i="1"/>
  <c r="I199" i="1"/>
  <c r="BP198" i="1"/>
  <c r="BO198" i="1"/>
  <c r="BN198" i="1"/>
  <c r="BM198" i="1"/>
  <c r="BL198" i="1"/>
  <c r="BJ198" i="1"/>
  <c r="BF198" i="1"/>
  <c r="BE198" i="1"/>
  <c r="BD198" i="1"/>
  <c r="BC198" i="1"/>
  <c r="BB198" i="1"/>
  <c r="BA198" i="1"/>
  <c r="AY198" i="1"/>
  <c r="AV198" i="1"/>
  <c r="AW198" i="1" s="1"/>
  <c r="AU198" i="1"/>
  <c r="AT198" i="1"/>
  <c r="AS198" i="1"/>
  <c r="AR198" i="1"/>
  <c r="I198" i="1"/>
  <c r="BF197" i="1"/>
  <c r="BE197" i="1"/>
  <c r="BB197" i="1"/>
  <c r="BA197" i="1"/>
  <c r="AV197" i="1"/>
  <c r="AW197" i="1" s="1"/>
  <c r="AU197" i="1"/>
  <c r="AT197" i="1"/>
  <c r="AS197" i="1"/>
  <c r="AY197" i="1" s="1"/>
  <c r="AR197" i="1"/>
  <c r="I197" i="1"/>
  <c r="BP196" i="1"/>
  <c r="BO196" i="1"/>
  <c r="BN196" i="1"/>
  <c r="BM196" i="1"/>
  <c r="BL196" i="1"/>
  <c r="BJ196" i="1"/>
  <c r="BF196" i="1"/>
  <c r="BE196" i="1"/>
  <c r="BD196" i="1"/>
  <c r="BC196" i="1"/>
  <c r="BB196" i="1"/>
  <c r="BA196" i="1"/>
  <c r="AY196" i="1"/>
  <c r="AV196" i="1"/>
  <c r="AW196" i="1" s="1"/>
  <c r="AU196" i="1"/>
  <c r="AT196" i="1"/>
  <c r="AS196" i="1"/>
  <c r="AR196" i="1"/>
  <c r="I196" i="1"/>
  <c r="BP195" i="1"/>
  <c r="BO195" i="1"/>
  <c r="BN195" i="1"/>
  <c r="BM195" i="1"/>
  <c r="BL195" i="1"/>
  <c r="BJ195" i="1"/>
  <c r="BF195" i="1"/>
  <c r="BE195" i="1"/>
  <c r="BD195" i="1"/>
  <c r="BC195" i="1"/>
  <c r="BB195" i="1"/>
  <c r="BA195" i="1"/>
  <c r="AY195" i="1"/>
  <c r="AV195" i="1"/>
  <c r="AW195" i="1" s="1"/>
  <c r="AU195" i="1"/>
  <c r="AT195" i="1"/>
  <c r="AS195" i="1"/>
  <c r="AR195" i="1"/>
  <c r="I195" i="1"/>
  <c r="BP194" i="1"/>
  <c r="BO194" i="1"/>
  <c r="BN194" i="1"/>
  <c r="BM194" i="1"/>
  <c r="BL194" i="1"/>
  <c r="BJ194" i="1"/>
  <c r="BF194" i="1"/>
  <c r="BE194" i="1"/>
  <c r="BD194" i="1"/>
  <c r="BC194" i="1"/>
  <c r="BB194" i="1"/>
  <c r="BA194" i="1"/>
  <c r="AY194" i="1"/>
  <c r="AV194" i="1"/>
  <c r="AW194" i="1" s="1"/>
  <c r="AU194" i="1"/>
  <c r="AT194" i="1"/>
  <c r="AS194" i="1"/>
  <c r="AR194" i="1"/>
  <c r="I194" i="1"/>
  <c r="BP193" i="1"/>
  <c r="BO193" i="1"/>
  <c r="BN193" i="1"/>
  <c r="BM193" i="1"/>
  <c r="BL193" i="1"/>
  <c r="BJ193" i="1"/>
  <c r="BF193" i="1"/>
  <c r="BE193" i="1"/>
  <c r="BD193" i="1"/>
  <c r="BC193" i="1"/>
  <c r="BB193" i="1"/>
  <c r="BA193" i="1"/>
  <c r="AY193" i="1"/>
  <c r="AV193" i="1"/>
  <c r="AW193" i="1" s="1"/>
  <c r="AU193" i="1"/>
  <c r="AT193" i="1"/>
  <c r="AS193" i="1"/>
  <c r="AR193" i="1"/>
  <c r="I193" i="1"/>
  <c r="BP192" i="1"/>
  <c r="BJ192" i="1"/>
  <c r="BF192" i="1"/>
  <c r="BE192" i="1"/>
  <c r="BD192" i="1"/>
  <c r="BC192" i="1"/>
  <c r="BB192" i="1"/>
  <c r="BA192" i="1"/>
  <c r="AY192" i="1"/>
  <c r="AV192" i="1"/>
  <c r="AW192" i="1" s="1"/>
  <c r="AU192" i="1"/>
  <c r="AT192" i="1"/>
  <c r="AS192" i="1"/>
  <c r="AR192" i="1"/>
  <c r="I192" i="1"/>
  <c r="BP191" i="1"/>
  <c r="BO191" i="1"/>
  <c r="BN191" i="1"/>
  <c r="BM191" i="1"/>
  <c r="BL191" i="1"/>
  <c r="BJ191" i="1"/>
  <c r="BF191" i="1"/>
  <c r="BE191" i="1"/>
  <c r="BD191" i="1"/>
  <c r="BC191" i="1"/>
  <c r="BB191" i="1"/>
  <c r="BA191" i="1"/>
  <c r="AY191" i="1"/>
  <c r="AV191" i="1"/>
  <c r="AW191" i="1" s="1"/>
  <c r="AU191" i="1"/>
  <c r="AT191" i="1"/>
  <c r="AS191" i="1"/>
  <c r="AR191" i="1"/>
  <c r="I191" i="1"/>
  <c r="BP190" i="1"/>
  <c r="BJ190" i="1"/>
  <c r="BF190" i="1"/>
  <c r="BE190" i="1"/>
  <c r="BD190" i="1"/>
  <c r="BC190" i="1"/>
  <c r="BB190" i="1"/>
  <c r="BA190" i="1"/>
  <c r="AY190" i="1"/>
  <c r="AV190" i="1"/>
  <c r="AW190" i="1" s="1"/>
  <c r="AU190" i="1"/>
  <c r="AT190" i="1"/>
  <c r="AS190" i="1"/>
  <c r="AR190" i="1"/>
  <c r="I190" i="1"/>
  <c r="BP189" i="1"/>
  <c r="BJ189" i="1"/>
  <c r="BF189" i="1"/>
  <c r="BE189" i="1"/>
  <c r="BD189" i="1"/>
  <c r="BC189" i="1"/>
  <c r="BB189" i="1"/>
  <c r="BA189" i="1"/>
  <c r="AY189" i="1"/>
  <c r="AV189" i="1"/>
  <c r="AW189" i="1" s="1"/>
  <c r="AU189" i="1"/>
  <c r="AT189" i="1"/>
  <c r="AS189" i="1"/>
  <c r="AR189" i="1"/>
  <c r="I189" i="1"/>
  <c r="BP188" i="1"/>
  <c r="BJ188" i="1"/>
  <c r="BF188" i="1"/>
  <c r="BE188" i="1"/>
  <c r="BI188" i="1" s="1"/>
  <c r="BK188" i="1" s="1"/>
  <c r="BD188" i="1"/>
  <c r="BC188" i="1"/>
  <c r="BB188" i="1"/>
  <c r="BA188" i="1"/>
  <c r="AY188" i="1"/>
  <c r="AV188" i="1"/>
  <c r="AW188" i="1" s="1"/>
  <c r="AU188" i="1"/>
  <c r="AT188" i="1"/>
  <c r="AS188" i="1"/>
  <c r="AR188" i="1"/>
  <c r="I188" i="1"/>
  <c r="BP187" i="1"/>
  <c r="BO187" i="1"/>
  <c r="BN187" i="1"/>
  <c r="BM187" i="1"/>
  <c r="BL187" i="1"/>
  <c r="BJ187" i="1"/>
  <c r="BF187" i="1"/>
  <c r="BE187" i="1"/>
  <c r="BD187" i="1"/>
  <c r="BC187" i="1"/>
  <c r="BB187" i="1"/>
  <c r="BA187" i="1"/>
  <c r="AY187" i="1"/>
  <c r="AV187" i="1"/>
  <c r="AW187" i="1" s="1"/>
  <c r="AU187" i="1"/>
  <c r="AT187" i="1"/>
  <c r="AS187" i="1"/>
  <c r="AR187" i="1"/>
  <c r="I187" i="1"/>
  <c r="BP186" i="1"/>
  <c r="BO186" i="1"/>
  <c r="BN186" i="1"/>
  <c r="BM186" i="1"/>
  <c r="BL186" i="1"/>
  <c r="BJ186" i="1"/>
  <c r="BF186" i="1"/>
  <c r="BE186" i="1"/>
  <c r="BD186" i="1"/>
  <c r="BC186" i="1"/>
  <c r="BB186" i="1"/>
  <c r="BA186" i="1"/>
  <c r="AY186" i="1"/>
  <c r="AV186" i="1"/>
  <c r="AW186" i="1" s="1"/>
  <c r="AU186" i="1"/>
  <c r="AT186" i="1"/>
  <c r="AS186" i="1"/>
  <c r="AR186" i="1"/>
  <c r="I186" i="1"/>
  <c r="BP185" i="1"/>
  <c r="BF185" i="1"/>
  <c r="BE185" i="1"/>
  <c r="BB185" i="1"/>
  <c r="BA185" i="1"/>
  <c r="AV185" i="1"/>
  <c r="AW185" i="1" s="1"/>
  <c r="AU185" i="1"/>
  <c r="AT185" i="1"/>
  <c r="AS185" i="1"/>
  <c r="AY185" i="1" s="1"/>
  <c r="AR185" i="1"/>
  <c r="I185" i="1"/>
  <c r="BP184" i="1"/>
  <c r="BO184" i="1"/>
  <c r="BN184" i="1"/>
  <c r="BM184" i="1"/>
  <c r="BL184" i="1"/>
  <c r="BJ184" i="1"/>
  <c r="BF184" i="1"/>
  <c r="BE184" i="1"/>
  <c r="BD184" i="1"/>
  <c r="BC184" i="1"/>
  <c r="BB184" i="1"/>
  <c r="BA184" i="1"/>
  <c r="AY184" i="1"/>
  <c r="AV184" i="1"/>
  <c r="AW184" i="1" s="1"/>
  <c r="AU184" i="1"/>
  <c r="AT184" i="1"/>
  <c r="AS184" i="1"/>
  <c r="AR184" i="1"/>
  <c r="I184" i="1"/>
  <c r="BJ183" i="1"/>
  <c r="BF183" i="1"/>
  <c r="BE183" i="1"/>
  <c r="BI183" i="1" s="1"/>
  <c r="BK183" i="1" s="1"/>
  <c r="BD183" i="1"/>
  <c r="BC183" i="1"/>
  <c r="BB183" i="1"/>
  <c r="BA183" i="1"/>
  <c r="AY183" i="1"/>
  <c r="AV183" i="1"/>
  <c r="AW183" i="1" s="1"/>
  <c r="AU183" i="1"/>
  <c r="AT183" i="1"/>
  <c r="AS183" i="1"/>
  <c r="AR183" i="1"/>
  <c r="I183" i="1"/>
  <c r="BJ182" i="1"/>
  <c r="BF182" i="1"/>
  <c r="BE182" i="1"/>
  <c r="BI182" i="1" s="1"/>
  <c r="BK182" i="1" s="1"/>
  <c r="BD182" i="1"/>
  <c r="BC182" i="1"/>
  <c r="BB182" i="1"/>
  <c r="BA182" i="1"/>
  <c r="AV182" i="1"/>
  <c r="AW182" i="1" s="1"/>
  <c r="AU182" i="1"/>
  <c r="AT182" i="1"/>
  <c r="AS182" i="1"/>
  <c r="AY182" i="1" s="1"/>
  <c r="AR182" i="1"/>
  <c r="I182" i="1"/>
  <c r="BP181" i="1"/>
  <c r="BJ181" i="1"/>
  <c r="BF181" i="1"/>
  <c r="BE181" i="1"/>
  <c r="BD181" i="1"/>
  <c r="BC181" i="1"/>
  <c r="BB181" i="1"/>
  <c r="BA181" i="1"/>
  <c r="AY181" i="1"/>
  <c r="AV181" i="1"/>
  <c r="AW181" i="1" s="1"/>
  <c r="AU181" i="1"/>
  <c r="AT181" i="1"/>
  <c r="AS181" i="1"/>
  <c r="AR181" i="1"/>
  <c r="I181" i="1"/>
  <c r="BP180" i="1"/>
  <c r="BF180" i="1"/>
  <c r="BE180" i="1"/>
  <c r="BB180" i="1"/>
  <c r="BA180" i="1"/>
  <c r="AY180" i="1"/>
  <c r="AV180" i="1"/>
  <c r="AW180" i="1" s="1"/>
  <c r="AU180" i="1"/>
  <c r="AT180" i="1"/>
  <c r="AS180" i="1"/>
  <c r="AR180" i="1"/>
  <c r="I180" i="1"/>
  <c r="BP179" i="1"/>
  <c r="BF179" i="1"/>
  <c r="BE179" i="1"/>
  <c r="BB179" i="1"/>
  <c r="BA179" i="1"/>
  <c r="AV179" i="1"/>
  <c r="AW179" i="1" s="1"/>
  <c r="AU179" i="1"/>
  <c r="AT179" i="1"/>
  <c r="AS179" i="1"/>
  <c r="AY179" i="1" s="1"/>
  <c r="AR179" i="1"/>
  <c r="I179" i="1"/>
  <c r="BJ178" i="1"/>
  <c r="BF178" i="1"/>
  <c r="BE178" i="1"/>
  <c r="BI178" i="1" s="1"/>
  <c r="BK178" i="1" s="1"/>
  <c r="BD178" i="1"/>
  <c r="BC178" i="1"/>
  <c r="BB178" i="1"/>
  <c r="BA178" i="1"/>
  <c r="AV178" i="1"/>
  <c r="AW178" i="1" s="1"/>
  <c r="AU178" i="1"/>
  <c r="AT178" i="1"/>
  <c r="AS178" i="1"/>
  <c r="AY178" i="1" s="1"/>
  <c r="AR178" i="1"/>
  <c r="I178" i="1"/>
  <c r="BP177" i="1"/>
  <c r="BO177" i="1"/>
  <c r="BN177" i="1"/>
  <c r="BM177" i="1"/>
  <c r="BL177" i="1"/>
  <c r="BJ177" i="1"/>
  <c r="BF177" i="1"/>
  <c r="BE177" i="1"/>
  <c r="BD177" i="1"/>
  <c r="BC177" i="1"/>
  <c r="BB177" i="1"/>
  <c r="BA177" i="1"/>
  <c r="AY177" i="1"/>
  <c r="AV177" i="1"/>
  <c r="AW177" i="1" s="1"/>
  <c r="AU177" i="1"/>
  <c r="AT177" i="1"/>
  <c r="AS177" i="1"/>
  <c r="AR177" i="1"/>
  <c r="I177" i="1"/>
  <c r="BP176" i="1"/>
  <c r="BO176" i="1"/>
  <c r="BN176" i="1"/>
  <c r="BM176" i="1"/>
  <c r="BL176" i="1"/>
  <c r="BJ176" i="1"/>
  <c r="BF176" i="1"/>
  <c r="BE176" i="1"/>
  <c r="BD176" i="1"/>
  <c r="BC176" i="1"/>
  <c r="BB176" i="1"/>
  <c r="BA176" i="1"/>
  <c r="AY176" i="1"/>
  <c r="AV176" i="1"/>
  <c r="AW176" i="1" s="1"/>
  <c r="AU176" i="1"/>
  <c r="AT176" i="1"/>
  <c r="AS176" i="1"/>
  <c r="AR176" i="1"/>
  <c r="I176" i="1"/>
  <c r="BP175" i="1"/>
  <c r="BF175" i="1"/>
  <c r="BE175" i="1"/>
  <c r="BB175" i="1"/>
  <c r="BA175" i="1"/>
  <c r="AV175" i="1"/>
  <c r="AW175" i="1" s="1"/>
  <c r="AU175" i="1"/>
  <c r="AT175" i="1"/>
  <c r="AS175" i="1"/>
  <c r="AY175" i="1" s="1"/>
  <c r="AR175" i="1"/>
  <c r="I175" i="1"/>
  <c r="BP174" i="1"/>
  <c r="BO174" i="1"/>
  <c r="BN174" i="1"/>
  <c r="BM174" i="1"/>
  <c r="BL174" i="1"/>
  <c r="BJ174" i="1"/>
  <c r="BF174" i="1"/>
  <c r="BE174" i="1"/>
  <c r="BD174" i="1"/>
  <c r="BC174" i="1"/>
  <c r="BB174" i="1"/>
  <c r="BA174" i="1"/>
  <c r="AY174" i="1"/>
  <c r="AV174" i="1"/>
  <c r="AW174" i="1" s="1"/>
  <c r="AU174" i="1"/>
  <c r="AT174" i="1"/>
  <c r="AS174" i="1"/>
  <c r="AR174" i="1"/>
  <c r="I174" i="1"/>
  <c r="BF173" i="1"/>
  <c r="BE173" i="1"/>
  <c r="BB173" i="1"/>
  <c r="BA173" i="1"/>
  <c r="AV173" i="1"/>
  <c r="AW173" i="1" s="1"/>
  <c r="AU173" i="1"/>
  <c r="AT173" i="1"/>
  <c r="AS173" i="1"/>
  <c r="AY173" i="1" s="1"/>
  <c r="AR173" i="1"/>
  <c r="I173" i="1"/>
  <c r="BP172" i="1"/>
  <c r="BJ172" i="1"/>
  <c r="BF172" i="1"/>
  <c r="BE172" i="1"/>
  <c r="BD172" i="1"/>
  <c r="BC172" i="1"/>
  <c r="BB172" i="1"/>
  <c r="BA172" i="1"/>
  <c r="AY172" i="1"/>
  <c r="AV172" i="1"/>
  <c r="AW172" i="1" s="1"/>
  <c r="AU172" i="1"/>
  <c r="AT172" i="1"/>
  <c r="AS172" i="1"/>
  <c r="AR172" i="1"/>
  <c r="I172" i="1"/>
  <c r="BP171" i="1"/>
  <c r="BJ171" i="1"/>
  <c r="BF171" i="1"/>
  <c r="BE171" i="1"/>
  <c r="BG171" i="1" s="1"/>
  <c r="BD171" i="1"/>
  <c r="BC171" i="1"/>
  <c r="BB171" i="1"/>
  <c r="BA171" i="1"/>
  <c r="AY171" i="1"/>
  <c r="AV171" i="1"/>
  <c r="AW171" i="1" s="1"/>
  <c r="AU171" i="1"/>
  <c r="AT171" i="1"/>
  <c r="AS171" i="1"/>
  <c r="AR171" i="1"/>
  <c r="I171" i="1"/>
  <c r="BP170" i="1"/>
  <c r="BJ170" i="1"/>
  <c r="BF170" i="1"/>
  <c r="BE170" i="1"/>
  <c r="BD170" i="1"/>
  <c r="BC170" i="1"/>
  <c r="BB170" i="1"/>
  <c r="BA170" i="1"/>
  <c r="AY170" i="1"/>
  <c r="AV170" i="1"/>
  <c r="AW170" i="1" s="1"/>
  <c r="AU170" i="1"/>
  <c r="AT170" i="1"/>
  <c r="AS170" i="1"/>
  <c r="AR170" i="1"/>
  <c r="I170" i="1"/>
  <c r="I169" i="1"/>
  <c r="BP168" i="1"/>
  <c r="BJ168" i="1"/>
  <c r="BF168" i="1"/>
  <c r="BE168" i="1"/>
  <c r="BD168" i="1"/>
  <c r="BC168" i="1"/>
  <c r="BB168" i="1"/>
  <c r="BA168" i="1"/>
  <c r="AY168" i="1"/>
  <c r="AV168" i="1"/>
  <c r="AW168" i="1" s="1"/>
  <c r="AU168" i="1"/>
  <c r="AT168" i="1"/>
  <c r="AS168" i="1"/>
  <c r="AR168" i="1"/>
  <c r="I168" i="1"/>
  <c r="BJ167" i="1"/>
  <c r="BF167" i="1"/>
  <c r="BE167" i="1"/>
  <c r="BI167" i="1" s="1"/>
  <c r="BK167" i="1" s="1"/>
  <c r="BD167" i="1"/>
  <c r="BC167" i="1"/>
  <c r="BB167" i="1"/>
  <c r="BA167" i="1"/>
  <c r="AY167" i="1"/>
  <c r="AV167" i="1"/>
  <c r="AW167" i="1" s="1"/>
  <c r="AU167" i="1"/>
  <c r="AT167" i="1"/>
  <c r="AS167" i="1"/>
  <c r="AR167" i="1"/>
  <c r="I167" i="1"/>
  <c r="BP166" i="1"/>
  <c r="BJ166" i="1"/>
  <c r="BF166" i="1"/>
  <c r="BE166" i="1"/>
  <c r="BD166" i="1"/>
  <c r="BC166" i="1"/>
  <c r="BB166" i="1"/>
  <c r="BA166" i="1"/>
  <c r="AY166" i="1"/>
  <c r="AV166" i="1"/>
  <c r="AW166" i="1" s="1"/>
  <c r="AU166" i="1"/>
  <c r="AT166" i="1"/>
  <c r="AS166" i="1"/>
  <c r="AR166" i="1"/>
  <c r="I166" i="1"/>
  <c r="BP165" i="1"/>
  <c r="BJ165" i="1"/>
  <c r="BF165" i="1"/>
  <c r="BE165" i="1"/>
  <c r="BD165" i="1"/>
  <c r="BC165" i="1"/>
  <c r="BB165" i="1"/>
  <c r="BA165" i="1"/>
  <c r="AY165" i="1"/>
  <c r="AV165" i="1"/>
  <c r="AW165" i="1" s="1"/>
  <c r="AU165" i="1"/>
  <c r="AT165" i="1"/>
  <c r="AS165" i="1"/>
  <c r="AR165" i="1"/>
  <c r="I165" i="1"/>
  <c r="BP164" i="1"/>
  <c r="BJ164" i="1"/>
  <c r="BF164" i="1"/>
  <c r="BE164" i="1"/>
  <c r="BD164" i="1"/>
  <c r="BC164" i="1"/>
  <c r="BB164" i="1"/>
  <c r="BA164" i="1"/>
  <c r="AY164" i="1"/>
  <c r="AV164" i="1"/>
  <c r="AW164" i="1" s="1"/>
  <c r="AU164" i="1"/>
  <c r="AT164" i="1"/>
  <c r="AS164" i="1"/>
  <c r="AR164" i="1"/>
  <c r="I164" i="1"/>
  <c r="BP163" i="1"/>
  <c r="BF163" i="1"/>
  <c r="BE163" i="1"/>
  <c r="BB163" i="1"/>
  <c r="BA163" i="1"/>
  <c r="AV163" i="1"/>
  <c r="AW163" i="1" s="1"/>
  <c r="AU163" i="1"/>
  <c r="AT163" i="1"/>
  <c r="AS163" i="1"/>
  <c r="AY163" i="1" s="1"/>
  <c r="AR163" i="1"/>
  <c r="I163" i="1"/>
  <c r="BJ162" i="1"/>
  <c r="BF162" i="1"/>
  <c r="BE162" i="1"/>
  <c r="BG162" i="1" s="1"/>
  <c r="BD162" i="1"/>
  <c r="BC162" i="1"/>
  <c r="BB162" i="1"/>
  <c r="BA162" i="1"/>
  <c r="AV162" i="1"/>
  <c r="AW162" i="1" s="1"/>
  <c r="AU162" i="1"/>
  <c r="AT162" i="1"/>
  <c r="AS162" i="1"/>
  <c r="AY162" i="1" s="1"/>
  <c r="AR162" i="1"/>
  <c r="I162" i="1"/>
  <c r="BJ161" i="1"/>
  <c r="BF161" i="1"/>
  <c r="BE161" i="1"/>
  <c r="BD161" i="1"/>
  <c r="BC161" i="1"/>
  <c r="BB161" i="1"/>
  <c r="BA161" i="1"/>
  <c r="AY161" i="1"/>
  <c r="AV161" i="1"/>
  <c r="AW161" i="1" s="1"/>
  <c r="AU161" i="1"/>
  <c r="AT161" i="1"/>
  <c r="AS161" i="1"/>
  <c r="AR161" i="1"/>
  <c r="I161" i="1"/>
  <c r="BP160" i="1"/>
  <c r="BO160" i="1"/>
  <c r="BN160" i="1"/>
  <c r="BM160" i="1"/>
  <c r="BL160" i="1"/>
  <c r="BJ160" i="1"/>
  <c r="BF160" i="1"/>
  <c r="BE160" i="1"/>
  <c r="BD160" i="1"/>
  <c r="BC160" i="1"/>
  <c r="BB160" i="1"/>
  <c r="BA160" i="1"/>
  <c r="AY160" i="1"/>
  <c r="AV160" i="1"/>
  <c r="AW160" i="1" s="1"/>
  <c r="AU160" i="1"/>
  <c r="AT160" i="1"/>
  <c r="AS160" i="1"/>
  <c r="AR160" i="1"/>
  <c r="I160" i="1"/>
  <c r="BP159" i="1"/>
  <c r="BO159" i="1"/>
  <c r="BN159" i="1"/>
  <c r="BM159" i="1"/>
  <c r="BL159" i="1"/>
  <c r="BJ159" i="1"/>
  <c r="BF159" i="1"/>
  <c r="BE159" i="1"/>
  <c r="BD159" i="1"/>
  <c r="BC159" i="1"/>
  <c r="BB159" i="1"/>
  <c r="BA159" i="1"/>
  <c r="AY159" i="1"/>
  <c r="AV159" i="1"/>
  <c r="AW159" i="1" s="1"/>
  <c r="AU159" i="1"/>
  <c r="AT159" i="1"/>
  <c r="AS159" i="1"/>
  <c r="AR159" i="1"/>
  <c r="I159" i="1"/>
  <c r="BP158" i="1"/>
  <c r="BO158" i="1"/>
  <c r="BN158" i="1"/>
  <c r="BM158" i="1"/>
  <c r="BL158" i="1"/>
  <c r="BJ158" i="1"/>
  <c r="BF158" i="1"/>
  <c r="BE158" i="1"/>
  <c r="BD158" i="1"/>
  <c r="BC158" i="1"/>
  <c r="BB158" i="1"/>
  <c r="BA158" i="1"/>
  <c r="AY158" i="1"/>
  <c r="AV158" i="1"/>
  <c r="AW158" i="1" s="1"/>
  <c r="AU158" i="1"/>
  <c r="AT158" i="1"/>
  <c r="AS158" i="1"/>
  <c r="AR158" i="1"/>
  <c r="I158" i="1"/>
  <c r="BP157" i="1"/>
  <c r="BO157" i="1"/>
  <c r="BN157" i="1"/>
  <c r="BM157" i="1"/>
  <c r="BL157" i="1"/>
  <c r="BJ157" i="1"/>
  <c r="BF157" i="1"/>
  <c r="BE157" i="1"/>
  <c r="BD157" i="1"/>
  <c r="BC157" i="1"/>
  <c r="BB157" i="1"/>
  <c r="BA157" i="1"/>
  <c r="AY157" i="1"/>
  <c r="AV157" i="1"/>
  <c r="AW157" i="1" s="1"/>
  <c r="AU157" i="1"/>
  <c r="AT157" i="1"/>
  <c r="AS157" i="1"/>
  <c r="AR157" i="1"/>
  <c r="I157" i="1"/>
  <c r="BP156" i="1"/>
  <c r="BJ156" i="1"/>
  <c r="BF156" i="1"/>
  <c r="BE156" i="1"/>
  <c r="BD156" i="1"/>
  <c r="BC156" i="1"/>
  <c r="BB156" i="1"/>
  <c r="BA156" i="1"/>
  <c r="AY156" i="1"/>
  <c r="AV156" i="1"/>
  <c r="AW156" i="1" s="1"/>
  <c r="AU156" i="1"/>
  <c r="AT156" i="1"/>
  <c r="AS156" i="1"/>
  <c r="AR156" i="1"/>
  <c r="I156" i="1"/>
  <c r="BJ155" i="1"/>
  <c r="BF155" i="1"/>
  <c r="BE155" i="1"/>
  <c r="BH155" i="1" s="1"/>
  <c r="BD155" i="1"/>
  <c r="BC155" i="1"/>
  <c r="BB155" i="1"/>
  <c r="BA155" i="1"/>
  <c r="AV155" i="1"/>
  <c r="AW155" i="1" s="1"/>
  <c r="AU155" i="1"/>
  <c r="AT155" i="1"/>
  <c r="AS155" i="1"/>
  <c r="AY155" i="1" s="1"/>
  <c r="AR155" i="1"/>
  <c r="I155" i="1"/>
  <c r="BP154" i="1"/>
  <c r="BJ154" i="1"/>
  <c r="BF154" i="1"/>
  <c r="BE154" i="1"/>
  <c r="BI154" i="1" s="1"/>
  <c r="BK154" i="1" s="1"/>
  <c r="BD154" i="1"/>
  <c r="BC154" i="1"/>
  <c r="BB154" i="1"/>
  <c r="BA154" i="1"/>
  <c r="AV154" i="1"/>
  <c r="AW154" i="1" s="1"/>
  <c r="AU154" i="1"/>
  <c r="AT154" i="1"/>
  <c r="AS154" i="1"/>
  <c r="AY154" i="1" s="1"/>
  <c r="AR154" i="1"/>
  <c r="I154" i="1"/>
  <c r="BP153" i="1"/>
  <c r="BJ153" i="1"/>
  <c r="BF153" i="1"/>
  <c r="BE153" i="1"/>
  <c r="BD153" i="1"/>
  <c r="BC153" i="1"/>
  <c r="BB153" i="1"/>
  <c r="BA153" i="1"/>
  <c r="AY153" i="1"/>
  <c r="AV153" i="1"/>
  <c r="AW153" i="1" s="1"/>
  <c r="AU153" i="1"/>
  <c r="AT153" i="1"/>
  <c r="AS153" i="1"/>
  <c r="AR153" i="1"/>
  <c r="I153" i="1"/>
  <c r="BP152" i="1"/>
  <c r="BJ152" i="1"/>
  <c r="BF152" i="1"/>
  <c r="BE152" i="1"/>
  <c r="BD152" i="1"/>
  <c r="BC152" i="1"/>
  <c r="BB152" i="1"/>
  <c r="BA152" i="1"/>
  <c r="AY152" i="1"/>
  <c r="AV152" i="1"/>
  <c r="AW152" i="1" s="1"/>
  <c r="AU152" i="1"/>
  <c r="AT152" i="1"/>
  <c r="AS152" i="1"/>
  <c r="AR152" i="1"/>
  <c r="I152" i="1"/>
  <c r="BP151" i="1"/>
  <c r="BO151" i="1"/>
  <c r="BN151" i="1"/>
  <c r="BM151" i="1"/>
  <c r="BL151" i="1"/>
  <c r="BJ151" i="1"/>
  <c r="BF151" i="1"/>
  <c r="BE151" i="1"/>
  <c r="BD151" i="1"/>
  <c r="BC151" i="1"/>
  <c r="BB151" i="1"/>
  <c r="BA151" i="1"/>
  <c r="AY151" i="1"/>
  <c r="AV151" i="1"/>
  <c r="AW151" i="1" s="1"/>
  <c r="AU151" i="1"/>
  <c r="AT151" i="1"/>
  <c r="AS151" i="1"/>
  <c r="AR151" i="1"/>
  <c r="I151" i="1"/>
  <c r="BP150" i="1"/>
  <c r="BJ150" i="1"/>
  <c r="BF150" i="1"/>
  <c r="BE150" i="1"/>
  <c r="BI150" i="1" s="1"/>
  <c r="BK150" i="1" s="1"/>
  <c r="BD150" i="1"/>
  <c r="BC150" i="1"/>
  <c r="BB150" i="1"/>
  <c r="BA150" i="1"/>
  <c r="AY150" i="1"/>
  <c r="AV150" i="1"/>
  <c r="AW150" i="1" s="1"/>
  <c r="AU150" i="1"/>
  <c r="AT150" i="1"/>
  <c r="AS150" i="1"/>
  <c r="AR150" i="1"/>
  <c r="I150" i="1"/>
  <c r="BP149" i="1"/>
  <c r="BO149" i="1"/>
  <c r="BN149" i="1"/>
  <c r="BM149" i="1"/>
  <c r="BL149" i="1"/>
  <c r="BJ149" i="1"/>
  <c r="BF149" i="1"/>
  <c r="BE149" i="1"/>
  <c r="BD149" i="1"/>
  <c r="BC149" i="1"/>
  <c r="BB149" i="1"/>
  <c r="BA149" i="1"/>
  <c r="AY149" i="1"/>
  <c r="AV149" i="1"/>
  <c r="AW149" i="1" s="1"/>
  <c r="AU149" i="1"/>
  <c r="AT149" i="1"/>
  <c r="AS149" i="1"/>
  <c r="AR149" i="1"/>
  <c r="I149" i="1"/>
  <c r="BP148" i="1"/>
  <c r="BO148" i="1"/>
  <c r="BN148" i="1"/>
  <c r="BM148" i="1"/>
  <c r="BL148" i="1"/>
  <c r="BJ148" i="1"/>
  <c r="BF148" i="1"/>
  <c r="BE148" i="1"/>
  <c r="BD148" i="1"/>
  <c r="BC148" i="1"/>
  <c r="BB148" i="1"/>
  <c r="BA148" i="1"/>
  <c r="AY148" i="1"/>
  <c r="AV148" i="1"/>
  <c r="AW148" i="1" s="1"/>
  <c r="AU148" i="1"/>
  <c r="AT148" i="1"/>
  <c r="AS148" i="1"/>
  <c r="AR148" i="1"/>
  <c r="I148" i="1"/>
  <c r="BP147" i="1"/>
  <c r="BO147" i="1"/>
  <c r="BN147" i="1"/>
  <c r="BM147" i="1"/>
  <c r="BL147" i="1"/>
  <c r="BJ147" i="1"/>
  <c r="BF147" i="1"/>
  <c r="BE147" i="1"/>
  <c r="BD147" i="1"/>
  <c r="BC147" i="1"/>
  <c r="BB147" i="1"/>
  <c r="BA147" i="1"/>
  <c r="AY147" i="1"/>
  <c r="AV147" i="1"/>
  <c r="AW147" i="1" s="1"/>
  <c r="AU147" i="1"/>
  <c r="AT147" i="1"/>
  <c r="AS147" i="1"/>
  <c r="AR147" i="1"/>
  <c r="I147" i="1"/>
  <c r="BP146" i="1"/>
  <c r="BJ146" i="1"/>
  <c r="BF146" i="1"/>
  <c r="BE146" i="1"/>
  <c r="BD146" i="1"/>
  <c r="BC146" i="1"/>
  <c r="BB146" i="1"/>
  <c r="BA146" i="1"/>
  <c r="AY146" i="1"/>
  <c r="AV146" i="1"/>
  <c r="AW146" i="1" s="1"/>
  <c r="AU146" i="1"/>
  <c r="AT146" i="1"/>
  <c r="AS146" i="1"/>
  <c r="AR146" i="1"/>
  <c r="I146" i="1"/>
  <c r="BP145" i="1"/>
  <c r="BO145" i="1"/>
  <c r="BN145" i="1"/>
  <c r="BM145" i="1"/>
  <c r="BL145" i="1"/>
  <c r="BJ145" i="1"/>
  <c r="BF145" i="1"/>
  <c r="BE145" i="1"/>
  <c r="BD145" i="1"/>
  <c r="BC145" i="1"/>
  <c r="BB145" i="1"/>
  <c r="BA145" i="1"/>
  <c r="AY145" i="1"/>
  <c r="AV145" i="1"/>
  <c r="AW145" i="1" s="1"/>
  <c r="AU145" i="1"/>
  <c r="AT145" i="1"/>
  <c r="AS145" i="1"/>
  <c r="AR145" i="1"/>
  <c r="I145" i="1"/>
  <c r="BP144" i="1"/>
  <c r="BO144" i="1"/>
  <c r="BN144" i="1"/>
  <c r="BM144" i="1"/>
  <c r="BL144" i="1"/>
  <c r="BJ144" i="1"/>
  <c r="BF144" i="1"/>
  <c r="BE144" i="1"/>
  <c r="BD144" i="1"/>
  <c r="BC144" i="1"/>
  <c r="BB144" i="1"/>
  <c r="BA144" i="1"/>
  <c r="AY144" i="1"/>
  <c r="AV144" i="1"/>
  <c r="AW144" i="1" s="1"/>
  <c r="AU144" i="1"/>
  <c r="AT144" i="1"/>
  <c r="AS144" i="1"/>
  <c r="AR144" i="1"/>
  <c r="I144" i="1"/>
  <c r="BP143" i="1"/>
  <c r="BO143" i="1"/>
  <c r="BN143" i="1"/>
  <c r="BM143" i="1"/>
  <c r="BL143" i="1"/>
  <c r="BJ143" i="1"/>
  <c r="BF143" i="1"/>
  <c r="BE143" i="1"/>
  <c r="BD143" i="1"/>
  <c r="BC143" i="1"/>
  <c r="BB143" i="1"/>
  <c r="BA143" i="1"/>
  <c r="AY143" i="1"/>
  <c r="AV143" i="1"/>
  <c r="AW143" i="1" s="1"/>
  <c r="AU143" i="1"/>
  <c r="AT143" i="1"/>
  <c r="AS143" i="1"/>
  <c r="AR143" i="1"/>
  <c r="I143" i="1"/>
  <c r="BP142" i="1"/>
  <c r="BO142" i="1"/>
  <c r="BN142" i="1"/>
  <c r="BM142" i="1"/>
  <c r="BL142" i="1"/>
  <c r="BJ142" i="1"/>
  <c r="BF142" i="1"/>
  <c r="BE142" i="1"/>
  <c r="BD142" i="1"/>
  <c r="BC142" i="1"/>
  <c r="BB142" i="1"/>
  <c r="BA142" i="1"/>
  <c r="AY142" i="1"/>
  <c r="AV142" i="1"/>
  <c r="AW142" i="1" s="1"/>
  <c r="AU142" i="1"/>
  <c r="AT142" i="1"/>
  <c r="AS142" i="1"/>
  <c r="AR142" i="1"/>
  <c r="I142" i="1"/>
  <c r="BP141" i="1"/>
  <c r="BJ141" i="1"/>
  <c r="BF141" i="1"/>
  <c r="BE141" i="1"/>
  <c r="BD141" i="1"/>
  <c r="BC141" i="1"/>
  <c r="BB141" i="1"/>
  <c r="BA141" i="1"/>
  <c r="AY141" i="1"/>
  <c r="AV141" i="1"/>
  <c r="AW141" i="1" s="1"/>
  <c r="AU141" i="1"/>
  <c r="AT141" i="1"/>
  <c r="AS141" i="1"/>
  <c r="AR141" i="1"/>
  <c r="I141" i="1"/>
  <c r="BP140" i="1"/>
  <c r="BO140" i="1"/>
  <c r="BN140" i="1"/>
  <c r="BM140" i="1"/>
  <c r="BL140" i="1"/>
  <c r="BJ140" i="1"/>
  <c r="BF140" i="1"/>
  <c r="BE140" i="1"/>
  <c r="BD140" i="1"/>
  <c r="BC140" i="1"/>
  <c r="BB140" i="1"/>
  <c r="BA140" i="1"/>
  <c r="AY140" i="1"/>
  <c r="AV140" i="1"/>
  <c r="AW140" i="1" s="1"/>
  <c r="AU140" i="1"/>
  <c r="AT140" i="1"/>
  <c r="AS140" i="1"/>
  <c r="AR140" i="1"/>
  <c r="I140" i="1"/>
  <c r="BF139" i="1"/>
  <c r="BE139" i="1"/>
  <c r="BB139" i="1"/>
  <c r="BA139" i="1"/>
  <c r="AV139" i="1"/>
  <c r="AW139" i="1" s="1"/>
  <c r="AU139" i="1"/>
  <c r="AT139" i="1"/>
  <c r="AS139" i="1"/>
  <c r="AY139" i="1" s="1"/>
  <c r="AR139" i="1"/>
  <c r="I139" i="1"/>
  <c r="BP138" i="1"/>
  <c r="BJ138" i="1"/>
  <c r="BF138" i="1"/>
  <c r="BE138" i="1"/>
  <c r="BD138" i="1"/>
  <c r="BC138" i="1"/>
  <c r="BB138" i="1"/>
  <c r="BA138" i="1"/>
  <c r="AY138" i="1"/>
  <c r="AV138" i="1"/>
  <c r="AW138" i="1" s="1"/>
  <c r="AU138" i="1"/>
  <c r="AT138" i="1"/>
  <c r="AS138" i="1"/>
  <c r="AR138" i="1"/>
  <c r="I138" i="1"/>
  <c r="BP137" i="1"/>
  <c r="BO137" i="1"/>
  <c r="BN137" i="1"/>
  <c r="BM137" i="1"/>
  <c r="BL137" i="1"/>
  <c r="BJ137" i="1"/>
  <c r="BF137" i="1"/>
  <c r="BE137" i="1"/>
  <c r="BD137" i="1"/>
  <c r="BC137" i="1"/>
  <c r="BB137" i="1"/>
  <c r="BA137" i="1"/>
  <c r="AY137" i="1"/>
  <c r="AV137" i="1"/>
  <c r="AW137" i="1" s="1"/>
  <c r="AU137" i="1"/>
  <c r="AT137" i="1"/>
  <c r="AS137" i="1"/>
  <c r="AR137" i="1"/>
  <c r="I137" i="1"/>
  <c r="BP136" i="1"/>
  <c r="BJ136" i="1"/>
  <c r="BF136" i="1"/>
  <c r="BE136" i="1"/>
  <c r="BH136" i="1" s="1"/>
  <c r="BD136" i="1"/>
  <c r="BC136" i="1"/>
  <c r="BB136" i="1"/>
  <c r="BA136" i="1"/>
  <c r="AV136" i="1"/>
  <c r="AW136" i="1" s="1"/>
  <c r="AU136" i="1"/>
  <c r="AT136" i="1"/>
  <c r="AS136" i="1"/>
  <c r="AY136" i="1" s="1"/>
  <c r="AR136" i="1"/>
  <c r="I136" i="1"/>
  <c r="BP135" i="1"/>
  <c r="BO135" i="1"/>
  <c r="BN135" i="1"/>
  <c r="BM135" i="1"/>
  <c r="BL135" i="1"/>
  <c r="BJ135" i="1"/>
  <c r="BF135" i="1"/>
  <c r="BE135" i="1"/>
  <c r="BD135" i="1"/>
  <c r="BC135" i="1"/>
  <c r="BB135" i="1"/>
  <c r="BA135" i="1"/>
  <c r="AY135" i="1"/>
  <c r="AV135" i="1"/>
  <c r="AW135" i="1" s="1"/>
  <c r="AU135" i="1"/>
  <c r="AT135" i="1"/>
  <c r="AS135" i="1"/>
  <c r="AR135" i="1"/>
  <c r="I135" i="1"/>
  <c r="BP134" i="1"/>
  <c r="BO134" i="1"/>
  <c r="BN134" i="1"/>
  <c r="BM134" i="1"/>
  <c r="BL134" i="1"/>
  <c r="BJ134" i="1"/>
  <c r="BF134" i="1"/>
  <c r="BE134" i="1"/>
  <c r="BD134" i="1"/>
  <c r="BC134" i="1"/>
  <c r="BB134" i="1"/>
  <c r="BA134" i="1"/>
  <c r="AY134" i="1"/>
  <c r="AV134" i="1"/>
  <c r="AW134" i="1" s="1"/>
  <c r="AU134" i="1"/>
  <c r="AT134" i="1"/>
  <c r="AS134" i="1"/>
  <c r="AR134" i="1"/>
  <c r="I134" i="1"/>
  <c r="BP133" i="1"/>
  <c r="BO133" i="1"/>
  <c r="BN133" i="1"/>
  <c r="BM133" i="1"/>
  <c r="BL133" i="1"/>
  <c r="BJ133" i="1"/>
  <c r="BF133" i="1"/>
  <c r="BE133" i="1"/>
  <c r="BD133" i="1"/>
  <c r="BC133" i="1"/>
  <c r="BB133" i="1"/>
  <c r="BA133" i="1"/>
  <c r="AY133" i="1"/>
  <c r="AV133" i="1"/>
  <c r="AW133" i="1" s="1"/>
  <c r="AU133" i="1"/>
  <c r="AT133" i="1"/>
  <c r="AS133" i="1"/>
  <c r="AR133" i="1"/>
  <c r="I133" i="1"/>
  <c r="BP132" i="1"/>
  <c r="BO132" i="1"/>
  <c r="BN132" i="1"/>
  <c r="BM132" i="1"/>
  <c r="BL132" i="1"/>
  <c r="BJ132" i="1"/>
  <c r="BF132" i="1"/>
  <c r="BE132" i="1"/>
  <c r="BD132" i="1"/>
  <c r="BC132" i="1"/>
  <c r="BB132" i="1"/>
  <c r="BA132" i="1"/>
  <c r="AY132" i="1"/>
  <c r="AV132" i="1"/>
  <c r="AW132" i="1" s="1"/>
  <c r="AU132" i="1"/>
  <c r="AT132" i="1"/>
  <c r="AS132" i="1"/>
  <c r="AR132" i="1"/>
  <c r="I132" i="1"/>
  <c r="BP131" i="1"/>
  <c r="BJ131" i="1"/>
  <c r="BF131" i="1"/>
  <c r="BE131" i="1"/>
  <c r="BD131" i="1"/>
  <c r="BC131" i="1"/>
  <c r="BB131" i="1"/>
  <c r="BA131" i="1"/>
  <c r="AY131" i="1"/>
  <c r="AV131" i="1"/>
  <c r="AW131" i="1" s="1"/>
  <c r="AU131" i="1"/>
  <c r="AT131" i="1"/>
  <c r="AS131" i="1"/>
  <c r="AR131" i="1"/>
  <c r="I131" i="1"/>
  <c r="BP130" i="1"/>
  <c r="BJ130" i="1"/>
  <c r="BF130" i="1"/>
  <c r="BE130" i="1"/>
  <c r="BD130" i="1"/>
  <c r="BC130" i="1"/>
  <c r="BB130" i="1"/>
  <c r="BA130" i="1"/>
  <c r="AY130" i="1"/>
  <c r="AV130" i="1"/>
  <c r="AW130" i="1" s="1"/>
  <c r="AU130" i="1"/>
  <c r="AT130" i="1"/>
  <c r="AS130" i="1"/>
  <c r="AR130" i="1"/>
  <c r="I130" i="1"/>
  <c r="BP129" i="1"/>
  <c r="BO129" i="1"/>
  <c r="BN129" i="1"/>
  <c r="BM129" i="1"/>
  <c r="BL129" i="1"/>
  <c r="BJ129" i="1"/>
  <c r="BF129" i="1"/>
  <c r="BE129" i="1"/>
  <c r="BD129" i="1"/>
  <c r="BC129" i="1"/>
  <c r="BB129" i="1"/>
  <c r="BA129" i="1"/>
  <c r="AY129" i="1"/>
  <c r="AV129" i="1"/>
  <c r="AW129" i="1" s="1"/>
  <c r="AU129" i="1"/>
  <c r="AT129" i="1"/>
  <c r="AS129" i="1"/>
  <c r="AR129" i="1"/>
  <c r="I129" i="1"/>
  <c r="BP128" i="1"/>
  <c r="BO128" i="1"/>
  <c r="BN128" i="1"/>
  <c r="BM128" i="1"/>
  <c r="BL128" i="1"/>
  <c r="BJ128" i="1"/>
  <c r="BF128" i="1"/>
  <c r="BE128" i="1"/>
  <c r="BD128" i="1"/>
  <c r="BC128" i="1"/>
  <c r="BB128" i="1"/>
  <c r="BA128" i="1"/>
  <c r="AY128" i="1"/>
  <c r="AV128" i="1"/>
  <c r="AW128" i="1" s="1"/>
  <c r="AU128" i="1"/>
  <c r="AT128" i="1"/>
  <c r="AS128" i="1"/>
  <c r="AR128" i="1"/>
  <c r="I128" i="1"/>
  <c r="BP127" i="1"/>
  <c r="BO127" i="1"/>
  <c r="BN127" i="1"/>
  <c r="BM127" i="1"/>
  <c r="BL127" i="1"/>
  <c r="BJ127" i="1"/>
  <c r="BF127" i="1"/>
  <c r="BE127" i="1"/>
  <c r="BD127" i="1"/>
  <c r="BC127" i="1"/>
  <c r="BB127" i="1"/>
  <c r="BA127" i="1"/>
  <c r="AY127" i="1"/>
  <c r="AV127" i="1"/>
  <c r="AW127" i="1" s="1"/>
  <c r="AU127" i="1"/>
  <c r="AT127" i="1"/>
  <c r="AS127" i="1"/>
  <c r="AR127" i="1"/>
  <c r="I127" i="1"/>
  <c r="BP126" i="1"/>
  <c r="BJ126" i="1"/>
  <c r="BF126" i="1"/>
  <c r="BE126" i="1"/>
  <c r="BD126" i="1"/>
  <c r="BC126" i="1"/>
  <c r="BB126" i="1"/>
  <c r="BA126" i="1"/>
  <c r="AY126" i="1"/>
  <c r="AV126" i="1"/>
  <c r="AW126" i="1" s="1"/>
  <c r="AU126" i="1"/>
  <c r="AT126" i="1"/>
  <c r="AS126" i="1"/>
  <c r="AR126" i="1"/>
  <c r="I126" i="1"/>
  <c r="BF125" i="1"/>
  <c r="BE125" i="1"/>
  <c r="BB125" i="1"/>
  <c r="BA125" i="1"/>
  <c r="AY125" i="1"/>
  <c r="AV125" i="1"/>
  <c r="AU125" i="1"/>
  <c r="AT125" i="1"/>
  <c r="AS125" i="1"/>
  <c r="AR125" i="1"/>
  <c r="I125" i="1"/>
  <c r="BP124" i="1"/>
  <c r="BO124" i="1"/>
  <c r="BN124" i="1"/>
  <c r="BM124" i="1"/>
  <c r="BL124" i="1"/>
  <c r="BJ124" i="1"/>
  <c r="BF124" i="1"/>
  <c r="BE124" i="1"/>
  <c r="BD124" i="1"/>
  <c r="BC124" i="1"/>
  <c r="BB124" i="1"/>
  <c r="BA124" i="1"/>
  <c r="AY124" i="1"/>
  <c r="AV124" i="1"/>
  <c r="AW124" i="1" s="1"/>
  <c r="AU124" i="1"/>
  <c r="AT124" i="1"/>
  <c r="AS124" i="1"/>
  <c r="AR124" i="1"/>
  <c r="I124" i="1"/>
  <c r="BP123" i="1"/>
  <c r="BO123" i="1"/>
  <c r="BN123" i="1"/>
  <c r="BM123" i="1"/>
  <c r="BL123" i="1"/>
  <c r="BJ123" i="1"/>
  <c r="BF123" i="1"/>
  <c r="BE123" i="1"/>
  <c r="BD123" i="1"/>
  <c r="BC123" i="1"/>
  <c r="BB123" i="1"/>
  <c r="BA123" i="1"/>
  <c r="AY123" i="1"/>
  <c r="AV123" i="1"/>
  <c r="AW123" i="1" s="1"/>
  <c r="AU123" i="1"/>
  <c r="AT123" i="1"/>
  <c r="AS123" i="1"/>
  <c r="AR123" i="1"/>
  <c r="I123" i="1"/>
  <c r="BP122" i="1"/>
  <c r="BF122" i="1"/>
  <c r="BE122" i="1"/>
  <c r="BB122" i="1"/>
  <c r="BA122" i="1"/>
  <c r="AV122" i="1"/>
  <c r="AW122" i="1" s="1"/>
  <c r="AU122" i="1"/>
  <c r="AT122" i="1"/>
  <c r="AS122" i="1"/>
  <c r="AY122" i="1" s="1"/>
  <c r="AR122" i="1"/>
  <c r="I122" i="1"/>
  <c r="BP121" i="1"/>
  <c r="BO121" i="1"/>
  <c r="BN121" i="1"/>
  <c r="BM121" i="1"/>
  <c r="BL121" i="1"/>
  <c r="BJ121" i="1"/>
  <c r="BF121" i="1"/>
  <c r="BE121" i="1"/>
  <c r="BD121" i="1"/>
  <c r="BC121" i="1"/>
  <c r="BB121" i="1"/>
  <c r="BA121" i="1"/>
  <c r="AY121" i="1"/>
  <c r="AV121" i="1"/>
  <c r="AW121" i="1" s="1"/>
  <c r="AU121" i="1"/>
  <c r="AT121" i="1"/>
  <c r="AS121" i="1"/>
  <c r="AR121" i="1"/>
  <c r="I121" i="1"/>
  <c r="BP120" i="1"/>
  <c r="BJ120" i="1"/>
  <c r="BF120" i="1"/>
  <c r="BE120" i="1"/>
  <c r="BH120" i="1" s="1"/>
  <c r="BD120" i="1"/>
  <c r="BC120" i="1"/>
  <c r="BB120" i="1"/>
  <c r="BA120" i="1"/>
  <c r="AY120" i="1"/>
  <c r="AV120" i="1"/>
  <c r="AW120" i="1" s="1"/>
  <c r="AU120" i="1"/>
  <c r="AT120" i="1"/>
  <c r="AS120" i="1"/>
  <c r="AR120" i="1"/>
  <c r="I120" i="1"/>
  <c r="BP119" i="1"/>
  <c r="BJ119" i="1"/>
  <c r="BF119" i="1"/>
  <c r="BE119" i="1"/>
  <c r="BD119" i="1"/>
  <c r="BC119" i="1"/>
  <c r="BB119" i="1"/>
  <c r="BA119" i="1"/>
  <c r="AY119" i="1"/>
  <c r="AV119" i="1"/>
  <c r="AW119" i="1" s="1"/>
  <c r="AU119" i="1"/>
  <c r="AT119" i="1"/>
  <c r="AS119" i="1"/>
  <c r="AR119" i="1"/>
  <c r="I119" i="1"/>
  <c r="BP118" i="1"/>
  <c r="BJ118" i="1"/>
  <c r="BF118" i="1"/>
  <c r="BE118" i="1"/>
  <c r="BG118" i="1" s="1"/>
  <c r="BD118" i="1"/>
  <c r="BC118" i="1"/>
  <c r="BB118" i="1"/>
  <c r="BA118" i="1"/>
  <c r="AY118" i="1"/>
  <c r="AV118" i="1"/>
  <c r="AW118" i="1" s="1"/>
  <c r="AU118" i="1"/>
  <c r="AT118" i="1"/>
  <c r="AS118" i="1"/>
  <c r="AR118" i="1"/>
  <c r="I118" i="1"/>
  <c r="BP117" i="1"/>
  <c r="BF117" i="1"/>
  <c r="BE117" i="1"/>
  <c r="BB117" i="1"/>
  <c r="BA117" i="1"/>
  <c r="AV117" i="1"/>
  <c r="AW117" i="1" s="1"/>
  <c r="AU117" i="1"/>
  <c r="AT117" i="1"/>
  <c r="AS117" i="1"/>
  <c r="AY117" i="1" s="1"/>
  <c r="AR117" i="1"/>
  <c r="I117" i="1"/>
  <c r="BP116" i="1"/>
  <c r="BF116" i="1"/>
  <c r="BE116" i="1"/>
  <c r="BB116" i="1"/>
  <c r="BA116" i="1"/>
  <c r="AY116" i="1"/>
  <c r="AV116" i="1"/>
  <c r="AW116" i="1" s="1"/>
  <c r="AU116" i="1"/>
  <c r="AT116" i="1"/>
  <c r="AS116" i="1"/>
  <c r="AR116" i="1"/>
  <c r="I116" i="1"/>
  <c r="BP115" i="1"/>
  <c r="BF115" i="1"/>
  <c r="BE115" i="1"/>
  <c r="BB115" i="1"/>
  <c r="BA115" i="1"/>
  <c r="AV115" i="1"/>
  <c r="AW115" i="1" s="1"/>
  <c r="AU115" i="1"/>
  <c r="AT115" i="1"/>
  <c r="AS115" i="1"/>
  <c r="AY115" i="1" s="1"/>
  <c r="AR115" i="1"/>
  <c r="I115" i="1"/>
  <c r="BP114" i="1"/>
  <c r="BJ114" i="1"/>
  <c r="BF114" i="1"/>
  <c r="BE114" i="1"/>
  <c r="BD114" i="1"/>
  <c r="BC114" i="1"/>
  <c r="BB114" i="1"/>
  <c r="BA114" i="1"/>
  <c r="AY114" i="1"/>
  <c r="AV114" i="1"/>
  <c r="AW114" i="1" s="1"/>
  <c r="AU114" i="1"/>
  <c r="AT114" i="1"/>
  <c r="AS114" i="1"/>
  <c r="AR114" i="1"/>
  <c r="I114" i="1"/>
  <c r="BP113" i="1"/>
  <c r="BO113" i="1"/>
  <c r="BN113" i="1"/>
  <c r="BM113" i="1"/>
  <c r="BL113" i="1"/>
  <c r="BJ113" i="1"/>
  <c r="BF113" i="1"/>
  <c r="BE113" i="1"/>
  <c r="BD113" i="1"/>
  <c r="BC113" i="1"/>
  <c r="BB113" i="1"/>
  <c r="BA113" i="1"/>
  <c r="AY113" i="1"/>
  <c r="AV113" i="1"/>
  <c r="AW113" i="1" s="1"/>
  <c r="AU113" i="1"/>
  <c r="AT113" i="1"/>
  <c r="AS113" i="1"/>
  <c r="AR113" i="1"/>
  <c r="I113" i="1"/>
  <c r="BP112" i="1"/>
  <c r="BO112" i="1"/>
  <c r="BN112" i="1"/>
  <c r="BM112" i="1"/>
  <c r="BL112" i="1"/>
  <c r="BJ112" i="1"/>
  <c r="BF112" i="1"/>
  <c r="BE112" i="1"/>
  <c r="BD112" i="1"/>
  <c r="BC112" i="1"/>
  <c r="BB112" i="1"/>
  <c r="BA112" i="1"/>
  <c r="AY112" i="1"/>
  <c r="AV112" i="1"/>
  <c r="AW112" i="1" s="1"/>
  <c r="AU112" i="1"/>
  <c r="AT112" i="1"/>
  <c r="AS112" i="1"/>
  <c r="AR112" i="1"/>
  <c r="I112" i="1"/>
  <c r="BP111" i="1"/>
  <c r="BF111" i="1"/>
  <c r="BE111" i="1"/>
  <c r="BB111" i="1"/>
  <c r="BA111" i="1"/>
  <c r="AV111" i="1"/>
  <c r="AW111" i="1" s="1"/>
  <c r="AU111" i="1"/>
  <c r="AT111" i="1"/>
  <c r="AS111" i="1"/>
  <c r="AY111" i="1" s="1"/>
  <c r="AR111" i="1"/>
  <c r="I111" i="1"/>
  <c r="BP110" i="1"/>
  <c r="BO110" i="1"/>
  <c r="BN110" i="1"/>
  <c r="BM110" i="1"/>
  <c r="BL110" i="1"/>
  <c r="BJ110" i="1"/>
  <c r="BF110" i="1"/>
  <c r="BE110" i="1"/>
  <c r="BD110" i="1"/>
  <c r="BC110" i="1"/>
  <c r="BB110" i="1"/>
  <c r="BA110" i="1"/>
  <c r="AY110" i="1"/>
  <c r="AV110" i="1"/>
  <c r="AW110" i="1" s="1"/>
  <c r="AU110" i="1"/>
  <c r="AT110" i="1"/>
  <c r="AS110" i="1"/>
  <c r="AR110" i="1"/>
  <c r="I110" i="1"/>
  <c r="BP109" i="1"/>
  <c r="BJ109" i="1"/>
  <c r="BF109" i="1"/>
  <c r="BE109" i="1"/>
  <c r="BD109" i="1"/>
  <c r="BC109" i="1"/>
  <c r="BB109" i="1"/>
  <c r="BA109" i="1"/>
  <c r="AY109" i="1"/>
  <c r="AV109" i="1"/>
  <c r="AW109" i="1" s="1"/>
  <c r="AU109" i="1"/>
  <c r="AT109" i="1"/>
  <c r="AS109" i="1"/>
  <c r="AR109" i="1"/>
  <c r="I109" i="1"/>
  <c r="BP108" i="1"/>
  <c r="BO108" i="1"/>
  <c r="BN108" i="1"/>
  <c r="BM108" i="1"/>
  <c r="BL108" i="1"/>
  <c r="BJ108" i="1"/>
  <c r="BF108" i="1"/>
  <c r="BE108" i="1"/>
  <c r="BD108" i="1"/>
  <c r="BC108" i="1"/>
  <c r="BB108" i="1"/>
  <c r="BA108" i="1"/>
  <c r="AY108" i="1"/>
  <c r="AV108" i="1"/>
  <c r="AW108" i="1" s="1"/>
  <c r="AU108" i="1"/>
  <c r="AT108" i="1"/>
  <c r="AS108" i="1"/>
  <c r="AR108" i="1"/>
  <c r="I108" i="1"/>
  <c r="BP107" i="1"/>
  <c r="BJ107" i="1"/>
  <c r="BF107" i="1"/>
  <c r="BE107" i="1"/>
  <c r="BD107" i="1"/>
  <c r="BC107" i="1"/>
  <c r="BB107" i="1"/>
  <c r="BA107" i="1"/>
  <c r="AY107" i="1"/>
  <c r="AV107" i="1"/>
  <c r="AW107" i="1" s="1"/>
  <c r="AU107" i="1"/>
  <c r="AT107" i="1"/>
  <c r="AS107" i="1"/>
  <c r="AR107" i="1"/>
  <c r="I107" i="1"/>
  <c r="BP106" i="1"/>
  <c r="BO106" i="1"/>
  <c r="BN106" i="1"/>
  <c r="BM106" i="1"/>
  <c r="BL106" i="1"/>
  <c r="BJ106" i="1"/>
  <c r="BF106" i="1"/>
  <c r="BE106" i="1"/>
  <c r="BD106" i="1"/>
  <c r="BC106" i="1"/>
  <c r="BB106" i="1"/>
  <c r="BA106" i="1"/>
  <c r="AY106" i="1"/>
  <c r="AV106" i="1"/>
  <c r="AW106" i="1" s="1"/>
  <c r="AU106" i="1"/>
  <c r="AT106" i="1"/>
  <c r="AS106" i="1"/>
  <c r="AR106" i="1"/>
  <c r="I106" i="1"/>
  <c r="BP105" i="1"/>
  <c r="BO105" i="1"/>
  <c r="BN105" i="1"/>
  <c r="BM105" i="1"/>
  <c r="BL105" i="1"/>
  <c r="BJ105" i="1"/>
  <c r="BF105" i="1"/>
  <c r="BE105" i="1"/>
  <c r="BD105" i="1"/>
  <c r="BC105" i="1"/>
  <c r="BB105" i="1"/>
  <c r="BA105" i="1"/>
  <c r="AY105" i="1"/>
  <c r="AV105" i="1"/>
  <c r="AW105" i="1" s="1"/>
  <c r="AU105" i="1"/>
  <c r="AT105" i="1"/>
  <c r="AS105" i="1"/>
  <c r="AR105" i="1"/>
  <c r="I105" i="1"/>
  <c r="BP104" i="1"/>
  <c r="BJ104" i="1"/>
  <c r="BF104" i="1"/>
  <c r="BE104" i="1"/>
  <c r="BD104" i="1"/>
  <c r="BC104" i="1"/>
  <c r="BB104" i="1"/>
  <c r="BA104" i="1"/>
  <c r="AY104" i="1"/>
  <c r="AV104" i="1"/>
  <c r="AW104" i="1" s="1"/>
  <c r="AU104" i="1"/>
  <c r="AT104" i="1"/>
  <c r="AS104" i="1"/>
  <c r="AR104" i="1"/>
  <c r="I104" i="1"/>
  <c r="BP103" i="1"/>
  <c r="BO103" i="1"/>
  <c r="BN103" i="1"/>
  <c r="BM103" i="1"/>
  <c r="BL103" i="1"/>
  <c r="BJ103" i="1"/>
  <c r="BF103" i="1"/>
  <c r="BE103" i="1"/>
  <c r="BD103" i="1"/>
  <c r="BC103" i="1"/>
  <c r="BB103" i="1"/>
  <c r="BA103" i="1"/>
  <c r="AY103" i="1"/>
  <c r="AV103" i="1"/>
  <c r="AW103" i="1" s="1"/>
  <c r="AU103" i="1"/>
  <c r="AT103" i="1"/>
  <c r="AS103" i="1"/>
  <c r="AR103" i="1"/>
  <c r="I103" i="1"/>
  <c r="BP102" i="1"/>
  <c r="BJ102" i="1"/>
  <c r="BF102" i="1"/>
  <c r="BE102" i="1"/>
  <c r="BG102" i="1" s="1"/>
  <c r="BD102" i="1"/>
  <c r="BC102" i="1"/>
  <c r="BB102" i="1"/>
  <c r="BA102" i="1"/>
  <c r="AY102" i="1"/>
  <c r="AV102" i="1"/>
  <c r="AW102" i="1" s="1"/>
  <c r="AU102" i="1"/>
  <c r="AT102" i="1"/>
  <c r="AS102" i="1"/>
  <c r="AR102" i="1"/>
  <c r="I102" i="1"/>
  <c r="BP101" i="1"/>
  <c r="BO101" i="1"/>
  <c r="BN101" i="1"/>
  <c r="BM101" i="1"/>
  <c r="BL101" i="1"/>
  <c r="BJ101" i="1"/>
  <c r="BF101" i="1"/>
  <c r="BE101" i="1"/>
  <c r="BD101" i="1"/>
  <c r="BC101" i="1"/>
  <c r="BB101" i="1"/>
  <c r="BA101" i="1"/>
  <c r="AY101" i="1"/>
  <c r="AV101" i="1"/>
  <c r="AW101" i="1" s="1"/>
  <c r="AU101" i="1"/>
  <c r="AT101" i="1"/>
  <c r="AS101" i="1"/>
  <c r="AR101" i="1"/>
  <c r="I101" i="1"/>
  <c r="BP100" i="1"/>
  <c r="BO100" i="1"/>
  <c r="BN100" i="1"/>
  <c r="BM100" i="1"/>
  <c r="BL100" i="1"/>
  <c r="BJ100" i="1"/>
  <c r="BF100" i="1"/>
  <c r="BE100" i="1"/>
  <c r="BD100" i="1"/>
  <c r="BC100" i="1"/>
  <c r="BB100" i="1"/>
  <c r="BA100" i="1"/>
  <c r="AY100" i="1"/>
  <c r="AV100" i="1"/>
  <c r="AW100" i="1" s="1"/>
  <c r="AU100" i="1"/>
  <c r="AT100" i="1"/>
  <c r="AS100" i="1"/>
  <c r="AR100" i="1"/>
  <c r="I100" i="1"/>
  <c r="BP99" i="1"/>
  <c r="BJ99" i="1"/>
  <c r="BF99" i="1"/>
  <c r="BE99" i="1"/>
  <c r="BD99" i="1"/>
  <c r="BC99" i="1"/>
  <c r="BB99" i="1"/>
  <c r="BA99" i="1"/>
  <c r="AY99" i="1"/>
  <c r="AV99" i="1"/>
  <c r="AW99" i="1" s="1"/>
  <c r="AU99" i="1"/>
  <c r="AT99" i="1"/>
  <c r="AS99" i="1"/>
  <c r="AR99" i="1"/>
  <c r="I99" i="1"/>
  <c r="BP98" i="1"/>
  <c r="BO98" i="1"/>
  <c r="BN98" i="1"/>
  <c r="BM98" i="1"/>
  <c r="BL98" i="1"/>
  <c r="BJ98" i="1"/>
  <c r="BF98" i="1"/>
  <c r="BE98" i="1"/>
  <c r="BD98" i="1"/>
  <c r="BC98" i="1"/>
  <c r="BB98" i="1"/>
  <c r="BA98" i="1"/>
  <c r="AY98" i="1"/>
  <c r="AV98" i="1"/>
  <c r="AW98" i="1" s="1"/>
  <c r="AU98" i="1"/>
  <c r="AT98" i="1"/>
  <c r="AS98" i="1"/>
  <c r="AR98" i="1"/>
  <c r="I98" i="1"/>
  <c r="BJ97" i="1"/>
  <c r="BF97" i="1"/>
  <c r="BE97" i="1"/>
  <c r="BD97" i="1"/>
  <c r="BC97" i="1"/>
  <c r="BB97" i="1"/>
  <c r="BA97" i="1"/>
  <c r="AY97" i="1"/>
  <c r="AV97" i="1"/>
  <c r="AW97" i="1" s="1"/>
  <c r="AU97" i="1"/>
  <c r="AT97" i="1"/>
  <c r="AS97" i="1"/>
  <c r="AR97" i="1"/>
  <c r="I97" i="1"/>
  <c r="BP96" i="1"/>
  <c r="BO96" i="1"/>
  <c r="BN96" i="1"/>
  <c r="BM96" i="1"/>
  <c r="BL96" i="1"/>
  <c r="BJ96" i="1"/>
  <c r="BF96" i="1"/>
  <c r="BE96" i="1"/>
  <c r="BD96" i="1"/>
  <c r="BC96" i="1"/>
  <c r="BB96" i="1"/>
  <c r="BA96" i="1"/>
  <c r="AY96" i="1"/>
  <c r="AV96" i="1"/>
  <c r="AW96" i="1" s="1"/>
  <c r="AU96" i="1"/>
  <c r="AT96" i="1"/>
  <c r="AS96" i="1"/>
  <c r="AR96" i="1"/>
  <c r="I96" i="1"/>
  <c r="BP95" i="1"/>
  <c r="BJ95" i="1"/>
  <c r="BF95" i="1"/>
  <c r="BE95" i="1"/>
  <c r="BD95" i="1"/>
  <c r="BC95" i="1"/>
  <c r="BB95" i="1"/>
  <c r="BA95" i="1"/>
  <c r="AY95" i="1"/>
  <c r="AV95" i="1"/>
  <c r="AW95" i="1" s="1"/>
  <c r="AU95" i="1"/>
  <c r="AT95" i="1"/>
  <c r="AS95" i="1"/>
  <c r="AR95" i="1"/>
  <c r="I95" i="1"/>
  <c r="BP94" i="1"/>
  <c r="BO94" i="1"/>
  <c r="BN94" i="1"/>
  <c r="BM94" i="1"/>
  <c r="BL94" i="1"/>
  <c r="BJ94" i="1"/>
  <c r="BF94" i="1"/>
  <c r="BE94" i="1"/>
  <c r="BD94" i="1"/>
  <c r="BC94" i="1"/>
  <c r="BB94" i="1"/>
  <c r="BA94" i="1"/>
  <c r="AY94" i="1"/>
  <c r="AV94" i="1"/>
  <c r="AW94" i="1" s="1"/>
  <c r="AU94" i="1"/>
  <c r="AT94" i="1"/>
  <c r="AS94" i="1"/>
  <c r="AR94" i="1"/>
  <c r="I94" i="1"/>
  <c r="BP93" i="1"/>
  <c r="BO93" i="1"/>
  <c r="BN93" i="1"/>
  <c r="BM93" i="1"/>
  <c r="BL93" i="1"/>
  <c r="BJ93" i="1"/>
  <c r="BF93" i="1"/>
  <c r="BE93" i="1"/>
  <c r="BD93" i="1"/>
  <c r="BC93" i="1"/>
  <c r="BB93" i="1"/>
  <c r="BA93" i="1"/>
  <c r="AY93" i="1"/>
  <c r="AV93" i="1"/>
  <c r="AW93" i="1" s="1"/>
  <c r="AU93" i="1"/>
  <c r="AT93" i="1"/>
  <c r="AS93" i="1"/>
  <c r="AR93" i="1"/>
  <c r="I93" i="1"/>
  <c r="BP92" i="1"/>
  <c r="BO92" i="1"/>
  <c r="BN92" i="1"/>
  <c r="BM92" i="1"/>
  <c r="BL92" i="1"/>
  <c r="BJ92" i="1"/>
  <c r="BF92" i="1"/>
  <c r="BE92" i="1"/>
  <c r="BD92" i="1"/>
  <c r="BC92" i="1"/>
  <c r="BB92" i="1"/>
  <c r="BA92" i="1"/>
  <c r="AY92" i="1"/>
  <c r="AV92" i="1"/>
  <c r="AW92" i="1" s="1"/>
  <c r="AU92" i="1"/>
  <c r="AT92" i="1"/>
  <c r="AS92" i="1"/>
  <c r="AR92" i="1"/>
  <c r="I92" i="1"/>
  <c r="BP91" i="1"/>
  <c r="BF91" i="1"/>
  <c r="BE91" i="1"/>
  <c r="BB91" i="1"/>
  <c r="BA91" i="1"/>
  <c r="AV91" i="1"/>
  <c r="AW91" i="1" s="1"/>
  <c r="AU91" i="1"/>
  <c r="AT91" i="1"/>
  <c r="AS91" i="1"/>
  <c r="AY91" i="1" s="1"/>
  <c r="AR91" i="1"/>
  <c r="I91" i="1"/>
  <c r="BP90" i="1"/>
  <c r="BO90" i="1"/>
  <c r="BN90" i="1"/>
  <c r="BM90" i="1"/>
  <c r="BL90" i="1"/>
  <c r="BJ90" i="1"/>
  <c r="BF90" i="1"/>
  <c r="BE90" i="1"/>
  <c r="BD90" i="1"/>
  <c r="BC90" i="1"/>
  <c r="BB90" i="1"/>
  <c r="BA90" i="1"/>
  <c r="AY90" i="1"/>
  <c r="AV90" i="1"/>
  <c r="AW90" i="1" s="1"/>
  <c r="AU90" i="1"/>
  <c r="AT90" i="1"/>
  <c r="AS90" i="1"/>
  <c r="AR90" i="1"/>
  <c r="I90" i="1"/>
  <c r="BJ89" i="1"/>
  <c r="BF89" i="1"/>
  <c r="BE89" i="1"/>
  <c r="BD89" i="1"/>
  <c r="BC89" i="1"/>
  <c r="BB89" i="1"/>
  <c r="BA89" i="1"/>
  <c r="AY89" i="1"/>
  <c r="AV89" i="1"/>
  <c r="AW89" i="1" s="1"/>
  <c r="AU89" i="1"/>
  <c r="AT89" i="1"/>
  <c r="AS89" i="1"/>
  <c r="AR89" i="1"/>
  <c r="I89" i="1"/>
  <c r="BP88" i="1"/>
  <c r="BO88" i="1"/>
  <c r="BN88" i="1"/>
  <c r="BM88" i="1"/>
  <c r="BL88" i="1"/>
  <c r="BJ88" i="1"/>
  <c r="BF88" i="1"/>
  <c r="BE88" i="1"/>
  <c r="BD88" i="1"/>
  <c r="BC88" i="1"/>
  <c r="BB88" i="1"/>
  <c r="BA88" i="1"/>
  <c r="AY88" i="1"/>
  <c r="AV88" i="1"/>
  <c r="AW88" i="1" s="1"/>
  <c r="AU88" i="1"/>
  <c r="AT88" i="1"/>
  <c r="AS88" i="1"/>
  <c r="AR88" i="1"/>
  <c r="I88" i="1"/>
  <c r="BP87" i="1"/>
  <c r="BO87" i="1"/>
  <c r="BN87" i="1"/>
  <c r="BM87" i="1"/>
  <c r="BL87" i="1"/>
  <c r="BJ87" i="1"/>
  <c r="BF87" i="1"/>
  <c r="BE87" i="1"/>
  <c r="BD87" i="1"/>
  <c r="BC87" i="1"/>
  <c r="BB87" i="1"/>
  <c r="BA87" i="1"/>
  <c r="AY87" i="1"/>
  <c r="AV87" i="1"/>
  <c r="AW87" i="1" s="1"/>
  <c r="AU87" i="1"/>
  <c r="AT87" i="1"/>
  <c r="AS87" i="1"/>
  <c r="AR87" i="1"/>
  <c r="I87" i="1"/>
  <c r="BP86" i="1"/>
  <c r="BO86" i="1"/>
  <c r="BN86" i="1"/>
  <c r="BM86" i="1"/>
  <c r="BL86" i="1"/>
  <c r="BJ86" i="1"/>
  <c r="BF86" i="1"/>
  <c r="BE86" i="1"/>
  <c r="BD86" i="1"/>
  <c r="BC86" i="1"/>
  <c r="BB86" i="1"/>
  <c r="BA86" i="1"/>
  <c r="AY86" i="1"/>
  <c r="AV86" i="1"/>
  <c r="AW86" i="1" s="1"/>
  <c r="AU86" i="1"/>
  <c r="AT86" i="1"/>
  <c r="AS86" i="1"/>
  <c r="AR86" i="1"/>
  <c r="I86" i="1"/>
  <c r="BP85" i="1"/>
  <c r="BF85" i="1"/>
  <c r="BE85" i="1"/>
  <c r="BB85" i="1"/>
  <c r="BA85" i="1"/>
  <c r="AY85" i="1"/>
  <c r="AV85" i="1"/>
  <c r="AU85" i="1"/>
  <c r="AT85" i="1"/>
  <c r="AS85" i="1"/>
  <c r="AR85" i="1"/>
  <c r="I85" i="1"/>
  <c r="BP84" i="1"/>
  <c r="BO84" i="1"/>
  <c r="BN84" i="1"/>
  <c r="BM84" i="1"/>
  <c r="BL84" i="1"/>
  <c r="BJ84" i="1"/>
  <c r="BF84" i="1"/>
  <c r="BE84" i="1"/>
  <c r="BD84" i="1"/>
  <c r="BC84" i="1"/>
  <c r="BB84" i="1"/>
  <c r="BA84" i="1"/>
  <c r="AY84" i="1"/>
  <c r="AV84" i="1"/>
  <c r="AW84" i="1" s="1"/>
  <c r="AU84" i="1"/>
  <c r="AT84" i="1"/>
  <c r="AS84" i="1"/>
  <c r="AR84" i="1"/>
  <c r="I84" i="1"/>
  <c r="BP83" i="1"/>
  <c r="BO83" i="1"/>
  <c r="BN83" i="1"/>
  <c r="BM83" i="1"/>
  <c r="BL83" i="1"/>
  <c r="BJ83" i="1"/>
  <c r="BF83" i="1"/>
  <c r="BE83" i="1"/>
  <c r="BD83" i="1"/>
  <c r="BC83" i="1"/>
  <c r="BB83" i="1"/>
  <c r="BA83" i="1"/>
  <c r="AY83" i="1"/>
  <c r="AV83" i="1"/>
  <c r="AW83" i="1" s="1"/>
  <c r="AU83" i="1"/>
  <c r="AT83" i="1"/>
  <c r="AS83" i="1"/>
  <c r="AR83" i="1"/>
  <c r="I83" i="1"/>
  <c r="BJ82" i="1"/>
  <c r="BF82" i="1"/>
  <c r="BE82" i="1"/>
  <c r="BG82" i="1" s="1"/>
  <c r="BD82" i="1"/>
  <c r="BC82" i="1"/>
  <c r="BB82" i="1"/>
  <c r="BA82" i="1"/>
  <c r="AY82" i="1"/>
  <c r="AV82" i="1"/>
  <c r="AW82" i="1" s="1"/>
  <c r="AU82" i="1"/>
  <c r="AT82" i="1"/>
  <c r="AS82" i="1"/>
  <c r="AR82" i="1"/>
  <c r="I82" i="1"/>
  <c r="BJ81" i="1"/>
  <c r="BF81" i="1"/>
  <c r="BE81" i="1"/>
  <c r="BI81" i="1" s="1"/>
  <c r="BK81" i="1" s="1"/>
  <c r="BD81" i="1"/>
  <c r="BC81" i="1"/>
  <c r="BB81" i="1"/>
  <c r="BA81" i="1"/>
  <c r="AY81" i="1"/>
  <c r="AV81" i="1"/>
  <c r="AW81" i="1" s="1"/>
  <c r="AU81" i="1"/>
  <c r="AT81" i="1"/>
  <c r="AS81" i="1"/>
  <c r="AR81" i="1"/>
  <c r="I81" i="1"/>
  <c r="BP80" i="1"/>
  <c r="BO80" i="1"/>
  <c r="BN80" i="1"/>
  <c r="BM80" i="1"/>
  <c r="BL80" i="1"/>
  <c r="BJ80" i="1"/>
  <c r="BF80" i="1"/>
  <c r="BE80" i="1"/>
  <c r="BD80" i="1"/>
  <c r="BC80" i="1"/>
  <c r="BB80" i="1"/>
  <c r="BA80" i="1"/>
  <c r="AY80" i="1"/>
  <c r="AV80" i="1"/>
  <c r="AW80" i="1" s="1"/>
  <c r="AU80" i="1"/>
  <c r="AT80" i="1"/>
  <c r="AS80" i="1"/>
  <c r="AR80" i="1"/>
  <c r="I80" i="1"/>
  <c r="BP79" i="1"/>
  <c r="BJ79" i="1"/>
  <c r="BF79" i="1"/>
  <c r="BE79" i="1"/>
  <c r="BD79" i="1"/>
  <c r="BC79" i="1"/>
  <c r="BB79" i="1"/>
  <c r="BA79" i="1"/>
  <c r="AY79" i="1"/>
  <c r="AV79" i="1"/>
  <c r="AW79" i="1" s="1"/>
  <c r="AU79" i="1"/>
  <c r="AT79" i="1"/>
  <c r="AS79" i="1"/>
  <c r="AR79" i="1"/>
  <c r="I79" i="1"/>
  <c r="BP78" i="1"/>
  <c r="BO78" i="1"/>
  <c r="BN78" i="1"/>
  <c r="BM78" i="1"/>
  <c r="BL78" i="1"/>
  <c r="BJ78" i="1"/>
  <c r="BF78" i="1"/>
  <c r="BE78" i="1"/>
  <c r="BD78" i="1"/>
  <c r="BC78" i="1"/>
  <c r="BB78" i="1"/>
  <c r="BA78" i="1"/>
  <c r="AY78" i="1"/>
  <c r="AV78" i="1"/>
  <c r="AW78" i="1" s="1"/>
  <c r="AU78" i="1"/>
  <c r="AT78" i="1"/>
  <c r="AS78" i="1"/>
  <c r="AR78" i="1"/>
  <c r="I78" i="1"/>
  <c r="BP77" i="1"/>
  <c r="BO77" i="1"/>
  <c r="BN77" i="1"/>
  <c r="BM77" i="1"/>
  <c r="BL77" i="1"/>
  <c r="BJ77" i="1"/>
  <c r="BF77" i="1"/>
  <c r="BE77" i="1"/>
  <c r="BD77" i="1"/>
  <c r="BC77" i="1"/>
  <c r="BB77" i="1"/>
  <c r="BA77" i="1"/>
  <c r="AY77" i="1"/>
  <c r="AV77" i="1"/>
  <c r="AW77" i="1" s="1"/>
  <c r="AU77" i="1"/>
  <c r="AT77" i="1"/>
  <c r="AS77" i="1"/>
  <c r="AR77" i="1"/>
  <c r="I77" i="1"/>
  <c r="BP76" i="1"/>
  <c r="BO76" i="1"/>
  <c r="BN76" i="1"/>
  <c r="BM76" i="1"/>
  <c r="BL76" i="1"/>
  <c r="BJ76" i="1"/>
  <c r="BF76" i="1"/>
  <c r="BE76" i="1"/>
  <c r="BD76" i="1"/>
  <c r="BC76" i="1"/>
  <c r="BB76" i="1"/>
  <c r="BA76" i="1"/>
  <c r="AY76" i="1"/>
  <c r="AV76" i="1"/>
  <c r="AW76" i="1" s="1"/>
  <c r="AU76" i="1"/>
  <c r="AT76" i="1"/>
  <c r="AS76" i="1"/>
  <c r="AR76" i="1"/>
  <c r="I76" i="1"/>
  <c r="BP75" i="1"/>
  <c r="BJ75" i="1"/>
  <c r="BF75" i="1"/>
  <c r="BE75" i="1"/>
  <c r="BH75" i="1" s="1"/>
  <c r="BD75" i="1"/>
  <c r="BC75" i="1"/>
  <c r="BB75" i="1"/>
  <c r="BA75" i="1"/>
  <c r="AY75" i="1"/>
  <c r="AV75" i="1"/>
  <c r="AW75" i="1" s="1"/>
  <c r="AU75" i="1"/>
  <c r="AT75" i="1"/>
  <c r="AS75" i="1"/>
  <c r="AR75" i="1"/>
  <c r="I75" i="1"/>
  <c r="BP74" i="1"/>
  <c r="BJ74" i="1"/>
  <c r="BF74" i="1"/>
  <c r="BE74" i="1"/>
  <c r="BD74" i="1"/>
  <c r="BC74" i="1"/>
  <c r="BB74" i="1"/>
  <c r="BA74" i="1"/>
  <c r="AY74" i="1"/>
  <c r="AV74" i="1"/>
  <c r="AW74" i="1" s="1"/>
  <c r="AU74" i="1"/>
  <c r="AT74" i="1"/>
  <c r="AS74" i="1"/>
  <c r="AR74" i="1"/>
  <c r="I74" i="1"/>
  <c r="BP73" i="1"/>
  <c r="BJ73" i="1"/>
  <c r="BF73" i="1"/>
  <c r="BE73" i="1"/>
  <c r="BD73" i="1"/>
  <c r="BC73" i="1"/>
  <c r="BB73" i="1"/>
  <c r="BA73" i="1"/>
  <c r="AY73" i="1"/>
  <c r="AV73" i="1"/>
  <c r="AW73" i="1" s="1"/>
  <c r="AU73" i="1"/>
  <c r="AT73" i="1"/>
  <c r="AS73" i="1"/>
  <c r="AR73" i="1"/>
  <c r="I73" i="1"/>
  <c r="BP72" i="1"/>
  <c r="BF72" i="1"/>
  <c r="BE72" i="1"/>
  <c r="BB72" i="1"/>
  <c r="BA72" i="1"/>
  <c r="AV72" i="1"/>
  <c r="AW72" i="1" s="1"/>
  <c r="AU72" i="1"/>
  <c r="AT72" i="1"/>
  <c r="AS72" i="1"/>
  <c r="AY72" i="1" s="1"/>
  <c r="AR72" i="1"/>
  <c r="I72" i="1"/>
  <c r="BP71" i="1"/>
  <c r="BO71" i="1"/>
  <c r="BN71" i="1"/>
  <c r="BM71" i="1"/>
  <c r="BL71" i="1"/>
  <c r="BJ71" i="1"/>
  <c r="BF71" i="1"/>
  <c r="BE71" i="1"/>
  <c r="BD71" i="1"/>
  <c r="BC71" i="1"/>
  <c r="BB71" i="1"/>
  <c r="BA71" i="1"/>
  <c r="AY71" i="1"/>
  <c r="AV71" i="1"/>
  <c r="AW71" i="1" s="1"/>
  <c r="AU71" i="1"/>
  <c r="AT71" i="1"/>
  <c r="AS71" i="1"/>
  <c r="AR71" i="1"/>
  <c r="I71" i="1"/>
  <c r="BP70" i="1"/>
  <c r="BO70" i="1"/>
  <c r="BN70" i="1"/>
  <c r="BM70" i="1"/>
  <c r="BL70" i="1"/>
  <c r="BJ70" i="1"/>
  <c r="BF70" i="1"/>
  <c r="BE70" i="1"/>
  <c r="BD70" i="1"/>
  <c r="BC70" i="1"/>
  <c r="BB70" i="1"/>
  <c r="BA70" i="1"/>
  <c r="AY70" i="1"/>
  <c r="AV70" i="1"/>
  <c r="AW70" i="1" s="1"/>
  <c r="AU70" i="1"/>
  <c r="AT70" i="1"/>
  <c r="AS70" i="1"/>
  <c r="AR70" i="1"/>
  <c r="I70" i="1"/>
  <c r="BP69" i="1"/>
  <c r="BO69" i="1"/>
  <c r="BN69" i="1"/>
  <c r="BM69" i="1"/>
  <c r="BL69" i="1"/>
  <c r="BJ69" i="1"/>
  <c r="BF69" i="1"/>
  <c r="BE69" i="1"/>
  <c r="BD69" i="1"/>
  <c r="BC69" i="1"/>
  <c r="BB69" i="1"/>
  <c r="BA69" i="1"/>
  <c r="AY69" i="1"/>
  <c r="AV69" i="1"/>
  <c r="AW69" i="1" s="1"/>
  <c r="AU69" i="1"/>
  <c r="AT69" i="1"/>
  <c r="AS69" i="1"/>
  <c r="AR69" i="1"/>
  <c r="I69" i="1"/>
  <c r="BP68" i="1"/>
  <c r="BF68" i="1"/>
  <c r="BE68" i="1"/>
  <c r="BB68" i="1"/>
  <c r="BA68" i="1"/>
  <c r="AY68" i="1"/>
  <c r="AV68" i="1"/>
  <c r="AW68" i="1" s="1"/>
  <c r="AU68" i="1"/>
  <c r="AT68" i="1"/>
  <c r="AS68" i="1"/>
  <c r="AR68" i="1"/>
  <c r="I68" i="1"/>
  <c r="BP67" i="1"/>
  <c r="BJ67" i="1"/>
  <c r="BF67" i="1"/>
  <c r="BE67" i="1"/>
  <c r="BD67" i="1"/>
  <c r="BC67" i="1"/>
  <c r="BB67" i="1"/>
  <c r="BA67" i="1"/>
  <c r="AY67" i="1"/>
  <c r="AV67" i="1"/>
  <c r="AW67" i="1" s="1"/>
  <c r="AU67" i="1"/>
  <c r="AT67" i="1"/>
  <c r="AS67" i="1"/>
  <c r="AR67" i="1"/>
  <c r="I67" i="1"/>
  <c r="BP66" i="1"/>
  <c r="BO66" i="1"/>
  <c r="BN66" i="1"/>
  <c r="BM66" i="1"/>
  <c r="BL66" i="1"/>
  <c r="BJ66" i="1"/>
  <c r="BF66" i="1"/>
  <c r="BE66" i="1"/>
  <c r="BD66" i="1"/>
  <c r="BC66" i="1"/>
  <c r="BB66" i="1"/>
  <c r="BA66" i="1"/>
  <c r="AY66" i="1"/>
  <c r="AV66" i="1"/>
  <c r="AW66" i="1" s="1"/>
  <c r="AU66" i="1"/>
  <c r="AT66" i="1"/>
  <c r="AS66" i="1"/>
  <c r="AR66" i="1"/>
  <c r="I66" i="1"/>
  <c r="BP65" i="1"/>
  <c r="BJ65" i="1"/>
  <c r="BF65" i="1"/>
  <c r="BE65" i="1"/>
  <c r="BD65" i="1"/>
  <c r="BC65" i="1"/>
  <c r="BB65" i="1"/>
  <c r="BA65" i="1"/>
  <c r="AY65" i="1"/>
  <c r="AV65" i="1"/>
  <c r="AW65" i="1" s="1"/>
  <c r="AU65" i="1"/>
  <c r="AT65" i="1"/>
  <c r="AS65" i="1"/>
  <c r="AR65" i="1"/>
  <c r="I65" i="1"/>
  <c r="BP64" i="1"/>
  <c r="BO64" i="1"/>
  <c r="BN64" i="1"/>
  <c r="BM64" i="1"/>
  <c r="BL64" i="1"/>
  <c r="BJ64" i="1"/>
  <c r="BF64" i="1"/>
  <c r="BE64" i="1"/>
  <c r="BD64" i="1"/>
  <c r="BC64" i="1"/>
  <c r="BB64" i="1"/>
  <c r="BA64" i="1"/>
  <c r="AY64" i="1"/>
  <c r="AV64" i="1"/>
  <c r="AW64" i="1" s="1"/>
  <c r="AU64" i="1"/>
  <c r="AT64" i="1"/>
  <c r="AS64" i="1"/>
  <c r="AR64" i="1"/>
  <c r="I64" i="1"/>
  <c r="BP63" i="1"/>
  <c r="BO63" i="1"/>
  <c r="BN63" i="1"/>
  <c r="BM63" i="1"/>
  <c r="BL63" i="1"/>
  <c r="BJ63" i="1"/>
  <c r="BF63" i="1"/>
  <c r="BE63" i="1"/>
  <c r="BD63" i="1"/>
  <c r="BC63" i="1"/>
  <c r="BB63" i="1"/>
  <c r="BA63" i="1"/>
  <c r="AY63" i="1"/>
  <c r="AV63" i="1"/>
  <c r="AW63" i="1" s="1"/>
  <c r="AU63" i="1"/>
  <c r="AT63" i="1"/>
  <c r="AS63" i="1"/>
  <c r="AR63" i="1"/>
  <c r="I63" i="1"/>
  <c r="BP62" i="1"/>
  <c r="BF62" i="1"/>
  <c r="BE62" i="1"/>
  <c r="BB62" i="1"/>
  <c r="BA62" i="1"/>
  <c r="AY62" i="1"/>
  <c r="AV62" i="1"/>
  <c r="AU62" i="1"/>
  <c r="AT62" i="1"/>
  <c r="AS62" i="1"/>
  <c r="AR62" i="1"/>
  <c r="I62" i="1"/>
  <c r="BP61" i="1"/>
  <c r="BF61" i="1"/>
  <c r="BE61" i="1"/>
  <c r="BB61" i="1"/>
  <c r="BA61" i="1"/>
  <c r="AV61" i="1"/>
  <c r="AU61" i="1"/>
  <c r="AT61" i="1"/>
  <c r="AS61" i="1"/>
  <c r="AY61" i="1" s="1"/>
  <c r="AR61" i="1"/>
  <c r="I61" i="1"/>
  <c r="BP60" i="1"/>
  <c r="BF60" i="1"/>
  <c r="BE60" i="1"/>
  <c r="BB60" i="1"/>
  <c r="BA60" i="1"/>
  <c r="AV60" i="1"/>
  <c r="AW60" i="1" s="1"/>
  <c r="AU60" i="1"/>
  <c r="AT60" i="1"/>
  <c r="AS60" i="1"/>
  <c r="AY60" i="1" s="1"/>
  <c r="AR60" i="1"/>
  <c r="I60" i="1"/>
  <c r="BP59" i="1"/>
  <c r="BF59" i="1"/>
  <c r="BE59" i="1"/>
  <c r="BB59" i="1"/>
  <c r="BA59" i="1"/>
  <c r="AV59" i="1"/>
  <c r="AW59" i="1" s="1"/>
  <c r="AU59" i="1"/>
  <c r="AT59" i="1"/>
  <c r="AS59" i="1"/>
  <c r="AY59" i="1" s="1"/>
  <c r="AR59" i="1"/>
  <c r="I59" i="1"/>
  <c r="BP58" i="1"/>
  <c r="BO58" i="1"/>
  <c r="BN58" i="1"/>
  <c r="BM58" i="1"/>
  <c r="BL58" i="1"/>
  <c r="BJ58" i="1"/>
  <c r="BF58" i="1"/>
  <c r="BE58" i="1"/>
  <c r="BD58" i="1"/>
  <c r="BC58" i="1"/>
  <c r="BB58" i="1"/>
  <c r="BA58" i="1"/>
  <c r="AY58" i="1"/>
  <c r="AV58" i="1"/>
  <c r="AW58" i="1" s="1"/>
  <c r="AU58" i="1"/>
  <c r="AT58" i="1"/>
  <c r="AS58" i="1"/>
  <c r="AR58" i="1"/>
  <c r="I58" i="1"/>
  <c r="BP57" i="1"/>
  <c r="BJ57" i="1"/>
  <c r="BF57" i="1"/>
  <c r="BE57" i="1"/>
  <c r="BD57" i="1"/>
  <c r="BC57" i="1"/>
  <c r="BB57" i="1"/>
  <c r="BA57" i="1"/>
  <c r="AY57" i="1"/>
  <c r="AV57" i="1"/>
  <c r="AW57" i="1" s="1"/>
  <c r="AU57" i="1"/>
  <c r="AT57" i="1"/>
  <c r="AS57" i="1"/>
  <c r="AR57" i="1"/>
  <c r="I57" i="1"/>
  <c r="BF56" i="1"/>
  <c r="BE56" i="1"/>
  <c r="BB56" i="1"/>
  <c r="BA56" i="1"/>
  <c r="AV56" i="1"/>
  <c r="AW56" i="1" s="1"/>
  <c r="AU56" i="1"/>
  <c r="AT56" i="1"/>
  <c r="AS56" i="1"/>
  <c r="AY56" i="1" s="1"/>
  <c r="AR56" i="1"/>
  <c r="I56" i="1"/>
  <c r="BP55" i="1"/>
  <c r="BO55" i="1"/>
  <c r="BN55" i="1"/>
  <c r="BM55" i="1"/>
  <c r="BL55" i="1"/>
  <c r="BJ55" i="1"/>
  <c r="BF55" i="1"/>
  <c r="BE55" i="1"/>
  <c r="BD55" i="1"/>
  <c r="BC55" i="1"/>
  <c r="BB55" i="1"/>
  <c r="BA55" i="1"/>
  <c r="AY55" i="1"/>
  <c r="AV55" i="1"/>
  <c r="AW55" i="1" s="1"/>
  <c r="AU55" i="1"/>
  <c r="AT55" i="1"/>
  <c r="AS55" i="1"/>
  <c r="AR55" i="1"/>
  <c r="I55" i="1"/>
  <c r="BP54" i="1"/>
  <c r="BO54" i="1"/>
  <c r="BN54" i="1"/>
  <c r="BM54" i="1"/>
  <c r="BL54" i="1"/>
  <c r="BJ54" i="1"/>
  <c r="BF54" i="1"/>
  <c r="BE54" i="1"/>
  <c r="BD54" i="1"/>
  <c r="BC54" i="1"/>
  <c r="BB54" i="1"/>
  <c r="BA54" i="1"/>
  <c r="AY54" i="1"/>
  <c r="AV54" i="1"/>
  <c r="AW54" i="1" s="1"/>
  <c r="AU54" i="1"/>
  <c r="AT54" i="1"/>
  <c r="AS54" i="1"/>
  <c r="AR54" i="1"/>
  <c r="I54" i="1"/>
  <c r="BP53" i="1"/>
  <c r="BO53" i="1"/>
  <c r="BN53" i="1"/>
  <c r="BM53" i="1"/>
  <c r="BL53" i="1"/>
  <c r="BJ53" i="1"/>
  <c r="BF53" i="1"/>
  <c r="BE53" i="1"/>
  <c r="BD53" i="1"/>
  <c r="BC53" i="1"/>
  <c r="BB53" i="1"/>
  <c r="BA53" i="1"/>
  <c r="AY53" i="1"/>
  <c r="AV53" i="1"/>
  <c r="AW53" i="1" s="1"/>
  <c r="AU53" i="1"/>
  <c r="AT53" i="1"/>
  <c r="AS53" i="1"/>
  <c r="AR53" i="1"/>
  <c r="I53" i="1"/>
  <c r="BP52" i="1"/>
  <c r="BO52" i="1"/>
  <c r="BN52" i="1"/>
  <c r="BM52" i="1"/>
  <c r="BL52" i="1"/>
  <c r="BJ52" i="1"/>
  <c r="BF52" i="1"/>
  <c r="BE52" i="1"/>
  <c r="BD52" i="1"/>
  <c r="BC52" i="1"/>
  <c r="BB52" i="1"/>
  <c r="BA52" i="1"/>
  <c r="AY52" i="1"/>
  <c r="AV52" i="1"/>
  <c r="AW52" i="1" s="1"/>
  <c r="AU52" i="1"/>
  <c r="AT52" i="1"/>
  <c r="AS52" i="1"/>
  <c r="AR52" i="1"/>
  <c r="I52" i="1"/>
  <c r="BP51" i="1"/>
  <c r="BJ51" i="1"/>
  <c r="BF51" i="1"/>
  <c r="BE51" i="1"/>
  <c r="BD51" i="1"/>
  <c r="BC51" i="1"/>
  <c r="BB51" i="1"/>
  <c r="BA51" i="1"/>
  <c r="AY51" i="1"/>
  <c r="AV51" i="1"/>
  <c r="AW51" i="1" s="1"/>
  <c r="AU51" i="1"/>
  <c r="AT51" i="1"/>
  <c r="AS51" i="1"/>
  <c r="AR51" i="1"/>
  <c r="I51" i="1"/>
  <c r="BP50" i="1"/>
  <c r="BJ50" i="1"/>
  <c r="BF50" i="1"/>
  <c r="BE50" i="1"/>
  <c r="BG50" i="1" s="1"/>
  <c r="BD50" i="1"/>
  <c r="BC50" i="1"/>
  <c r="BB50" i="1"/>
  <c r="BA50" i="1"/>
  <c r="AY50" i="1"/>
  <c r="AV50" i="1"/>
  <c r="AW50" i="1" s="1"/>
  <c r="AU50" i="1"/>
  <c r="AT50" i="1"/>
  <c r="AS50" i="1"/>
  <c r="AR50" i="1"/>
  <c r="I50" i="1"/>
  <c r="BP49" i="1"/>
  <c r="BO49" i="1"/>
  <c r="BN49" i="1"/>
  <c r="BM49" i="1"/>
  <c r="BL49" i="1"/>
  <c r="BJ49" i="1"/>
  <c r="BF49" i="1"/>
  <c r="BE49" i="1"/>
  <c r="BD49" i="1"/>
  <c r="BC49" i="1"/>
  <c r="BB49" i="1"/>
  <c r="BA49" i="1"/>
  <c r="AY49" i="1"/>
  <c r="AV49" i="1"/>
  <c r="AW49" i="1" s="1"/>
  <c r="AU49" i="1"/>
  <c r="AT49" i="1"/>
  <c r="AS49" i="1"/>
  <c r="AR49" i="1"/>
  <c r="I49" i="1"/>
  <c r="BP48" i="1"/>
  <c r="BO48" i="1"/>
  <c r="BN48" i="1"/>
  <c r="BM48" i="1"/>
  <c r="BL48" i="1"/>
  <c r="BJ48" i="1"/>
  <c r="BF48" i="1"/>
  <c r="BE48" i="1"/>
  <c r="BD48" i="1"/>
  <c r="BC48" i="1"/>
  <c r="BB48" i="1"/>
  <c r="BA48" i="1"/>
  <c r="AY48" i="1"/>
  <c r="AV48" i="1"/>
  <c r="AW48" i="1" s="1"/>
  <c r="AU48" i="1"/>
  <c r="AT48" i="1"/>
  <c r="AS48" i="1"/>
  <c r="AR48" i="1"/>
  <c r="I48" i="1"/>
  <c r="BP47" i="1"/>
  <c r="BO47" i="1"/>
  <c r="BN47" i="1"/>
  <c r="BM47" i="1"/>
  <c r="BL47" i="1"/>
  <c r="BJ47" i="1"/>
  <c r="BF47" i="1"/>
  <c r="BE47" i="1"/>
  <c r="BD47" i="1"/>
  <c r="BC47" i="1"/>
  <c r="BB47" i="1"/>
  <c r="BA47" i="1"/>
  <c r="AY47" i="1"/>
  <c r="AV47" i="1"/>
  <c r="AW47" i="1" s="1"/>
  <c r="AU47" i="1"/>
  <c r="AT47" i="1"/>
  <c r="AS47" i="1"/>
  <c r="AR47" i="1"/>
  <c r="I47" i="1"/>
  <c r="BP46" i="1"/>
  <c r="BO46" i="1"/>
  <c r="BN46" i="1"/>
  <c r="BM46" i="1"/>
  <c r="BL46" i="1"/>
  <c r="BJ46" i="1"/>
  <c r="BF46" i="1"/>
  <c r="BE46" i="1"/>
  <c r="BD46" i="1"/>
  <c r="BC46" i="1"/>
  <c r="BB46" i="1"/>
  <c r="BA46" i="1"/>
  <c r="AY46" i="1"/>
  <c r="AV46" i="1"/>
  <c r="AW46" i="1" s="1"/>
  <c r="AU46" i="1"/>
  <c r="AT46" i="1"/>
  <c r="AS46" i="1"/>
  <c r="AR46" i="1"/>
  <c r="I46" i="1"/>
  <c r="BP45" i="1"/>
  <c r="BJ45" i="1"/>
  <c r="BF45" i="1"/>
  <c r="BE45" i="1"/>
  <c r="BD45" i="1"/>
  <c r="BC45" i="1"/>
  <c r="BB45" i="1"/>
  <c r="BA45" i="1"/>
  <c r="AY45" i="1"/>
  <c r="AV45" i="1"/>
  <c r="AW45" i="1" s="1"/>
  <c r="AU45" i="1"/>
  <c r="AT45" i="1"/>
  <c r="AS45" i="1"/>
  <c r="AR45" i="1"/>
  <c r="I45" i="1"/>
  <c r="BP44" i="1"/>
  <c r="BO44" i="1"/>
  <c r="BN44" i="1"/>
  <c r="BM44" i="1"/>
  <c r="BL44" i="1"/>
  <c r="BJ44" i="1"/>
  <c r="BF44" i="1"/>
  <c r="BE44" i="1"/>
  <c r="BD44" i="1"/>
  <c r="BC44" i="1"/>
  <c r="BB44" i="1"/>
  <c r="BA44" i="1"/>
  <c r="AY44" i="1"/>
  <c r="AV44" i="1"/>
  <c r="AW44" i="1" s="1"/>
  <c r="AU44" i="1"/>
  <c r="AT44" i="1"/>
  <c r="AS44" i="1"/>
  <c r="AR44" i="1"/>
  <c r="I44" i="1"/>
  <c r="BP43" i="1"/>
  <c r="BO43" i="1"/>
  <c r="BN43" i="1"/>
  <c r="BM43" i="1"/>
  <c r="BL43" i="1"/>
  <c r="BJ43" i="1"/>
  <c r="BF43" i="1"/>
  <c r="BE43" i="1"/>
  <c r="BD43" i="1"/>
  <c r="BC43" i="1"/>
  <c r="BB43" i="1"/>
  <c r="BA43" i="1"/>
  <c r="AY43" i="1"/>
  <c r="AV43" i="1"/>
  <c r="AW43" i="1" s="1"/>
  <c r="AU43" i="1"/>
  <c r="AT43" i="1"/>
  <c r="AS43" i="1"/>
  <c r="AR43" i="1"/>
  <c r="I43" i="1"/>
  <c r="BJ42" i="1"/>
  <c r="BF42" i="1"/>
  <c r="BE42" i="1"/>
  <c r="BD42" i="1"/>
  <c r="BC42" i="1"/>
  <c r="BB42" i="1"/>
  <c r="BA42" i="1"/>
  <c r="AY42" i="1"/>
  <c r="AV42" i="1"/>
  <c r="AW42" i="1" s="1"/>
  <c r="AU42" i="1"/>
  <c r="AT42" i="1"/>
  <c r="AS42" i="1"/>
  <c r="AR42" i="1"/>
  <c r="I42" i="1"/>
  <c r="BP41" i="1"/>
  <c r="BO41" i="1"/>
  <c r="BN41" i="1"/>
  <c r="BM41" i="1"/>
  <c r="BL41" i="1"/>
  <c r="BJ41" i="1"/>
  <c r="BF41" i="1"/>
  <c r="BE41" i="1"/>
  <c r="BD41" i="1"/>
  <c r="BC41" i="1"/>
  <c r="BB41" i="1"/>
  <c r="BA41" i="1"/>
  <c r="AY41" i="1"/>
  <c r="AV41" i="1"/>
  <c r="AW41" i="1" s="1"/>
  <c r="AU41" i="1"/>
  <c r="AT41" i="1"/>
  <c r="AS41" i="1"/>
  <c r="AR41" i="1"/>
  <c r="I41" i="1"/>
  <c r="BP40" i="1"/>
  <c r="BO40" i="1"/>
  <c r="BN40" i="1"/>
  <c r="BM40" i="1"/>
  <c r="BL40" i="1"/>
  <c r="BJ40" i="1"/>
  <c r="BF40" i="1"/>
  <c r="BE40" i="1"/>
  <c r="BD40" i="1"/>
  <c r="BC40" i="1"/>
  <c r="BB40" i="1"/>
  <c r="BA40" i="1"/>
  <c r="AY40" i="1"/>
  <c r="AV40" i="1"/>
  <c r="AW40" i="1" s="1"/>
  <c r="AU40" i="1"/>
  <c r="AT40" i="1"/>
  <c r="AS40" i="1"/>
  <c r="AR40" i="1"/>
  <c r="I40" i="1"/>
  <c r="BP39" i="1"/>
  <c r="BO39" i="1"/>
  <c r="BN39" i="1"/>
  <c r="BM39" i="1"/>
  <c r="BL39" i="1"/>
  <c r="BJ39" i="1"/>
  <c r="BF39" i="1"/>
  <c r="BE39" i="1"/>
  <c r="BD39" i="1"/>
  <c r="BC39" i="1"/>
  <c r="BB39" i="1"/>
  <c r="BA39" i="1"/>
  <c r="AY39" i="1"/>
  <c r="AV39" i="1"/>
  <c r="AW39" i="1" s="1"/>
  <c r="AU39" i="1"/>
  <c r="AT39" i="1"/>
  <c r="AS39" i="1"/>
  <c r="AR39" i="1"/>
  <c r="I39" i="1"/>
  <c r="BP38" i="1"/>
  <c r="BJ38" i="1"/>
  <c r="BF38" i="1"/>
  <c r="BE38" i="1"/>
  <c r="BD38" i="1"/>
  <c r="BC38" i="1"/>
  <c r="BB38" i="1"/>
  <c r="BA38" i="1"/>
  <c r="AY38" i="1"/>
  <c r="AV38" i="1"/>
  <c r="AW38" i="1" s="1"/>
  <c r="AU38" i="1"/>
  <c r="AT38" i="1"/>
  <c r="AS38" i="1"/>
  <c r="AR38" i="1"/>
  <c r="I38" i="1"/>
  <c r="BP37" i="1"/>
  <c r="BO37" i="1"/>
  <c r="BN37" i="1"/>
  <c r="BM37" i="1"/>
  <c r="BL37" i="1"/>
  <c r="BJ37" i="1"/>
  <c r="BF37" i="1"/>
  <c r="BE37" i="1"/>
  <c r="BD37" i="1"/>
  <c r="BC37" i="1"/>
  <c r="BB37" i="1"/>
  <c r="BA37" i="1"/>
  <c r="AY37" i="1"/>
  <c r="AV37" i="1"/>
  <c r="AW37" i="1" s="1"/>
  <c r="AU37" i="1"/>
  <c r="AT37" i="1"/>
  <c r="AS37" i="1"/>
  <c r="AR37" i="1"/>
  <c r="I37" i="1"/>
  <c r="BP36" i="1"/>
  <c r="BO36" i="1"/>
  <c r="BN36" i="1"/>
  <c r="BM36" i="1"/>
  <c r="BL36" i="1"/>
  <c r="BJ36" i="1"/>
  <c r="BF36" i="1"/>
  <c r="BE36" i="1"/>
  <c r="BD36" i="1"/>
  <c r="BC36" i="1"/>
  <c r="BB36" i="1"/>
  <c r="BA36" i="1"/>
  <c r="AY36" i="1"/>
  <c r="AV36" i="1"/>
  <c r="AW36" i="1" s="1"/>
  <c r="AU36" i="1"/>
  <c r="AT36" i="1"/>
  <c r="AS36" i="1"/>
  <c r="AR36" i="1"/>
  <c r="I36" i="1"/>
  <c r="BP35" i="1"/>
  <c r="BO35" i="1"/>
  <c r="BN35" i="1"/>
  <c r="BM35" i="1"/>
  <c r="BL35" i="1"/>
  <c r="BJ35" i="1"/>
  <c r="BF35" i="1"/>
  <c r="BE35" i="1"/>
  <c r="BD35" i="1"/>
  <c r="BC35" i="1"/>
  <c r="BB35" i="1"/>
  <c r="BA35" i="1"/>
  <c r="AY35" i="1"/>
  <c r="AV35" i="1"/>
  <c r="AW35" i="1" s="1"/>
  <c r="AU35" i="1"/>
  <c r="AT35" i="1"/>
  <c r="AS35" i="1"/>
  <c r="AR35" i="1"/>
  <c r="I35" i="1"/>
  <c r="BP34" i="1"/>
  <c r="BJ34" i="1"/>
  <c r="BF34" i="1"/>
  <c r="BE34" i="1"/>
  <c r="BD34" i="1"/>
  <c r="BC34" i="1"/>
  <c r="BB34" i="1"/>
  <c r="BA34" i="1"/>
  <c r="AY34" i="1"/>
  <c r="AV34" i="1"/>
  <c r="AW34" i="1" s="1"/>
  <c r="AU34" i="1"/>
  <c r="AT34" i="1"/>
  <c r="AS34" i="1"/>
  <c r="AR34" i="1"/>
  <c r="I34" i="1"/>
  <c r="BP33" i="1"/>
  <c r="BF33" i="1"/>
  <c r="BE33" i="1"/>
  <c r="BB33" i="1"/>
  <c r="BA33" i="1"/>
  <c r="AV33" i="1"/>
  <c r="AW33" i="1" s="1"/>
  <c r="AU33" i="1"/>
  <c r="AT33" i="1"/>
  <c r="AS33" i="1"/>
  <c r="AY33" i="1" s="1"/>
  <c r="AR33" i="1"/>
  <c r="I33" i="1"/>
  <c r="BP32" i="1"/>
  <c r="BO32" i="1"/>
  <c r="BN32" i="1"/>
  <c r="BM32" i="1"/>
  <c r="BL32" i="1"/>
  <c r="BJ32" i="1"/>
  <c r="BF32" i="1"/>
  <c r="BE32" i="1"/>
  <c r="BD32" i="1"/>
  <c r="BC32" i="1"/>
  <c r="BB32" i="1"/>
  <c r="BA32" i="1"/>
  <c r="AY32" i="1"/>
  <c r="AV32" i="1"/>
  <c r="AW32" i="1" s="1"/>
  <c r="AU32" i="1"/>
  <c r="AT32" i="1"/>
  <c r="AS32" i="1"/>
  <c r="AR32" i="1"/>
  <c r="I32" i="1"/>
  <c r="BP31" i="1"/>
  <c r="BJ31" i="1"/>
  <c r="BF31" i="1"/>
  <c r="BE31" i="1"/>
  <c r="BD31" i="1"/>
  <c r="BC31" i="1"/>
  <c r="BB31" i="1"/>
  <c r="BA31" i="1"/>
  <c r="AY31" i="1"/>
  <c r="AV31" i="1"/>
  <c r="AW31" i="1" s="1"/>
  <c r="AU31" i="1"/>
  <c r="AT31" i="1"/>
  <c r="AS31" i="1"/>
  <c r="AR31" i="1"/>
  <c r="I31" i="1"/>
  <c r="BP30" i="1"/>
  <c r="BO30" i="1"/>
  <c r="BN30" i="1"/>
  <c r="BM30" i="1"/>
  <c r="BL30" i="1"/>
  <c r="BJ30" i="1"/>
  <c r="BF30" i="1"/>
  <c r="BE30" i="1"/>
  <c r="BD30" i="1"/>
  <c r="BC30" i="1"/>
  <c r="BB30" i="1"/>
  <c r="BA30" i="1"/>
  <c r="AY30" i="1"/>
  <c r="AV30" i="1"/>
  <c r="AW30" i="1" s="1"/>
  <c r="AU30" i="1"/>
  <c r="AT30" i="1"/>
  <c r="AS30" i="1"/>
  <c r="AR30" i="1"/>
  <c r="I30" i="1"/>
  <c r="BP29" i="1"/>
  <c r="BO29" i="1"/>
  <c r="BN29" i="1"/>
  <c r="BM29" i="1"/>
  <c r="BL29" i="1"/>
  <c r="BJ29" i="1"/>
  <c r="BF29" i="1"/>
  <c r="BE29" i="1"/>
  <c r="BD29" i="1"/>
  <c r="BC29" i="1"/>
  <c r="BB29" i="1"/>
  <c r="BA29" i="1"/>
  <c r="AY29" i="1"/>
  <c r="AV29" i="1"/>
  <c r="AW29" i="1" s="1"/>
  <c r="AU29" i="1"/>
  <c r="AT29" i="1"/>
  <c r="AS29" i="1"/>
  <c r="AR29" i="1"/>
  <c r="I29" i="1"/>
  <c r="BP28" i="1"/>
  <c r="BJ28" i="1"/>
  <c r="BF28" i="1"/>
  <c r="BE28" i="1"/>
  <c r="BD28" i="1"/>
  <c r="BC28" i="1"/>
  <c r="BB28" i="1"/>
  <c r="BA28" i="1"/>
  <c r="AY28" i="1"/>
  <c r="AV28" i="1"/>
  <c r="AW28" i="1" s="1"/>
  <c r="AU28" i="1"/>
  <c r="AT28" i="1"/>
  <c r="AS28" i="1"/>
  <c r="AR28" i="1"/>
  <c r="I28" i="1"/>
  <c r="BP27" i="1"/>
  <c r="BO27" i="1"/>
  <c r="BN27" i="1"/>
  <c r="BM27" i="1"/>
  <c r="BL27" i="1"/>
  <c r="BJ27" i="1"/>
  <c r="BF27" i="1"/>
  <c r="BE27" i="1"/>
  <c r="BD27" i="1"/>
  <c r="BC27" i="1"/>
  <c r="BB27" i="1"/>
  <c r="BA27" i="1"/>
  <c r="AY27" i="1"/>
  <c r="AV27" i="1"/>
  <c r="AW27" i="1" s="1"/>
  <c r="AU27" i="1"/>
  <c r="AT27" i="1"/>
  <c r="AS27" i="1"/>
  <c r="AR27" i="1"/>
  <c r="I27" i="1"/>
  <c r="BP26" i="1"/>
  <c r="BO26" i="1"/>
  <c r="BN26" i="1"/>
  <c r="BM26" i="1"/>
  <c r="BL26" i="1"/>
  <c r="BJ26" i="1"/>
  <c r="BF26" i="1"/>
  <c r="BE26" i="1"/>
  <c r="BD26" i="1"/>
  <c r="BC26" i="1"/>
  <c r="BB26" i="1"/>
  <c r="BA26" i="1"/>
  <c r="AY26" i="1"/>
  <c r="AV26" i="1"/>
  <c r="AW26" i="1" s="1"/>
  <c r="AU26" i="1"/>
  <c r="AT26" i="1"/>
  <c r="AS26" i="1"/>
  <c r="AR26" i="1"/>
  <c r="I26" i="1"/>
  <c r="BP25" i="1"/>
  <c r="BJ25" i="1"/>
  <c r="BF25" i="1"/>
  <c r="BE25" i="1"/>
  <c r="BD25" i="1"/>
  <c r="BC25" i="1"/>
  <c r="BB25" i="1"/>
  <c r="BA25" i="1"/>
  <c r="AY25" i="1"/>
  <c r="AV25" i="1"/>
  <c r="AW25" i="1" s="1"/>
  <c r="AU25" i="1"/>
  <c r="AT25" i="1"/>
  <c r="AS25" i="1"/>
  <c r="AR25" i="1"/>
  <c r="I25" i="1"/>
  <c r="BP24" i="1"/>
  <c r="BJ24" i="1"/>
  <c r="BF24" i="1"/>
  <c r="BE24" i="1"/>
  <c r="BD24" i="1"/>
  <c r="BC24" i="1"/>
  <c r="BB24" i="1"/>
  <c r="BA24" i="1"/>
  <c r="AY24" i="1"/>
  <c r="AV24" i="1"/>
  <c r="AW24" i="1" s="1"/>
  <c r="AU24" i="1"/>
  <c r="AT24" i="1"/>
  <c r="AS24" i="1"/>
  <c r="AR24" i="1"/>
  <c r="I24" i="1"/>
  <c r="BP23" i="1"/>
  <c r="BJ23" i="1"/>
  <c r="BF23" i="1"/>
  <c r="BE23" i="1"/>
  <c r="BD23" i="1"/>
  <c r="BC23" i="1"/>
  <c r="BB23" i="1"/>
  <c r="BA23" i="1"/>
  <c r="AY23" i="1"/>
  <c r="AV23" i="1"/>
  <c r="AW23" i="1" s="1"/>
  <c r="AU23" i="1"/>
  <c r="AT23" i="1"/>
  <c r="AS23" i="1"/>
  <c r="AR23" i="1"/>
  <c r="I23" i="1"/>
  <c r="BP22" i="1"/>
  <c r="BJ22" i="1"/>
  <c r="BF22" i="1"/>
  <c r="BE22" i="1"/>
  <c r="BD22" i="1"/>
  <c r="BC22" i="1"/>
  <c r="BB22" i="1"/>
  <c r="BA22" i="1"/>
  <c r="AY22" i="1"/>
  <c r="AV22" i="1"/>
  <c r="AW22" i="1" s="1"/>
  <c r="AU22" i="1"/>
  <c r="AT22" i="1"/>
  <c r="AS22" i="1"/>
  <c r="AR22" i="1"/>
  <c r="I22" i="1"/>
  <c r="BP21" i="1"/>
  <c r="BO21" i="1"/>
  <c r="BN21" i="1"/>
  <c r="BM21" i="1"/>
  <c r="BL21" i="1"/>
  <c r="BJ21" i="1"/>
  <c r="BF21" i="1"/>
  <c r="BE21" i="1"/>
  <c r="BD21" i="1"/>
  <c r="BC21" i="1"/>
  <c r="BB21" i="1"/>
  <c r="BA21" i="1"/>
  <c r="AY21" i="1"/>
  <c r="AV21" i="1"/>
  <c r="AW21" i="1" s="1"/>
  <c r="AU21" i="1"/>
  <c r="AT21" i="1"/>
  <c r="AS21" i="1"/>
  <c r="AR21" i="1"/>
  <c r="I21" i="1"/>
  <c r="BP20" i="1"/>
  <c r="BF20" i="1"/>
  <c r="BE20" i="1"/>
  <c r="BB20" i="1"/>
  <c r="BA20" i="1"/>
  <c r="AV20" i="1"/>
  <c r="AW20" i="1" s="1"/>
  <c r="AU20" i="1"/>
  <c r="AT20" i="1"/>
  <c r="AS20" i="1"/>
  <c r="AY20" i="1" s="1"/>
  <c r="AR20" i="1"/>
  <c r="I20" i="1"/>
  <c r="BP19" i="1"/>
  <c r="BF19" i="1"/>
  <c r="BE19" i="1"/>
  <c r="BB19" i="1"/>
  <c r="BA19" i="1"/>
  <c r="AV19" i="1"/>
  <c r="AW19" i="1" s="1"/>
  <c r="AU19" i="1"/>
  <c r="AT19" i="1"/>
  <c r="AS19" i="1"/>
  <c r="AY19" i="1" s="1"/>
  <c r="AR19" i="1"/>
  <c r="I19" i="1"/>
  <c r="BJ18" i="1"/>
  <c r="BF18" i="1"/>
  <c r="BE18" i="1"/>
  <c r="BD18" i="1"/>
  <c r="BC18" i="1"/>
  <c r="BB18" i="1"/>
  <c r="BA18" i="1"/>
  <c r="AY18" i="1"/>
  <c r="AV18" i="1"/>
  <c r="AW18" i="1" s="1"/>
  <c r="AU18" i="1"/>
  <c r="AT18" i="1"/>
  <c r="AS18" i="1"/>
  <c r="AR18" i="1"/>
  <c r="I18" i="1"/>
  <c r="BP17" i="1"/>
  <c r="BO17" i="1"/>
  <c r="BN17" i="1"/>
  <c r="BM17" i="1"/>
  <c r="BL17" i="1"/>
  <c r="BJ17" i="1"/>
  <c r="BF17" i="1"/>
  <c r="BE17" i="1"/>
  <c r="BD17" i="1"/>
  <c r="BC17" i="1"/>
  <c r="BB17" i="1"/>
  <c r="BA17" i="1"/>
  <c r="AY17" i="1"/>
  <c r="AV17" i="1"/>
  <c r="AW17" i="1" s="1"/>
  <c r="AU17" i="1"/>
  <c r="AT17" i="1"/>
  <c r="AS17" i="1"/>
  <c r="AR17" i="1"/>
  <c r="I17" i="1"/>
  <c r="BP16" i="1"/>
  <c r="BO16" i="1"/>
  <c r="BN16" i="1"/>
  <c r="BM16" i="1"/>
  <c r="BL16" i="1"/>
  <c r="BJ16" i="1"/>
  <c r="BF16" i="1"/>
  <c r="BE16" i="1"/>
  <c r="BD16" i="1"/>
  <c r="BC16" i="1"/>
  <c r="BB16" i="1"/>
  <c r="BA16" i="1"/>
  <c r="AY16" i="1"/>
  <c r="AV16" i="1"/>
  <c r="AW16" i="1" s="1"/>
  <c r="AU16" i="1"/>
  <c r="AT16" i="1"/>
  <c r="AS16" i="1"/>
  <c r="AR16" i="1"/>
  <c r="I16" i="1"/>
  <c r="BP15" i="1"/>
  <c r="BO15" i="1"/>
  <c r="BN15" i="1"/>
  <c r="BM15" i="1"/>
  <c r="BL15" i="1"/>
  <c r="BJ15" i="1"/>
  <c r="BF15" i="1"/>
  <c r="BE15" i="1"/>
  <c r="BD15" i="1"/>
  <c r="BC15" i="1"/>
  <c r="BB15" i="1"/>
  <c r="BA15" i="1"/>
  <c r="AY15" i="1"/>
  <c r="AV15" i="1"/>
  <c r="AW15" i="1" s="1"/>
  <c r="AU15" i="1"/>
  <c r="AT15" i="1"/>
  <c r="AS15" i="1"/>
  <c r="AR15" i="1"/>
  <c r="I15" i="1"/>
  <c r="BP14" i="1"/>
  <c r="BO14" i="1"/>
  <c r="BN14" i="1"/>
  <c r="BM14" i="1"/>
  <c r="BL14" i="1"/>
  <c r="BJ14" i="1"/>
  <c r="BF14" i="1"/>
  <c r="BE14" i="1"/>
  <c r="BD14" i="1"/>
  <c r="BC14" i="1"/>
  <c r="BB14" i="1"/>
  <c r="BA14" i="1"/>
  <c r="AY14" i="1"/>
  <c r="AV14" i="1"/>
  <c r="AW14" i="1" s="1"/>
  <c r="AU14" i="1"/>
  <c r="AT14" i="1"/>
  <c r="AS14" i="1"/>
  <c r="AR14" i="1"/>
  <c r="I14" i="1"/>
  <c r="BP13" i="1"/>
  <c r="BO13" i="1"/>
  <c r="BN13" i="1"/>
  <c r="BM13" i="1"/>
  <c r="BL13" i="1"/>
  <c r="BJ13" i="1"/>
  <c r="BF13" i="1"/>
  <c r="BE13" i="1"/>
  <c r="BD13" i="1"/>
  <c r="BC13" i="1"/>
  <c r="BB13" i="1"/>
  <c r="BA13" i="1"/>
  <c r="AY13" i="1"/>
  <c r="AV13" i="1"/>
  <c r="AW13" i="1" s="1"/>
  <c r="AU13" i="1"/>
  <c r="AT13" i="1"/>
  <c r="AS13" i="1"/>
  <c r="AR13" i="1"/>
  <c r="I13" i="1"/>
  <c r="BP12" i="1"/>
  <c r="BO12" i="1"/>
  <c r="BN12" i="1"/>
  <c r="BM12" i="1"/>
  <c r="BL12" i="1"/>
  <c r="BJ12" i="1"/>
  <c r="BF12" i="1"/>
  <c r="BE12" i="1"/>
  <c r="BD12" i="1"/>
  <c r="BC12" i="1"/>
  <c r="BB12" i="1"/>
  <c r="BA12" i="1"/>
  <c r="AY12" i="1"/>
  <c r="AV12" i="1"/>
  <c r="AW12" i="1" s="1"/>
  <c r="AU12" i="1"/>
  <c r="AT12" i="1"/>
  <c r="AS12" i="1"/>
  <c r="AR12" i="1"/>
  <c r="I12" i="1"/>
  <c r="BP11" i="1"/>
  <c r="BO11" i="1"/>
  <c r="BN11" i="1"/>
  <c r="BM11" i="1"/>
  <c r="BL11" i="1"/>
  <c r="BJ11" i="1"/>
  <c r="BF11" i="1"/>
  <c r="BE11" i="1"/>
  <c r="BD11" i="1"/>
  <c r="BC11" i="1"/>
  <c r="BB11" i="1"/>
  <c r="BA11" i="1"/>
  <c r="AY11" i="1"/>
  <c r="AV11" i="1"/>
  <c r="AW11" i="1" s="1"/>
  <c r="AU11" i="1"/>
  <c r="AT11" i="1"/>
  <c r="AS11" i="1"/>
  <c r="AR11" i="1"/>
  <c r="I11" i="1"/>
  <c r="BP10" i="1"/>
  <c r="BO10" i="1"/>
  <c r="BN10" i="1"/>
  <c r="BM10" i="1"/>
  <c r="BL10" i="1"/>
  <c r="BJ10" i="1"/>
  <c r="BF10" i="1"/>
  <c r="BE10" i="1"/>
  <c r="BD10" i="1"/>
  <c r="BC10" i="1"/>
  <c r="BB10" i="1"/>
  <c r="BA10" i="1"/>
  <c r="AY10" i="1"/>
  <c r="AV10" i="1"/>
  <c r="AW10" i="1" s="1"/>
  <c r="AU10" i="1"/>
  <c r="AT10" i="1"/>
  <c r="AS10" i="1"/>
  <c r="AR10" i="1"/>
  <c r="I10" i="1"/>
  <c r="BP9" i="1"/>
  <c r="BO9" i="1"/>
  <c r="BN9" i="1"/>
  <c r="BM9" i="1"/>
  <c r="BL9" i="1"/>
  <c r="BJ9" i="1"/>
  <c r="BF9" i="1"/>
  <c r="BE9" i="1"/>
  <c r="BD9" i="1"/>
  <c r="BC9" i="1"/>
  <c r="BB9" i="1"/>
  <c r="BA9" i="1"/>
  <c r="AY9" i="1"/>
  <c r="AV9" i="1"/>
  <c r="AW9" i="1" s="1"/>
  <c r="AU9" i="1"/>
  <c r="AT9" i="1"/>
  <c r="AS9" i="1"/>
  <c r="AR9" i="1"/>
  <c r="I9" i="1"/>
  <c r="BP8" i="1"/>
  <c r="BJ8" i="1"/>
  <c r="BF8" i="1"/>
  <c r="BE8" i="1"/>
  <c r="BG8" i="1" s="1"/>
  <c r="BD8" i="1"/>
  <c r="BC8" i="1"/>
  <c r="BB8" i="1"/>
  <c r="BA8" i="1"/>
  <c r="AY8" i="1"/>
  <c r="AV8" i="1"/>
  <c r="AW8" i="1" s="1"/>
  <c r="AU8" i="1"/>
  <c r="AT8" i="1"/>
  <c r="AS8" i="1"/>
  <c r="AR8" i="1"/>
  <c r="I8" i="1"/>
  <c r="BP7" i="1"/>
  <c r="BJ7" i="1"/>
  <c r="BF7" i="1"/>
  <c r="BE7" i="1"/>
  <c r="BH7" i="1" s="1"/>
  <c r="BD7" i="1"/>
  <c r="BC7" i="1"/>
  <c r="BB7" i="1"/>
  <c r="BA7" i="1"/>
  <c r="AV7" i="1"/>
  <c r="AW7" i="1" s="1"/>
  <c r="AU7" i="1"/>
  <c r="AT7" i="1"/>
  <c r="AS7" i="1"/>
  <c r="AY7" i="1" s="1"/>
  <c r="AR7" i="1"/>
  <c r="I7" i="1"/>
  <c r="BP6" i="1"/>
  <c r="BO6" i="1"/>
  <c r="BN6" i="1"/>
  <c r="BM6" i="1"/>
  <c r="BL6" i="1"/>
  <c r="BJ6" i="1"/>
  <c r="BF6" i="1"/>
  <c r="BE6" i="1"/>
  <c r="BD6" i="1"/>
  <c r="BC6" i="1"/>
  <c r="BB6" i="1"/>
  <c r="BA6" i="1"/>
  <c r="AY6" i="1"/>
  <c r="AV6" i="1"/>
  <c r="AW6" i="1" s="1"/>
  <c r="AU6" i="1"/>
  <c r="AT6" i="1"/>
  <c r="AS6" i="1"/>
  <c r="AR6" i="1"/>
  <c r="I6" i="1"/>
  <c r="BP5" i="1"/>
  <c r="BO5" i="1"/>
  <c r="BN5" i="1"/>
  <c r="BM5" i="1"/>
  <c r="BL5" i="1"/>
  <c r="BJ5" i="1"/>
  <c r="BF5" i="1"/>
  <c r="BE5" i="1"/>
  <c r="BD5" i="1"/>
  <c r="BC5" i="1"/>
  <c r="BB5" i="1"/>
  <c r="BA5" i="1"/>
  <c r="AY5" i="1"/>
  <c r="AV5" i="1"/>
  <c r="AW5" i="1" s="1"/>
  <c r="AU5" i="1"/>
  <c r="AT5" i="1"/>
  <c r="AS5" i="1"/>
  <c r="AR5" i="1"/>
  <c r="I5" i="1"/>
  <c r="BP4" i="1"/>
  <c r="BO4" i="1"/>
  <c r="BN4" i="1"/>
  <c r="BM4" i="1"/>
  <c r="BL4" i="1"/>
  <c r="BJ4" i="1"/>
  <c r="BF4" i="1"/>
  <c r="BE4" i="1"/>
  <c r="BD4" i="1"/>
  <c r="BC4" i="1"/>
  <c r="BB4" i="1"/>
  <c r="BA4" i="1"/>
  <c r="AY4" i="1"/>
  <c r="AV4" i="1"/>
  <c r="AW4" i="1" s="1"/>
  <c r="AU4" i="1"/>
  <c r="AT4" i="1"/>
  <c r="AS4" i="1"/>
  <c r="AR4" i="1"/>
  <c r="I4" i="1"/>
  <c r="BP3" i="1"/>
  <c r="BO3" i="1"/>
  <c r="BN3" i="1"/>
  <c r="BM3" i="1"/>
  <c r="BL3" i="1"/>
  <c r="BJ3" i="1"/>
  <c r="BF3" i="1"/>
  <c r="BE3" i="1"/>
  <c r="BD3" i="1"/>
  <c r="BC3" i="1"/>
  <c r="BB3" i="1"/>
  <c r="BA3" i="1"/>
  <c r="AY3" i="1"/>
  <c r="AV3" i="1"/>
  <c r="AW3" i="1" s="1"/>
  <c r="AU3" i="1"/>
  <c r="AT3" i="1"/>
  <c r="AS3" i="1"/>
  <c r="AR3" i="1"/>
  <c r="I3" i="1"/>
  <c r="BP2" i="1"/>
  <c r="BO2" i="1"/>
  <c r="BN2" i="1"/>
  <c r="BM2" i="1"/>
  <c r="BL2" i="1"/>
  <c r="BJ2" i="1"/>
  <c r="BF2" i="1"/>
  <c r="BE2" i="1"/>
  <c r="BD2" i="1"/>
  <c r="BC2" i="1"/>
  <c r="BB2" i="1"/>
  <c r="BA2" i="1"/>
  <c r="AY2" i="1"/>
  <c r="AV2" i="1"/>
  <c r="AU2" i="1"/>
  <c r="AT2" i="1"/>
  <c r="AS2" i="1"/>
  <c r="AR2" i="1"/>
  <c r="I2" i="1"/>
  <c r="DI9" i="6" l="1"/>
  <c r="BR5" i="6" s="1"/>
  <c r="BI155" i="1"/>
  <c r="BK155" i="1" s="1"/>
  <c r="BI171" i="1"/>
  <c r="BK171" i="1" s="1"/>
  <c r="Z10" i="6"/>
  <c r="DD9" i="6"/>
  <c r="BM5" i="6" s="1"/>
  <c r="DL9" i="6"/>
  <c r="DL10" i="6" s="1"/>
  <c r="BU7" i="6" s="1"/>
  <c r="AN4" i="6"/>
  <c r="BI223" i="1"/>
  <c r="BK223" i="1" s="1"/>
  <c r="DF9" i="6"/>
  <c r="DF10" i="6" s="1"/>
  <c r="BO7" i="6" s="1"/>
  <c r="DG9" i="6"/>
  <c r="DG10" i="6" s="1"/>
  <c r="BP7" i="6" s="1"/>
  <c r="DH9" i="6"/>
  <c r="DH10" i="6" s="1"/>
  <c r="BQ7" i="6" s="1"/>
  <c r="AI64" i="6"/>
  <c r="AJ64" i="6" s="1"/>
  <c r="AK64" i="6" s="1"/>
  <c r="BG220" i="1"/>
  <c r="BH116" i="1"/>
  <c r="BH207" i="1"/>
  <c r="BG232" i="1"/>
  <c r="BH59" i="1"/>
  <c r="AJ8" i="6"/>
  <c r="AK8" i="6" s="1"/>
  <c r="BH95" i="1"/>
  <c r="BH142" i="1"/>
  <c r="BH232" i="1"/>
  <c r="DJ9" i="6"/>
  <c r="BS5" i="6" s="1"/>
  <c r="BH202" i="1"/>
  <c r="BH206" i="1"/>
  <c r="BG228" i="1"/>
  <c r="DC9" i="6"/>
  <c r="DC10" i="6" s="1"/>
  <c r="BL7" i="6" s="1"/>
  <c r="DK9" i="6"/>
  <c r="DK10" i="6" s="1"/>
  <c r="BT7" i="6" s="1"/>
  <c r="L17" i="6"/>
  <c r="BH42" i="1"/>
  <c r="DE9" i="6"/>
  <c r="DE10" i="6" s="1"/>
  <c r="BN7" i="6" s="1"/>
  <c r="DM9" i="6"/>
  <c r="DM10" i="6" s="1"/>
  <c r="BV7" i="6" s="1"/>
  <c r="AN7" i="6"/>
  <c r="U16" i="6"/>
  <c r="BH199" i="1"/>
  <c r="BH210" i="1"/>
  <c r="Y7" i="6"/>
  <c r="BG154" i="1"/>
  <c r="BH93" i="1"/>
  <c r="BH154" i="1"/>
  <c r="BH162" i="1"/>
  <c r="BH201" i="1"/>
  <c r="BH203" i="1"/>
  <c r="BH213" i="1"/>
  <c r="BH16" i="1"/>
  <c r="BH33" i="1"/>
  <c r="BH39" i="1"/>
  <c r="BH148" i="1"/>
  <c r="BH41" i="1"/>
  <c r="BI120" i="1"/>
  <c r="BK120" i="1" s="1"/>
  <c r="BH138" i="1"/>
  <c r="BH147" i="1"/>
  <c r="BH65" i="1"/>
  <c r="BH117" i="1"/>
  <c r="BI162" i="1"/>
  <c r="BK162" i="1" s="1"/>
  <c r="BH183" i="1"/>
  <c r="BH200" i="1"/>
  <c r="BH212" i="1"/>
  <c r="BH215" i="1"/>
  <c r="BH217" i="1"/>
  <c r="BH219" i="1"/>
  <c r="BH224" i="1"/>
  <c r="BH175" i="1"/>
  <c r="BH37" i="1"/>
  <c r="BH8" i="1"/>
  <c r="BH20" i="1"/>
  <c r="BH44" i="1"/>
  <c r="BH56" i="1"/>
  <c r="BG81" i="1"/>
  <c r="BH84" i="1"/>
  <c r="BH108" i="1"/>
  <c r="BH113" i="1"/>
  <c r="BH129" i="1"/>
  <c r="BH132" i="1"/>
  <c r="BH139" i="1"/>
  <c r="BG150" i="1"/>
  <c r="BH151" i="1"/>
  <c r="BH152" i="1"/>
  <c r="BH159" i="1"/>
  <c r="BH160" i="1"/>
  <c r="BG167" i="1"/>
  <c r="BH172" i="1"/>
  <c r="BH187" i="1"/>
  <c r="BH29" i="1"/>
  <c r="BH69" i="1"/>
  <c r="BH5" i="1"/>
  <c r="BI8" i="1"/>
  <c r="BK8" i="1" s="1"/>
  <c r="BH12" i="1"/>
  <c r="BH17" i="1"/>
  <c r="BH35" i="1"/>
  <c r="BH40" i="1"/>
  <c r="BH47" i="1"/>
  <c r="BH48" i="1"/>
  <c r="BH81" i="1"/>
  <c r="BH83" i="1"/>
  <c r="BH96" i="1"/>
  <c r="BG120" i="1"/>
  <c r="BH121" i="1"/>
  <c r="BH128" i="1"/>
  <c r="BG136" i="1"/>
  <c r="BH150" i="1"/>
  <c r="BH167" i="1"/>
  <c r="BH171" i="1"/>
  <c r="BH198" i="1"/>
  <c r="BH188" i="1"/>
  <c r="BH190" i="1"/>
  <c r="BH191" i="1"/>
  <c r="BI227" i="1"/>
  <c r="BK227" i="1" s="1"/>
  <c r="V7" i="6"/>
  <c r="AI63" i="6"/>
  <c r="AJ63" i="6" s="1"/>
  <c r="AK63" i="6" s="1"/>
  <c r="AI65" i="6"/>
  <c r="AJ65" i="6" s="1"/>
  <c r="AK65" i="6" s="1"/>
  <c r="AG276" i="2"/>
  <c r="AG272" i="2"/>
  <c r="AG268" i="2"/>
  <c r="AG264" i="2"/>
  <c r="AG260" i="2"/>
  <c r="AG256" i="2"/>
  <c r="AG252" i="2"/>
  <c r="AG248" i="2"/>
  <c r="AG244" i="2"/>
  <c r="AG240" i="2"/>
  <c r="AG236" i="2"/>
  <c r="AG232" i="2"/>
  <c r="AG228" i="2"/>
  <c r="AJ277" i="2"/>
  <c r="AJ261" i="2"/>
  <c r="AJ245" i="2"/>
  <c r="AJ229" i="2"/>
  <c r="BH209" i="1"/>
  <c r="V15" i="6"/>
  <c r="AG275" i="2"/>
  <c r="AG271" i="2"/>
  <c r="AG267" i="2"/>
  <c r="AG263" i="2"/>
  <c r="AG259" i="2"/>
  <c r="AG255" i="2"/>
  <c r="AG251" i="2"/>
  <c r="AG247" i="2"/>
  <c r="AG243" i="2"/>
  <c r="AG239" i="2"/>
  <c r="AG235" i="2"/>
  <c r="AG231" i="2"/>
  <c r="AJ273" i="2"/>
  <c r="AJ257" i="2"/>
  <c r="AJ241" i="2"/>
  <c r="BH208" i="1"/>
  <c r="BH231" i="1"/>
  <c r="AJ6" i="6"/>
  <c r="AK6" i="6" s="1"/>
  <c r="U10" i="6"/>
  <c r="V11" i="6"/>
  <c r="CP11" i="6"/>
  <c r="U12" i="6"/>
  <c r="AG274" i="2"/>
  <c r="AG270" i="2"/>
  <c r="AG266" i="2"/>
  <c r="AG262" i="2"/>
  <c r="AG258" i="2"/>
  <c r="AG254" i="2"/>
  <c r="AG250" i="2"/>
  <c r="AG246" i="2"/>
  <c r="AG242" i="2"/>
  <c r="AG238" i="2"/>
  <c r="AG234" i="2"/>
  <c r="AG230" i="2"/>
  <c r="AJ269" i="2"/>
  <c r="AJ253" i="2"/>
  <c r="AJ237" i="2"/>
  <c r="BH189" i="1"/>
  <c r="BH211" i="1"/>
  <c r="BH225" i="1"/>
  <c r="BH226" i="1"/>
  <c r="BH227" i="1"/>
  <c r="CP12" i="6"/>
  <c r="U13" i="6"/>
  <c r="AS14" i="2"/>
  <c r="AG14" i="2"/>
  <c r="AG265" i="2"/>
  <c r="AG249" i="2"/>
  <c r="AG233" i="2"/>
  <c r="AG30" i="2"/>
  <c r="AJ77" i="2"/>
  <c r="AS77" i="2"/>
  <c r="AM73" i="2"/>
  <c r="AJ73" i="2"/>
  <c r="AS73" i="2"/>
  <c r="AM69" i="2"/>
  <c r="AJ69" i="2"/>
  <c r="AS69" i="2"/>
  <c r="AM65" i="2"/>
  <c r="AJ65" i="2"/>
  <c r="AS65" i="2"/>
  <c r="AM61" i="2"/>
  <c r="AJ61" i="2"/>
  <c r="AS61" i="2"/>
  <c r="AM57" i="2"/>
  <c r="AJ57" i="2"/>
  <c r="AS57" i="2"/>
  <c r="AM53" i="2"/>
  <c r="AJ53" i="2"/>
  <c r="AS53" i="2"/>
  <c r="AM49" i="2"/>
  <c r="AJ49" i="2"/>
  <c r="AS49" i="2"/>
  <c r="AM45" i="2"/>
  <c r="AJ45" i="2"/>
  <c r="AS45" i="2"/>
  <c r="AM41" i="2"/>
  <c r="AJ41" i="2"/>
  <c r="AS41" i="2"/>
  <c r="AM37" i="2"/>
  <c r="AJ37" i="2"/>
  <c r="AS37" i="2"/>
  <c r="AM33" i="2"/>
  <c r="AJ33" i="2"/>
  <c r="AS33" i="2"/>
  <c r="AM29" i="2"/>
  <c r="AJ29" i="2"/>
  <c r="AS29" i="2"/>
  <c r="AM25" i="2"/>
  <c r="AJ25" i="2"/>
  <c r="AS25" i="2"/>
  <c r="AM21" i="2"/>
  <c r="AJ21" i="2"/>
  <c r="AS21" i="2"/>
  <c r="AM17" i="2"/>
  <c r="AJ17" i="2"/>
  <c r="AS17" i="2"/>
  <c r="AM13" i="2"/>
  <c r="AJ13" i="2"/>
  <c r="AS13" i="2"/>
  <c r="AM9" i="2"/>
  <c r="AJ9" i="2"/>
  <c r="AS9" i="2"/>
  <c r="AM5" i="2"/>
  <c r="AJ5" i="2"/>
  <c r="AS5" i="2"/>
  <c r="AG69" i="2"/>
  <c r="AG65" i="2"/>
  <c r="AG61" i="2"/>
  <c r="AG57" i="2"/>
  <c r="AG53" i="2"/>
  <c r="AG49" i="2"/>
  <c r="AG45" i="2"/>
  <c r="AG41" i="2"/>
  <c r="AG37" i="2"/>
  <c r="AG33" i="2"/>
  <c r="AG25" i="2"/>
  <c r="AG17" i="2"/>
  <c r="AG9" i="2"/>
  <c r="AP69" i="2"/>
  <c r="AP53" i="2"/>
  <c r="AP37" i="2"/>
  <c r="AP21" i="2"/>
  <c r="AP5" i="2"/>
  <c r="AJ76" i="2"/>
  <c r="AS76" i="2"/>
  <c r="AP76" i="2"/>
  <c r="AJ72" i="2"/>
  <c r="AS72" i="2"/>
  <c r="AP72" i="2"/>
  <c r="AJ68" i="2"/>
  <c r="AS68" i="2"/>
  <c r="AP68" i="2"/>
  <c r="AJ64" i="2"/>
  <c r="AS64" i="2"/>
  <c r="AP64" i="2"/>
  <c r="AJ60" i="2"/>
  <c r="AS60" i="2"/>
  <c r="AP60" i="2"/>
  <c r="AJ56" i="2"/>
  <c r="AS56" i="2"/>
  <c r="AP56" i="2"/>
  <c r="AJ52" i="2"/>
  <c r="AS52" i="2"/>
  <c r="AP52" i="2"/>
  <c r="AJ48" i="2"/>
  <c r="AS48" i="2"/>
  <c r="AP48" i="2"/>
  <c r="AJ44" i="2"/>
  <c r="AS44" i="2"/>
  <c r="AP44" i="2"/>
  <c r="AJ40" i="2"/>
  <c r="AS40" i="2"/>
  <c r="AP40" i="2"/>
  <c r="AJ36" i="2"/>
  <c r="AJ32" i="2"/>
  <c r="AS32" i="2"/>
  <c r="AP32" i="2"/>
  <c r="AG32" i="2"/>
  <c r="AJ28" i="2"/>
  <c r="AS28" i="2"/>
  <c r="AP28" i="2"/>
  <c r="AJ24" i="2"/>
  <c r="AS24" i="2"/>
  <c r="AP24" i="2"/>
  <c r="AG24" i="2"/>
  <c r="AJ20" i="2"/>
  <c r="AS20" i="2"/>
  <c r="AP20" i="2"/>
  <c r="AG20" i="2"/>
  <c r="AJ16" i="2"/>
  <c r="AS16" i="2"/>
  <c r="AP16" i="2"/>
  <c r="AG16" i="2"/>
  <c r="AJ12" i="2"/>
  <c r="AS12" i="2"/>
  <c r="AG12" i="2"/>
  <c r="AJ8" i="2"/>
  <c r="AS8" i="2"/>
  <c r="AP8" i="2"/>
  <c r="AG8" i="2"/>
  <c r="AG68" i="2"/>
  <c r="AG64" i="2"/>
  <c r="AG60" i="2"/>
  <c r="AG56" i="2"/>
  <c r="AG52" i="2"/>
  <c r="AG48" i="2"/>
  <c r="AG44" i="2"/>
  <c r="AG40" i="2"/>
  <c r="AG36" i="2"/>
  <c r="AM68" i="2"/>
  <c r="AM52" i="2"/>
  <c r="AM20" i="2"/>
  <c r="AP65" i="2"/>
  <c r="AP49" i="2"/>
  <c r="AP33" i="2"/>
  <c r="AP17" i="2"/>
  <c r="AS75" i="2"/>
  <c r="AP75" i="2"/>
  <c r="AM75" i="2"/>
  <c r="AS71" i="2"/>
  <c r="AP71" i="2"/>
  <c r="AM71" i="2"/>
  <c r="AS67" i="2"/>
  <c r="AP67" i="2"/>
  <c r="AM67" i="2"/>
  <c r="AS63" i="2"/>
  <c r="AM63" i="2"/>
  <c r="AS59" i="2"/>
  <c r="AP59" i="2"/>
  <c r="AM59" i="2"/>
  <c r="AS55" i="2"/>
  <c r="AP55" i="2"/>
  <c r="AM55" i="2"/>
  <c r="AS51" i="2"/>
  <c r="AP51" i="2"/>
  <c r="AM51" i="2"/>
  <c r="AS43" i="2"/>
  <c r="AP43" i="2"/>
  <c r="AM43" i="2"/>
  <c r="AS39" i="2"/>
  <c r="AP39" i="2"/>
  <c r="AM39" i="2"/>
  <c r="AS35" i="2"/>
  <c r="AS31" i="2"/>
  <c r="AP31" i="2"/>
  <c r="AG31" i="2"/>
  <c r="AM31" i="2"/>
  <c r="AS27" i="2"/>
  <c r="AP27" i="2"/>
  <c r="AG27" i="2"/>
  <c r="AM27" i="2"/>
  <c r="AS23" i="2"/>
  <c r="AP23" i="2"/>
  <c r="AG23" i="2"/>
  <c r="AM23" i="2"/>
  <c r="AS19" i="2"/>
  <c r="AP19" i="2"/>
  <c r="AG19" i="2"/>
  <c r="AM19" i="2"/>
  <c r="AS15" i="2"/>
  <c r="AP15" i="2"/>
  <c r="AG15" i="2"/>
  <c r="AM15" i="2"/>
  <c r="AS11" i="2"/>
  <c r="AP11" i="2"/>
  <c r="AM11" i="2"/>
  <c r="AS7" i="2"/>
  <c r="AP7" i="2"/>
  <c r="AG7" i="2"/>
  <c r="AM7" i="2"/>
  <c r="AS3" i="2"/>
  <c r="AP3" i="2"/>
  <c r="AG3" i="2"/>
  <c r="AM3" i="2"/>
  <c r="AG75" i="2"/>
  <c r="AG67" i="2"/>
  <c r="AG63" i="2"/>
  <c r="AG59" i="2"/>
  <c r="AG55" i="2"/>
  <c r="AG51" i="2"/>
  <c r="AG43" i="2"/>
  <c r="AG39" i="2"/>
  <c r="AG35" i="2"/>
  <c r="AG29" i="2"/>
  <c r="AG13" i="2"/>
  <c r="AG5" i="2"/>
  <c r="AJ67" i="2"/>
  <c r="AJ51" i="2"/>
  <c r="AJ35" i="2"/>
  <c r="AJ19" i="2"/>
  <c r="AJ3" i="2"/>
  <c r="AM64" i="2"/>
  <c r="AM48" i="2"/>
  <c r="AM32" i="2"/>
  <c r="AP77" i="2"/>
  <c r="AP61" i="2"/>
  <c r="AP45" i="2"/>
  <c r="AP29" i="2"/>
  <c r="AP13" i="2"/>
  <c r="AP78" i="2"/>
  <c r="AM78" i="2"/>
  <c r="AJ78" i="2"/>
  <c r="AP74" i="2"/>
  <c r="AM74" i="2"/>
  <c r="AJ74" i="2"/>
  <c r="AP70" i="2"/>
  <c r="AM70" i="2"/>
  <c r="AJ70" i="2"/>
  <c r="AM66" i="2"/>
  <c r="AJ66" i="2"/>
  <c r="AM62" i="2"/>
  <c r="AJ62" i="2"/>
  <c r="AP58" i="2"/>
  <c r="AM58" i="2"/>
  <c r="AJ58" i="2"/>
  <c r="AP54" i="2"/>
  <c r="AM54" i="2"/>
  <c r="AJ54" i="2"/>
  <c r="AP50" i="2"/>
  <c r="AM50" i="2"/>
  <c r="AJ50" i="2"/>
  <c r="AP46" i="2"/>
  <c r="AM46" i="2"/>
  <c r="AJ46" i="2"/>
  <c r="AP42" i="2"/>
  <c r="AM42" i="2"/>
  <c r="AJ42" i="2"/>
  <c r="AP38" i="2"/>
  <c r="AM38" i="2"/>
  <c r="AJ38" i="2"/>
  <c r="AP34" i="2"/>
  <c r="AM34" i="2"/>
  <c r="AJ34" i="2"/>
  <c r="AP30" i="2"/>
  <c r="AM30" i="2"/>
  <c r="AJ30" i="2"/>
  <c r="AP26" i="2"/>
  <c r="AM26" i="2"/>
  <c r="AJ26" i="2"/>
  <c r="AP22" i="2"/>
  <c r="AM22" i="2"/>
  <c r="AJ22" i="2"/>
  <c r="AP18" i="2"/>
  <c r="AM18" i="2"/>
  <c r="AJ18" i="2"/>
  <c r="AP14" i="2"/>
  <c r="AM14" i="2"/>
  <c r="AJ14" i="2"/>
  <c r="AP10" i="2"/>
  <c r="AM10" i="2"/>
  <c r="AJ10" i="2"/>
  <c r="AP6" i="2"/>
  <c r="AM6" i="2"/>
  <c r="AJ6" i="2"/>
  <c r="AG70" i="2"/>
  <c r="AG66" i="2"/>
  <c r="AG62" i="2"/>
  <c r="AG58" i="2"/>
  <c r="AG54" i="2"/>
  <c r="AG50" i="2"/>
  <c r="AG46" i="2"/>
  <c r="AG42" i="2"/>
  <c r="AG38" i="2"/>
  <c r="AG34" i="2"/>
  <c r="AG26" i="2"/>
  <c r="AG18" i="2"/>
  <c r="AG10" i="2"/>
  <c r="AJ63" i="2"/>
  <c r="AJ47" i="2"/>
  <c r="AJ31" i="2"/>
  <c r="AJ15" i="2"/>
  <c r="AM76" i="2"/>
  <c r="AM60" i="2"/>
  <c r="AM44" i="2"/>
  <c r="AM12" i="2"/>
  <c r="AP73" i="2"/>
  <c r="AP57" i="2"/>
  <c r="AP41" i="2"/>
  <c r="AP25" i="2"/>
  <c r="AP9" i="2"/>
  <c r="AS70" i="2"/>
  <c r="AS54" i="2"/>
  <c r="AS38" i="2"/>
  <c r="AS22" i="2"/>
  <c r="AS6" i="2"/>
  <c r="BH21" i="1"/>
  <c r="BH43" i="1"/>
  <c r="BH57" i="1"/>
  <c r="BH85" i="1"/>
  <c r="BH13" i="1"/>
  <c r="BH32" i="1"/>
  <c r="BH45" i="1"/>
  <c r="BH53" i="1"/>
  <c r="BH79" i="1"/>
  <c r="BH80" i="1"/>
  <c r="BH34" i="1"/>
  <c r="BH2" i="1"/>
  <c r="BH4" i="1"/>
  <c r="BH9" i="1"/>
  <c r="BG24" i="1"/>
  <c r="BI24" i="1"/>
  <c r="BK24" i="1" s="1"/>
  <c r="BH24" i="1"/>
  <c r="BH31" i="1"/>
  <c r="BH60" i="1"/>
  <c r="BH72" i="1"/>
  <c r="BH73" i="1"/>
  <c r="BH124" i="1"/>
  <c r="BH158" i="1"/>
  <c r="BH166" i="1"/>
  <c r="BH179" i="1"/>
  <c r="BH25" i="1"/>
  <c r="BH28" i="1"/>
  <c r="BH36" i="1"/>
  <c r="BH52" i="1"/>
  <c r="BH61" i="1"/>
  <c r="BH63" i="1"/>
  <c r="BH64" i="1"/>
  <c r="BH68" i="1"/>
  <c r="BH76" i="1"/>
  <c r="BH88" i="1"/>
  <c r="BH92" i="1"/>
  <c r="BH104" i="1"/>
  <c r="BH112" i="1"/>
  <c r="BH38" i="1"/>
  <c r="BH49" i="1"/>
  <c r="BH55" i="1"/>
  <c r="BH71" i="1"/>
  <c r="BH77" i="1"/>
  <c r="BH89" i="1"/>
  <c r="BH133" i="1"/>
  <c r="BH143" i="1"/>
  <c r="BH184" i="1"/>
  <c r="BH185" i="1"/>
  <c r="BH196" i="1"/>
  <c r="BH214" i="1"/>
  <c r="BH220" i="1"/>
  <c r="BH223" i="1"/>
  <c r="BH228" i="1"/>
  <c r="AJ5" i="6"/>
  <c r="AK5" i="6" s="1"/>
  <c r="V6" i="6"/>
  <c r="V9" i="6"/>
  <c r="BH177" i="1"/>
  <c r="BG178" i="1"/>
  <c r="BH181" i="1"/>
  <c r="BG182" i="1"/>
  <c r="BH193" i="1"/>
  <c r="BH194" i="1"/>
  <c r="BH195" i="1"/>
  <c r="BH205" i="1"/>
  <c r="BH221" i="1"/>
  <c r="BH229" i="1"/>
  <c r="Y5" i="6"/>
  <c r="S8" i="6"/>
  <c r="AH62" i="6"/>
  <c r="AJ62" i="6" s="1"/>
  <c r="AK62" i="6" s="1"/>
  <c r="BI136" i="1"/>
  <c r="BK136" i="1" s="1"/>
  <c r="BH144" i="1"/>
  <c r="BH146" i="1"/>
  <c r="BG155" i="1"/>
  <c r="BH163" i="1"/>
  <c r="BH176" i="1"/>
  <c r="BH178" i="1"/>
  <c r="BH182" i="1"/>
  <c r="BH186" i="1"/>
  <c r="BH192" i="1"/>
  <c r="BH222" i="1"/>
  <c r="CP3" i="6"/>
  <c r="Z5" i="6"/>
  <c r="BH180" i="1"/>
  <c r="BH204" i="1"/>
  <c r="BH216" i="1"/>
  <c r="BH218" i="1"/>
  <c r="AJ7" i="6"/>
  <c r="AK7" i="6" s="1"/>
  <c r="CP8" i="6"/>
  <c r="CP13" i="6"/>
  <c r="BH23" i="1"/>
  <c r="AW2" i="1"/>
  <c r="BH3" i="1"/>
  <c r="BI7" i="1"/>
  <c r="BK7" i="1" s="1"/>
  <c r="BG7" i="1"/>
  <c r="BH19" i="1"/>
  <c r="BH15" i="1"/>
  <c r="BH27" i="1"/>
  <c r="BH6" i="1"/>
  <c r="BH11" i="1"/>
  <c r="BH58" i="1"/>
  <c r="BH107" i="1"/>
  <c r="BH46" i="1"/>
  <c r="BH54" i="1"/>
  <c r="BH62" i="1"/>
  <c r="BH70" i="1"/>
  <c r="BG75" i="1"/>
  <c r="BI75" i="1"/>
  <c r="BK75" i="1" s="1"/>
  <c r="BI82" i="1"/>
  <c r="BK82" i="1" s="1"/>
  <c r="BH82" i="1"/>
  <c r="BH10" i="1"/>
  <c r="BH14" i="1"/>
  <c r="BH18" i="1"/>
  <c r="BH22" i="1"/>
  <c r="BH26" i="1"/>
  <c r="BH30" i="1"/>
  <c r="BH78" i="1"/>
  <c r="BG51" i="1"/>
  <c r="BI51" i="1"/>
  <c r="BK51" i="1" s="1"/>
  <c r="BH74" i="1"/>
  <c r="BH101" i="1"/>
  <c r="BH66" i="1"/>
  <c r="BH67" i="1"/>
  <c r="BH91" i="1"/>
  <c r="BI50" i="1"/>
  <c r="BK50" i="1" s="1"/>
  <c r="BH50" i="1"/>
  <c r="BH51" i="1"/>
  <c r="BH86" i="1"/>
  <c r="BH87" i="1"/>
  <c r="BH90" i="1"/>
  <c r="BH164" i="1"/>
  <c r="BH97" i="1"/>
  <c r="BI97" i="1"/>
  <c r="BK97" i="1" s="1"/>
  <c r="BG97" i="1"/>
  <c r="BH99" i="1"/>
  <c r="BH122" i="1"/>
  <c r="BH110" i="1"/>
  <c r="BH140" i="1"/>
  <c r="BH149" i="1"/>
  <c r="BH100" i="1"/>
  <c r="BH114" i="1"/>
  <c r="BI118" i="1"/>
  <c r="BK118" i="1" s="1"/>
  <c r="BH118" i="1"/>
  <c r="BH127" i="1"/>
  <c r="BH130" i="1"/>
  <c r="BH134" i="1"/>
  <c r="BH115" i="1"/>
  <c r="BH103" i="1"/>
  <c r="BH106" i="1"/>
  <c r="BH109" i="1"/>
  <c r="BH119" i="1"/>
  <c r="BH125" i="1"/>
  <c r="BH131" i="1"/>
  <c r="BH94" i="1"/>
  <c r="BH98" i="1"/>
  <c r="BI102" i="1"/>
  <c r="BK102" i="1" s="1"/>
  <c r="BH102" i="1"/>
  <c r="BH123" i="1"/>
  <c r="BH105" i="1"/>
  <c r="BH111" i="1"/>
  <c r="BH126" i="1"/>
  <c r="BH135" i="1"/>
  <c r="BH168" i="1"/>
  <c r="BH165" i="1"/>
  <c r="BH145" i="1"/>
  <c r="BH157" i="1"/>
  <c r="BH173" i="1"/>
  <c r="BH197" i="1"/>
  <c r="BH137" i="1"/>
  <c r="BG161" i="1"/>
  <c r="BH161" i="1"/>
  <c r="BI170" i="1"/>
  <c r="BK170" i="1" s="1"/>
  <c r="BH170" i="1"/>
  <c r="BG170" i="1"/>
  <c r="BH141" i="1"/>
  <c r="BH153" i="1"/>
  <c r="BH156" i="1"/>
  <c r="BI161" i="1"/>
  <c r="BK161" i="1" s="1"/>
  <c r="BH174" i="1"/>
  <c r="S7" i="6"/>
  <c r="CP4" i="6"/>
  <c r="BG183" i="1"/>
  <c r="DB10" i="6"/>
  <c r="BK7" i="6" s="1"/>
  <c r="BK5" i="6"/>
  <c r="BG188" i="1"/>
  <c r="S5" i="6"/>
  <c r="BH230" i="1"/>
  <c r="U5" i="6"/>
  <c r="Y6" i="6"/>
  <c r="CP6" i="6"/>
  <c r="Z7" i="6"/>
  <c r="U8" i="6"/>
  <c r="Y9" i="6"/>
  <c r="CP9" i="6"/>
  <c r="S10" i="6"/>
  <c r="V14" i="6"/>
  <c r="AI66" i="6"/>
  <c r="AJ66" i="6" s="1"/>
  <c r="AK66" i="6" s="1"/>
  <c r="BI202" i="1"/>
  <c r="BK202" i="1" s="1"/>
  <c r="BI218" i="1"/>
  <c r="BK218" i="1" s="1"/>
  <c r="BI226" i="1"/>
  <c r="BK226" i="1" s="1"/>
  <c r="BI230" i="1"/>
  <c r="BK230" i="1" s="1"/>
  <c r="Z6" i="6"/>
  <c r="Z9" i="6"/>
  <c r="Y11" i="6"/>
  <c r="Y14" i="6"/>
  <c r="Y8" i="6"/>
  <c r="Z11" i="6"/>
  <c r="Y12" i="6"/>
  <c r="Y13" i="6"/>
  <c r="Z14" i="6"/>
  <c r="Y15" i="6"/>
  <c r="Z8" i="6"/>
  <c r="Z12" i="6"/>
  <c r="Z13" i="6"/>
  <c r="Z15" i="6"/>
  <c r="Y16" i="6"/>
  <c r="Y10" i="6"/>
  <c r="Z16" i="6"/>
  <c r="AH67" i="6"/>
  <c r="AJ67" i="6" s="1"/>
  <c r="AK67" i="6" s="1"/>
  <c r="BG221" i="1"/>
  <c r="BG225" i="1"/>
  <c r="BG229" i="1"/>
  <c r="CP10" i="6"/>
  <c r="DI10" i="6" l="1"/>
  <c r="BR7" i="6" s="1"/>
  <c r="BR6" i="6" s="1"/>
  <c r="BV5" i="6"/>
  <c r="BV6" i="6" s="1"/>
  <c r="BU5" i="6"/>
  <c r="BU6" i="6" s="1"/>
  <c r="BO5" i="6"/>
  <c r="BO6" i="6" s="1"/>
  <c r="DD10" i="6"/>
  <c r="BM7" i="6" s="1"/>
  <c r="BM6" i="6" s="1"/>
  <c r="AN5" i="6"/>
  <c r="AN6" i="6" s="1"/>
  <c r="AG148" i="2"/>
  <c r="BN5" i="6"/>
  <c r="BN6" i="6" s="1"/>
  <c r="DJ10" i="6"/>
  <c r="BS7" i="6" s="1"/>
  <c r="BS6" i="6" s="1"/>
  <c r="AA7" i="6"/>
  <c r="BQ5" i="6"/>
  <c r="BQ6" i="6" s="1"/>
  <c r="AA10" i="6"/>
  <c r="BP5" i="6"/>
  <c r="BP6" i="6" s="1"/>
  <c r="BK6" i="6"/>
  <c r="BT5" i="6"/>
  <c r="BT6" i="6" s="1"/>
  <c r="BL5" i="6"/>
  <c r="BL6" i="6" s="1"/>
  <c r="V17" i="6"/>
  <c r="AZ10" i="6" s="1"/>
  <c r="CP1" i="6"/>
  <c r="BP227" i="1" s="1"/>
  <c r="AA8" i="6"/>
  <c r="AA5" i="6"/>
  <c r="AA15" i="6"/>
  <c r="U17" i="6"/>
  <c r="AZ11" i="6" s="1"/>
  <c r="AA13" i="6"/>
  <c r="AA16" i="6"/>
  <c r="AA12" i="6"/>
  <c r="AA6" i="6"/>
  <c r="AA14" i="6"/>
  <c r="AA11" i="6"/>
  <c r="AA9" i="6"/>
  <c r="BP233" i="1" l="1"/>
  <c r="BP97" i="1"/>
  <c r="BP82" i="1"/>
  <c r="BP81" i="1"/>
  <c r="BP183" i="1"/>
  <c r="BP182" i="1"/>
  <c r="BP178" i="1"/>
  <c r="BP221" i="1"/>
  <c r="BP197" i="1"/>
  <c r="BP125" i="1"/>
  <c r="BP234" i="1"/>
  <c r="BP173" i="1"/>
  <c r="BP220" i="1"/>
  <c r="BL234" i="1"/>
  <c r="BM234" i="1"/>
  <c r="BN234" i="1"/>
  <c r="BO234" i="1"/>
  <c r="BO218" i="1"/>
  <c r="BO233" i="1"/>
  <c r="BN233" i="1"/>
  <c r="BC233" i="1" s="1"/>
  <c r="BM233" i="1"/>
  <c r="BL233" i="1"/>
  <c r="BM91" i="1"/>
  <c r="BM118" i="1"/>
  <c r="BM161" i="1"/>
  <c r="BN136" i="1"/>
  <c r="BN205" i="1"/>
  <c r="BM190" i="1"/>
  <c r="BO18" i="1"/>
  <c r="BO182" i="1"/>
  <c r="BM38" i="1"/>
  <c r="BL225" i="1"/>
  <c r="BO117" i="1"/>
  <c r="BM224" i="1"/>
  <c r="BL79" i="1"/>
  <c r="BM231" i="1"/>
  <c r="BM61" i="1"/>
  <c r="BM102" i="1"/>
  <c r="BN118" i="1"/>
  <c r="BN8" i="1"/>
  <c r="BO62" i="1"/>
  <c r="BL20" i="1"/>
  <c r="BD20" i="1" s="1"/>
  <c r="BN50" i="1"/>
  <c r="BM31" i="1"/>
  <c r="BM33" i="1"/>
  <c r="BM107" i="1"/>
  <c r="BN91" i="1"/>
  <c r="BC91" i="1" s="1"/>
  <c r="BO130" i="1"/>
  <c r="BN119" i="1"/>
  <c r="BN180" i="1"/>
  <c r="BC180" i="1" s="1"/>
  <c r="BO139" i="1"/>
  <c r="BL155" i="1"/>
  <c r="BL168" i="1"/>
  <c r="BM182" i="1"/>
  <c r="BN227" i="1"/>
  <c r="BO190" i="1"/>
  <c r="BM19" i="1"/>
  <c r="BL67" i="1"/>
  <c r="BN23" i="1"/>
  <c r="BL65" i="1"/>
  <c r="BN60" i="1"/>
  <c r="BC60" i="1" s="1"/>
  <c r="BM45" i="1"/>
  <c r="BL109" i="1"/>
  <c r="BN95" i="1"/>
  <c r="BM155" i="1"/>
  <c r="BN155" i="1"/>
  <c r="BN116" i="1"/>
  <c r="BC116" i="1" s="1"/>
  <c r="BM152" i="1"/>
  <c r="BL163" i="1"/>
  <c r="BD163" i="1" s="1"/>
  <c r="BO175" i="1"/>
  <c r="BN190" i="1"/>
  <c r="BM192" i="1"/>
  <c r="BO222" i="1"/>
  <c r="BL38" i="1"/>
  <c r="BN72" i="1"/>
  <c r="BC72" i="1" s="1"/>
  <c r="BL24" i="1"/>
  <c r="BL73" i="1"/>
  <c r="BM62" i="1"/>
  <c r="BO56" i="1"/>
  <c r="BO163" i="1"/>
  <c r="BM97" i="1"/>
  <c r="BL99" i="1"/>
  <c r="BM156" i="1"/>
  <c r="BL117" i="1"/>
  <c r="BD117" i="1" s="1"/>
  <c r="BN189" i="1"/>
  <c r="BM179" i="1"/>
  <c r="BL204" i="1"/>
  <c r="BD204" i="1" s="1"/>
  <c r="BL221" i="1"/>
  <c r="BO223" i="1"/>
  <c r="BM223" i="1"/>
  <c r="BM23" i="1"/>
  <c r="BL19" i="1"/>
  <c r="BD19" i="1" s="1"/>
  <c r="BM59" i="1"/>
  <c r="BL31" i="1"/>
  <c r="BL18" i="1"/>
  <c r="BM73" i="1"/>
  <c r="BO152" i="1"/>
  <c r="BO31" i="1"/>
  <c r="BL119" i="1"/>
  <c r="BL166" i="1"/>
  <c r="BL152" i="1"/>
  <c r="BL206" i="1"/>
  <c r="BM183" i="1"/>
  <c r="BL223" i="1"/>
  <c r="BM150" i="1"/>
  <c r="BO227" i="1"/>
  <c r="BM51" i="1"/>
  <c r="BL23" i="1"/>
  <c r="BN68" i="1"/>
  <c r="BC68" i="1" s="1"/>
  <c r="BO34" i="1"/>
  <c r="BN25" i="1"/>
  <c r="BM85" i="1"/>
  <c r="BO164" i="1"/>
  <c r="BM56" i="1"/>
  <c r="BN122" i="1"/>
  <c r="BC122" i="1" s="1"/>
  <c r="BL192" i="1"/>
  <c r="BM153" i="1"/>
  <c r="BL114" i="1"/>
  <c r="BL218" i="1"/>
  <c r="BN197" i="1"/>
  <c r="BC197" i="1" s="1"/>
  <c r="BO161" i="1"/>
  <c r="BO208" i="1"/>
  <c r="BN61" i="1"/>
  <c r="BC61" i="1" s="1"/>
  <c r="BN45" i="1"/>
  <c r="BO97" i="1"/>
  <c r="BO38" i="1"/>
  <c r="BL28" i="1"/>
  <c r="BM89" i="1"/>
  <c r="BL170" i="1"/>
  <c r="BO59" i="1"/>
  <c r="BN126" i="1"/>
  <c r="BM116" i="1"/>
  <c r="BP155" i="1"/>
  <c r="BP139" i="1"/>
  <c r="BO166" i="1"/>
  <c r="BM173" i="1"/>
  <c r="BN178" i="1"/>
  <c r="BO232" i="1"/>
  <c r="BL34" i="1"/>
  <c r="BL51" i="1"/>
  <c r="BN104" i="1"/>
  <c r="BO42" i="1"/>
  <c r="BN31" i="1"/>
  <c r="BO104" i="1"/>
  <c r="BL161" i="1"/>
  <c r="BM60" i="1"/>
  <c r="BN163" i="1"/>
  <c r="BC163" i="1" s="1"/>
  <c r="BO119" i="1"/>
  <c r="BO156" i="1"/>
  <c r="BN141" i="1"/>
  <c r="BM167" i="1"/>
  <c r="BO180" i="1"/>
  <c r="BL179" i="1"/>
  <c r="BD179" i="1" s="1"/>
  <c r="BN225" i="1"/>
  <c r="BL59" i="1"/>
  <c r="BD59" i="1" s="1"/>
  <c r="BO57" i="1"/>
  <c r="BO7" i="1"/>
  <c r="BO50" i="1"/>
  <c r="BL57" i="1"/>
  <c r="BM111" i="1"/>
  <c r="BP42" i="1"/>
  <c r="BO67" i="1"/>
  <c r="BN99" i="1"/>
  <c r="BM120" i="1"/>
  <c r="BN172" i="1"/>
  <c r="BN152" i="1"/>
  <c r="BN171" i="1"/>
  <c r="BM181" i="1"/>
  <c r="BN182" i="1"/>
  <c r="BL226" i="1"/>
  <c r="BO74" i="1"/>
  <c r="BN74" i="1"/>
  <c r="BM20" i="1"/>
  <c r="BO73" i="1"/>
  <c r="BM79" i="1"/>
  <c r="BM131" i="1"/>
  <c r="BN59" i="1"/>
  <c r="BC59" i="1" s="1"/>
  <c r="BO75" i="1"/>
  <c r="BL104" i="1"/>
  <c r="BO131" i="1"/>
  <c r="BM125" i="1"/>
  <c r="BN165" i="1"/>
  <c r="BN179" i="1"/>
  <c r="BC179" i="1" s="1"/>
  <c r="BM189" i="1"/>
  <c r="BN203" i="1"/>
  <c r="BO201" i="1"/>
  <c r="BN28" i="1"/>
  <c r="BL8" i="1"/>
  <c r="BN34" i="1"/>
  <c r="BO20" i="1"/>
  <c r="BL91" i="1"/>
  <c r="BJ91" i="1" s="1"/>
  <c r="BL82" i="1"/>
  <c r="BL72" i="1"/>
  <c r="BD72" i="1" s="1"/>
  <c r="BO118" i="1"/>
  <c r="BN107" i="1"/>
  <c r="BM139" i="1"/>
  <c r="BO136" i="1"/>
  <c r="BN150" i="1"/>
  <c r="BN218" i="1"/>
  <c r="BM178" i="1"/>
  <c r="BN223" i="1"/>
  <c r="BO221" i="1"/>
  <c r="BN57" i="1"/>
  <c r="BN19" i="1"/>
  <c r="BC19" i="1" s="1"/>
  <c r="BN42" i="1"/>
  <c r="BM25" i="1"/>
  <c r="BO28" i="1"/>
  <c r="BN89" i="1"/>
  <c r="BN79" i="1"/>
  <c r="BM122" i="1"/>
  <c r="BN111" i="1"/>
  <c r="BC111" i="1" s="1"/>
  <c r="BN161" i="1"/>
  <c r="BO138" i="1"/>
  <c r="BN154" i="1"/>
  <c r="BN167" i="1"/>
  <c r="BO181" i="1"/>
  <c r="BL224" i="1"/>
  <c r="BD224" i="1" s="1"/>
  <c r="BM222" i="1"/>
  <c r="BO225" i="1"/>
  <c r="BO226" i="1"/>
  <c r="BN56" i="1"/>
  <c r="BC56" i="1" s="1"/>
  <c r="BL97" i="1"/>
  <c r="BM74" i="1"/>
  <c r="BL61" i="1"/>
  <c r="BD61" i="1" s="1"/>
  <c r="BL33" i="1"/>
  <c r="BD33" i="1" s="1"/>
  <c r="BM8" i="1"/>
  <c r="BL95" i="1"/>
  <c r="BL62" i="1"/>
  <c r="BJ62" i="1" s="1"/>
  <c r="BO65" i="1"/>
  <c r="BN62" i="1"/>
  <c r="BC62" i="1" s="1"/>
  <c r="BM57" i="1"/>
  <c r="BM119" i="1"/>
  <c r="BO167" i="1"/>
  <c r="BN51" i="1"/>
  <c r="BM114" i="1"/>
  <c r="BM68" i="1"/>
  <c r="BL156" i="1"/>
  <c r="BN130" i="1"/>
  <c r="BN115" i="1"/>
  <c r="BC115" i="1" s="1"/>
  <c r="BM170" i="1"/>
  <c r="BM136" i="1"/>
  <c r="BN120" i="1"/>
  <c r="BL165" i="1"/>
  <c r="BM141" i="1"/>
  <c r="BL102" i="1"/>
  <c r="BP162" i="1"/>
  <c r="BP161" i="1"/>
  <c r="BL205" i="1"/>
  <c r="BL172" i="1"/>
  <c r="BO171" i="1"/>
  <c r="BN188" i="1"/>
  <c r="BM185" i="1"/>
  <c r="BO185" i="1"/>
  <c r="BO153" i="1"/>
  <c r="BL183" i="1"/>
  <c r="BN231" i="1"/>
  <c r="BC231" i="1" s="1"/>
  <c r="BO231" i="1"/>
  <c r="BL230" i="1"/>
  <c r="BM226" i="1"/>
  <c r="BM227" i="1"/>
  <c r="BO81" i="1"/>
  <c r="BM7" i="1"/>
  <c r="BP89" i="1"/>
  <c r="BM67" i="1"/>
  <c r="BM34" i="1"/>
  <c r="BO19" i="1"/>
  <c r="BO102" i="1"/>
  <c r="BN65" i="1"/>
  <c r="BL75" i="1"/>
  <c r="BM75" i="1"/>
  <c r="BO60" i="1"/>
  <c r="BO125" i="1"/>
  <c r="BM99" i="1"/>
  <c r="BL56" i="1"/>
  <c r="BJ56" i="1" s="1"/>
  <c r="BM115" i="1"/>
  <c r="BM72" i="1"/>
  <c r="BL185" i="1"/>
  <c r="BJ185" i="1" s="1"/>
  <c r="BL131" i="1"/>
  <c r="BL116" i="1"/>
  <c r="BD116" i="1" s="1"/>
  <c r="BL178" i="1"/>
  <c r="BL138" i="1"/>
  <c r="BL125" i="1"/>
  <c r="BJ125" i="1" s="1"/>
  <c r="BM168" i="1"/>
  <c r="BO150" i="1"/>
  <c r="BN109" i="1"/>
  <c r="BL164" i="1"/>
  <c r="BN162" i="1"/>
  <c r="BN207" i="1"/>
  <c r="BC207" i="1" s="1"/>
  <c r="BN175" i="1"/>
  <c r="BC175" i="1" s="1"/>
  <c r="BM172" i="1"/>
  <c r="BL189" i="1"/>
  <c r="BO188" i="1"/>
  <c r="BO189" i="1"/>
  <c r="BM154" i="1"/>
  <c r="BO192" i="1"/>
  <c r="BL232" i="1"/>
  <c r="BM232" i="1"/>
  <c r="BO197" i="1"/>
  <c r="BM230" i="1"/>
  <c r="BO230" i="1"/>
  <c r="BO22" i="1"/>
  <c r="BM18" i="1"/>
  <c r="BM201" i="1"/>
  <c r="BL81" i="1"/>
  <c r="BM42" i="1"/>
  <c r="BO23" i="1"/>
  <c r="BN20" i="1"/>
  <c r="BC20" i="1" s="1"/>
  <c r="BM82" i="1"/>
  <c r="BN82" i="1"/>
  <c r="BO82" i="1"/>
  <c r="BM65" i="1"/>
  <c r="BN73" i="1"/>
  <c r="BO109" i="1"/>
  <c r="BL60" i="1"/>
  <c r="BD60" i="1" s="1"/>
  <c r="BM130" i="1"/>
  <c r="BO79" i="1"/>
  <c r="BN102" i="1"/>
  <c r="BN164" i="1"/>
  <c r="BL120" i="1"/>
  <c r="BO99" i="1"/>
  <c r="BM146" i="1"/>
  <c r="BM138" i="1"/>
  <c r="BL181" i="1"/>
  <c r="BN153" i="1"/>
  <c r="BN117" i="1"/>
  <c r="BC117" i="1" s="1"/>
  <c r="BO168" i="1"/>
  <c r="BN166" i="1"/>
  <c r="BN222" i="1"/>
  <c r="BC222" i="1" s="1"/>
  <c r="BL180" i="1"/>
  <c r="BJ180" i="1" s="1"/>
  <c r="BO179" i="1"/>
  <c r="BN204" i="1"/>
  <c r="BC204" i="1" s="1"/>
  <c r="BL190" i="1"/>
  <c r="BN192" i="1"/>
  <c r="BM162" i="1"/>
  <c r="BL207" i="1"/>
  <c r="BJ207" i="1" s="1"/>
  <c r="BO203" i="1"/>
  <c r="BM213" i="1"/>
  <c r="BM202" i="1"/>
  <c r="BO202" i="1"/>
  <c r="BL42" i="1"/>
  <c r="BM22" i="1"/>
  <c r="BL7" i="1"/>
  <c r="BO122" i="1"/>
  <c r="BM50" i="1"/>
  <c r="BM24" i="1"/>
  <c r="BN24" i="1"/>
  <c r="BM95" i="1"/>
  <c r="BL85" i="1"/>
  <c r="BJ85" i="1" s="1"/>
  <c r="BO85" i="1"/>
  <c r="BO68" i="1"/>
  <c r="BL74" i="1"/>
  <c r="BM126" i="1"/>
  <c r="BN67" i="1"/>
  <c r="BN173" i="1"/>
  <c r="BC173" i="1" s="1"/>
  <c r="BO91" i="1"/>
  <c r="BL107" i="1"/>
  <c r="BP167" i="1"/>
  <c r="BN131" i="1"/>
  <c r="BM104" i="1"/>
  <c r="BL153" i="1"/>
  <c r="BN139" i="1"/>
  <c r="BC139" i="1" s="1"/>
  <c r="BM109" i="1"/>
  <c r="BL162" i="1"/>
  <c r="BL118" i="1"/>
  <c r="BL173" i="1"/>
  <c r="BD173" i="1" s="1"/>
  <c r="BL167" i="1"/>
  <c r="BN226" i="1"/>
  <c r="BN183" i="1"/>
  <c r="BM180" i="1"/>
  <c r="BL208" i="1"/>
  <c r="BL201" i="1"/>
  <c r="BN201" i="1"/>
  <c r="BO165" i="1"/>
  <c r="BN217" i="1"/>
  <c r="BC217" i="1" s="1"/>
  <c r="BM204" i="1"/>
  <c r="BM217" i="1"/>
  <c r="BO205" i="1"/>
  <c r="BM203" i="1"/>
  <c r="BO45" i="1"/>
  <c r="BO25" i="1"/>
  <c r="BN18" i="1"/>
  <c r="BN7" i="1"/>
  <c r="BP56" i="1"/>
  <c r="BN33" i="1"/>
  <c r="BC33" i="1" s="1"/>
  <c r="BL25" i="1"/>
  <c r="BO8" i="1"/>
  <c r="BL89" i="1"/>
  <c r="BO89" i="1"/>
  <c r="BO72" i="1"/>
  <c r="BN81" i="1"/>
  <c r="BO141" i="1"/>
  <c r="BL68" i="1"/>
  <c r="BD68" i="1" s="1"/>
  <c r="BM28" i="1"/>
  <c r="BO95" i="1"/>
  <c r="BL111" i="1"/>
  <c r="BJ111" i="1" s="1"/>
  <c r="BO173" i="1"/>
  <c r="BL136" i="1"/>
  <c r="BO107" i="1"/>
  <c r="BO154" i="1"/>
  <c r="BL141" i="1"/>
  <c r="BO116" i="1"/>
  <c r="BM165" i="1"/>
  <c r="BL122" i="1"/>
  <c r="BJ122" i="1" s="1"/>
  <c r="BL213" i="1"/>
  <c r="BO170" i="1"/>
  <c r="BN230" i="1"/>
  <c r="BL188" i="1"/>
  <c r="BO183" i="1"/>
  <c r="BL211" i="1"/>
  <c r="BO204" i="1"/>
  <c r="BL203" i="1"/>
  <c r="BM166" i="1"/>
  <c r="BN221" i="1"/>
  <c r="BO207" i="1"/>
  <c r="BO220" i="1"/>
  <c r="BM206" i="1"/>
  <c r="BO206" i="1"/>
  <c r="BN97" i="1"/>
  <c r="BN114" i="1"/>
  <c r="BL182" i="1"/>
  <c r="BL146" i="1"/>
  <c r="BO111" i="1"/>
  <c r="BO155" i="1"/>
  <c r="BO146" i="1"/>
  <c r="BM117" i="1"/>
  <c r="BN168" i="1"/>
  <c r="BN125" i="1"/>
  <c r="BC125" i="1" s="1"/>
  <c r="BN138" i="1"/>
  <c r="BM171" i="1"/>
  <c r="BL231" i="1"/>
  <c r="BJ231" i="1" s="1"/>
  <c r="BL197" i="1"/>
  <c r="BD197" i="1" s="1"/>
  <c r="BM188" i="1"/>
  <c r="BN220" i="1"/>
  <c r="BN208" i="1"/>
  <c r="BN206" i="1"/>
  <c r="BN170" i="1"/>
  <c r="BL222" i="1"/>
  <c r="BD222" i="1" s="1"/>
  <c r="BM208" i="1"/>
  <c r="BM221" i="1"/>
  <c r="BO213" i="1"/>
  <c r="BM207" i="1"/>
  <c r="BL50" i="1"/>
  <c r="BL45" i="1"/>
  <c r="BN22" i="1"/>
  <c r="BP18" i="1"/>
  <c r="BO61" i="1"/>
  <c r="BN38" i="1"/>
  <c r="BO33" i="1"/>
  <c r="BO24" i="1"/>
  <c r="BL22" i="1"/>
  <c r="BO126" i="1"/>
  <c r="BM81" i="1"/>
  <c r="BN85" i="1"/>
  <c r="BC85" i="1" s="1"/>
  <c r="BM164" i="1"/>
  <c r="BN75" i="1"/>
  <c r="BO51" i="1"/>
  <c r="BO114" i="1"/>
  <c r="BL115" i="1"/>
  <c r="BJ115" i="1" s="1"/>
  <c r="BN185" i="1"/>
  <c r="BC185" i="1" s="1"/>
  <c r="BL154" i="1"/>
  <c r="BO115" i="1"/>
  <c r="BN156" i="1"/>
  <c r="BL150" i="1"/>
  <c r="BO120" i="1"/>
  <c r="BO172" i="1"/>
  <c r="BL126" i="1"/>
  <c r="BL139" i="1"/>
  <c r="BD139" i="1" s="1"/>
  <c r="BM175" i="1"/>
  <c r="BO162" i="1"/>
  <c r="BL202" i="1"/>
  <c r="BM197" i="1"/>
  <c r="BN224" i="1"/>
  <c r="BC224" i="1" s="1"/>
  <c r="BN211" i="1"/>
  <c r="BN213" i="1"/>
  <c r="BL171" i="1"/>
  <c r="BL220" i="1"/>
  <c r="BO211" i="1"/>
  <c r="BO224" i="1"/>
  <c r="BO217" i="1"/>
  <c r="BM211" i="1"/>
  <c r="BN181" i="1"/>
  <c r="BL130" i="1"/>
  <c r="BN146" i="1"/>
  <c r="BO178" i="1"/>
  <c r="BM163" i="1"/>
  <c r="BM205" i="1"/>
  <c r="BN202" i="1"/>
  <c r="BL227" i="1"/>
  <c r="BN232" i="1"/>
  <c r="BL217" i="1"/>
  <c r="BD217" i="1" s="1"/>
  <c r="BL175" i="1"/>
  <c r="BD175" i="1" s="1"/>
  <c r="BP222" i="1"/>
  <c r="BM220" i="1"/>
  <c r="BM225" i="1"/>
  <c r="BM218" i="1"/>
  <c r="AA17" i="6"/>
  <c r="C12" i="6"/>
  <c r="C13" i="6" s="1"/>
  <c r="BS1" i="1" l="1"/>
  <c r="BD62" i="1"/>
  <c r="BJ59" i="1"/>
  <c r="BJ117" i="1"/>
  <c r="BD122" i="1"/>
  <c r="BJ61" i="1"/>
  <c r="BJ72" i="1"/>
  <c r="BJ233" i="1"/>
  <c r="BD233" i="1"/>
  <c r="BJ20" i="1"/>
  <c r="BD180" i="1"/>
  <c r="BD185" i="1"/>
  <c r="BJ217" i="1"/>
  <c r="BJ33" i="1"/>
  <c r="BD56" i="1"/>
  <c r="BD111" i="1"/>
  <c r="BJ179" i="1"/>
  <c r="BD125" i="1"/>
  <c r="BD231" i="1"/>
  <c r="BJ175" i="1"/>
  <c r="BJ139" i="1"/>
  <c r="BJ68" i="1"/>
  <c r="BJ224" i="1"/>
  <c r="BJ163" i="1"/>
  <c r="BJ19" i="1"/>
  <c r="BJ173" i="1"/>
  <c r="BJ204" i="1"/>
  <c r="BJ197" i="1"/>
  <c r="BD207" i="1"/>
  <c r="BD91" i="1"/>
  <c r="BJ116" i="1"/>
  <c r="BJ222" i="1"/>
  <c r="BD85" i="1"/>
  <c r="BJ60" i="1"/>
  <c r="BD115" i="1"/>
  <c r="BG234" i="1"/>
  <c r="BI234" i="1"/>
  <c r="BK234" i="1" s="1"/>
  <c r="BG233" i="1"/>
  <c r="BI233" i="1"/>
  <c r="BK233" i="1" s="1"/>
  <c r="AX2" i="1" l="1"/>
  <c r="AX114" i="1"/>
  <c r="AZ114" i="1"/>
  <c r="BG114" i="1"/>
  <c r="BI114" i="1"/>
  <c r="AX42" i="1"/>
  <c r="AZ42" i="1"/>
  <c r="BG42" i="1"/>
  <c r="BI42" i="1"/>
  <c r="BK42" i="1"/>
  <c r="AX37" i="1"/>
  <c r="AZ37" i="1"/>
  <c r="AX197" i="1"/>
  <c r="AZ197" i="1"/>
  <c r="BG197" i="1"/>
  <c r="AX74" i="1"/>
  <c r="AZ74" i="1"/>
  <c r="BG74" i="1"/>
  <c r="BI74" i="1"/>
  <c r="AX206" i="1"/>
  <c r="AZ206" i="1"/>
  <c r="BG206" i="1"/>
  <c r="AX32" i="1"/>
  <c r="AZ32" i="1"/>
  <c r="AX12" i="1"/>
  <c r="AZ12" i="1"/>
  <c r="BG12" i="1"/>
  <c r="AW61" i="1"/>
  <c r="AW217" i="1"/>
  <c r="AX217" i="1"/>
  <c r="AZ217" i="1"/>
  <c r="AX95" i="1"/>
  <c r="AZ95" i="1"/>
  <c r="AX185" i="1"/>
  <c r="AZ185" i="1"/>
  <c r="AX134" i="1"/>
  <c r="AZ134" i="1"/>
  <c r="BG134" i="1"/>
  <c r="AX166" i="1"/>
  <c r="AZ166" i="1"/>
  <c r="BG166" i="1"/>
  <c r="BI166" i="1"/>
  <c r="BK166" i="1"/>
  <c r="AX3" i="1"/>
  <c r="AZ3" i="1"/>
  <c r="BG3" i="1"/>
  <c r="AX53" i="1"/>
  <c r="AZ53" i="1"/>
  <c r="BG53" i="1"/>
  <c r="BI53" i="1"/>
  <c r="BK53" i="1"/>
  <c r="AW85" i="1"/>
  <c r="AX85" i="1"/>
  <c r="AZ85" i="1"/>
  <c r="BG85" i="1"/>
  <c r="AX101" i="1"/>
  <c r="AZ101" i="1"/>
  <c r="BG101" i="1"/>
  <c r="AX220" i="1"/>
  <c r="AX48" i="1"/>
  <c r="BG37" i="1"/>
  <c r="BI37" i="1"/>
  <c r="BK37" i="1"/>
  <c r="AX31" i="1"/>
  <c r="AW204" i="1"/>
  <c r="AX59" i="1"/>
  <c r="AX196" i="1"/>
  <c r="AX147" i="1"/>
  <c r="AX103" i="1"/>
  <c r="BI134" i="1"/>
  <c r="AX143" i="1"/>
  <c r="AZ143" i="1"/>
  <c r="BG143" i="1"/>
  <c r="BI143" i="1"/>
  <c r="AX153" i="1"/>
  <c r="AZ153" i="1"/>
  <c r="BG153" i="1"/>
  <c r="AX46" i="1"/>
  <c r="AZ46" i="1"/>
  <c r="BG46" i="1"/>
  <c r="BI46" i="1"/>
  <c r="BK46" i="1"/>
  <c r="AX66" i="1"/>
  <c r="AZ66" i="1"/>
  <c r="BG66" i="1"/>
  <c r="BI66" i="1"/>
  <c r="AX91" i="1"/>
  <c r="AZ91" i="1"/>
  <c r="BG91" i="1"/>
  <c r="BI91" i="1"/>
  <c r="BK91" i="1"/>
  <c r="AX193" i="1"/>
  <c r="AZ193" i="1"/>
  <c r="BG193" i="1"/>
  <c r="BI193" i="1"/>
  <c r="BK193" i="1"/>
  <c r="AX177" i="1"/>
  <c r="AZ177" i="1"/>
  <c r="BG177" i="1"/>
  <c r="BI177" i="1"/>
  <c r="BK177" i="1"/>
  <c r="AX179" i="1"/>
  <c r="AZ179" i="1"/>
  <c r="BG179" i="1"/>
  <c r="BI179" i="1"/>
  <c r="BK179" i="1"/>
  <c r="AX19" i="1"/>
  <c r="AZ19" i="1"/>
  <c r="BG19" i="1"/>
  <c r="BI19" i="1"/>
  <c r="BK19" i="1"/>
  <c r="AX111" i="1"/>
  <c r="AZ111" i="1"/>
  <c r="BG111" i="1"/>
  <c r="BI111" i="1"/>
  <c r="BK111" i="1"/>
  <c r="AX39" i="1"/>
  <c r="AZ39" i="1"/>
  <c r="BG39" i="1"/>
  <c r="BI39" i="1"/>
  <c r="BK39" i="1"/>
  <c r="AW224" i="1"/>
  <c r="AX224" i="1"/>
  <c r="AZ224" i="1"/>
  <c r="BG224" i="1"/>
  <c r="BI224" i="1"/>
  <c r="BK224" i="1"/>
  <c r="AX230" i="1"/>
  <c r="AZ230" i="1"/>
  <c r="AX84" i="1"/>
  <c r="AZ84" i="1"/>
  <c r="BG84" i="1"/>
  <c r="BI84" i="1"/>
  <c r="BK84" i="1"/>
  <c r="BG95" i="1"/>
  <c r="AX189" i="1"/>
  <c r="AZ189" i="1"/>
  <c r="BG189" i="1"/>
  <c r="BI189" i="1"/>
  <c r="BK189" i="1"/>
  <c r="AX54" i="1"/>
  <c r="AZ54" i="1"/>
  <c r="BG54" i="1"/>
  <c r="BI54" i="1"/>
  <c r="AX21" i="1"/>
  <c r="AX213" i="1"/>
  <c r="AZ196" i="1"/>
  <c r="BG196" i="1"/>
  <c r="AX34" i="1"/>
  <c r="AX29" i="1"/>
  <c r="AZ29" i="1"/>
  <c r="BG29" i="1"/>
  <c r="AX133" i="1"/>
  <c r="AZ133" i="1"/>
  <c r="BG133" i="1"/>
  <c r="BI133" i="1"/>
  <c r="AX94" i="1"/>
  <c r="AX211" i="1"/>
  <c r="AX122" i="1"/>
  <c r="AZ122" i="1"/>
  <c r="BG122" i="1"/>
  <c r="AX139" i="1"/>
  <c r="AZ139" i="1"/>
  <c r="BI12" i="1"/>
  <c r="BK74" i="1"/>
  <c r="AX181" i="1"/>
  <c r="AZ181" i="1"/>
  <c r="BG181" i="1"/>
  <c r="AX127" i="1"/>
  <c r="AZ127" i="1"/>
  <c r="BG127" i="1"/>
  <c r="BI127" i="1"/>
  <c r="BK127" i="1"/>
  <c r="BI95" i="1"/>
  <c r="BK54" i="1"/>
  <c r="AX175" i="1"/>
  <c r="AZ175" i="1"/>
  <c r="BG175" i="1"/>
  <c r="BI175" i="1"/>
  <c r="BK175" i="1"/>
  <c r="AX140" i="1"/>
  <c r="AZ140" i="1"/>
  <c r="BG140" i="1"/>
  <c r="BI140" i="1"/>
  <c r="AX71" i="1"/>
  <c r="AZ71" i="1"/>
  <c r="BG71" i="1"/>
  <c r="BI71" i="1"/>
  <c r="BK71" i="1"/>
  <c r="AX87" i="1"/>
  <c r="AZ87" i="1"/>
  <c r="AX106" i="1"/>
  <c r="AZ106" i="1"/>
  <c r="BG106" i="1"/>
  <c r="AX68" i="1"/>
  <c r="AZ68" i="1"/>
  <c r="BG68" i="1"/>
  <c r="AX176" i="1"/>
  <c r="AZ176" i="1"/>
  <c r="BG176" i="1"/>
  <c r="BI176" i="1"/>
  <c r="BK176" i="1"/>
  <c r="AX151" i="1"/>
  <c r="AZ151" i="1"/>
  <c r="BG151" i="1"/>
  <c r="AX182" i="1"/>
  <c r="AZ182" i="1"/>
  <c r="BK66" i="1"/>
  <c r="AZ48" i="1"/>
  <c r="BG48" i="1"/>
  <c r="BI48" i="1"/>
  <c r="BK48" i="1"/>
  <c r="AX187" i="1"/>
  <c r="AZ187" i="1"/>
  <c r="BG187" i="1"/>
  <c r="BI187" i="1"/>
  <c r="AX149" i="1"/>
  <c r="AZ149" i="1"/>
  <c r="BG149" i="1"/>
  <c r="BI149" i="1"/>
  <c r="AX231" i="1"/>
  <c r="AZ231" i="1"/>
  <c r="BG231" i="1"/>
  <c r="BI231" i="1"/>
  <c r="BK231" i="1"/>
  <c r="AX4" i="1"/>
  <c r="AZ4" i="1"/>
  <c r="BG4" i="1"/>
  <c r="AX186" i="1"/>
  <c r="AZ186" i="1"/>
  <c r="BG186" i="1"/>
  <c r="BI186" i="1"/>
  <c r="BK186" i="1"/>
  <c r="AX164" i="1"/>
  <c r="AZ164" i="1"/>
  <c r="BG164" i="1"/>
  <c r="BI164" i="1"/>
  <c r="BK164" i="1"/>
  <c r="AX132" i="1"/>
  <c r="AZ132" i="1"/>
  <c r="BG132" i="1"/>
  <c r="BI132" i="1"/>
  <c r="AX18" i="1"/>
  <c r="AZ18" i="1"/>
  <c r="BG18" i="1"/>
  <c r="BI18" i="1"/>
  <c r="AX76" i="1"/>
  <c r="AZ76" i="1"/>
  <c r="BG76" i="1"/>
  <c r="BI76" i="1"/>
  <c r="BK76" i="1"/>
  <c r="AX129" i="1"/>
  <c r="AZ129" i="1"/>
  <c r="AX141" i="1"/>
  <c r="AZ141" i="1"/>
  <c r="AW62" i="1"/>
  <c r="AX62" i="1"/>
  <c r="AZ62" i="1"/>
  <c r="BG62" i="1"/>
  <c r="BI62" i="1"/>
  <c r="BK62" i="1"/>
  <c r="AX188" i="1"/>
  <c r="AZ188" i="1"/>
  <c r="AX43" i="1"/>
  <c r="AZ43" i="1"/>
  <c r="BG43" i="1"/>
  <c r="BI43" i="1"/>
  <c r="BK43" i="1"/>
  <c r="AX116" i="1"/>
  <c r="AZ116" i="1"/>
  <c r="BG116" i="1"/>
  <c r="BI116" i="1"/>
  <c r="BI68" i="1"/>
  <c r="BK68" i="1"/>
  <c r="BK18" i="1"/>
  <c r="BG87" i="1"/>
  <c r="BI87" i="1"/>
  <c r="AZ147" i="1"/>
  <c r="AX117" i="1"/>
  <c r="AX221" i="1"/>
  <c r="AZ103" i="1"/>
  <c r="BG103" i="1"/>
  <c r="BI103" i="1"/>
  <c r="BK103" i="1"/>
  <c r="BI206" i="1"/>
  <c r="AX20" i="1"/>
  <c r="AZ20" i="1"/>
  <c r="BG20" i="1"/>
  <c r="BI20" i="1"/>
  <c r="BG185" i="1"/>
  <c r="BI185" i="1"/>
  <c r="AX41" i="1"/>
  <c r="AZ41" i="1"/>
  <c r="BG41" i="1"/>
  <c r="BI41" i="1"/>
  <c r="BG141" i="1"/>
  <c r="AX25" i="1"/>
  <c r="AZ25" i="1"/>
  <c r="BG129" i="1"/>
  <c r="BI129" i="1"/>
  <c r="AZ213" i="1"/>
  <c r="BG213" i="1"/>
  <c r="BI213" i="1"/>
  <c r="BG25" i="1"/>
  <c r="BG32" i="1"/>
  <c r="BI32" i="1"/>
  <c r="BK32" i="1"/>
  <c r="AX233" i="1"/>
  <c r="AZ233" i="1"/>
  <c r="AX191" i="1"/>
  <c r="AX208" i="1"/>
  <c r="AX80" i="1"/>
  <c r="AZ80" i="1"/>
  <c r="BG80" i="1"/>
  <c r="BI80" i="1"/>
  <c r="AX159" i="1"/>
  <c r="AZ159" i="1"/>
  <c r="BG159" i="1"/>
  <c r="AX152" i="1"/>
  <c r="AX96" i="1"/>
  <c r="AZ96" i="1"/>
  <c r="BG96" i="1"/>
  <c r="AX180" i="1"/>
  <c r="AX207" i="1"/>
  <c r="AZ207" i="1"/>
  <c r="BG207" i="1"/>
  <c r="BI122" i="1"/>
  <c r="BK122" i="1"/>
  <c r="AX38" i="1"/>
  <c r="AZ38" i="1"/>
  <c r="BG38" i="1"/>
  <c r="BI38" i="1"/>
  <c r="BK38" i="1"/>
  <c r="AX26" i="1"/>
  <c r="AZ191" i="1"/>
  <c r="BG191" i="1"/>
  <c r="BI191" i="1"/>
  <c r="BK191" i="1"/>
  <c r="AX5" i="1"/>
  <c r="AZ5" i="1"/>
  <c r="BG5" i="1"/>
  <c r="AX165" i="1"/>
  <c r="AZ165" i="1"/>
  <c r="BG165" i="1"/>
  <c r="AX86" i="1"/>
  <c r="AZ86" i="1"/>
  <c r="BG86" i="1"/>
  <c r="AX112" i="1"/>
  <c r="AZ112" i="1"/>
  <c r="BG112" i="1"/>
  <c r="AX58" i="1"/>
  <c r="AZ58" i="1"/>
  <c r="BG58" i="1"/>
  <c r="BI58" i="1"/>
  <c r="BK58" i="1"/>
  <c r="AX210" i="1"/>
  <c r="AZ210" i="1"/>
  <c r="BG210" i="1"/>
  <c r="AX142" i="1"/>
  <c r="AZ142" i="1"/>
  <c r="BG142" i="1"/>
  <c r="AW125" i="1"/>
  <c r="AX125" i="1"/>
  <c r="AZ125" i="1"/>
  <c r="AX202" i="1"/>
  <c r="AZ202" i="1"/>
  <c r="AX51" i="1"/>
  <c r="AZ51" i="1"/>
  <c r="BI207" i="1"/>
  <c r="BK207" i="1"/>
  <c r="AX65" i="1"/>
  <c r="AZ65" i="1"/>
  <c r="BG65" i="1"/>
  <c r="AX79" i="1"/>
  <c r="AZ79" i="1"/>
  <c r="BG79" i="1"/>
  <c r="AX64" i="1"/>
  <c r="AZ64" i="1"/>
  <c r="BG217" i="1"/>
  <c r="BI85" i="1"/>
  <c r="AX36" i="1"/>
  <c r="AX212" i="1"/>
  <c r="AX7" i="1"/>
  <c r="AX146" i="1"/>
  <c r="AZ146" i="1"/>
  <c r="BG146" i="1"/>
  <c r="BI146" i="1"/>
  <c r="BK146" i="1"/>
  <c r="AX61" i="1"/>
  <c r="AZ61" i="1"/>
  <c r="BG61" i="1"/>
  <c r="AX209" i="1"/>
  <c r="AZ209" i="1"/>
  <c r="BG209" i="1"/>
  <c r="AX10" i="1"/>
  <c r="AZ10" i="1"/>
  <c r="BG10" i="1"/>
  <c r="BI10" i="1"/>
  <c r="BK10" i="1"/>
  <c r="BI181" i="1"/>
  <c r="AX57" i="1"/>
  <c r="AZ57" i="1"/>
  <c r="BG57" i="1"/>
  <c r="AX30" i="1"/>
  <c r="AZ30" i="1"/>
  <c r="BG30" i="1"/>
  <c r="BI30" i="1"/>
  <c r="BK30" i="1"/>
  <c r="BI151" i="1"/>
  <c r="BI96" i="1"/>
  <c r="BK96" i="1"/>
  <c r="AX121" i="1"/>
  <c r="AZ121" i="1"/>
  <c r="BG121" i="1"/>
  <c r="BI121" i="1"/>
  <c r="BK121" i="1"/>
  <c r="AX178" i="1"/>
  <c r="BK140" i="1"/>
  <c r="AZ208" i="1"/>
  <c r="BG208" i="1"/>
  <c r="BI159" i="1"/>
  <c r="AZ152" i="1"/>
  <c r="BG152" i="1"/>
  <c r="AX6" i="1"/>
  <c r="AX69" i="1"/>
  <c r="AZ69" i="1"/>
  <c r="BG69" i="1"/>
  <c r="AX216" i="1"/>
  <c r="AZ216" i="1"/>
  <c r="BG216" i="1"/>
  <c r="BI216" i="1"/>
  <c r="AZ94" i="1"/>
  <c r="AX78" i="1"/>
  <c r="AZ78" i="1"/>
  <c r="BG78" i="1"/>
  <c r="BI78" i="1"/>
  <c r="AX49" i="1"/>
  <c r="AZ49" i="1"/>
  <c r="BG49" i="1"/>
  <c r="BI49" i="1"/>
  <c r="AZ180" i="1"/>
  <c r="BG180" i="1"/>
  <c r="BI180" i="1"/>
  <c r="BK180" i="1"/>
  <c r="BI197" i="1"/>
  <c r="AX123" i="1"/>
  <c r="AZ123" i="1"/>
  <c r="BG123" i="1"/>
  <c r="BI152" i="1"/>
  <c r="BK152" i="1"/>
  <c r="BK20" i="1"/>
  <c r="AX226" i="1"/>
  <c r="AZ226" i="1"/>
  <c r="AX77" i="1"/>
  <c r="AZ77" i="1"/>
  <c r="BG77" i="1"/>
  <c r="BI77" i="1"/>
  <c r="BK77" i="1"/>
  <c r="AX174" i="1"/>
  <c r="AZ174" i="1"/>
  <c r="BG174" i="1"/>
  <c r="BI174" i="1"/>
  <c r="BK174" i="1"/>
  <c r="AX97" i="1"/>
  <c r="AZ97" i="1"/>
  <c r="BI141" i="1"/>
  <c r="BK141" i="1"/>
  <c r="BK206" i="1"/>
  <c r="AZ36" i="1"/>
  <c r="BG36" i="1"/>
  <c r="BI36" i="1"/>
  <c r="BK36" i="1"/>
  <c r="BK41" i="1"/>
  <c r="BI153" i="1"/>
  <c r="BK153" i="1"/>
  <c r="AX229" i="1"/>
  <c r="AZ229" i="1"/>
  <c r="BK116" i="1"/>
  <c r="AX137" i="1"/>
  <c r="AZ137" i="1"/>
  <c r="BG137" i="1"/>
  <c r="BI137" i="1"/>
  <c r="BK137" i="1"/>
  <c r="AX70" i="1"/>
  <c r="AZ70" i="1"/>
  <c r="BG70" i="1"/>
  <c r="BI70" i="1"/>
  <c r="BK70" i="1"/>
  <c r="BK185" i="1"/>
  <c r="AX107" i="1"/>
  <c r="AZ107" i="1"/>
  <c r="BG107" i="1"/>
  <c r="BI107" i="1"/>
  <c r="BK107" i="1"/>
  <c r="AX145" i="1"/>
  <c r="AZ145" i="1"/>
  <c r="BG145" i="1"/>
  <c r="BI145" i="1"/>
  <c r="BK145" i="1"/>
  <c r="AX56" i="1"/>
  <c r="AZ56" i="1"/>
  <c r="BG56" i="1"/>
  <c r="AX109" i="1"/>
  <c r="AZ109" i="1"/>
  <c r="BG109" i="1"/>
  <c r="BI109" i="1"/>
  <c r="BK109" i="1"/>
  <c r="AX90" i="1"/>
  <c r="AZ90" i="1"/>
  <c r="BG90" i="1"/>
  <c r="BI90" i="1"/>
  <c r="AX172" i="1"/>
  <c r="AZ172" i="1"/>
  <c r="BG172" i="1"/>
  <c r="AX218" i="1"/>
  <c r="AZ218" i="1"/>
  <c r="AX232" i="1"/>
  <c r="AX99" i="1"/>
  <c r="AX190" i="1"/>
  <c r="AZ190" i="1"/>
  <c r="BG190" i="1"/>
  <c r="AX198" i="1"/>
  <c r="AZ198" i="1"/>
  <c r="BG198" i="1"/>
  <c r="BI198" i="1"/>
  <c r="AX184" i="1"/>
  <c r="AX110" i="1"/>
  <c r="AX13" i="1"/>
  <c r="AZ2" i="1"/>
  <c r="BG2" i="1"/>
  <c r="AX156" i="1"/>
  <c r="AX92" i="1"/>
  <c r="AZ92" i="1"/>
  <c r="BG92" i="1"/>
  <c r="AX205" i="1"/>
  <c r="AX148" i="1"/>
  <c r="AZ148" i="1"/>
  <c r="BG148" i="1"/>
  <c r="BI148" i="1"/>
  <c r="AZ21" i="1"/>
  <c r="AX119" i="1"/>
  <c r="AZ59" i="1"/>
  <c r="AX72" i="1"/>
  <c r="AZ72" i="1"/>
  <c r="BG72" i="1"/>
  <c r="BI72" i="1"/>
  <c r="AX22" i="1"/>
  <c r="AZ22" i="1"/>
  <c r="BG22" i="1"/>
  <c r="BI22" i="1"/>
  <c r="AX160" i="1"/>
  <c r="AZ160" i="1"/>
  <c r="BG160" i="1"/>
  <c r="BI160" i="1"/>
  <c r="BK87" i="1"/>
  <c r="AZ117" i="1"/>
  <c r="AX161" i="1"/>
  <c r="BK133" i="1"/>
  <c r="AX88" i="1"/>
  <c r="AZ88" i="1"/>
  <c r="BG88" i="1"/>
  <c r="AX201" i="1"/>
  <c r="AZ201" i="1"/>
  <c r="BG201" i="1"/>
  <c r="BI201" i="1"/>
  <c r="AX126" i="1"/>
  <c r="AZ126" i="1"/>
  <c r="BG126" i="1"/>
  <c r="BI126" i="1"/>
  <c r="AX194" i="1"/>
  <c r="AZ194" i="1"/>
  <c r="BG194" i="1"/>
  <c r="AZ156" i="1"/>
  <c r="BG156" i="1"/>
  <c r="BI156" i="1"/>
  <c r="AX40" i="1"/>
  <c r="AZ40" i="1"/>
  <c r="BG40" i="1"/>
  <c r="BI40" i="1"/>
  <c r="BK40" i="1"/>
  <c r="BI4" i="1"/>
  <c r="AX203" i="1"/>
  <c r="AZ203" i="1"/>
  <c r="BG203" i="1"/>
  <c r="BI203" i="1"/>
  <c r="AX27" i="1"/>
  <c r="AZ27" i="1"/>
  <c r="BG27" i="1"/>
  <c r="AX195" i="1"/>
  <c r="AZ195" i="1"/>
  <c r="BG195" i="1"/>
  <c r="AX214" i="1"/>
  <c r="AZ214" i="1"/>
  <c r="BG214" i="1"/>
  <c r="AX108" i="1"/>
  <c r="AZ108" i="1"/>
  <c r="BG108" i="1"/>
  <c r="AX28" i="1"/>
  <c r="AZ28" i="1"/>
  <c r="BI5" i="1"/>
  <c r="BK5" i="1"/>
  <c r="BI165" i="1"/>
  <c r="BI86" i="1"/>
  <c r="BK86" i="1"/>
  <c r="AX215" i="1"/>
  <c r="AZ215" i="1"/>
  <c r="BG215" i="1"/>
  <c r="BI215" i="1"/>
  <c r="BK215" i="1"/>
  <c r="AX130" i="1"/>
  <c r="AZ130" i="1"/>
  <c r="BG130" i="1"/>
  <c r="BI130" i="1"/>
  <c r="BK130" i="1"/>
  <c r="AX45" i="1"/>
  <c r="AZ45" i="1"/>
  <c r="BG45" i="1"/>
  <c r="AX173" i="1"/>
  <c r="AZ173" i="1"/>
  <c r="BG173" i="1"/>
  <c r="AX124" i="1"/>
  <c r="AZ124" i="1"/>
  <c r="BG124" i="1"/>
  <c r="BI210" i="1"/>
  <c r="AX135" i="1"/>
  <c r="AZ135" i="1"/>
  <c r="BG135" i="1"/>
  <c r="BI135" i="1"/>
  <c r="BI195" i="1"/>
  <c r="BI209" i="1"/>
  <c r="BK181" i="1"/>
  <c r="BK151" i="1"/>
  <c r="AZ6" i="1"/>
  <c r="BG6" i="1"/>
  <c r="BI6" i="1"/>
  <c r="BK6" i="1"/>
  <c r="BK95" i="1"/>
  <c r="AX17" i="1"/>
  <c r="AZ17" i="1"/>
  <c r="BG17" i="1"/>
  <c r="BI17" i="1"/>
  <c r="BK149" i="1"/>
  <c r="AX222" i="1"/>
  <c r="AZ222" i="1"/>
  <c r="BG222" i="1"/>
  <c r="AX162" i="1"/>
  <c r="AZ110" i="1"/>
  <c r="BG94" i="1"/>
  <c r="BI94" i="1"/>
  <c r="BK78" i="1"/>
  <c r="BK49" i="1"/>
  <c r="AZ211" i="1"/>
  <c r="BK135" i="1"/>
  <c r="AX93" i="1"/>
  <c r="AZ93" i="1"/>
  <c r="BG93" i="1"/>
  <c r="BI93" i="1"/>
  <c r="AX14" i="1"/>
  <c r="AZ14" i="1"/>
  <c r="BG14" i="1"/>
  <c r="AX98" i="1"/>
  <c r="AZ98" i="1"/>
  <c r="AX44" i="1"/>
  <c r="AZ44" i="1"/>
  <c r="BG44" i="1"/>
  <c r="AX35" i="1"/>
  <c r="AZ35" i="1"/>
  <c r="BI217" i="1"/>
  <c r="AX55" i="1"/>
  <c r="AZ55" i="1"/>
  <c r="BG55" i="1"/>
  <c r="BI55" i="1"/>
  <c r="AX144" i="1"/>
  <c r="AZ144" i="1"/>
  <c r="BG144" i="1"/>
  <c r="AX11" i="1"/>
  <c r="AZ11" i="1"/>
  <c r="BG11" i="1"/>
  <c r="BK187" i="1"/>
  <c r="BI106" i="1"/>
  <c r="AX200" i="1"/>
  <c r="AZ200" i="1"/>
  <c r="BG200" i="1"/>
  <c r="BI200" i="1"/>
  <c r="BI88" i="1"/>
  <c r="AX23" i="1"/>
  <c r="AZ23" i="1"/>
  <c r="BG23" i="1"/>
  <c r="BI23" i="1"/>
  <c r="BK23" i="1"/>
  <c r="AX225" i="1"/>
  <c r="AZ225" i="1"/>
  <c r="BI2" i="1"/>
  <c r="AX67" i="1"/>
  <c r="AZ67" i="1"/>
  <c r="BG67" i="1"/>
  <c r="BI67" i="1"/>
  <c r="AX73" i="1"/>
  <c r="BI44" i="1"/>
  <c r="BK44" i="1"/>
  <c r="BI144" i="1"/>
  <c r="BK144" i="1"/>
  <c r="AX113" i="1"/>
  <c r="BK203" i="1"/>
  <c r="BK132" i="1"/>
  <c r="BI194" i="1"/>
  <c r="BK194" i="1"/>
  <c r="BK4" i="1"/>
  <c r="BK200" i="1"/>
  <c r="AX8" i="1"/>
  <c r="AX163" i="1"/>
  <c r="AZ163" i="1"/>
  <c r="BG163" i="1"/>
  <c r="AX154" i="1"/>
  <c r="BI11" i="1"/>
  <c r="AX82" i="1"/>
  <c r="BK165" i="1"/>
  <c r="AX158" i="1"/>
  <c r="AZ158" i="1"/>
  <c r="BG158" i="1"/>
  <c r="BI158" i="1"/>
  <c r="BK158" i="1"/>
  <c r="BK198" i="1"/>
  <c r="BI123" i="1"/>
  <c r="AX104" i="1"/>
  <c r="AZ104" i="1"/>
  <c r="BG104" i="1"/>
  <c r="BI104" i="1"/>
  <c r="BK104" i="1"/>
  <c r="AX228" i="1"/>
  <c r="BI101" i="1"/>
  <c r="AZ220" i="1"/>
  <c r="AX118" i="1"/>
  <c r="AZ232" i="1"/>
  <c r="AX81" i="1"/>
  <c r="AZ99" i="1"/>
  <c r="BG99" i="1"/>
  <c r="BI99" i="1"/>
  <c r="AX150" i="1"/>
  <c r="AX168" i="1"/>
  <c r="AX167" i="1"/>
  <c r="AX100" i="1"/>
  <c r="AZ31" i="1"/>
  <c r="BG31" i="1"/>
  <c r="BI31" i="1"/>
  <c r="AX204" i="1"/>
  <c r="AZ204" i="1"/>
  <c r="BG204" i="1"/>
  <c r="BI204" i="1"/>
  <c r="AX15" i="1"/>
  <c r="AX16" i="1"/>
  <c r="AZ16" i="1"/>
  <c r="BG16" i="1"/>
  <c r="BI16" i="1"/>
  <c r="AZ205" i="1"/>
  <c r="BG205" i="1"/>
  <c r="BK148" i="1"/>
  <c r="BG21" i="1"/>
  <c r="AZ119" i="1"/>
  <c r="BG119" i="1"/>
  <c r="BI119" i="1"/>
  <c r="BK119" i="1"/>
  <c r="BK22" i="1"/>
  <c r="AX138" i="1"/>
  <c r="BK160" i="1"/>
  <c r="AZ34" i="1"/>
  <c r="AX52" i="1"/>
  <c r="AZ52" i="1"/>
  <c r="BG52" i="1"/>
  <c r="BI52" i="1"/>
  <c r="BG147" i="1"/>
  <c r="BG117" i="1"/>
  <c r="AZ184" i="1"/>
  <c r="BG184" i="1"/>
  <c r="BK114" i="1"/>
  <c r="BI25" i="1"/>
  <c r="AX234" i="1"/>
  <c r="AZ234" i="1"/>
  <c r="AX128" i="1"/>
  <c r="AZ128" i="1"/>
  <c r="BG128" i="1"/>
  <c r="BI128" i="1"/>
  <c r="BK128" i="1"/>
  <c r="AX131" i="1"/>
  <c r="AZ131" i="1"/>
  <c r="BG131" i="1"/>
  <c r="BG35" i="1"/>
  <c r="BI35" i="1"/>
  <c r="BK35" i="1"/>
  <c r="BG34" i="1"/>
  <c r="BI34" i="1"/>
  <c r="BG28" i="1"/>
  <c r="BI28" i="1"/>
  <c r="BI172" i="1"/>
  <c r="BK172" i="1"/>
  <c r="AX89" i="1"/>
  <c r="AZ89" i="1"/>
  <c r="BG89" i="1"/>
  <c r="BI89" i="1"/>
  <c r="BK89" i="1"/>
  <c r="BI131" i="1"/>
  <c r="BK131" i="1"/>
  <c r="BG64" i="1"/>
  <c r="BI64" i="1"/>
  <c r="BK64" i="1"/>
  <c r="BK134" i="1"/>
  <c r="BI56" i="1"/>
  <c r="BK56" i="1"/>
  <c r="BK94" i="1"/>
  <c r="AX183" i="1"/>
  <c r="AZ183" i="1"/>
  <c r="AX219" i="1"/>
  <c r="AZ219" i="1"/>
  <c r="BG219" i="1"/>
  <c r="BI219" i="1"/>
  <c r="BK219" i="1"/>
  <c r="AX33" i="1"/>
  <c r="AZ33" i="1"/>
  <c r="BG33" i="1"/>
  <c r="BI33" i="1"/>
  <c r="BK33" i="1"/>
  <c r="BK28" i="1"/>
  <c r="AX192" i="1"/>
  <c r="AZ192" i="1"/>
  <c r="BG192" i="1"/>
  <c r="BI192" i="1"/>
  <c r="BK192" i="1"/>
  <c r="BK88" i="1"/>
  <c r="BK90" i="1"/>
  <c r="BK34" i="1"/>
  <c r="AX157" i="1"/>
  <c r="AZ157" i="1"/>
  <c r="BG157" i="1"/>
  <c r="BI157" i="1"/>
  <c r="BK157" i="1"/>
  <c r="AX63" i="1"/>
  <c r="AZ63" i="1"/>
  <c r="BG63" i="1"/>
  <c r="BI63" i="1"/>
  <c r="AX115" i="1"/>
  <c r="AZ115" i="1"/>
  <c r="BG115" i="1"/>
  <c r="BI115" i="1"/>
  <c r="BK115" i="1"/>
  <c r="BI27" i="1"/>
  <c r="BI61" i="1"/>
  <c r="BI57" i="1"/>
  <c r="AX155" i="1"/>
  <c r="AX102" i="1"/>
  <c r="BK216" i="1"/>
  <c r="BI45" i="1"/>
  <c r="BK201" i="1"/>
  <c r="AZ100" i="1"/>
  <c r="BG100" i="1"/>
  <c r="AZ26" i="1"/>
  <c r="BG26" i="1"/>
  <c r="BI26" i="1"/>
  <c r="BK67" i="1"/>
  <c r="AZ73" i="1"/>
  <c r="BG73" i="1"/>
  <c r="BI73" i="1"/>
  <c r="AZ113" i="1"/>
  <c r="BG113" i="1"/>
  <c r="BI113" i="1"/>
  <c r="BK113" i="1"/>
  <c r="BI100" i="1"/>
  <c r="BK100" i="1"/>
  <c r="BK143" i="1"/>
  <c r="AX50" i="1"/>
  <c r="BK80" i="1"/>
  <c r="BI205" i="1"/>
  <c r="BK205" i="1"/>
  <c r="AZ8" i="1"/>
  <c r="BK209" i="1"/>
  <c r="BI163" i="1"/>
  <c r="AZ154" i="1"/>
  <c r="BK11" i="1"/>
  <c r="AZ82" i="1"/>
  <c r="AX223" i="1"/>
  <c r="AX236" i="1"/>
  <c r="BI69" i="1"/>
  <c r="AZ13" i="1"/>
  <c r="AZ168" i="1"/>
  <c r="BG168" i="1"/>
  <c r="BI168" i="1"/>
  <c r="BK168" i="1"/>
  <c r="BK123" i="1"/>
  <c r="BI222" i="1"/>
  <c r="BG13" i="1"/>
  <c r="BI13" i="1"/>
  <c r="BK13" i="1"/>
  <c r="BK57" i="1"/>
  <c r="AZ223" i="1"/>
  <c r="BK17" i="1"/>
  <c r="BK126" i="1"/>
  <c r="BI124" i="1"/>
  <c r="BK124" i="1"/>
  <c r="BK159" i="1"/>
  <c r="BI208" i="1"/>
  <c r="BK208" i="1"/>
  <c r="AX170" i="1"/>
  <c r="AZ170" i="1"/>
  <c r="BK27" i="1"/>
  <c r="AX83" i="1"/>
  <c r="AZ83" i="1"/>
  <c r="BG83" i="1"/>
  <c r="BI83" i="1"/>
  <c r="BK83" i="1"/>
  <c r="BK63" i="1"/>
  <c r="BK195" i="1"/>
  <c r="BK156" i="1"/>
  <c r="BK106" i="1"/>
  <c r="AX199" i="1"/>
  <c r="AZ199" i="1"/>
  <c r="BG199" i="1"/>
  <c r="BI199" i="1"/>
  <c r="AX9" i="1"/>
  <c r="AZ9" i="1"/>
  <c r="BG9" i="1"/>
  <c r="BI9" i="1"/>
  <c r="BI214" i="1"/>
  <c r="BK214" i="1"/>
  <c r="BI112" i="1"/>
  <c r="AX120" i="1"/>
  <c r="AX47" i="1"/>
  <c r="AZ47" i="1"/>
  <c r="BG47" i="1"/>
  <c r="BI47" i="1"/>
  <c r="BI142" i="1"/>
  <c r="BK142" i="1"/>
  <c r="BI196" i="1"/>
  <c r="BG98" i="1"/>
  <c r="BI98" i="1"/>
  <c r="BG125" i="1"/>
  <c r="BG211" i="1"/>
  <c r="BI211" i="1"/>
  <c r="BK211" i="1"/>
  <c r="AX60" i="1"/>
  <c r="AZ60" i="1"/>
  <c r="BG60" i="1"/>
  <c r="AX171" i="1"/>
  <c r="AZ171" i="1"/>
  <c r="AX105" i="1"/>
  <c r="AZ105" i="1"/>
  <c r="BG139" i="1"/>
  <c r="BI139" i="1"/>
  <c r="BK93" i="1"/>
  <c r="BK139" i="1"/>
  <c r="BG105" i="1"/>
  <c r="BI105" i="1"/>
  <c r="BK105" i="1"/>
  <c r="BK197" i="1"/>
  <c r="AX136" i="1"/>
  <c r="AZ136" i="1"/>
  <c r="BI79" i="1"/>
  <c r="BK79" i="1"/>
  <c r="BK55" i="1"/>
  <c r="BK196" i="1"/>
  <c r="AX227" i="1"/>
  <c r="AZ227" i="1"/>
  <c r="BI125" i="1"/>
  <c r="BK125" i="1"/>
  <c r="AX24" i="1"/>
  <c r="AZ24" i="1"/>
  <c r="BI108" i="1"/>
  <c r="BK108" i="1"/>
  <c r="BI60" i="1"/>
  <c r="BK60" i="1"/>
  <c r="BI14" i="1"/>
  <c r="BK14" i="1"/>
  <c r="BK85" i="1"/>
  <c r="BK129" i="1"/>
  <c r="BK213" i="1"/>
  <c r="BK12" i="1"/>
  <c r="AX75" i="1"/>
  <c r="AZ75" i="1"/>
  <c r="BI173" i="1"/>
  <c r="BK173" i="1"/>
  <c r="BK210" i="1"/>
  <c r="BK9" i="1"/>
  <c r="BK217" i="1"/>
  <c r="AZ150" i="1"/>
  <c r="AZ162" i="1"/>
  <c r="BG110" i="1"/>
  <c r="BI110" i="1"/>
  <c r="BK110" i="1"/>
  <c r="BI190" i="1"/>
  <c r="AZ15" i="1"/>
  <c r="BG15" i="1"/>
  <c r="BI15" i="1"/>
  <c r="BK15" i="1"/>
  <c r="AZ178" i="1"/>
  <c r="BG59" i="1"/>
  <c r="BI59" i="1"/>
  <c r="BK59" i="1"/>
  <c r="BK2" i="1"/>
  <c r="BK190" i="1"/>
  <c r="BK61" i="1"/>
  <c r="AZ102" i="1"/>
  <c r="BK45" i="1"/>
  <c r="BI3" i="1"/>
  <c r="BI92" i="1"/>
  <c r="BI21" i="1"/>
  <c r="AZ138" i="1"/>
  <c r="BG138" i="1"/>
  <c r="BI138" i="1"/>
  <c r="BI147" i="1"/>
  <c r="BI117" i="1"/>
  <c r="BI65" i="1"/>
  <c r="BK65" i="1"/>
  <c r="BI29" i="1"/>
  <c r="AZ212" i="1"/>
  <c r="BG212" i="1"/>
  <c r="BI212" i="1"/>
  <c r="AZ7" i="1"/>
  <c r="AZ228" i="1"/>
  <c r="BK72" i="1"/>
  <c r="AZ161" i="1"/>
  <c r="BK29" i="1"/>
  <c r="BK138" i="1"/>
  <c r="BK16" i="1"/>
  <c r="BI184" i="1"/>
  <c r="BK184" i="1"/>
  <c r="AZ221" i="1"/>
  <c r="BK52" i="1"/>
  <c r="BK204" i="1"/>
  <c r="BK101" i="1"/>
  <c r="BK117" i="1"/>
  <c r="AZ118" i="1"/>
  <c r="AZ81" i="1"/>
  <c r="BK99" i="1"/>
  <c r="BK31" i="1"/>
  <c r="AZ167" i="1"/>
  <c r="BK147" i="1"/>
  <c r="BK212" i="1"/>
  <c r="BK25" i="1"/>
  <c r="BK26" i="1"/>
  <c r="BK73" i="1"/>
  <c r="AZ50" i="1"/>
  <c r="BK163" i="1"/>
  <c r="AZ120" i="1"/>
  <c r="BK47" i="1"/>
  <c r="BK98" i="1"/>
  <c r="BK199" i="1"/>
  <c r="BK112" i="1"/>
  <c r="BK222" i="1"/>
  <c r="BK69" i="1"/>
  <c r="AZ155" i="1"/>
  <c r="BK3" i="1"/>
  <c r="BK92" i="1"/>
  <c r="BK21" i="1"/>
</calcChain>
</file>

<file path=xl/sharedStrings.xml><?xml version="1.0" encoding="utf-8"?>
<sst xmlns="http://schemas.openxmlformats.org/spreadsheetml/2006/main" count="6268" uniqueCount="2467">
  <si>
    <t>CustomerID</t>
  </si>
  <si>
    <t>Active</t>
  </si>
  <si>
    <t>t</t>
  </si>
  <si>
    <t>Last Name</t>
  </si>
  <si>
    <t>Name Suffix</t>
  </si>
  <si>
    <t>Phonetic First Name</t>
  </si>
  <si>
    <t>NameJp</t>
  </si>
  <si>
    <t>Phonetic Last Name</t>
  </si>
  <si>
    <t>Link To finance</t>
  </si>
  <si>
    <t>Teacher</t>
  </si>
  <si>
    <t>lesson type</t>
  </si>
  <si>
    <t>Age</t>
  </si>
  <si>
    <t>Group Name</t>
  </si>
  <si>
    <t>Frequency</t>
  </si>
  <si>
    <t>Fee</t>
  </si>
  <si>
    <t>RICO Next fee</t>
  </si>
  <si>
    <t>Detail next fee</t>
  </si>
  <si>
    <t xml:space="preserve">Joining </t>
  </si>
  <si>
    <t>Column2</t>
  </si>
  <si>
    <t>Mail</t>
  </si>
  <si>
    <t>Gmail2</t>
  </si>
  <si>
    <t>Homework mail</t>
  </si>
  <si>
    <t>携帯</t>
  </si>
  <si>
    <t>Phone 2 - label</t>
  </si>
  <si>
    <t>Phone 2 - label2</t>
  </si>
  <si>
    <t>Address 1 - Street</t>
  </si>
  <si>
    <t>Birthday</t>
  </si>
  <si>
    <t>Joining Date</t>
  </si>
  <si>
    <t>Relation 1 - Label</t>
  </si>
  <si>
    <t>Relation 1 - Value</t>
  </si>
  <si>
    <t>Website 1 - Label</t>
  </si>
  <si>
    <t>Website 1 - Value</t>
  </si>
  <si>
    <t>Notes</t>
  </si>
  <si>
    <t>Notes 2</t>
  </si>
  <si>
    <t>Labels</t>
  </si>
  <si>
    <t>Start Date</t>
  </si>
  <si>
    <t>Stop</t>
  </si>
  <si>
    <t>Column1</t>
  </si>
  <si>
    <t>Name</t>
  </si>
  <si>
    <t>CustomerID3</t>
  </si>
  <si>
    <t>Full_Name</t>
  </si>
  <si>
    <t>Clean Lesson Type</t>
  </si>
  <si>
    <t>Clean Frequency</t>
  </si>
  <si>
    <t>Month</t>
  </si>
  <si>
    <t>Year</t>
  </si>
  <si>
    <t>Helper</t>
  </si>
  <si>
    <t>Group Frequency</t>
  </si>
  <si>
    <t>First Occurrence</t>
  </si>
  <si>
    <t>Final PrivateFrequency</t>
  </si>
  <si>
    <t>Final Group Frequency2</t>
  </si>
  <si>
    <t>Duration</t>
  </si>
  <si>
    <t>Customer name</t>
  </si>
  <si>
    <t>Salary without Alex</t>
  </si>
  <si>
    <t>Fee without Alex</t>
  </si>
  <si>
    <t>Pay Type</t>
  </si>
  <si>
    <t>Salary / Hourly Rate</t>
  </si>
  <si>
    <t>Group Salary</t>
  </si>
  <si>
    <t>Private Salary</t>
  </si>
  <si>
    <t>Total Salary</t>
  </si>
  <si>
    <t>Money Spend</t>
  </si>
  <si>
    <t>Profit</t>
  </si>
  <si>
    <t>For Amount</t>
  </si>
  <si>
    <t>For Count</t>
  </si>
  <si>
    <t>For Salary</t>
  </si>
  <si>
    <t>For Frequency</t>
  </si>
  <si>
    <t>For End Date</t>
  </si>
  <si>
    <t>n</t>
  </si>
  <si>
    <t>Haruki</t>
  </si>
  <si>
    <t>Akaba</t>
  </si>
  <si>
    <t>はるき</t>
  </si>
  <si>
    <t>赤羽はるき</t>
  </si>
  <si>
    <t>赤羽</t>
  </si>
  <si>
    <t>幼稚園</t>
  </si>
  <si>
    <t>happy.nara.0311@gmail.com</t>
  </si>
  <si>
    <t>090-1713-6778</t>
  </si>
  <si>
    <t>電話番号</t>
  </si>
  <si>
    <t>Gmail</t>
  </si>
  <si>
    <t>Akiko</t>
  </si>
  <si>
    <t>Tominaga</t>
  </si>
  <si>
    <t>亜希子</t>
  </si>
  <si>
    <t>富永亜希子</t>
  </si>
  <si>
    <t>富永</t>
  </si>
  <si>
    <t>haru.soru07.24@icloud.com</t>
  </si>
  <si>
    <t>福岡市南区大橋1-20-10-503</t>
  </si>
  <si>
    <t>プら</t>
  </si>
  <si>
    <t>Akitoshi</t>
  </si>
  <si>
    <t>Ikeguchi</t>
  </si>
  <si>
    <t>彰敏</t>
  </si>
  <si>
    <t>池口彰敏</t>
  </si>
  <si>
    <t>池口</t>
  </si>
  <si>
    <t>大人</t>
  </si>
  <si>
    <t>mo2959@icloud.com</t>
  </si>
  <si>
    <t>090-7575-1686</t>
  </si>
  <si>
    <t>福岡市早良区小田部1-12-5-302</t>
  </si>
  <si>
    <t>グルップ,大人</t>
  </si>
  <si>
    <t>Anna</t>
  </si>
  <si>
    <t>Shirozumi</t>
  </si>
  <si>
    <t>アンナ</t>
  </si>
  <si>
    <t>白水アンナ</t>
  </si>
  <si>
    <t>白水</t>
  </si>
  <si>
    <t>volvic93@icloud.com</t>
  </si>
  <si>
    <t>８１１－１３４６
福岡市南区老司１－２８－２７－４０２</t>
  </si>
  <si>
    <t>小学生</t>
  </si>
  <si>
    <t>y</t>
  </si>
  <si>
    <t>Ao</t>
  </si>
  <si>
    <t>Hirabaru</t>
  </si>
  <si>
    <t>あお</t>
  </si>
  <si>
    <t>平原あお</t>
  </si>
  <si>
    <t>平原</t>
  </si>
  <si>
    <t>Alex</t>
  </si>
  <si>
    <t>private</t>
  </si>
  <si>
    <t>Baby</t>
  </si>
  <si>
    <t>shingai_haruka@mac.com</t>
  </si>
  <si>
    <t>福岡市南区２-3-11部屋303</t>
  </si>
  <si>
    <t>Tsukiji</t>
  </si>
  <si>
    <t>築地あお</t>
  </si>
  <si>
    <t>築地</t>
  </si>
  <si>
    <t>group</t>
  </si>
  <si>
    <t>Asuka</t>
  </si>
  <si>
    <t>Maruyama</t>
  </si>
  <si>
    <t>明夏</t>
  </si>
  <si>
    <t>丸山明夏</t>
  </si>
  <si>
    <t>丸山</t>
  </si>
  <si>
    <t>tokitan0317@docomo.ne.jp</t>
  </si>
  <si>
    <t>08027791763(お母様)</t>
  </si>
  <si>
    <t>〒815-0033
福岡市南区大橋4丁目18-9</t>
  </si>
  <si>
    <t>セミプラ,大人</t>
  </si>
  <si>
    <t>Atsuko</t>
  </si>
  <si>
    <t>Koi</t>
  </si>
  <si>
    <t>敦子</t>
  </si>
  <si>
    <t>河井敦子</t>
  </si>
  <si>
    <t>河井</t>
  </si>
  <si>
    <t>高校生</t>
  </si>
  <si>
    <t>811-1344
福岡市南区 
3-8-47-705</t>
  </si>
  <si>
    <t>Nishiyama</t>
  </si>
  <si>
    <t>厚子</t>
  </si>
  <si>
    <t>西山厚子</t>
  </si>
  <si>
    <t>西山</t>
  </si>
  <si>
    <t>akko-chan24801105@q.vodafone.ne.jp</t>
  </si>
  <si>
    <t>090-1365-5074</t>
  </si>
  <si>
    <t>福岡市南区和田2-5-1</t>
  </si>
  <si>
    <t>グルップ２回,大人</t>
  </si>
  <si>
    <t>Aya</t>
  </si>
  <si>
    <t>Yamamoto</t>
  </si>
  <si>
    <t>あや</t>
  </si>
  <si>
    <t>山本あや</t>
  </si>
  <si>
    <t>山本</t>
  </si>
  <si>
    <t>8150037
福岡市南区玉川町４－１８</t>
  </si>
  <si>
    <t>プら,大人</t>
  </si>
  <si>
    <t>Ayaka</t>
  </si>
  <si>
    <t>Nagatani</t>
  </si>
  <si>
    <t>彩夏</t>
  </si>
  <si>
    <t>永谷彩夏</t>
  </si>
  <si>
    <t>永谷</t>
  </si>
  <si>
    <t>090-3987-0967</t>
  </si>
  <si>
    <t>福岡市南区大橋1-18-1-504</t>
  </si>
  <si>
    <t>グルップ,高校生</t>
  </si>
  <si>
    <t>Kinoshita</t>
  </si>
  <si>
    <t>綾夏</t>
  </si>
  <si>
    <t>西尾綾夏</t>
  </si>
  <si>
    <t>西尾</t>
  </si>
  <si>
    <t>ayakankan007@gmail.com</t>
  </si>
  <si>
    <t>080-1357-8753</t>
  </si>
  <si>
    <t>Ayane</t>
  </si>
  <si>
    <t>Shiba</t>
  </si>
  <si>
    <t>アヤネ</t>
  </si>
  <si>
    <t>椎葉アヤネ</t>
  </si>
  <si>
    <t>椎葉</t>
  </si>
  <si>
    <t>kayomoco99@gmail.com</t>
  </si>
  <si>
    <t>811-1344
福岡市南区三宅1-7-6-305</t>
  </si>
  <si>
    <t>ayumu</t>
  </si>
  <si>
    <t>ninomiya</t>
  </si>
  <si>
    <t>歩夢</t>
  </si>
  <si>
    <t>二宮歩夢</t>
  </si>
  <si>
    <t>二宮</t>
  </si>
  <si>
    <t>ayumu09160610@gmail.com</t>
  </si>
  <si>
    <t>英検プライベート</t>
  </si>
  <si>
    <t>Yuzuna</t>
  </si>
  <si>
    <t>Baba</t>
  </si>
  <si>
    <t>ユズナ</t>
  </si>
  <si>
    <t>馬場ユズナ</t>
  </si>
  <si>
    <t>馬場</t>
  </si>
  <si>
    <t>中高生</t>
  </si>
  <si>
    <t>Buntaro</t>
  </si>
  <si>
    <t>Takara</t>
  </si>
  <si>
    <t>太郎</t>
  </si>
  <si>
    <t>寶太郎</t>
  </si>
  <si>
    <t>寶</t>
  </si>
  <si>
    <t>kouji_takara0219@yahoo.co.jp</t>
  </si>
  <si>
    <t>steptime0000@gmail.com</t>
  </si>
  <si>
    <t>1050033
福岡市南区大橋
4-27-17 ファール大橋206</t>
  </si>
  <si>
    <t>Chiaki</t>
  </si>
  <si>
    <t>Yanagihara</t>
  </si>
  <si>
    <t>千亜紀</t>
  </si>
  <si>
    <t>柳原千亜紀</t>
  </si>
  <si>
    <t>柳原</t>
  </si>
  <si>
    <t>Nao</t>
  </si>
  <si>
    <t>Adult</t>
  </si>
  <si>
    <t>chiyaki32@yahoo.co.jp</t>
  </si>
  <si>
    <t>福岡市南野間３－１１－３－７０４</t>
  </si>
  <si>
    <t>Chieko</t>
  </si>
  <si>
    <t>Mori</t>
  </si>
  <si>
    <t>恵子</t>
  </si>
  <si>
    <t>森千恵子</t>
  </si>
  <si>
    <t>森千</t>
  </si>
  <si>
    <t>m.chieko0515@gmail.com</t>
  </si>
  <si>
    <t>8160951
大野城市下大利固地6-301</t>
  </si>
  <si>
    <t>Chizuru</t>
  </si>
  <si>
    <t>Iguchi</t>
  </si>
  <si>
    <t>千鶴</t>
  </si>
  <si>
    <t>井口千鶴</t>
  </si>
  <si>
    <t>井口</t>
  </si>
  <si>
    <t>no818ta1118me@docomo.ne.jp</t>
  </si>
  <si>
    <t>03oobarusea@gmail.com</t>
  </si>
  <si>
    <t>080-8370-7161</t>
  </si>
  <si>
    <t>福岡市南区野多目6-6-39</t>
  </si>
  <si>
    <t>グループ4回 セミプラ1回 N,大人</t>
  </si>
  <si>
    <t>Eishin</t>
  </si>
  <si>
    <t>Hamada</t>
  </si>
  <si>
    <t>瑛心</t>
  </si>
  <si>
    <t>濱田瑛心</t>
  </si>
  <si>
    <t>濱田</t>
  </si>
  <si>
    <t>shobo.w.dalu.u.mayu@gmail.com</t>
  </si>
  <si>
    <t>090-9593-4182</t>
  </si>
  <si>
    <t>〒811-1345
福岡市南区向新町1-1-10</t>
  </si>
  <si>
    <t>Eisuke</t>
  </si>
  <si>
    <t>Uehara</t>
  </si>
  <si>
    <t>英介</t>
  </si>
  <si>
    <t>上原英介</t>
  </si>
  <si>
    <t>上原</t>
  </si>
  <si>
    <t>viva.old.america.522@ezweb.ne.jp</t>
  </si>
  <si>
    <t>〒815-0033 福岡県 福岡市南区 大橋１丁目７−１２ 森藤 第 一 ビル 6F</t>
  </si>
  <si>
    <t>プラ4回新,大人</t>
  </si>
  <si>
    <t>Eito</t>
  </si>
  <si>
    <t>Suzuki</t>
  </si>
  <si>
    <t>瑛人</t>
  </si>
  <si>
    <t>鈴木瑛人</t>
  </si>
  <si>
    <t>鈴木</t>
  </si>
  <si>
    <t>Elementary</t>
  </si>
  <si>
    <t>ko.mina@icloud.com</t>
  </si>
  <si>
    <t>811-1302
福岡市南区井尻2-23-8-407</t>
  </si>
  <si>
    <t>Ema</t>
  </si>
  <si>
    <t>Hideshima</t>
  </si>
  <si>
    <t>絵茉</t>
  </si>
  <si>
    <t>秀島絵茉</t>
  </si>
  <si>
    <t>秀島</t>
  </si>
  <si>
    <t>pear_pooh0412@docomo.ne.jp</t>
  </si>
  <si>
    <t>090-4514-1104</t>
  </si>
  <si>
    <t>〒815-0033
福岡市南区大橋2-3-23-1201</t>
  </si>
  <si>
    <t>Emi</t>
  </si>
  <si>
    <t>Fukuoka</t>
  </si>
  <si>
    <t>江美</t>
  </si>
  <si>
    <t>福岡江美</t>
  </si>
  <si>
    <t>福岡</t>
  </si>
  <si>
    <t>080-1770-9467</t>
  </si>
  <si>
    <t>福岡市南区南大橋1-21-11</t>
  </si>
  <si>
    <t>英美</t>
  </si>
  <si>
    <t>竹内英美</t>
  </si>
  <si>
    <t>竹内</t>
  </si>
  <si>
    <t>eminomail0502@icloud.com</t>
  </si>
  <si>
    <t>080-1787-8416</t>
  </si>
  <si>
    <t>Hanane</t>
  </si>
  <si>
    <t>sasaki</t>
  </si>
  <si>
    <t>木花音</t>
  </si>
  <si>
    <t>佐々木花音</t>
  </si>
  <si>
    <t>佐々</t>
  </si>
  <si>
    <t>hanane.mame@icloud.com</t>
  </si>
  <si>
    <t>811-1314
福岡市南区的場1-4-30</t>
  </si>
  <si>
    <t>Hanari</t>
  </si>
  <si>
    <t>Mochidome</t>
  </si>
  <si>
    <t>はなり</t>
  </si>
  <si>
    <t>持留はなり</t>
  </si>
  <si>
    <t>持留</t>
  </si>
  <si>
    <t>99k92st39@yahoo.co.jp</t>
  </si>
  <si>
    <t>15-0083
福岡市南区高宮３－２９－８</t>
  </si>
  <si>
    <t>セミプラ,小学生</t>
  </si>
  <si>
    <t>Hanzo</t>
  </si>
  <si>
    <t>Segawa</t>
  </si>
  <si>
    <t>半蔵</t>
  </si>
  <si>
    <t>瀬川半蔵</t>
  </si>
  <si>
    <t>瀬川</t>
  </si>
  <si>
    <t>mond.yoko.s@gmail.com</t>
  </si>
  <si>
    <t>080-1531-6009</t>
  </si>
  <si>
    <t>Ikemoto</t>
  </si>
  <si>
    <t>栄稀</t>
  </si>
  <si>
    <t>池元栄稀</t>
  </si>
  <si>
    <t>池元</t>
  </si>
  <si>
    <t>a.y_t.k.0419@docomo.ne.jp</t>
  </si>
  <si>
    <t>080-2692-8957</t>
  </si>
  <si>
    <t>〒815-0033
福岡市南区大橋3-14-8-301</t>
  </si>
  <si>
    <t>プら,小学生</t>
  </si>
  <si>
    <t>福岡南区若久5-5-803</t>
  </si>
  <si>
    <t>Harumi</t>
  </si>
  <si>
    <t>Higuchi</t>
  </si>
  <si>
    <t>はるみ</t>
  </si>
  <si>
    <t>樋口はるみ</t>
  </si>
  <si>
    <t>樋口</t>
  </si>
  <si>
    <t>namihigu@yahoo.co.jp</t>
  </si>
  <si>
    <t>090-5745-8547</t>
  </si>
  <si>
    <t>筑紫野市紫2-1-12-104</t>
  </si>
  <si>
    <t>プら,Adult</t>
  </si>
  <si>
    <t>Hatsune</t>
  </si>
  <si>
    <t>Nagai</t>
  </si>
  <si>
    <t>初音</t>
  </si>
  <si>
    <t>永井初音</t>
  </si>
  <si>
    <t>永井</t>
  </si>
  <si>
    <t>das-hause-liebesgottin@docomo.ne.jp</t>
  </si>
  <si>
    <t>mokorann15@gmail.com</t>
  </si>
  <si>
    <t>090-3010-4508</t>
  </si>
  <si>
    <t>〒811-1346
福岡市南区老司３丁目26－51</t>
  </si>
  <si>
    <t>Hayato</t>
  </si>
  <si>
    <t>Tsuruta</t>
  </si>
  <si>
    <t>隼</t>
  </si>
  <si>
    <t>鶴田隼</t>
  </si>
  <si>
    <t>鶴田</t>
  </si>
  <si>
    <t>hatokichi8810@gmail.com</t>
  </si>
  <si>
    <t>〒815-0035
福岡市南区向野2-6-1-406</t>
  </si>
  <si>
    <t>Hikaru</t>
  </si>
  <si>
    <t>Matake</t>
  </si>
  <si>
    <t>ヒカル</t>
  </si>
  <si>
    <t>眞竹ヒカル</t>
  </si>
  <si>
    <t>眞竹</t>
  </si>
  <si>
    <t>flower.ambassador@gmail.com</t>
  </si>
  <si>
    <t>8150042
福岡市南区若久
6-67-7</t>
  </si>
  <si>
    <t>Hina</t>
  </si>
  <si>
    <t>Hirata</t>
  </si>
  <si>
    <t>妃奈</t>
  </si>
  <si>
    <t>平田妃奈</t>
  </si>
  <si>
    <t>平田</t>
  </si>
  <si>
    <t>redflat41.hn@gmail.com</t>
  </si>
  <si>
    <t>070-8439-9526</t>
  </si>
  <si>
    <t>福岡県福岡市南区老司1丁目二六-三-四-０</t>
  </si>
  <si>
    <t>Hirano</t>
  </si>
  <si>
    <t>ひな</t>
  </si>
  <si>
    <t>平野ひな</t>
  </si>
  <si>
    <t>平野</t>
  </si>
  <si>
    <t>r96475924@gmail.com</t>
  </si>
  <si>
    <t>8111311
南区横手2丁目7-30-402</t>
  </si>
  <si>
    <t>Hirao</t>
  </si>
  <si>
    <t>友菜</t>
  </si>
  <si>
    <t>平尾友菜</t>
  </si>
  <si>
    <t>平尾</t>
  </si>
  <si>
    <t>yu050627ri@docomo.ne.jp</t>
  </si>
  <si>
    <t>080-1791-6521</t>
  </si>
  <si>
    <t>文蘭</t>
  </si>
  <si>
    <t>平尾文蘭</t>
  </si>
  <si>
    <t>春日市春日原北町4-24-410</t>
  </si>
  <si>
    <t>Hiroko</t>
  </si>
  <si>
    <t>Miyazaki</t>
  </si>
  <si>
    <t>浩子</t>
  </si>
  <si>
    <t>宮崎浩子</t>
  </si>
  <si>
    <t>宮崎</t>
  </si>
  <si>
    <t>090-4358-4096</t>
  </si>
  <si>
    <t>大野城市南が丘2-6-7</t>
  </si>
  <si>
    <t>プラ2回,大人</t>
  </si>
  <si>
    <t>Hironao</t>
  </si>
  <si>
    <t>Onuma</t>
  </si>
  <si>
    <t>弘尚</t>
  </si>
  <si>
    <t>小沼弘尚</t>
  </si>
  <si>
    <t>小沼</t>
  </si>
  <si>
    <t>kao.x3k@gmail.com</t>
  </si>
  <si>
    <t>811-1346
南区老司3-4-27-302</t>
  </si>
  <si>
    <t>セミプラ</t>
  </si>
  <si>
    <t>Hiroshi</t>
  </si>
  <si>
    <t>Yamada</t>
  </si>
  <si>
    <t>寛</t>
  </si>
  <si>
    <t>山田寛</t>
  </si>
  <si>
    <t>山田</t>
  </si>
  <si>
    <t>ymd.a.h.man@gmail.com</t>
  </si>
  <si>
    <t>090-3191-4441</t>
  </si>
  <si>
    <t>筑紫郡那珂川町方縄北2-2-11</t>
  </si>
  <si>
    <t>Hisae</t>
  </si>
  <si>
    <t>Eguchi</t>
  </si>
  <si>
    <t>久枝</t>
  </si>
  <si>
    <t>江口久枝</t>
  </si>
  <si>
    <t>江口</t>
  </si>
  <si>
    <t>poipoipoi@ezweb.ne.jp</t>
  </si>
  <si>
    <t>090-8289-2450</t>
  </si>
  <si>
    <t>福岡市南区向野1-14-8-303</t>
  </si>
  <si>
    <t>プラ2回古い,大人</t>
  </si>
  <si>
    <t>Hitomi</t>
  </si>
  <si>
    <t>Abe</t>
  </si>
  <si>
    <t>ひとみ</t>
  </si>
  <si>
    <t>安部ひとみ</t>
  </si>
  <si>
    <t>安部</t>
  </si>
  <si>
    <t>seiabe1973@gmail.com</t>
  </si>
  <si>
    <t>090-4484-6215</t>
  </si>
  <si>
    <t>815-0035福岡市南区向野2-14-1森藤不動産ビル413号室</t>
  </si>
  <si>
    <t>Honami</t>
  </si>
  <si>
    <t>保奈美</t>
  </si>
  <si>
    <t>竹市保奈美</t>
  </si>
  <si>
    <t>竹市</t>
  </si>
  <si>
    <t>h.0205-f.0625@docomo.ne.jp</t>
  </si>
  <si>
    <t>080-3187-3816</t>
  </si>
  <si>
    <t>Ichie</t>
  </si>
  <si>
    <t>Sano</t>
  </si>
  <si>
    <t>一恵</t>
  </si>
  <si>
    <t>佐野一恵</t>
  </si>
  <si>
    <t>佐野</t>
  </si>
  <si>
    <t>ichie7777@me.com</t>
  </si>
  <si>
    <t>福岡県大野城し雑餉隈町1丁目8-11</t>
  </si>
  <si>
    <t>グルップ</t>
  </si>
  <si>
    <t>Ichika</t>
  </si>
  <si>
    <t>いちか</t>
  </si>
  <si>
    <t>眞竹いちか</t>
  </si>
  <si>
    <t>Ichiro</t>
  </si>
  <si>
    <t>Uchiyama</t>
  </si>
  <si>
    <t>一郎</t>
  </si>
  <si>
    <t>内山一郎</t>
  </si>
  <si>
    <t>内山</t>
  </si>
  <si>
    <t>pokemonyo130@gmail.com</t>
  </si>
  <si>
    <t>福岡市南区清水4-206-203</t>
  </si>
  <si>
    <t>Iori</t>
  </si>
  <si>
    <t>Maeda</t>
  </si>
  <si>
    <t>いおり</t>
  </si>
  <si>
    <t>前田いおり</t>
  </si>
  <si>
    <t>前田</t>
  </si>
  <si>
    <t>nazuna0420_0420@yahoo.co.jp</t>
  </si>
  <si>
    <t>maeaki0420@gmail.com</t>
  </si>
  <si>
    <t>815003
福岡市南区大橋1-4-20-701</t>
  </si>
  <si>
    <t>Itsuki</t>
  </si>
  <si>
    <t>Ono</t>
  </si>
  <si>
    <t>樹</t>
  </si>
  <si>
    <t>大野樹</t>
  </si>
  <si>
    <t>大野</t>
  </si>
  <si>
    <t>hiroshix55@hotmail.com</t>
  </si>
  <si>
    <t>09071554570(父)</t>
  </si>
  <si>
    <t>Kaho</t>
  </si>
  <si>
    <t>Tokieda</t>
  </si>
  <si>
    <t>佳穂</t>
  </si>
  <si>
    <t>時枝佳穂</t>
  </si>
  <si>
    <t>時枝</t>
  </si>
  <si>
    <t>kaho_1113@me.com</t>
  </si>
  <si>
    <t>080-8363-4635</t>
  </si>
  <si>
    <t>福岡市南区井尻1-29-29-202</t>
  </si>
  <si>
    <t>グループ2回＆プラ1回,大人</t>
  </si>
  <si>
    <t>Kai</t>
  </si>
  <si>
    <t>Toriyama</t>
  </si>
  <si>
    <t>かい</t>
  </si>
  <si>
    <t>鳥山かい</t>
  </si>
  <si>
    <t>鳥山</t>
  </si>
  <si>
    <t>slowlive_slowlove@yahoo.co.jp</t>
  </si>
  <si>
    <t>8150033
福岡市南区大橋2-28-24-912</t>
  </si>
  <si>
    <t>Kaito</t>
  </si>
  <si>
    <t>Takaji</t>
  </si>
  <si>
    <t>じ かいと髙司 海都</t>
  </si>
  <si>
    <t>たかじ かいと髙司 海都</t>
  </si>
  <si>
    <t>たか</t>
  </si>
  <si>
    <t>tae05238@yahoo.co.jp</t>
  </si>
  <si>
    <t>080-3967-1595</t>
  </si>
  <si>
    <t>小学生,幼稚園</t>
  </si>
  <si>
    <t>Uetsuki</t>
  </si>
  <si>
    <t>海翔</t>
  </si>
  <si>
    <t>植月海翔</t>
  </si>
  <si>
    <t>植月</t>
  </si>
  <si>
    <t>junichi1216@ezweb.ne.jp</t>
  </si>
  <si>
    <t>090-5739-9612</t>
  </si>
  <si>
    <t>福岡市南区横手1-14-14</t>
  </si>
  <si>
    <t>プら,高校生</t>
  </si>
  <si>
    <t>Kanon</t>
  </si>
  <si>
    <t>Mizukami</t>
  </si>
  <si>
    <t>香音</t>
  </si>
  <si>
    <t>水上香音</t>
  </si>
  <si>
    <t>水上</t>
  </si>
  <si>
    <t>High school</t>
  </si>
  <si>
    <t>mi-pon.1974long-lord@au.com</t>
  </si>
  <si>
    <t>092-541-6787</t>
  </si>
  <si>
    <t>815-0032
福岡市南区塩原4-4-15-1003</t>
  </si>
  <si>
    <t>Kanrin</t>
  </si>
  <si>
    <t>オン ティ スアン</t>
  </si>
  <si>
    <t>チュオン ティ スアン</t>
  </si>
  <si>
    <t>チュ</t>
  </si>
  <si>
    <t>pvmanh2008@gmail.com(父)</t>
  </si>
  <si>
    <t>truongxuan260286@gmail.com</t>
  </si>
  <si>
    <t>〒815-0035
福岡市南区向野2丁目23-8 パークサイドハイツ103</t>
  </si>
  <si>
    <t>Kaori</t>
  </si>
  <si>
    <t>Ban</t>
  </si>
  <si>
    <t>織</t>
  </si>
  <si>
    <t>伴香織</t>
  </si>
  <si>
    <t>伴香</t>
  </si>
  <si>
    <t>kaori.ban12@gmail.com</t>
  </si>
  <si>
    <t>080-1777-0991</t>
  </si>
  <si>
    <t>Nishiyori</t>
  </si>
  <si>
    <t>香織</t>
  </si>
  <si>
    <t>西依香織</t>
  </si>
  <si>
    <t>西依</t>
  </si>
  <si>
    <t>adult</t>
  </si>
  <si>
    <t>k.rp.0306@gmail.com</t>
  </si>
  <si>
    <t>8150032
福岡市南区塩原3-21-37</t>
  </si>
  <si>
    <t>Karen</t>
  </si>
  <si>
    <t>Inoue</t>
  </si>
  <si>
    <t xml:space="preserve">カレン </t>
  </si>
  <si>
    <t xml:space="preserve">井上カレン </t>
  </si>
  <si>
    <t>井上</t>
  </si>
  <si>
    <t>Thomas</t>
  </si>
  <si>
    <t>high school</t>
  </si>
  <si>
    <t>letsgochan50@gmail.com</t>
  </si>
  <si>
    <t>halka0130@yahoo.co.jp is Karen mail</t>
  </si>
  <si>
    <t>井上カレン ごう さら</t>
  </si>
  <si>
    <t>Go</t>
  </si>
  <si>
    <t>ごう</t>
  </si>
  <si>
    <t>井上 ごう</t>
  </si>
  <si>
    <t>elementary</t>
  </si>
  <si>
    <t>Group D</t>
  </si>
  <si>
    <t xml:space="preserve"> Sara</t>
  </si>
  <si>
    <t>さら</t>
  </si>
  <si>
    <t>井上 さら</t>
  </si>
  <si>
    <t>junior high</t>
  </si>
  <si>
    <t>Group A</t>
  </si>
  <si>
    <t>Katsuki</t>
  </si>
  <si>
    <t>Murakami</t>
  </si>
  <si>
    <t>克樹</t>
  </si>
  <si>
    <t>村上克樹</t>
  </si>
  <si>
    <t>村上</t>
  </si>
  <si>
    <t>rukam-kat722.521@ezweb.ne.jp</t>
  </si>
  <si>
    <t>090-6903-9458</t>
  </si>
  <si>
    <t>福岡市南区南大橋2-15-22-1</t>
  </si>
  <si>
    <t>英検プライベート,大人</t>
  </si>
  <si>
    <t>Katsumi</t>
  </si>
  <si>
    <t>Sugihara</t>
  </si>
  <si>
    <t>克己</t>
  </si>
  <si>
    <t>杉原克己</t>
  </si>
  <si>
    <t>杉原</t>
  </si>
  <si>
    <t>katsumisugihara540908@gmail.com</t>
  </si>
  <si>
    <t>815-0032
福岡市南区塩原4-5-10 １２０６</t>
  </si>
  <si>
    <t>Katsuyo</t>
  </si>
  <si>
    <t>Saitou</t>
  </si>
  <si>
    <t>勝代</t>
  </si>
  <si>
    <t>齊藤勝代</t>
  </si>
  <si>
    <t>齊藤</t>
  </si>
  <si>
    <t>hideki-saito@fuga.ocn.ne.jp</t>
  </si>
  <si>
    <t>080-8387-6520</t>
  </si>
  <si>
    <t>福岡市筑紫が丘2-7-3</t>
  </si>
  <si>
    <t>Kazue</t>
  </si>
  <si>
    <t>Konishi</t>
  </si>
  <si>
    <t>和枝</t>
  </si>
  <si>
    <t>小西和枝</t>
  </si>
  <si>
    <t>小西</t>
  </si>
  <si>
    <t>unhomme-de-genie2004@docomo.ne.jp</t>
  </si>
  <si>
    <t>フランス語 プラ2回,大人</t>
  </si>
  <si>
    <t>Kazuki</t>
  </si>
  <si>
    <t>Fujiwara</t>
  </si>
  <si>
    <t>かずき</t>
  </si>
  <si>
    <t>藤原かずき</t>
  </si>
  <si>
    <t>藤原</t>
  </si>
  <si>
    <t>rinrinshiorin@hotmail.com</t>
  </si>
  <si>
    <t>rinrinshiorin0304@gmail.com</t>
  </si>
  <si>
    <t>福岡市南区三宅３－２１－１４－</t>
  </si>
  <si>
    <t>Kazuko</t>
  </si>
  <si>
    <t>Kusaba</t>
  </si>
  <si>
    <t>和子</t>
  </si>
  <si>
    <t>草場和子</t>
  </si>
  <si>
    <t>草場</t>
  </si>
  <si>
    <t>Felix</t>
  </si>
  <si>
    <t>chammy1107@icloud.com</t>
  </si>
  <si>
    <t>kathyfreiden@gmail.com</t>
  </si>
  <si>
    <t>090-9658-6797</t>
  </si>
  <si>
    <t>筑紫郡那珂川町恵子2-4-19</t>
  </si>
  <si>
    <t>グルップ,Adult</t>
  </si>
  <si>
    <t>Keiko</t>
  </si>
  <si>
    <t>Sakamoto</t>
  </si>
  <si>
    <t>坂本恵子</t>
  </si>
  <si>
    <t>坂本</t>
  </si>
  <si>
    <t>tomy.sakamoto@nifty.com</t>
  </si>
  <si>
    <t>080-8585-6481</t>
  </si>
  <si>
    <t>福岡市博多区板付2丁目1-31-301</t>
  </si>
  <si>
    <t>グルップ２回セミプラ2回,大人</t>
  </si>
  <si>
    <t>Keishi</t>
  </si>
  <si>
    <t>Ueda</t>
  </si>
  <si>
    <t>圭志</t>
  </si>
  <si>
    <t>上田圭志</t>
  </si>
  <si>
    <t>上田</t>
  </si>
  <si>
    <t>keishi333@docomo.ne.jp</t>
  </si>
  <si>
    <t>090-5948-5879</t>
  </si>
  <si>
    <t>福岡市南区南大橋2丁目26-10</t>
  </si>
  <si>
    <t>Kengo</t>
  </si>
  <si>
    <t>じ けんご髙司 憲吾</t>
  </si>
  <si>
    <t>たかじ けんご髙司 憲吾</t>
  </si>
  <si>
    <t>tae05238@yahoo.co.jp(母)</t>
  </si>
  <si>
    <t>〒815-0031
南区清水４丁目20-3-206</t>
  </si>
  <si>
    <t>Kenta</t>
  </si>
  <si>
    <t>Uemura</t>
  </si>
  <si>
    <t>健太</t>
  </si>
  <si>
    <t>上村健太</t>
  </si>
  <si>
    <t>上村</t>
  </si>
  <si>
    <t>uekeeeeeen@gmail.com</t>
  </si>
  <si>
    <t>Kento</t>
  </si>
  <si>
    <t>Arisawa</t>
  </si>
  <si>
    <t>研人</t>
  </si>
  <si>
    <t>在澤研人</t>
  </si>
  <si>
    <t>在澤</t>
  </si>
  <si>
    <t>nomoto-ni-anagith123@docomo.ne.jp</t>
  </si>
  <si>
    <t>hideari@gmail.com</t>
  </si>
  <si>
    <t>090-3190-2012</t>
  </si>
  <si>
    <t>〒815-0033
福岡市南区大橋3-15-24</t>
  </si>
  <si>
    <t>Kenya</t>
  </si>
  <si>
    <t>Sadasue</t>
  </si>
  <si>
    <t>賢弥</t>
  </si>
  <si>
    <t>貞末賢弥</t>
  </si>
  <si>
    <t>貞末</t>
  </si>
  <si>
    <t>anais.n@docomo.ne.jp</t>
  </si>
  <si>
    <t>090-9599-5208</t>
  </si>
  <si>
    <t>815-0032
福岡市南区塩原4-5-10-1701</t>
  </si>
  <si>
    <t>Kiho</t>
  </si>
  <si>
    <t>みな</t>
  </si>
  <si>
    <t>馬場みな</t>
  </si>
  <si>
    <t>bbm_3737m@yahoo.co.jp</t>
  </si>
  <si>
    <t>miyu.23a@gmail.com</t>
  </si>
  <si>
    <t>814-0142
福岡市南区片江3-19-6</t>
  </si>
  <si>
    <t>Koji</t>
  </si>
  <si>
    <t>康二</t>
  </si>
  <si>
    <t>戸田康二</t>
  </si>
  <si>
    <t>戸田</t>
  </si>
  <si>
    <t>090-2500-8211</t>
  </si>
  <si>
    <t>Konomi</t>
  </si>
  <si>
    <t>Tokunaga</t>
  </si>
  <si>
    <t>好美</t>
  </si>
  <si>
    <t>徳永好美</t>
  </si>
  <si>
    <t>徳永</t>
  </si>
  <si>
    <t>ksry777sakura@docomo.ne.jp</t>
  </si>
  <si>
    <t>090-5726-2466</t>
  </si>
  <si>
    <t>福岡市博多区諸岡3丁目34-15</t>
  </si>
  <si>
    <t>Korin</t>
  </si>
  <si>
    <t>Tomono</t>
  </si>
  <si>
    <t>香林</t>
  </si>
  <si>
    <t>友納香林</t>
  </si>
  <si>
    <t>友納</t>
  </si>
  <si>
    <t>calling200623@yahoo.co.jp</t>
  </si>
  <si>
    <t>09094953891(母)</t>
  </si>
  <si>
    <t>〒811-1302
福岡市南区井尻3-36</t>
  </si>
  <si>
    <t>Kosuke</t>
  </si>
  <si>
    <t>Takada</t>
  </si>
  <si>
    <t>浩介</t>
  </si>
  <si>
    <t>高田浩介</t>
  </si>
  <si>
    <t>高田</t>
  </si>
  <si>
    <t>ryoukotakada@gmail.com</t>
  </si>
  <si>
    <t>8111354
南区太平寺2-6-13</t>
  </si>
  <si>
    <t>koudai</t>
  </si>
  <si>
    <t>hato</t>
  </si>
  <si>
    <t>航大</t>
  </si>
  <si>
    <t>波戸航大</t>
  </si>
  <si>
    <t>波戸</t>
  </si>
  <si>
    <t>marysol.kk02@gmail.com</t>
  </si>
  <si>
    <t>Kouki</t>
  </si>
  <si>
    <t>Ushijima</t>
  </si>
  <si>
    <t>大翔</t>
  </si>
  <si>
    <t>牛島大翔</t>
  </si>
  <si>
    <t>牛島</t>
  </si>
  <si>
    <t>ewqc8516@yahoo.co.jp</t>
  </si>
  <si>
    <t>haruto01550916@gmail.com</t>
  </si>
  <si>
    <t>090-2963-8503</t>
  </si>
  <si>
    <t>牛島煌稀、大翔</t>
  </si>
  <si>
    <t>Haruto</t>
  </si>
  <si>
    <t>煌稀</t>
  </si>
  <si>
    <t>牛島煌稀</t>
  </si>
  <si>
    <t>h-h-ushi@aqr.bbiq.jp</t>
  </si>
  <si>
    <t>Kouta</t>
  </si>
  <si>
    <t>Yamaguchi</t>
  </si>
  <si>
    <t>滉太</t>
  </si>
  <si>
    <t>山口滉太</t>
  </si>
  <si>
    <t>山口</t>
  </si>
  <si>
    <t>中学生</t>
  </si>
  <si>
    <t>nic193@docomo.ne.jp</t>
  </si>
  <si>
    <t>050-7301-8925</t>
  </si>
  <si>
    <t>〒</t>
  </si>
  <si>
    <t>Kumiko</t>
  </si>
  <si>
    <t>Okusako</t>
  </si>
  <si>
    <t>こ</t>
  </si>
  <si>
    <t>くみこ</t>
  </si>
  <si>
    <t>くみ</t>
  </si>
  <si>
    <t>nakyu.1024@i.softbank.jp</t>
  </si>
  <si>
    <t>090-5940-3702</t>
  </si>
  <si>
    <t>福岡市南区警弥郷1-25-9</t>
  </si>
  <si>
    <t>Kyoko</t>
  </si>
  <si>
    <t>Akama</t>
  </si>
  <si>
    <t>恭子</t>
  </si>
  <si>
    <t>赤間恭子</t>
  </si>
  <si>
    <t>赤間</t>
  </si>
  <si>
    <t>Group C</t>
  </si>
  <si>
    <t>080-2774-1500</t>
  </si>
  <si>
    <t>福岡市南区三宅3-23-1-703</t>
  </si>
  <si>
    <t>グループ2セミ1,Adult</t>
  </si>
  <si>
    <t>Kyosuke</t>
  </si>
  <si>
    <t>Saita</t>
  </si>
  <si>
    <t>響介</t>
  </si>
  <si>
    <t>斉田響介</t>
  </si>
  <si>
    <t>斉田</t>
  </si>
  <si>
    <t>makoto4369@gmail.com (父)</t>
  </si>
  <si>
    <t>soccerkyy＠gmail.com</t>
  </si>
  <si>
    <t>09084065195(響介)</t>
  </si>
  <si>
    <t>〒8111311
南区横手2丁目17-10-304</t>
  </si>
  <si>
    <t>Maho</t>
  </si>
  <si>
    <t>Akiyama</t>
  </si>
  <si>
    <t>真穂</t>
  </si>
  <si>
    <t>秋山真穂</t>
  </si>
  <si>
    <t>秋山</t>
  </si>
  <si>
    <t>akiyama@cts-j.com</t>
  </si>
  <si>
    <t>090-1879-1603</t>
  </si>
  <si>
    <t>福岡市南区筑紫丘1-12-1-301</t>
  </si>
  <si>
    <t>Maki</t>
  </si>
  <si>
    <t>Yamauchi</t>
  </si>
  <si>
    <t>真綺</t>
  </si>
  <si>
    <t>山内真綺</t>
  </si>
  <si>
    <t>山内</t>
  </si>
  <si>
    <t>kumiko.koga.01.13@docomo.ne.jp</t>
  </si>
  <si>
    <t>090-1088-8699</t>
  </si>
  <si>
    <t>〒8150036
南区筑紫丘2丁目14-4</t>
  </si>
  <si>
    <t>Mao</t>
  </si>
  <si>
    <t>まお</t>
  </si>
  <si>
    <t>宮崎まお</t>
  </si>
  <si>
    <t>pekko-0624@i.softbank.jp</t>
  </si>
  <si>
    <t>福岡市南区塩原4-4-15-1202</t>
  </si>
  <si>
    <t>Mariko</t>
  </si>
  <si>
    <t>Hiroshima</t>
  </si>
  <si>
    <t>真理子</t>
  </si>
  <si>
    <t>広島真理子</t>
  </si>
  <si>
    <t>広島</t>
  </si>
  <si>
    <t>シニア</t>
  </si>
  <si>
    <t>xoxo-vanderwoodsen@docomo.ne.jp</t>
  </si>
  <si>
    <t>プら,シニア</t>
  </si>
  <si>
    <t>Masahiro</t>
  </si>
  <si>
    <t>Nishikawa</t>
  </si>
  <si>
    <t>将広</t>
  </si>
  <si>
    <t>西川将広</t>
  </si>
  <si>
    <t>西川</t>
  </si>
  <si>
    <t>masahirochiharu0827@gmail.com</t>
  </si>
  <si>
    <t>8160853
春日市泉1-124</t>
  </si>
  <si>
    <t>Masako</t>
  </si>
  <si>
    <t>雅子</t>
  </si>
  <si>
    <t>樋口雅子</t>
  </si>
  <si>
    <t>oriori402@yahoo.co.jp</t>
  </si>
  <si>
    <t>815-0033
福岡市南区大橋４丁目２５－２５－７０７</t>
  </si>
  <si>
    <t>Masanori</t>
  </si>
  <si>
    <t>Adachi</t>
  </si>
  <si>
    <t>優星</t>
  </si>
  <si>
    <t>安達優星</t>
  </si>
  <si>
    <t>安達</t>
  </si>
  <si>
    <t>kazuyuko0730@nifty.com</t>
  </si>
  <si>
    <t>福岡市南区6-39-9</t>
  </si>
  <si>
    <t>Masateru &amp; Sechiko</t>
  </si>
  <si>
    <t>Yamashita</t>
  </si>
  <si>
    <t>真輝&amp;世知子</t>
  </si>
  <si>
    <t>山下真輝&amp;世知子</t>
  </si>
  <si>
    <t>山下</t>
  </si>
  <si>
    <t>uminosachi0424@gmail.com</t>
  </si>
  <si>
    <t>080-4275-3109</t>
  </si>
  <si>
    <t>福岡市南区大楠1-18-1</t>
  </si>
  <si>
    <t>セミプラ2回2回,大人</t>
  </si>
  <si>
    <t>Masateru</t>
  </si>
  <si>
    <t>Wada</t>
  </si>
  <si>
    <t>大輝</t>
  </si>
  <si>
    <t>和田大輝</t>
  </si>
  <si>
    <t>和田</t>
  </si>
  <si>
    <t>imomichi@i.softbank.jp</t>
  </si>
  <si>
    <t>090-8402-6834</t>
  </si>
  <si>
    <t>〒811-1344
福岡市南区三宅3-13-2-801</t>
  </si>
  <si>
    <t>Mayu</t>
  </si>
  <si>
    <t>麻邑</t>
  </si>
  <si>
    <t>斉田麻邑</t>
  </si>
  <si>
    <t>hajimechan.peace07@docomo.ne.jp</t>
  </si>
  <si>
    <t>080-2775-3225</t>
  </si>
  <si>
    <t>Mei</t>
  </si>
  <si>
    <t>Nakamura</t>
  </si>
  <si>
    <t>メイ</t>
  </si>
  <si>
    <t>中村メイ</t>
  </si>
  <si>
    <t>中村</t>
  </si>
  <si>
    <t>gkhm-62nd-fe@yahoo.co.jp</t>
  </si>
  <si>
    <t>8111344
福岡市南区三宅1丁目7-36-1</t>
  </si>
  <si>
    <t>Michiko</t>
  </si>
  <si>
    <t>道子</t>
  </si>
  <si>
    <t>片岡道子</t>
  </si>
  <si>
    <t>片岡</t>
  </si>
  <si>
    <t>090-3986-4728</t>
  </si>
  <si>
    <t>Miharu</t>
  </si>
  <si>
    <t>Horimoto</t>
  </si>
  <si>
    <t>みはる</t>
  </si>
  <si>
    <t>堀本みはる</t>
  </si>
  <si>
    <t>堀本</t>
  </si>
  <si>
    <t>tonton0121@icloud.com</t>
  </si>
  <si>
    <t>福岡市南区長住2丁目9-6</t>
  </si>
  <si>
    <t>miho</t>
  </si>
  <si>
    <t>美穂</t>
  </si>
  <si>
    <t>浮田美穂</t>
  </si>
  <si>
    <t>浮田</t>
  </si>
  <si>
    <t>kjwukiuki0107@gmail.com</t>
  </si>
  <si>
    <t>Mina</t>
  </si>
  <si>
    <t>Minami</t>
  </si>
  <si>
    <t>Nagatomo</t>
  </si>
  <si>
    <t>みなみ</t>
  </si>
  <si>
    <t>長友みなみ</t>
  </si>
  <si>
    <t>長友</t>
  </si>
  <si>
    <t>ngtmmnm0373@docomo.ne.jp</t>
  </si>
  <si>
    <t>080-8560-6950</t>
  </si>
  <si>
    <t>福岡市南区日佐3-33-14-103</t>
  </si>
  <si>
    <t>Minato</t>
  </si>
  <si>
    <t>Koshino</t>
  </si>
  <si>
    <t>みなと</t>
  </si>
  <si>
    <t>越野みなと</t>
  </si>
  <si>
    <t>越野</t>
  </si>
  <si>
    <t>kirara_216@i.softbank.jp</t>
  </si>
  <si>
    <t>〒815-0031
福岡市南区清水３－１６－１６－２０１</t>
  </si>
  <si>
    <t>Mio</t>
  </si>
  <si>
    <t>Miyamoto</t>
  </si>
  <si>
    <t>みお</t>
  </si>
  <si>
    <t>坂本みお</t>
  </si>
  <si>
    <t>mio28137@icloud.com</t>
  </si>
  <si>
    <t>090-5488-5673</t>
  </si>
  <si>
    <t>福岡市南区たが１－２－２６ フルーアたが１０２</t>
  </si>
  <si>
    <t>Mirei</t>
  </si>
  <si>
    <t>美鈴</t>
  </si>
  <si>
    <t>安達美鈴</t>
  </si>
  <si>
    <t>080-1702-3549</t>
  </si>
  <si>
    <t>Misora</t>
  </si>
  <si>
    <t>kuroki</t>
  </si>
  <si>
    <t>みそら</t>
  </si>
  <si>
    <t>黒木みそら</t>
  </si>
  <si>
    <t>黒木</t>
  </si>
  <si>
    <t>codomoz134@softbank.ne.jp</t>
  </si>
  <si>
    <t>福岡市博多区那珂５－７－３０アドニス那珂701</t>
  </si>
  <si>
    <t>Mitsuki</t>
  </si>
  <si>
    <t>Furusho</t>
  </si>
  <si>
    <t>充希</t>
  </si>
  <si>
    <t>古庄充希</t>
  </si>
  <si>
    <t>古庄</t>
  </si>
  <si>
    <t>811-1344 
福岡市南区三宅</t>
  </si>
  <si>
    <t>みつき</t>
  </si>
  <si>
    <t>藤原みつき</t>
  </si>
  <si>
    <t>rinrinshiorin@hotmail.co.jp</t>
  </si>
  <si>
    <t>福岡市南区三宅３－２１－１４－４６８３</t>
  </si>
  <si>
    <t>Kuroishi</t>
  </si>
  <si>
    <t>美月</t>
  </si>
  <si>
    <t>黒岩美月</t>
  </si>
  <si>
    <t>黒岩</t>
  </si>
  <si>
    <t>accesslase@yahoo.co.jp</t>
  </si>
  <si>
    <t>e22t22t25m11@gmail.com</t>
  </si>
  <si>
    <t>090-2516-6457</t>
  </si>
  <si>
    <t>812-0888
福岡市南区板付7-9-33-303</t>
  </si>
  <si>
    <t>Miyuki</t>
  </si>
  <si>
    <t>Hama</t>
  </si>
  <si>
    <t>由紀</t>
  </si>
  <si>
    <t>浜美由紀</t>
  </si>
  <si>
    <t>浜美</t>
  </si>
  <si>
    <t>b-snow.h612@i.softbank.jp</t>
  </si>
  <si>
    <t>090-5949-7888</t>
  </si>
  <si>
    <t>筑紫郡那珂川町王塚台3-65</t>
  </si>
  <si>
    <t>プら3回,Adult</t>
  </si>
  <si>
    <t>Mizuki</t>
  </si>
  <si>
    <t>Futagawa</t>
  </si>
  <si>
    <t>瑞希</t>
  </si>
  <si>
    <t>二川瑞希</t>
  </si>
  <si>
    <t>二川</t>
  </si>
  <si>
    <t>mizuki.futagawa@gmail.com</t>
  </si>
  <si>
    <t>8150033
福岡市南区大橋2-19-27-803</t>
  </si>
  <si>
    <t>Momo ＆ Yuzu</t>
  </si>
  <si>
    <t>Watanabe</t>
  </si>
  <si>
    <t>もも &amp; ゆず</t>
  </si>
  <si>
    <t>渡邉もも &amp; ゆず</t>
  </si>
  <si>
    <t>渡邉</t>
  </si>
  <si>
    <t>madopi.yms@gmail.com</t>
  </si>
  <si>
    <t>〒 - 
福岡県福岡市南区大橋１－８－２１</t>
  </si>
  <si>
    <t>Momo</t>
  </si>
  <si>
    <t>もも</t>
  </si>
  <si>
    <t>渡邉もも</t>
  </si>
  <si>
    <t>madopi-mya-@i.softbank.jp</t>
  </si>
  <si>
    <t>090-2859-0381</t>
  </si>
  <si>
    <t>815-0031
福岡市南区大橋1-8-21</t>
  </si>
  <si>
    <t>Momoka</t>
  </si>
  <si>
    <t>Sato</t>
  </si>
  <si>
    <t>百華</t>
  </si>
  <si>
    <t>佐藤百華</t>
  </si>
  <si>
    <t>佐藤</t>
  </si>
  <si>
    <t>mero.rabu1905@icloud.com</t>
  </si>
  <si>
    <t>sweet.u.tan.sys15@gmail.com</t>
  </si>
  <si>
    <t>090-6893-8163</t>
  </si>
  <si>
    <t>811-1321
福岡市南区柳瀬1-38-8</t>
  </si>
  <si>
    <t>Momoko</t>
  </si>
  <si>
    <t>Fujino</t>
  </si>
  <si>
    <t>ももこ</t>
  </si>
  <si>
    <t>藤野ももこ</t>
  </si>
  <si>
    <t>藤野</t>
  </si>
  <si>
    <t>momoxks@gmail.com</t>
  </si>
  <si>
    <t>8120015
福岡市博多区山王
2-11-21-503</t>
  </si>
  <si>
    <t>Nagi</t>
  </si>
  <si>
    <t>なぎ</t>
  </si>
  <si>
    <t>大野なぎ</t>
  </si>
  <si>
    <t>トれど</t>
  </si>
  <si>
    <t>Nanami</t>
  </si>
  <si>
    <t>ななみ</t>
  </si>
  <si>
    <t>植月ななみ</t>
  </si>
  <si>
    <t>nanase</t>
  </si>
  <si>
    <t>Shingo</t>
  </si>
  <si>
    <t>七瀬</t>
  </si>
  <si>
    <t>新郷七瀬</t>
  </si>
  <si>
    <t>新郷</t>
  </si>
  <si>
    <t>080-2772-4960</t>
  </si>
  <si>
    <t>Naoko</t>
  </si>
  <si>
    <t>Shiiba</t>
  </si>
  <si>
    <t>尚子</t>
  </si>
  <si>
    <t>椎葉尚子</t>
  </si>
  <si>
    <t>k.kiyo-e-gur@docomo.ne.jp</t>
  </si>
  <si>
    <t>090-2511-0870</t>
  </si>
  <si>
    <t>Tou</t>
  </si>
  <si>
    <t>穂子</t>
  </si>
  <si>
    <t>藤菜穂子</t>
  </si>
  <si>
    <t>藤菜</t>
  </si>
  <si>
    <t>naoko0528tou@gmail.com</t>
  </si>
  <si>
    <t>080-1727-0310</t>
  </si>
  <si>
    <t>福岡市博多区麦野5丁目17-12</t>
  </si>
  <si>
    <t>Narumi</t>
  </si>
  <si>
    <t>Deguchi</t>
  </si>
  <si>
    <t>奈琉実</t>
  </si>
  <si>
    <t>出口奈琉実</t>
  </si>
  <si>
    <t>出口</t>
  </si>
  <si>
    <t>dnskay_0326@yahoo.co.jp</t>
  </si>
  <si>
    <t>070-7586-3326(Narumi)</t>
  </si>
  <si>
    <t>Natsuki</t>
  </si>
  <si>
    <t>渚月</t>
  </si>
  <si>
    <t>丸山渚月</t>
  </si>
  <si>
    <t>セミプラ,幼稚園</t>
  </si>
  <si>
    <t>natsumi</t>
  </si>
  <si>
    <t>otsubo</t>
  </si>
  <si>
    <t>菜摘</t>
  </si>
  <si>
    <t>大坪菜摘</t>
  </si>
  <si>
    <t>大坪</t>
  </si>
  <si>
    <t>Group B</t>
  </si>
  <si>
    <t>ohbntm@gmail.com</t>
  </si>
  <si>
    <t>Noa</t>
  </si>
  <si>
    <t>Imamura</t>
  </si>
  <si>
    <t>希空</t>
  </si>
  <si>
    <t>今村希空</t>
  </si>
  <si>
    <t>今村</t>
  </si>
  <si>
    <t>noamama.ifam@gmail.com</t>
  </si>
  <si>
    <t>09036059645(お母様)</t>
  </si>
  <si>
    <t>〒816-0872
春日市桜ヶ丘7-4-1-245</t>
  </si>
  <si>
    <t>Noriko</t>
  </si>
  <si>
    <t>Tanaka</t>
  </si>
  <si>
    <t>範子</t>
  </si>
  <si>
    <t>田中範子</t>
  </si>
  <si>
    <t>田中</t>
  </si>
  <si>
    <t>noriko.tnk.nora@gmail.com</t>
  </si>
  <si>
    <t>yuiko.tnk.hana@gmail.com</t>
  </si>
  <si>
    <t>〒814-0153
福岡市城南区樋井川７丁目12-11</t>
  </si>
  <si>
    <t>理子</t>
  </si>
  <si>
    <t>甲斐理子</t>
  </si>
  <si>
    <t>甲斐</t>
  </si>
  <si>
    <t>kaikaikai3927@icloud.com</t>
  </si>
  <si>
    <t>819-0052
福岡市南区下山
1-6-18</t>
  </si>
  <si>
    <t>Osuke</t>
  </si>
  <si>
    <t>Yoshida</t>
  </si>
  <si>
    <t>桜介</t>
  </si>
  <si>
    <t>吉田桜介</t>
  </si>
  <si>
    <t>吉田</t>
  </si>
  <si>
    <t>ry131024@yahoo.co.jp</t>
  </si>
  <si>
    <t>811-13福岡市南区三宅3-21-11-1005</t>
  </si>
  <si>
    <t>Otowa</t>
  </si>
  <si>
    <t>おとわ</t>
  </si>
  <si>
    <t>持留おとわ</t>
  </si>
  <si>
    <t>815-0083
福岡市南区高宮３－２９－８</t>
  </si>
  <si>
    <t>Rei</t>
  </si>
  <si>
    <t>Shimotsusa</t>
  </si>
  <si>
    <t>佐怜</t>
  </si>
  <si>
    <t>下津佐怜</t>
  </si>
  <si>
    <t>下津</t>
  </si>
  <si>
    <t>obsidian.0323@gmail.com</t>
  </si>
  <si>
    <t>080-3808-4644(母)</t>
  </si>
  <si>
    <t>w</t>
  </si>
  <si>
    <t>Reiko</t>
  </si>
  <si>
    <t>Iwata</t>
  </si>
  <si>
    <t>玲子</t>
  </si>
  <si>
    <t>岩田玲子</t>
  </si>
  <si>
    <t>岩田</t>
  </si>
  <si>
    <t>bluebottle-reiko@yahoo.co.jp</t>
  </si>
  <si>
    <t>090-9486-5533</t>
  </si>
  <si>
    <t>福岡市南区多賀1-18-26-302</t>
  </si>
  <si>
    <t>Reina</t>
  </si>
  <si>
    <t>Omori</t>
  </si>
  <si>
    <t>麗菜</t>
  </si>
  <si>
    <t>大森麗菜</t>
  </si>
  <si>
    <t>大森</t>
  </si>
  <si>
    <t>autumn@docomo.ne.jp</t>
  </si>
  <si>
    <t>092-409-5330</t>
  </si>
  <si>
    <t>福岡市博多区美野島4-1-10-402</t>
  </si>
  <si>
    <t>Ren</t>
  </si>
  <si>
    <t>Ishikawa</t>
  </si>
  <si>
    <t>レン</t>
  </si>
  <si>
    <t>石川レン</t>
  </si>
  <si>
    <t>石川</t>
  </si>
  <si>
    <t>sena_ren.0321@ezweb.ne.jp</t>
  </si>
  <si>
    <t>〒 811-2973
福岡市南区和田２町17－23 B202</t>
  </si>
  <si>
    <t>Rika</t>
  </si>
  <si>
    <t>Yano</t>
  </si>
  <si>
    <t>六花</t>
  </si>
  <si>
    <t>矢野六花</t>
  </si>
  <si>
    <t>矢野</t>
  </si>
  <si>
    <t>mitsu619@gmail.com</t>
  </si>
  <si>
    <t>811-2201
福岡市南区志免桜丘1-27-6</t>
  </si>
  <si>
    <t>Rikutaro</t>
  </si>
  <si>
    <t>Tsutsumi</t>
  </si>
  <si>
    <t>凛太郎</t>
  </si>
  <si>
    <t>堤ろ凛太郎</t>
  </si>
  <si>
    <t>堤ろ</t>
  </si>
  <si>
    <t>sllag085@gmail.com</t>
  </si>
  <si>
    <t>811-1344
福岡南区 三宅3-22-39-803</t>
  </si>
  <si>
    <t>Risa</t>
  </si>
  <si>
    <t>Shigetome</t>
  </si>
  <si>
    <t>とめリサ</t>
  </si>
  <si>
    <t>シゲとめリサ</t>
  </si>
  <si>
    <t>シゲ</t>
  </si>
  <si>
    <t>2DS23051T@s.kyushu-u.ac.jp</t>
  </si>
  <si>
    <t>815-0032
福岡市南区塩原4-1-1 竹田ビル502</t>
  </si>
  <si>
    <t>Hayashida</t>
  </si>
  <si>
    <t>理沙</t>
  </si>
  <si>
    <t>林田理沙</t>
  </si>
  <si>
    <t>林田</t>
  </si>
  <si>
    <t>h.risa1214@gmail.com</t>
  </si>
  <si>
    <t>福岡市南区高宮3丁目2-15-341</t>
  </si>
  <si>
    <t>Riya</t>
  </si>
  <si>
    <t>Motomatsu</t>
  </si>
  <si>
    <t>リイヤ</t>
  </si>
  <si>
    <t>本松リイヤ</t>
  </si>
  <si>
    <t>本松</t>
  </si>
  <si>
    <t>ritsuko-marin-seiya-kiyo@i-softbank.jp</t>
  </si>
  <si>
    <t>福岡市南区三宅3丁目２５－３１－901</t>
  </si>
  <si>
    <t>Rumi</t>
  </si>
  <si>
    <t>Nakano</t>
  </si>
  <si>
    <t>ルミ</t>
  </si>
  <si>
    <t>中野ルミ</t>
  </si>
  <si>
    <t>中野</t>
  </si>
  <si>
    <t>zunbodesu3@i.softbank.jp</t>
  </si>
  <si>
    <t>znbodesu4@gmail.com</t>
  </si>
  <si>
    <t>Ryousei</t>
  </si>
  <si>
    <t>Tsutsui</t>
  </si>
  <si>
    <t>亮晴</t>
  </si>
  <si>
    <t>筒井亮晴</t>
  </si>
  <si>
    <t>筒井</t>
  </si>
  <si>
    <t>tylr2423＠docomo.ne.jp</t>
  </si>
  <si>
    <t>tylr2423@gmail.com</t>
  </si>
  <si>
    <t>090-5481-5493</t>
  </si>
  <si>
    <t>〒811-1201
那珂川氏片縄5-100</t>
  </si>
  <si>
    <t>Ryuuko</t>
  </si>
  <si>
    <t>龍子</t>
  </si>
  <si>
    <t>木下龍子</t>
  </si>
  <si>
    <t>木下</t>
  </si>
  <si>
    <t>dragon24ki@docomo.ne.jp</t>
  </si>
  <si>
    <t>090-6115-3885</t>
  </si>
  <si>
    <t>Sachiko</t>
  </si>
  <si>
    <t>Matsuo</t>
  </si>
  <si>
    <t>祥子</t>
  </si>
  <si>
    <t>松尾祥子</t>
  </si>
  <si>
    <t>松尾</t>
  </si>
  <si>
    <t>080-1215-2688</t>
  </si>
  <si>
    <t>小郡市津古1198-68</t>
  </si>
  <si>
    <t>saki</t>
  </si>
  <si>
    <t>Koshimuta</t>
  </si>
  <si>
    <t>越牟田</t>
  </si>
  <si>
    <t>紗貴越牟田</t>
  </si>
  <si>
    <t>紗貴</t>
  </si>
  <si>
    <t>rayonetoile@icloud.com</t>
  </si>
  <si>
    <t>プラ4回新,中学生</t>
  </si>
  <si>
    <t>Sakura</t>
  </si>
  <si>
    <t>サクラ</t>
  </si>
  <si>
    <t>西山サクラ</t>
  </si>
  <si>
    <t>sakura11300212@icloud.com</t>
  </si>
  <si>
    <t>816-0863
春日市須玖南5-16フラワーハウス102</t>
  </si>
  <si>
    <t>Sakurako</t>
  </si>
  <si>
    <t>Matsuyama</t>
  </si>
  <si>
    <t>櫻子</t>
  </si>
  <si>
    <t>松山櫻子</t>
  </si>
  <si>
    <t>松山</t>
  </si>
  <si>
    <t>koyukin8003@icloud.com</t>
  </si>
  <si>
    <t>090-2969-8003</t>
  </si>
  <si>
    <t>〒815-0038
福岡市南区大橋団地４-17-602</t>
  </si>
  <si>
    <t>Sakutaro</t>
  </si>
  <si>
    <t>Nagao</t>
  </si>
  <si>
    <t>咲太郎</t>
  </si>
  <si>
    <t>長尾咲太郎</t>
  </si>
  <si>
    <t>長尾</t>
  </si>
  <si>
    <t>nagaonoriko88@gmail.com</t>
  </si>
  <si>
    <t>nagaonoriko8@gmail.com</t>
  </si>
  <si>
    <t>福岡市南区筑紫丘1丁目￥17-27-505</t>
  </si>
  <si>
    <t>Sara</t>
  </si>
  <si>
    <t>ラ</t>
  </si>
  <si>
    <t>堤サラ</t>
  </si>
  <si>
    <t>堤サ</t>
  </si>
  <si>
    <t>Shiraishi</t>
  </si>
  <si>
    <t>咲花</t>
  </si>
  <si>
    <t>白石咲花</t>
  </si>
  <si>
    <t>白石</t>
  </si>
  <si>
    <t>gr</t>
  </si>
  <si>
    <t>shiraishi@az-solution.co.jp</t>
  </si>
  <si>
    <t>suguru.ilove.dolphin@gmail.com</t>
  </si>
  <si>
    <t>8150035
福岡市南区向野1-15-6</t>
  </si>
  <si>
    <t>Sawa</t>
  </si>
  <si>
    <t>Sunada</t>
  </si>
  <si>
    <t>サワ</t>
  </si>
  <si>
    <t>砂田サワ</t>
  </si>
  <si>
    <t>砂田</t>
  </si>
  <si>
    <t>1616kousei@gmail.com</t>
  </si>
  <si>
    <t>815-0033
福岡市南区大橋3丁目１６－５－３０３</t>
  </si>
  <si>
    <t>Saya</t>
  </si>
  <si>
    <t>Hashimoto</t>
  </si>
  <si>
    <t>沙弥</t>
  </si>
  <si>
    <t>橋本沙弥</t>
  </si>
  <si>
    <t>橋本</t>
  </si>
  <si>
    <t>deep.snow528@docomo.ne.jp</t>
  </si>
  <si>
    <t>090-4582-4583</t>
  </si>
  <si>
    <t>Sayaka</t>
  </si>
  <si>
    <t>Yahiro</t>
  </si>
  <si>
    <t>紗耶香</t>
  </si>
  <si>
    <t>八尋紗耶香</t>
  </si>
  <si>
    <t>八尋</t>
  </si>
  <si>
    <t>tomo86geminigogm@gmail.com</t>
  </si>
  <si>
    <t>080-3814-9830</t>
  </si>
  <si>
    <t>福岡市南区大橋4-29-30-1001</t>
  </si>
  <si>
    <t>小学生old</t>
  </si>
  <si>
    <t>Matsumoto</t>
  </si>
  <si>
    <t>彩花</t>
  </si>
  <si>
    <t>松本彩花</t>
  </si>
  <si>
    <t>松本</t>
  </si>
  <si>
    <t>xghinata1999@gmail.com</t>
  </si>
  <si>
    <t>Sena</t>
  </si>
  <si>
    <t>Nonaka</t>
  </si>
  <si>
    <t>せな</t>
  </si>
  <si>
    <t>野中せな</t>
  </si>
  <si>
    <t>野中</t>
  </si>
  <si>
    <t>hsakn11@gmail.com</t>
  </si>
  <si>
    <t>8120888
博多区板付7-6-2</t>
  </si>
  <si>
    <t>プラ2回グループ2回</t>
  </si>
  <si>
    <t>Setsuko</t>
  </si>
  <si>
    <t>Udaka</t>
  </si>
  <si>
    <t>節子</t>
  </si>
  <si>
    <t>宇高節子</t>
  </si>
  <si>
    <t>宇高</t>
  </si>
  <si>
    <t>8150033
南区大橋1-10-9-1303</t>
  </si>
  <si>
    <t>プラ2回</t>
  </si>
  <si>
    <t>Shinya</t>
  </si>
  <si>
    <t>Hirota</t>
  </si>
  <si>
    <t>慎也</t>
  </si>
  <si>
    <t>廣田慎也</t>
  </si>
  <si>
    <t>廣田</t>
  </si>
  <si>
    <t>oyayubi888@icloud.com</t>
  </si>
  <si>
    <t>815-0034
福岡市南区大橋2-23-9</t>
  </si>
  <si>
    <t>Shizuka</t>
  </si>
  <si>
    <t>静佳</t>
  </si>
  <si>
    <t>宮本静佳</t>
  </si>
  <si>
    <t>宮本</t>
  </si>
  <si>
    <t>shizuka057050@docomo.ne.jp</t>
  </si>
  <si>
    <t>090-5089-3854</t>
  </si>
  <si>
    <t>福岡市南区野間4-26-17</t>
  </si>
  <si>
    <t>グループ4回 準上級
プラ1回,大人</t>
  </si>
  <si>
    <t>Shu</t>
  </si>
  <si>
    <t>しゅう</t>
  </si>
  <si>
    <t>坂本しゅう</t>
  </si>
  <si>
    <t>1017.egaosaku@gmail.com</t>
  </si>
  <si>
    <t>815-0033
福岡市南区大橋4-27-17-812</t>
  </si>
  <si>
    <t>Sosuke</t>
  </si>
  <si>
    <t>Iwagami</t>
  </si>
  <si>
    <t>宗佑</t>
  </si>
  <si>
    <t>sosuke1194@yahoo.co.jp</t>
  </si>
  <si>
    <t>090-6955-2823</t>
  </si>
  <si>
    <t>815-0004
福岡市南区高木2-4-4</t>
  </si>
  <si>
    <t>Tomonou</t>
  </si>
  <si>
    <t>壮亮</t>
  </si>
  <si>
    <t>友納壮亮</t>
  </si>
  <si>
    <t>hirotomo12383@yahoo.co.jp</t>
  </si>
  <si>
    <t>footsoilan@gmail.com</t>
  </si>
  <si>
    <t>811-1343
福岡市南区和田4-11-9</t>
  </si>
  <si>
    <t>Sota</t>
  </si>
  <si>
    <t>To</t>
  </si>
  <si>
    <t>汰</t>
  </si>
  <si>
    <t>藤颯汰</t>
  </si>
  <si>
    <t>藤颯</t>
  </si>
  <si>
    <t>yuuko_seki@n1.noevir.co.jp</t>
  </si>
  <si>
    <t>福岡県福岡市南区横手3丁目18-21-601</t>
  </si>
  <si>
    <t>Souta</t>
  </si>
  <si>
    <t>Teramatsu</t>
  </si>
  <si>
    <t>そうた</t>
  </si>
  <si>
    <t>寺松そうた</t>
  </si>
  <si>
    <t>寺松</t>
  </si>
  <si>
    <t>sou46ta@gmail.com</t>
  </si>
  <si>
    <t>teramatsukumiko@gmail.com</t>
  </si>
  <si>
    <t>090-3324-3952</t>
  </si>
  <si>
    <t>811-1347
福岡市南区野多目4丁目29-13</t>
  </si>
  <si>
    <t>Suguru</t>
  </si>
  <si>
    <t>Muromoto</t>
  </si>
  <si>
    <t>すぐる</t>
  </si>
  <si>
    <t>室本すぐる</t>
  </si>
  <si>
    <t>室本</t>
  </si>
  <si>
    <t>muromotodaizen@gmail.com</t>
  </si>
  <si>
    <t>811-1343
福岡市南和田3-27-2</t>
  </si>
  <si>
    <t>Taisei</t>
  </si>
  <si>
    <t>Sonezaki</t>
  </si>
  <si>
    <t>崎 大晟</t>
  </si>
  <si>
    <t>曽根崎 大晟</t>
  </si>
  <si>
    <t>曽根</t>
  </si>
  <si>
    <t>mahomaho._.16th.march@au.com</t>
  </si>
  <si>
    <t>snysnzk@gmail.com</t>
  </si>
  <si>
    <t>090-4347-1653(お母様)</t>
  </si>
  <si>
    <t>福岡市南区塩原2-9-13
MJR大橋203</t>
  </si>
  <si>
    <t>Kuroiwa</t>
  </si>
  <si>
    <t>大成</t>
  </si>
  <si>
    <t>黒岩大成</t>
  </si>
  <si>
    <t>Taishi</t>
  </si>
  <si>
    <t>Yamawaki</t>
  </si>
  <si>
    <t>大心</t>
  </si>
  <si>
    <t>山脇大心</t>
  </si>
  <si>
    <t>山脇</t>
  </si>
  <si>
    <t>taishi9426@icoud.com</t>
  </si>
  <si>
    <t>福岡市南大橋2丁目5番７</t>
  </si>
  <si>
    <t>semi-private</t>
  </si>
  <si>
    <t>Mar</t>
  </si>
  <si>
    <t>Taisei Kuroiwa</t>
  </si>
  <si>
    <t>Fixed</t>
  </si>
  <si>
    <t>-</t>
  </si>
  <si>
    <t>----</t>
  </si>
  <si>
    <t>---</t>
  </si>
  <si>
    <t>Old</t>
  </si>
  <si>
    <t>Taisuke</t>
  </si>
  <si>
    <t>泰介</t>
  </si>
  <si>
    <t>野中泰介</t>
  </si>
  <si>
    <t>baby</t>
  </si>
  <si>
    <t>耕輔</t>
  </si>
  <si>
    <t>高田耕輔</t>
  </si>
  <si>
    <t>8151354
南区太平寺2-16-13</t>
  </si>
  <si>
    <t>Takane</t>
  </si>
  <si>
    <t>理音</t>
  </si>
  <si>
    <t>永井理音</t>
  </si>
  <si>
    <t>Tomoko</t>
  </si>
  <si>
    <t>Omagari</t>
  </si>
  <si>
    <t>智子</t>
  </si>
  <si>
    <t>大曲智子</t>
  </si>
  <si>
    <t>大曲</t>
  </si>
  <si>
    <t>080-1723-2310</t>
  </si>
  <si>
    <t>筑紫野市山家2700-8</t>
  </si>
  <si>
    <t>後藤智子</t>
  </si>
  <si>
    <t>後藤</t>
  </si>
  <si>
    <t>tomo0482@gmail.com</t>
  </si>
  <si>
    <t>090-3415-0608</t>
  </si>
  <si>
    <t>Tomoyuki</t>
  </si>
  <si>
    <t>Miyahara</t>
  </si>
  <si>
    <t>朋之</t>
  </si>
  <si>
    <t>宮原朋之</t>
  </si>
  <si>
    <t>宮原</t>
  </si>
  <si>
    <t>lastregretsjp@yahoo.co.jp</t>
  </si>
  <si>
    <t>福岡市南区大橋4丁目２５－３０ ベルコール大橋50１</t>
  </si>
  <si>
    <t>Touru</t>
  </si>
  <si>
    <t>通</t>
  </si>
  <si>
    <t>中村通</t>
  </si>
  <si>
    <t>080-1737-2296</t>
  </si>
  <si>
    <t>Seicho</t>
  </si>
  <si>
    <t>せいちょ</t>
  </si>
  <si>
    <t>内山せいちょ</t>
  </si>
  <si>
    <t>Uta</t>
  </si>
  <si>
    <t>うた</t>
  </si>
  <si>
    <t>寶うた</t>
  </si>
  <si>
    <t>Unpaid of 4th, 29150 because there was no payment in march,  + 11 000</t>
  </si>
  <si>
    <t>81050033
福岡市南区大橋
4-27-17 ファール大橋206</t>
  </si>
  <si>
    <t>Wakana</t>
  </si>
  <si>
    <t>Nagae</t>
  </si>
  <si>
    <t>わかな</t>
  </si>
  <si>
    <t>永柄わかな</t>
  </si>
  <si>
    <t>永柄</t>
  </si>
  <si>
    <t>a.hayuwa.2519@gmail.com</t>
  </si>
  <si>
    <t>8150004
福岡市南区高木3丁目3-15</t>
  </si>
  <si>
    <t>Wanon</t>
  </si>
  <si>
    <t>Shima</t>
  </si>
  <si>
    <t>和聖</t>
  </si>
  <si>
    <t>島和聖</t>
  </si>
  <si>
    <t>島</t>
  </si>
  <si>
    <t>nk.1105.n@softbank.ne.jp</t>
  </si>
  <si>
    <t>090-4775-4088</t>
  </si>
  <si>
    <t>〒811-1352
福岡市南区鶴田4丁目18-39-302</t>
  </si>
  <si>
    <t>Wataru</t>
  </si>
  <si>
    <t>Nagamatsu</t>
  </si>
  <si>
    <t>航</t>
  </si>
  <si>
    <t>永松航</t>
  </si>
  <si>
    <t>永松</t>
  </si>
  <si>
    <t>c.nagamatsu17@gmail.com</t>
  </si>
  <si>
    <t>811-1346
福岡南区老司3-7-42-302</t>
  </si>
  <si>
    <t>Yasuaki</t>
  </si>
  <si>
    <t>靖章</t>
  </si>
  <si>
    <t>出口靖章</t>
  </si>
  <si>
    <t>thedeguchifamily@gmail.com</t>
  </si>
  <si>
    <t>8150083
南区高宮4-19-7</t>
  </si>
  <si>
    <t>Yasuhisa</t>
  </si>
  <si>
    <t>泰尚</t>
  </si>
  <si>
    <t>足立泰尚</t>
  </si>
  <si>
    <t>足立</t>
  </si>
  <si>
    <t>福岡市南区横手4丁目6-14</t>
  </si>
  <si>
    <t>Yasuko</t>
  </si>
  <si>
    <t>康子</t>
  </si>
  <si>
    <t>筒井康子</t>
  </si>
  <si>
    <t>adachiyasuhisa@softbank.ne.jp</t>
  </si>
  <si>
    <t>090-8915-3662</t>
  </si>
  <si>
    <t>筑紫郡那珂川町方縄5-100</t>
  </si>
  <si>
    <t>グルップ２回セミプラ2回,Adult</t>
  </si>
  <si>
    <t>Yoko</t>
  </si>
  <si>
    <t>Uchida</t>
  </si>
  <si>
    <t>陽子</t>
  </si>
  <si>
    <t>内田陽子</t>
  </si>
  <si>
    <t>内田</t>
  </si>
  <si>
    <t>tylr2423@docomo.ne.jp</t>
  </si>
  <si>
    <t>福岡市南区大橋2-10-18-301</t>
  </si>
  <si>
    <t>庸子</t>
  </si>
  <si>
    <t>瀬川庸子</t>
  </si>
  <si>
    <t>uchikenuchiyo@gmail.com</t>
  </si>
  <si>
    <t>080-5022-2745</t>
  </si>
  <si>
    <t>〒811-1311
福岡市南区和田3-1-11</t>
  </si>
  <si>
    <t>Yu</t>
  </si>
  <si>
    <t>悠</t>
  </si>
  <si>
    <t>中村悠</t>
  </si>
  <si>
    <t>dga210101@yahoo.co.jp</t>
  </si>
  <si>
    <t>815034
福岡市南区南」大橋2丁目１１－２３－２</t>
  </si>
  <si>
    <t>Sakurai</t>
  </si>
  <si>
    <t>ゆう</t>
  </si>
  <si>
    <t>櫻井ゆう</t>
  </si>
  <si>
    <t>櫻井</t>
  </si>
  <si>
    <t>ai.24.s1214s@gmail.com</t>
  </si>
  <si>
    <t>福岡市南区若久1丁目15-30-203</t>
  </si>
  <si>
    <t>Yudai</t>
  </si>
  <si>
    <t>Okuno</t>
  </si>
  <si>
    <t>雄大</t>
  </si>
  <si>
    <t>奥野雄大</t>
  </si>
  <si>
    <t>奥野</t>
  </si>
  <si>
    <t>44e693@gmail.com</t>
  </si>
  <si>
    <t>080-5602-9401</t>
  </si>
  <si>
    <t>福岡市南区大橋3-25-22-2</t>
  </si>
  <si>
    <t>Yui</t>
  </si>
  <si>
    <t>Kusano</t>
  </si>
  <si>
    <t>ゆい</t>
  </si>
  <si>
    <t>草野ゆい</t>
  </si>
  <si>
    <t>草野</t>
  </si>
  <si>
    <t>kusano.yasuko@gmail.com</t>
  </si>
  <si>
    <t>〒815-0032
福岡市南区塩原４－５１０－１７０１</t>
  </si>
  <si>
    <t>英検コース</t>
  </si>
  <si>
    <t>Yuka</t>
  </si>
  <si>
    <t>Shimizu</t>
  </si>
  <si>
    <t>優心</t>
  </si>
  <si>
    <t>清水優心</t>
  </si>
  <si>
    <t>清水</t>
  </si>
  <si>
    <t>masachi7.5@docomo.ne.jp</t>
  </si>
  <si>
    <t>090-1513-2744</t>
  </si>
  <si>
    <t>〒811-1313
福岡市南区日佐４丁目18-10-301</t>
  </si>
  <si>
    <t>優香</t>
  </si>
  <si>
    <t>阿部優香</t>
  </si>
  <si>
    <t>阿部</t>
  </si>
  <si>
    <t>sieg7172@i.softbank.jp</t>
  </si>
  <si>
    <t>090-9659-7172</t>
  </si>
  <si>
    <t>〒806-0051
北九州市八幡西区東鳴水2丁目１０－７</t>
  </si>
  <si>
    <t>プラ2回新,大人</t>
  </si>
  <si>
    <t>Yuki</t>
  </si>
  <si>
    <t>片山由紀</t>
  </si>
  <si>
    <t>片山</t>
  </si>
  <si>
    <t>m3ars24@gmail.com</t>
  </si>
  <si>
    <t>080-1762-1203</t>
  </si>
  <si>
    <t>Kado</t>
  </si>
  <si>
    <t>輝</t>
  </si>
  <si>
    <t>角優輝</t>
  </si>
  <si>
    <t>角優</t>
  </si>
  <si>
    <t>815-0033
福岡市南区大橋4丁目26-304</t>
  </si>
  <si>
    <t>Yukiko</t>
  </si>
  <si>
    <t>Shigetomi</t>
  </si>
  <si>
    <t>由記子</t>
  </si>
  <si>
    <t>重冨由記子</t>
  </si>
  <si>
    <t>重冨</t>
  </si>
  <si>
    <t>8.madeleine-paris@g-net.jpn.com</t>
  </si>
  <si>
    <t>080-5245-9417</t>
  </si>
  <si>
    <t>久留米市花畑1-5-11-401</t>
  </si>
  <si>
    <t>Yukiyo</t>
  </si>
  <si>
    <t>Koyama(Yamaguchi)</t>
  </si>
  <si>
    <t>幸代(旧姓 山口)</t>
  </si>
  <si>
    <t>小山幸代(旧姓 山口)</t>
  </si>
  <si>
    <t>小山</t>
  </si>
  <si>
    <t>yu73.ki25@gmail.com</t>
  </si>
  <si>
    <t>090-7393-6725</t>
  </si>
  <si>
    <t>福岡市博多区東光寺町1丁目20-28-606
福岡市南区老司2-22-4</t>
  </si>
  <si>
    <t>Yuko</t>
  </si>
  <si>
    <t>Iwamoto</t>
  </si>
  <si>
    <t>侑子</t>
  </si>
  <si>
    <t>岩本侑子</t>
  </si>
  <si>
    <t>岩本</t>
  </si>
  <si>
    <t>poko-peko.77@ezweb.ne.jp</t>
  </si>
  <si>
    <t>080-5275-3134</t>
  </si>
  <si>
    <t>Yume</t>
  </si>
  <si>
    <t>Nakae</t>
  </si>
  <si>
    <t>佳恵</t>
  </si>
  <si>
    <t>中江佳恵</t>
  </si>
  <si>
    <t>中江</t>
  </si>
  <si>
    <t>g.t-gngn@i.softbank.jp</t>
  </si>
  <si>
    <t>812-0894
福岡市博多区諸岡1丁目9-19</t>
  </si>
  <si>
    <t>Yuna</t>
  </si>
  <si>
    <t>ゆうな</t>
  </si>
  <si>
    <t>安部ゆうな</t>
  </si>
  <si>
    <t>n.10vseyhxu.76@icloud.com</t>
  </si>
  <si>
    <t>815-0037
福岡市南区五時町19-11-510</t>
  </si>
  <si>
    <t>Kubota</t>
  </si>
  <si>
    <t>優名</t>
  </si>
  <si>
    <t>窪田優名</t>
  </si>
  <si>
    <t>窪田</t>
  </si>
  <si>
    <t>ky2002426@gmail.com</t>
  </si>
  <si>
    <t>815-0004
福岡市南区高木2丁目２１－１２－206</t>
  </si>
  <si>
    <t>Yuri</t>
  </si>
  <si>
    <t>松本悠</t>
  </si>
  <si>
    <t>yu-ri.5628@docomo.ne.jp</t>
  </si>
  <si>
    <t>yuri7120m@gmail.com</t>
  </si>
  <si>
    <t>815-0035
福岡南向野1-5-26-601</t>
  </si>
  <si>
    <t>Yuria</t>
  </si>
  <si>
    <t>佑里杏</t>
  </si>
  <si>
    <t>丸山佑里杏</t>
  </si>
  <si>
    <t>Yushin</t>
  </si>
  <si>
    <t>崎 悠臣</t>
  </si>
  <si>
    <t>曽根崎 悠臣</t>
  </si>
  <si>
    <t>Yuta</t>
  </si>
  <si>
    <t>tomooka</t>
  </si>
  <si>
    <t>佑太</t>
  </si>
  <si>
    <t>友岡佑太</t>
  </si>
  <si>
    <t>友岡</t>
  </si>
  <si>
    <t>tomochan.tmk978@gmail.com</t>
  </si>
  <si>
    <t>福岡市南区橋
原 4-17-21-604</t>
  </si>
  <si>
    <t>ゆうた</t>
  </si>
  <si>
    <t>渡邉ゆうた</t>
  </si>
  <si>
    <t>yottsu.1002@icloud.com</t>
  </si>
  <si>
    <t>8120893
福福岡市博多区那珂５－７－３０アドニス那珂２０１</t>
  </si>
  <si>
    <t>多</t>
  </si>
  <si>
    <t>藤優多</t>
  </si>
  <si>
    <t>藤優</t>
  </si>
  <si>
    <t>akemi.0422@ezweb.ne.jp</t>
  </si>
  <si>
    <t>090-7466-0782(母)</t>
  </si>
  <si>
    <t>春日市昇町3-36-A101</t>
  </si>
  <si>
    <t>Yuto</t>
  </si>
  <si>
    <t>勇人</t>
  </si>
  <si>
    <t>北村勇人</t>
  </si>
  <si>
    <t>北村</t>
  </si>
  <si>
    <t>yuto0620-k2000@ezweb.ne.jp</t>
  </si>
  <si>
    <t>Yuzu</t>
  </si>
  <si>
    <t>ゆず</t>
  </si>
  <si>
    <t>渡邉ゆず</t>
  </si>
  <si>
    <t>15-0031
福岡市南区大橋1-8-21</t>
  </si>
  <si>
    <t>Yuzuki</t>
  </si>
  <si>
    <t>悠月</t>
  </si>
  <si>
    <t>瀬川悠月</t>
  </si>
  <si>
    <t>yuzuna.72.yuzuna@icloud.com</t>
  </si>
  <si>
    <t>81608611
春日市岡本4-47-1</t>
  </si>
  <si>
    <t>マタケいちか</t>
  </si>
  <si>
    <t>Kamo</t>
  </si>
  <si>
    <t>加茂恵子</t>
  </si>
  <si>
    <t>加茂</t>
  </si>
  <si>
    <t>mitsukeimouse8686@i.softbank.ne.jp</t>
  </si>
  <si>
    <t>090-9498-5787</t>
  </si>
  <si>
    <t>福岡市南区大橋3-5-40-402</t>
  </si>
  <si>
    <t>セミプラ2回プら1回,大人</t>
  </si>
  <si>
    <t>Tamura</t>
  </si>
  <si>
    <t>春佳</t>
  </si>
  <si>
    <t>田村春佳</t>
  </si>
  <si>
    <t>田村</t>
  </si>
  <si>
    <t>al2ne1yui@icloud.com
d.com</t>
  </si>
  <si>
    <t>811-1302
福岡市南区井尻2丁目12-23</t>
  </si>
  <si>
    <t>Takeda</t>
  </si>
  <si>
    <t>花音</t>
  </si>
  <si>
    <t>武田花音</t>
  </si>
  <si>
    <t>武田</t>
  </si>
  <si>
    <t>kurufumichibi@gmail.com</t>
  </si>
  <si>
    <t>090-4014-6469</t>
  </si>
  <si>
    <t>Matono</t>
  </si>
  <si>
    <t>ヤスコ</t>
  </si>
  <si>
    <t>的野ヤスコ</t>
  </si>
  <si>
    <t>的野</t>
  </si>
  <si>
    <t>マラバルピエール</t>
  </si>
  <si>
    <t>マラバル</t>
  </si>
  <si>
    <t>iampeterlazer@gmail.com</t>
  </si>
  <si>
    <t>Akinari</t>
  </si>
  <si>
    <t>あきなり</t>
  </si>
  <si>
    <t>山下あきなり</t>
  </si>
  <si>
    <t>yama-izumi@ymail.ne.jp</t>
  </si>
  <si>
    <t>080-1915-5305</t>
  </si>
  <si>
    <t>〒815-0033
福岡市南区大橋3丁目3-21-1101</t>
  </si>
  <si>
    <t>グループ</t>
  </si>
  <si>
    <t>Shimugi</t>
  </si>
  <si>
    <t>Kawahara</t>
  </si>
  <si>
    <t xml:space="preserve">紬 </t>
  </si>
  <si>
    <t xml:space="preserve">河原紬 </t>
  </si>
  <si>
    <t>河原</t>
  </si>
  <si>
    <t>May was unpaid</t>
  </si>
  <si>
    <t>prunus_mume2@yahoo.co.jp</t>
  </si>
  <si>
    <t>080-1282-0596</t>
  </si>
  <si>
    <t>〒811-1344
福岡市南区三宅1丁目15-1-2</t>
  </si>
  <si>
    <t>Homare</t>
  </si>
  <si>
    <t>Araki</t>
  </si>
  <si>
    <t>穂希</t>
  </si>
  <si>
    <t>荒木 理恵子</t>
  </si>
  <si>
    <t>荒木</t>
  </si>
  <si>
    <t>riekorange1123@icloud.com</t>
  </si>
  <si>
    <t>090-5925-3382</t>
  </si>
  <si>
    <t>〒816-0831 福岡県 春日市 大谷</t>
  </si>
  <si>
    <t>Shimoda</t>
  </si>
  <si>
    <t>下田雅子</t>
  </si>
  <si>
    <t>下田</t>
  </si>
  <si>
    <t>mako543366@gmail.com</t>
  </si>
  <si>
    <t>〒815-0833福岡県福岡大橋3-31-22-1101</t>
  </si>
  <si>
    <t>Fumina</t>
  </si>
  <si>
    <t>Atobe</t>
  </si>
  <si>
    <t xml:space="preserve">ふみな </t>
  </si>
  <si>
    <t>跡部ふみな</t>
  </si>
  <si>
    <t xml:space="preserve">跡部 </t>
  </si>
  <si>
    <t>machabebe@yahoo.co.jp</t>
  </si>
  <si>
    <t>090-7756-7948</t>
  </si>
  <si>
    <t>815-0035
福岡市向野1丁目11-17-702</t>
  </si>
  <si>
    <t>ふみな跡部</t>
  </si>
  <si>
    <t>Rin</t>
  </si>
  <si>
    <t>Korematsu</t>
  </si>
  <si>
    <t>凛</t>
  </si>
  <si>
    <t>是松凛</t>
  </si>
  <si>
    <t>是松</t>
  </si>
  <si>
    <t>sawa.looksupto.u@icloud.com</t>
  </si>
  <si>
    <t>090-7399-0026</t>
  </si>
  <si>
    <t>815-0035
福岡市大橋1-22-16-304</t>
  </si>
  <si>
    <t>Ayaha</t>
  </si>
  <si>
    <t>Morishita</t>
  </si>
  <si>
    <t>あやは</t>
  </si>
  <si>
    <t>森下あやは</t>
  </si>
  <si>
    <t>森下</t>
  </si>
  <si>
    <t>aiko.mrta014@gmail.com</t>
  </si>
  <si>
    <t>090-6880-5672</t>
  </si>
  <si>
    <t>〒811-1344
福岡市南区三宅2丁目31-14</t>
  </si>
  <si>
    <t>Haru</t>
  </si>
  <si>
    <t>Yanouchi</t>
  </si>
  <si>
    <t>はる</t>
  </si>
  <si>
    <t>野内 はる</t>
  </si>
  <si>
    <t xml:space="preserve">野内 </t>
  </si>
  <si>
    <t>shu.kanouchi@gmail.com</t>
  </si>
  <si>
    <t>090-7460-6571</t>
  </si>
  <si>
    <t>〒815-0004
福岡市南区大橋2丁目14-7-202</t>
  </si>
  <si>
    <t>Kaede</t>
  </si>
  <si>
    <t>楓</t>
  </si>
  <si>
    <t>渡辺 楓</t>
  </si>
  <si>
    <t>渡辺</t>
  </si>
  <si>
    <t>cakwtnb31@gmail.com</t>
  </si>
  <si>
    <t>結菜</t>
  </si>
  <si>
    <t>井上 結菜</t>
  </si>
  <si>
    <t>halka0130@yahoo.co.jp</t>
  </si>
  <si>
    <t>Karin</t>
  </si>
  <si>
    <t>Sakai</t>
  </si>
  <si>
    <t>華凛</t>
  </si>
  <si>
    <t>堺華凛</t>
  </si>
  <si>
    <t>堺</t>
  </si>
  <si>
    <t>Private</t>
  </si>
  <si>
    <t>yasunorinozomi@yahoo.co.jp</t>
  </si>
  <si>
    <t>nozomi.wagamama@gmail.com</t>
  </si>
  <si>
    <t>090-2503-4191</t>
  </si>
  <si>
    <t>〒815-0004福岡県福岡南区高木3-7-3-102</t>
  </si>
  <si>
    <t xml:space="preserve">Fujii </t>
  </si>
  <si>
    <t>晴</t>
  </si>
  <si>
    <t>藤井</t>
  </si>
  <si>
    <t>Group</t>
  </si>
  <si>
    <t>kanapupuchan@gmail.com</t>
  </si>
  <si>
    <t>090-4888-7996</t>
  </si>
  <si>
    <t>〒811-1254
福岡県那珂川市道善2-64-605</t>
  </si>
  <si>
    <t>沙耶香</t>
  </si>
  <si>
    <t>和田沙耶香</t>
  </si>
  <si>
    <t xml:space="preserve">Group </t>
  </si>
  <si>
    <t>hikaru2741@gmail.com</t>
  </si>
  <si>
    <t>haruki2741@gmail.com</t>
  </si>
  <si>
    <t>090-4991-1431</t>
  </si>
  <si>
    <t>Rico Jan</t>
  </si>
  <si>
    <t>Note</t>
  </si>
  <si>
    <t>refund</t>
  </si>
  <si>
    <t>Rico Feb</t>
  </si>
  <si>
    <t>Refund</t>
  </si>
  <si>
    <t>Rico Mar</t>
  </si>
  <si>
    <t>Reefund</t>
  </si>
  <si>
    <t>Rico Apr</t>
  </si>
  <si>
    <t>Rico May</t>
  </si>
  <si>
    <t>Rico Jun</t>
  </si>
  <si>
    <t>Rico Jul</t>
  </si>
  <si>
    <t>Rico Aug</t>
  </si>
  <si>
    <t>Rico Sep</t>
  </si>
  <si>
    <t>Rico Oct</t>
  </si>
  <si>
    <t>Rico Nov</t>
  </si>
  <si>
    <t>Rico December</t>
  </si>
  <si>
    <t>refund the 5th. Was charged the renewal fee in April already</t>
  </si>
  <si>
    <t>was charged again in May despiste having left in May</t>
  </si>
  <si>
    <t>きほ</t>
  </si>
  <si>
    <t>馬場きほ</t>
  </si>
  <si>
    <t>refund as she was charge 11000 two times, in April and then again in june</t>
  </si>
  <si>
    <t>was charged the fee for when Taisei and Mitsuki were Semi-private</t>
  </si>
  <si>
    <t>refund as she was charged but Nao was in sick leave</t>
  </si>
  <si>
    <t>SF</t>
  </si>
  <si>
    <t>CASH</t>
  </si>
  <si>
    <t>First fees paid 06/5</t>
  </si>
  <si>
    <t>Katakana</t>
  </si>
  <si>
    <t>Phone Number:</t>
  </si>
  <si>
    <t>Address</t>
  </si>
  <si>
    <t>Bank Name</t>
  </si>
  <si>
    <t>Branch Name</t>
  </si>
  <si>
    <t>Yomigana</t>
  </si>
  <si>
    <t>Account Type</t>
  </si>
  <si>
    <t>Account Number:</t>
  </si>
  <si>
    <t>Bank Code:</t>
  </si>
  <si>
    <t>Branch Code</t>
  </si>
  <si>
    <t>Date Rico Start</t>
  </si>
  <si>
    <t>MACRO LAUNCH PYTHON</t>
  </si>
  <si>
    <t>荒木理恵子</t>
  </si>
  <si>
    <t>アラキリエコ</t>
  </si>
  <si>
    <t>福岡県春日市大谷4-22-1</t>
  </si>
  <si>
    <t>福岡銀行</t>
  </si>
  <si>
    <t>周船寺</t>
  </si>
  <si>
    <t>Susenziji</t>
  </si>
  <si>
    <t>普通</t>
  </si>
  <si>
    <t>0684077</t>
  </si>
  <si>
    <t>0177</t>
  </si>
  <si>
    <t>森下慶</t>
  </si>
  <si>
    <t>モリシタケイ</t>
  </si>
  <si>
    <t>090-6044-4444</t>
  </si>
  <si>
    <t>福岡市南区三宅2丁目31-14</t>
  </si>
  <si>
    <t>大橋</t>
  </si>
  <si>
    <t>Ohashi</t>
  </si>
  <si>
    <t>鹿野内晃</t>
  </si>
  <si>
    <t>カノウチアキラ</t>
  </si>
  <si>
    <t>福岡市西区高木2-14-7 コーポ横松202</t>
  </si>
  <si>
    <t>西日本シティ</t>
  </si>
  <si>
    <t>井尻</t>
  </si>
  <si>
    <t>Ijiri</t>
  </si>
  <si>
    <t>0190</t>
  </si>
  <si>
    <t>021</t>
  </si>
  <si>
    <t>渡辺淳一</t>
  </si>
  <si>
    <t>ワタナベジュンイチ</t>
  </si>
  <si>
    <t>080-5254-5552</t>
  </si>
  <si>
    <t>福岡市南区向野1-10-11 セニョライ堤南101</t>
  </si>
  <si>
    <t>大橋駅前</t>
  </si>
  <si>
    <t>Ōhashi Ekimae</t>
  </si>
  <si>
    <t>735</t>
  </si>
  <si>
    <t>井上大心</t>
  </si>
  <si>
    <t>イノウエタイシン</t>
  </si>
  <si>
    <t>080-6414-6579</t>
  </si>
  <si>
    <t>福岡市東区筥松パークハイツ5-603</t>
  </si>
  <si>
    <t>箱崎</t>
  </si>
  <si>
    <t>Hakozaki</t>
  </si>
  <si>
    <t>3182937</t>
  </si>
  <si>
    <t>206</t>
  </si>
  <si>
    <t>mail</t>
  </si>
  <si>
    <t>phone</t>
  </si>
  <si>
    <t>how they reached out</t>
  </si>
  <si>
    <t>day of taiken</t>
  </si>
  <si>
    <t>Time of Taiken</t>
  </si>
  <si>
    <t>name of student 1</t>
  </si>
  <si>
    <t>name of student 2</t>
  </si>
  <si>
    <t>Age group S1</t>
  </si>
  <si>
    <t>Level S1</t>
  </si>
  <si>
    <t>コース</t>
  </si>
  <si>
    <t>Level s2</t>
  </si>
  <si>
    <t>Request</t>
  </si>
  <si>
    <t>How they know Bee</t>
  </si>
  <si>
    <t>Type of lesson</t>
  </si>
  <si>
    <t>notes</t>
  </si>
  <si>
    <t>Joined</t>
  </si>
  <si>
    <t>refusal date</t>
  </si>
  <si>
    <t>FP</t>
  </si>
  <si>
    <t>Date received</t>
  </si>
  <si>
    <t>adress</t>
  </si>
  <si>
    <t>J</t>
  </si>
  <si>
    <t>\</t>
  </si>
  <si>
    <t>知り合い・友人の紹介</t>
  </si>
  <si>
    <t>Went well. Are tied with ECC until April.</t>
  </si>
  <si>
    <t>yes</t>
  </si>
  <si>
    <t>yukino.540lll@gmail.com</t>
  </si>
  <si>
    <t>Phone</t>
  </si>
  <si>
    <t>Chu 1</t>
  </si>
  <si>
    <t>x</t>
  </si>
  <si>
    <t>Went well. Decent level. Could join the wed 17:00 with Saya. Though when calling with Nao, they were considering doing 2 Gaijin and 2 Jp. Thought they probably thought that was possible in a gr setting.</t>
  </si>
  <si>
    <t>j</t>
  </si>
  <si>
    <t>hatsumi0911.la@gmail.com</t>
  </si>
  <si>
    <t>高木</t>
  </si>
  <si>
    <t>shiina.19880615@gmail.com</t>
  </si>
  <si>
    <t>小学2年生が2人と
年長が1人</t>
  </si>
  <si>
    <t>ホームページ</t>
  </si>
  <si>
    <t>Note: Second lesson March 1st NOTE : if join, nuykai is *2 only. Is interested by 2 times a week. Can come sat after 12 (I offered 13) or Friday 5 or Thursday. For week days I offered 5 Oclock.小学2年生が2人と. Cancelled 3/15 taiken
年長が1人
体験したいです。</t>
  </si>
  <si>
    <t>Colors</t>
  </si>
  <si>
    <t>佐藤 優衣</t>
  </si>
  <si>
    <t>haruro021@gmail.com&gt;</t>
  </si>
  <si>
    <t>高校生 / Canceled same day</t>
  </si>
  <si>
    <t>プライベート</t>
  </si>
  <si>
    <t>Yellow: Communication in process</t>
  </si>
  <si>
    <t>久保木</t>
  </si>
  <si>
    <t>haruro021@gmail.com</t>
  </si>
  <si>
    <t>Canceled same day</t>
  </si>
  <si>
    <t>子供（4月から新３年生）の英語を考えております。現在も、別の英語教室に通っていますが、4月からスケジュールが合わない為、他の教室を探しているところです。 
例えば、平日で基本コースですと、 何時からのレッスンがありますでしょうか？17時半以降ですといいのですが。もし通えそうな時間帯があれば、体験をしたいなと思っております。</t>
  </si>
  <si>
    <t>Yazu</t>
  </si>
  <si>
    <t>090-9937-6713</t>
  </si>
  <si>
    <t>Interested in Free talk. Heard we do it,</t>
  </si>
  <si>
    <t>No happy with the nu ykai. Will send back email, want Nao to coommunicate with her. On appelle ca une casse-couille.</t>
  </si>
  <si>
    <t>小学2年</t>
  </si>
  <si>
    <t>went well</t>
  </si>
  <si>
    <t>Atobe 跡部</t>
  </si>
  <si>
    <t>Masami and Fumiyo</t>
  </si>
  <si>
    <t>小学2年 and adult</t>
  </si>
  <si>
    <t>Google map</t>
  </si>
  <si>
    <t>Went well. Mom at 1 and daughter at 17:00. Both good levels. Daughter is elementary. Time for mom (sat 13 she is with daughter, evening she can't. with daughter too right.) is not convenient.　STARTS　march</t>
  </si>
  <si>
    <t>Yes</t>
  </si>
  <si>
    <t>Yorozu Yurika</t>
  </si>
  <si>
    <t>yorozoyurika@gmail.com</t>
  </si>
  <si>
    <t>Adutls and kid</t>
  </si>
  <si>
    <t>taiken not booked, just called for info.</t>
  </si>
  <si>
    <t>Atone San</t>
  </si>
  <si>
    <t>atonemasami@gmail.com</t>
  </si>
  <si>
    <t>followed Futaba GC since was 1 year old. Went very well.</t>
  </si>
  <si>
    <t>Taiga Uta and Asa</t>
  </si>
  <si>
    <t>two kids uta is 5 and Asa is ten. Interested in SP. Went well. But I did not take the taiken file. So I can 't send follow up mail.</t>
  </si>
  <si>
    <t>Hayashi</t>
  </si>
  <si>
    <t>baby - Nenchuu</t>
  </si>
  <si>
    <t>Cancelled taiken 4 days before</t>
  </si>
  <si>
    <t>幼稚園 GR. Went well. Next lesson next week. Going ver well.</t>
  </si>
  <si>
    <t>ヤマシタ イズミ</t>
  </si>
  <si>
    <t>Went well</t>
  </si>
  <si>
    <t>リュウ ケイコ</t>
  </si>
  <si>
    <t>shimamoko178@yahoo.co.jp</t>
  </si>
  <si>
    <t>090-3799-6416</t>
  </si>
  <si>
    <t>generally/they coild not find the place</t>
  </si>
  <si>
    <t>went well. But seemed unphased and undecisive ()</t>
  </si>
  <si>
    <t>小4と中1の娘二人でセミプライベートの体験をできないでしょうか。小4の娘も英検5級合格してます。中学レベルくらいはできると思いますので、会話を中心にできたらと思います。2人とも消極的なのでプライベートやセミプライベートで会話ができるようになりたいです。</t>
  </si>
  <si>
    <t>Private / SP</t>
  </si>
  <si>
    <t xml:space="preserve">是松　紗和 </t>
  </si>
  <si>
    <t>息子は小学5年生ですが、シャイで集団は苦手なタイプなので、セミプライベートが良いかな？と体験を予約しました。
宜しくお願い致します。</t>
  </si>
  <si>
    <t>semi-private/sp</t>
  </si>
  <si>
    <t xml:space="preserve">ド　ヒョンミ </t>
  </si>
  <si>
    <t>himchani5@gmail.com</t>
  </si>
  <si>
    <t>nakamura</t>
  </si>
  <si>
    <t>la mere est bien conne</t>
  </si>
  <si>
    <t>not given</t>
  </si>
  <si>
    <t>090-8664-6528</t>
  </si>
  <si>
    <t>Just wanted info for semi private but all her kids together.</t>
  </si>
  <si>
    <t xml:space="preserve">能野真帆 </t>
  </si>
  <si>
    <t>chikae2318@gmail.com</t>
  </si>
  <si>
    <t>090-3973-1455</t>
  </si>
  <si>
    <t>小学生
コース: 
グループ
希望レベル: 
キッズ</t>
  </si>
  <si>
    <t>No show/no answer phone</t>
  </si>
  <si>
    <t>初級</t>
  </si>
  <si>
    <t>子供をニュージーランドに留学させたいので習いたいと考えてます。
費用など聞きたいです。</t>
  </si>
  <si>
    <t>その他</t>
  </si>
  <si>
    <t>両方</t>
  </si>
  <si>
    <t xml:space="preserve"> 鹿野内 (student : Haru)</t>
  </si>
  <si>
    <t>shu.kanouchi@icloud.com</t>
  </si>
  <si>
    <t>キッズ</t>
  </si>
  <si>
    <t>4月から小学2年生の息子に体験レッスン希望です。よろしくお願いします。</t>
  </si>
  <si>
    <t>alex</t>
  </si>
  <si>
    <t>Morishita Ayaha 森下あやは</t>
  </si>
  <si>
    <t>090-9077-7413</t>
  </si>
  <si>
    <t>drop-by</t>
  </si>
  <si>
    <t>Just dropped by without contact first</t>
  </si>
  <si>
    <t>Kashima</t>
  </si>
  <si>
    <t>092-9852-537</t>
  </si>
  <si>
    <t>Just called. Wants to come 14 or 15th</t>
  </si>
  <si>
    <t xml:space="preserve">日置　心詠 </t>
  </si>
  <si>
    <t>mu25fukuhime@gmail.com</t>
  </si>
  <si>
    <t>Koyomi , girl. Just too shy, borderline communication issues. Waiting for contact second taiken, but even in group setting , concerns could arise.</t>
  </si>
  <si>
    <t xml:space="preserve">たはら　おうすけ </t>
  </si>
  <si>
    <t>monamame@outlook.jp</t>
  </si>
  <si>
    <t>お問い合わせ内容:
プライベートとセミプライベートの両方を体験してみたいのですが可能でしょうか。よろしくお願いします。</t>
  </si>
  <si>
    <t>堺華</t>
  </si>
  <si>
    <t>090-25034191</t>
  </si>
  <si>
    <t>4月28日</t>
  </si>
  <si>
    <t>小山　</t>
  </si>
  <si>
    <t>t0nn0e_0905@yahoo.co.jp</t>
  </si>
  <si>
    <t>080-487-5707</t>
  </si>
  <si>
    <t>5月12日</t>
  </si>
  <si>
    <t>first was 4月28日, then cancelled and moved to 12th of may</t>
  </si>
  <si>
    <t>宮崎公平</t>
  </si>
  <si>
    <t>s7w5w88x@gmail.com</t>
  </si>
  <si>
    <t>090-7588-3005</t>
  </si>
  <si>
    <t>知り合い</t>
  </si>
  <si>
    <t>井形 光様</t>
  </si>
  <si>
    <t>nkjin119@gmail.com</t>
  </si>
  <si>
    <t>080-1111-0119</t>
  </si>
  <si>
    <t>5月13日</t>
  </si>
  <si>
    <t>細谷</t>
  </si>
  <si>
    <t>meguya_h@yahoo.co.jp</t>
  </si>
  <si>
    <t>080-3977-6939</t>
  </si>
  <si>
    <t>5月23日</t>
  </si>
  <si>
    <t>細井様　</t>
  </si>
  <si>
    <t>090-4992-2753</t>
  </si>
  <si>
    <t>丸岡涼太</t>
  </si>
  <si>
    <t>gomapaseri0317@ezweb.ne.jp</t>
  </si>
  <si>
    <t>080-5258-2265</t>
  </si>
  <si>
    <t>グループレッスンを受ける本人と別に、両親と赤ちゃん1人を連れて体験レッスン参加しても大丈夫でしょうか？</t>
  </si>
  <si>
    <t>宮本 祐直</t>
  </si>
  <si>
    <t>nakakoh3521@yahoo.co.jp</t>
  </si>
  <si>
    <t>よく分からない</t>
  </si>
  <si>
    <t>佐藤由唯</t>
  </si>
  <si>
    <t>sparkle0614@icloud.com</t>
  </si>
  <si>
    <t>080-1746-9378</t>
  </si>
  <si>
    <t>希望時間はあるが、何時でも大丈夫とのこと</t>
  </si>
  <si>
    <t>福岡市南区老司3丁目6-33-1</t>
  </si>
  <si>
    <t>石田 華暖</t>
  </si>
  <si>
    <t>kanon2001omuretsu@gmail.com</t>
  </si>
  <si>
    <t>080-2136-1942</t>
  </si>
  <si>
    <t>2025年5月3日</t>
  </si>
  <si>
    <t>Junior High</t>
  </si>
  <si>
    <t>福岡市南区弥永 4-4-1-5</t>
  </si>
  <si>
    <t>nicomiki0526@gmail.com</t>
  </si>
  <si>
    <t>090-4770-3495</t>
  </si>
  <si>
    <t>藤山 友希</t>
  </si>
  <si>
    <t>080-5802-4678</t>
  </si>
  <si>
    <t>Code</t>
  </si>
  <si>
    <t>Description</t>
  </si>
  <si>
    <t>Standard Fee (paid via RICO)</t>
  </si>
  <si>
    <t>Paid in cash (do not charge via RICO)</t>
  </si>
  <si>
    <t>PREPAID</t>
  </si>
  <si>
    <t>Prepaid (do not charge again)</t>
  </si>
  <si>
    <t>SKIP</t>
  </si>
  <si>
    <t>Skip this month (special case)</t>
  </si>
  <si>
    <t>+3500</t>
  </si>
  <si>
    <t>Standard Fee + Extra Fee (Jan/Jul)</t>
  </si>
  <si>
    <t>0</t>
  </si>
  <si>
    <t>No payment expected</t>
  </si>
  <si>
    <t>MISSED</t>
  </si>
  <si>
    <t>Missed RICO payment, pending transfer</t>
  </si>
  <si>
    <t>PAID BANK</t>
  </si>
  <si>
    <t>Virement bancaire reçu</t>
  </si>
  <si>
    <t>REMIND</t>
  </si>
  <si>
    <t>Relance en cours</t>
  </si>
  <si>
    <t>Number of Active Students</t>
  </si>
  <si>
    <t>New students per Selected month</t>
  </si>
  <si>
    <t>Quiting Students per Selected month</t>
  </si>
  <si>
    <t>Net student growth per Selected month</t>
  </si>
  <si>
    <t xml:space="preserve">Sales &amp; profit per teacher </t>
  </si>
  <si>
    <t>Sales &amp; profit by Lesson Type</t>
  </si>
  <si>
    <t>• Number of students per lesson type.</t>
  </si>
  <si>
    <t>Total Sign-ups.</t>
  </si>
  <si>
    <t>Month-to-month / Year-to-year sales &amp; profit trends</t>
  </si>
  <si>
    <t>Student classification by money spent.</t>
  </si>
  <si>
    <t>• Lessons per student breakdown.</t>
  </si>
  <si>
    <t>Date</t>
  </si>
  <si>
    <t>Top 10</t>
  </si>
  <si>
    <t>Jan</t>
  </si>
  <si>
    <t>Sales</t>
  </si>
  <si>
    <t>Salary</t>
  </si>
  <si>
    <t>Student Classification</t>
  </si>
  <si>
    <t>Student</t>
  </si>
  <si>
    <t>Sum of For Frequency</t>
  </si>
  <si>
    <t>Feb</t>
  </si>
  <si>
    <t>Apr</t>
  </si>
  <si>
    <t>May</t>
  </si>
  <si>
    <t>Jun</t>
  </si>
  <si>
    <t>Jul</t>
  </si>
  <si>
    <t>Aug</t>
  </si>
  <si>
    <t>Sep</t>
  </si>
  <si>
    <t>Oct</t>
  </si>
  <si>
    <t>Nov</t>
  </si>
  <si>
    <t>Dec</t>
  </si>
  <si>
    <t>Count of Active</t>
  </si>
  <si>
    <t>Column Labels</t>
  </si>
  <si>
    <t>New Student</t>
  </si>
  <si>
    <t>Quiting Students</t>
  </si>
  <si>
    <t xml:space="preserve">Net student growth </t>
  </si>
  <si>
    <t>Sum of For Salary</t>
  </si>
  <si>
    <t>Sum of For Amount</t>
  </si>
  <si>
    <t>Profit(%)</t>
  </si>
  <si>
    <t>Lesson Type</t>
  </si>
  <si>
    <t>Sum of Salary without Alex</t>
  </si>
  <si>
    <t>Total Sales</t>
  </si>
  <si>
    <t>Count of For Count</t>
  </si>
  <si>
    <t>Sign-ups</t>
  </si>
  <si>
    <t>Kaede Watanabe</t>
  </si>
  <si>
    <t>Status</t>
  </si>
  <si>
    <t>#N/A</t>
  </si>
  <si>
    <t>(blank)</t>
  </si>
  <si>
    <t>Total</t>
  </si>
  <si>
    <t>Count of Stop</t>
  </si>
  <si>
    <t>Yuna Inoue</t>
  </si>
  <si>
    <t xml:space="preserve">Salary </t>
  </si>
  <si>
    <t>Sara Shiraishi</t>
  </si>
  <si>
    <t>Yasuko Matono</t>
  </si>
  <si>
    <t>Taisuke Nonaka</t>
  </si>
  <si>
    <t>Active Students</t>
  </si>
  <si>
    <t>Eito Suzuki</t>
  </si>
  <si>
    <t>New Students</t>
  </si>
  <si>
    <t>Akinari Shimoda</t>
  </si>
  <si>
    <t>Haru Yanouchi</t>
  </si>
  <si>
    <t>Net Students</t>
  </si>
  <si>
    <t>Sena Nonaka</t>
  </si>
  <si>
    <t>Haruto Ushijima</t>
  </si>
  <si>
    <t>Wataru Nagamatsu</t>
  </si>
  <si>
    <t>Iori Maeda</t>
  </si>
  <si>
    <t>Yuna Abe</t>
  </si>
  <si>
    <t>Itsuki Ono</t>
  </si>
  <si>
    <t>Rin Korematsu</t>
  </si>
  <si>
    <t>Kiho Baba</t>
  </si>
  <si>
    <t>Sayaka Matsumoto</t>
  </si>
  <si>
    <t>Kosuke Takada</t>
  </si>
  <si>
    <t>Shimugi Kawahara</t>
  </si>
  <si>
    <t>Kouki Ushijima</t>
  </si>
  <si>
    <t>Uta Takara</t>
  </si>
  <si>
    <t>Mei Nakamura</t>
  </si>
  <si>
    <t>Yasuaki Deguchi</t>
  </si>
  <si>
    <t>Mina Baba</t>
  </si>
  <si>
    <t>Yu Nakamura</t>
  </si>
  <si>
    <t>Nagi Ono</t>
  </si>
  <si>
    <t>Ao Tsukiji</t>
  </si>
  <si>
    <t>Ao Hirabaru</t>
  </si>
  <si>
    <t>Ayaha Morishita</t>
  </si>
  <si>
    <t>Akinari Yamashita</t>
  </si>
  <si>
    <t>nanase Shingo</t>
  </si>
  <si>
    <t>Rika Yano</t>
  </si>
  <si>
    <t>Monthly Salary by Month</t>
  </si>
  <si>
    <t>Monthly Profit by Month</t>
  </si>
  <si>
    <t>Sum of Total Salary</t>
  </si>
  <si>
    <t>Months</t>
  </si>
  <si>
    <t>Sum of Profit</t>
  </si>
  <si>
    <t>Grand Total</t>
  </si>
  <si>
    <t>All</t>
  </si>
  <si>
    <t xml:space="preserve">	Hours / Month</t>
  </si>
  <si>
    <t>Hourly</t>
  </si>
  <si>
    <t>First fees paid 05/05 + 3 months</t>
  </si>
  <si>
    <t>June + July</t>
  </si>
  <si>
    <t>踏部 雅三美</t>
  </si>
  <si>
    <t>フミベ マサミ</t>
  </si>
  <si>
    <t>cash</t>
  </si>
  <si>
    <t>080-8558-20120</t>
  </si>
  <si>
    <t>北橋　知加子</t>
  </si>
  <si>
    <t>shii@tnc.co.jp</t>
  </si>
  <si>
    <t>090-5931-9954</t>
  </si>
  <si>
    <t>今隈　蓮和</t>
  </si>
  <si>
    <t>mmmm.aaa.rrr.iiii.1416@gmail.com</t>
  </si>
  <si>
    <t>080-3988-7184</t>
  </si>
  <si>
    <t>Matsuda</t>
  </si>
  <si>
    <t>called July 2nd is interested for kid elementary 6th. Will call back when decided time with kid</t>
  </si>
  <si>
    <t>y.shidashida7@gmail.com</t>
  </si>
  <si>
    <t>080-5608-7127</t>
  </si>
  <si>
    <t>080-3333-7161</t>
  </si>
  <si>
    <t>akispu@yahoo.co.jp</t>
  </si>
  <si>
    <t>Inquired for Eiken Summer class. Sonn starts holiday from 19, is intereseteed by morning class. she said this is beccause he has activity in the afternoon. so we make the morning class starts later. 11. and that is it. But it is not SUMMER CLASS, so I made mistake in the time I gave on the phone</t>
  </si>
  <si>
    <t>益川　想乃</t>
  </si>
  <si>
    <t>atm20170823@outlook.jp</t>
  </si>
  <si>
    <t>090-2156-7104</t>
  </si>
  <si>
    <t>confusion in class goal. Nao supposed to call. Said they are insterested by EIKEN COURSE Morning</t>
  </si>
  <si>
    <t>080-1724-8491</t>
  </si>
  <si>
    <t>Joined2</t>
  </si>
  <si>
    <t>Y</t>
  </si>
  <si>
    <t>Oyama</t>
  </si>
  <si>
    <t>ふうか</t>
  </si>
  <si>
    <t>小山フゥカ</t>
  </si>
  <si>
    <t>Fuka</t>
  </si>
  <si>
    <t>〒815-0041 岡市南区野間1-10-13 グランディ野間902</t>
  </si>
  <si>
    <t>This month charge Shokeihi as July was totally refunded to her</t>
  </si>
  <si>
    <t>Complete refun, even shokeihi. As I was not supposed to charge her. But Nao, said it was ok. But I hd atually sent an email, with info@, to tomoyo saying there woul be no charge in july. refunded on 7/9 from nishinipon app</t>
  </si>
  <si>
    <t>堺華史和</t>
  </si>
  <si>
    <t>サカイ ハナフミ カズ</t>
  </si>
  <si>
    <t>花畑</t>
  </si>
  <si>
    <t>Hanahata</t>
  </si>
  <si>
    <t>965749</t>
  </si>
  <si>
    <t>634</t>
  </si>
  <si>
    <t>she paid 21550 which is error due to excel automatic calculation</t>
  </si>
  <si>
    <t>090-7159-3536</t>
  </si>
  <si>
    <t xml:space="preserve">called and said she wants to take eikaiwa classes once a week. </t>
  </si>
  <si>
    <t>〒815-0033 福岡市南区大橋4-29-30-703</t>
  </si>
  <si>
    <t>〒815-0031
福岡市南区清水1丁目15-1-501号</t>
  </si>
  <si>
    <t>Pierre</t>
  </si>
  <si>
    <t>went well. Second not booked yet</t>
  </si>
  <si>
    <t>were supposed to be charged June in july. But the charge was just 7000. So this month we charge 7000 + 7000 + 3000</t>
  </si>
  <si>
    <t>811-1254 福岡県那珂川市道善2-64
セーヌインドけやき通りフォレスト 605</t>
  </si>
  <si>
    <t>藤井 晃</t>
  </si>
  <si>
    <t>フジイアキラ</t>
  </si>
  <si>
    <t>那珂川</t>
  </si>
  <si>
    <t>Nakagawa</t>
  </si>
  <si>
    <t>722</t>
  </si>
  <si>
    <t>55000 : 46200 Unpaid from previous + 6050 + 2750</t>
  </si>
  <si>
    <t>638</t>
  </si>
  <si>
    <t>大善寺</t>
  </si>
  <si>
    <t>Daizenji</t>
  </si>
  <si>
    <t>cash. Paid 7/17+</t>
  </si>
  <si>
    <t>renew fee</t>
  </si>
  <si>
    <t>〒816-0864 春日市須玖北8-26-1</t>
  </si>
  <si>
    <t>Really wants to join, hesitate between different attendance time.お問い合わせ内容:
体験の前にまずはお電話かメールで詳細をご教示いただきたいです。本日、外国人の先生とお電話でお話して、こちらのフォームをご案内いただきました。
希望は、夏休みの8月18日(月)の週に帰省する際、一週間だけですが小学校一年生の娘を通わせたいと思っています。どのような対応が可能なのか、時間帯、料金など、詳しくお伺いしたいです。娘はまだ英語を習ったことはありません。ご回答よろしくお願い致します。
北橋</t>
  </si>
  <si>
    <t>〒810-0062 福岡市中央区荒戸5-36-90</t>
  </si>
  <si>
    <t>キタジマ ユリコ</t>
  </si>
  <si>
    <t>小田 薫喜</t>
  </si>
  <si>
    <t>オダ カヅキ</t>
  </si>
  <si>
    <t>〒812-0879 福岡市博多区銀天町1-6-20-403</t>
  </si>
  <si>
    <t>Joined after first trial体験レッスンに2歳3ヶ月の娘と参加させて頂ければと思います。
宜しくお願い致します。</t>
  </si>
  <si>
    <t>益川</t>
  </si>
  <si>
    <t>益川想乃</t>
  </si>
  <si>
    <t>想乃</t>
  </si>
  <si>
    <t>Sono</t>
  </si>
  <si>
    <t>Masukawa</t>
  </si>
  <si>
    <t>Must Pay FF cash. Paid 7/19</t>
  </si>
  <si>
    <t>〒812-0879 福岡市博多区銀天町1-5-34-1103</t>
  </si>
  <si>
    <t>🔗 Go to finance</t>
  </si>
  <si>
    <t>福岡県福岡市南区若久6-44-11</t>
  </si>
  <si>
    <t>薬院</t>
  </si>
  <si>
    <t>(Yakuin</t>
  </si>
  <si>
    <t>1817141</t>
  </si>
  <si>
    <t>280</t>
  </si>
  <si>
    <t>cash. Info rico sent the 17 and rico paper received the 19 before going to ishigaki</t>
  </si>
  <si>
    <t>和田光</t>
  </si>
  <si>
    <t>オヤマトモエ</t>
  </si>
  <si>
    <t>ワダヒカル</t>
  </si>
  <si>
    <t>normally paid in cash during first payment</t>
  </si>
  <si>
    <t>倉地 スズナ</t>
  </si>
  <si>
    <t>chiery0723@gmail.com</t>
  </si>
  <si>
    <t>マスカワタクミ</t>
  </si>
  <si>
    <t>益川拓巳</t>
  </si>
  <si>
    <t>小山朋恵</t>
  </si>
  <si>
    <t xml:space="preserve">三菱UFJ </t>
  </si>
  <si>
    <t>高島平</t>
  </si>
  <si>
    <t>Takashimadaira</t>
  </si>
  <si>
    <t>0005</t>
  </si>
  <si>
    <t>617</t>
  </si>
  <si>
    <t>Must Pay FF cash. 恐れ入りますが、その際に入会金（16，980円）、諸経費（3，500円）、7月分（1，650円, ）、8月分（6，600円, ）のお月謝のお支払いをお願い致します。PAID 7/26/2025
合計28,730円です。</t>
  </si>
  <si>
    <t>chocolate05250701@icloud.com</t>
  </si>
  <si>
    <t>藤山友希</t>
  </si>
  <si>
    <t>藤山</t>
  </si>
  <si>
    <t>Yuuki</t>
  </si>
  <si>
    <t>Fujiyama</t>
  </si>
  <si>
    <t>〒815-0031 福岡市清水2-20-1-1004</t>
  </si>
  <si>
    <t>24200  for June and July refunded on 7/23. they were wrongly charged</t>
  </si>
  <si>
    <t>090-9071-9832</t>
  </si>
  <si>
    <t>Must Pay FF cash. paid 7/30</t>
  </si>
  <si>
    <t>sachieh_33@yahoo.co.jp</t>
  </si>
  <si>
    <t>2 kids; 3 and 5. went well.</t>
  </si>
  <si>
    <t>kid junior high 1st year. They told us about non working taiken form.</t>
  </si>
  <si>
    <t>真玉橋 minori</t>
  </si>
  <si>
    <t>a-yan727@icloud.com</t>
  </si>
  <si>
    <t>〒812-0879 福岡市大橋2-24-18-202</t>
  </si>
  <si>
    <t>Suhara Kosuke</t>
  </si>
  <si>
    <t>Called on 8/2/2025. At the time where contact form broken. Student name is Kosuke. 5 Years old.</t>
  </si>
  <si>
    <t>090-9566-0499</t>
  </si>
  <si>
    <t>090-1875-4587</t>
  </si>
  <si>
    <t>鴛﨑 Oshisaki san</t>
  </si>
  <si>
    <t>were supposed to be charged June in july. But the charge was just 7000. So this month we charge 7000 + 7000 + 3500</t>
  </si>
  <si>
    <t>Review asked</t>
  </si>
  <si>
    <t>Review left</t>
  </si>
  <si>
    <t>在澤英俊</t>
  </si>
  <si>
    <t>アリサワ ヒデトシ</t>
  </si>
  <si>
    <t>ゆうちょ銀行</t>
  </si>
  <si>
    <t>津原 光佑</t>
  </si>
  <si>
    <t>Tsuhara</t>
  </si>
  <si>
    <t>津原</t>
  </si>
  <si>
    <t>kameee1112@gmail.com</t>
  </si>
  <si>
    <t>〒816-0872　春日市桜ヶ丘3-73-1-602</t>
  </si>
  <si>
    <t>光佑</t>
  </si>
  <si>
    <t>Paid in advance</t>
  </si>
  <si>
    <t>友希</t>
  </si>
  <si>
    <t>Cash and FF received</t>
  </si>
  <si>
    <t>藤山由美子</t>
  </si>
  <si>
    <t>西日本シティ銀行</t>
  </si>
  <si>
    <t>010</t>
  </si>
  <si>
    <r>
      <t xml:space="preserve">Fujiyama </t>
    </r>
    <r>
      <rPr>
        <b/>
        <sz val="11"/>
        <color theme="1"/>
        <rFont val="ＭＳ Ｐゴシック"/>
        <family val="2"/>
        <scheme val="minor"/>
      </rPr>
      <t xml:space="preserve">Yumiko </t>
    </r>
  </si>
  <si>
    <t>フジヤマユミコ</t>
  </si>
  <si>
    <t>dummy for formula</t>
  </si>
  <si>
    <t>tomo_amenimomakezu@yahoo.co.jp</t>
  </si>
  <si>
    <t>松崎　康子</t>
  </si>
  <si>
    <t>furigana</t>
  </si>
  <si>
    <t>マツザキ　ヤスコ</t>
  </si>
  <si>
    <t>rdmctueg@ezweb.ne.jp</t>
  </si>
  <si>
    <t>090-8623-9787</t>
  </si>
  <si>
    <t>〒811-1302福岡市南区井尻2-18-36-103</t>
  </si>
  <si>
    <t>harusalmon0122@gmail.com</t>
  </si>
  <si>
    <t>ff received</t>
  </si>
  <si>
    <t>ff received. Leaves in Sept as husband is transferred to tokyo</t>
  </si>
  <si>
    <t>paid by naraigoto</t>
  </si>
  <si>
    <t>Shugyou Mami</t>
  </si>
  <si>
    <t>mani.s.hrm@icloud.com</t>
  </si>
  <si>
    <t>090-4486-0461</t>
  </si>
  <si>
    <t>refund as ciuld not make up all lessons</t>
  </si>
  <si>
    <t>whhy do not appeasr, they were absent for taiken on sat 23. see mail. was their second taikem, email is jolly.12241027@docomo.ne.jp</t>
  </si>
  <si>
    <t>F</t>
  </si>
  <si>
    <t>090-7163-4170</t>
  </si>
  <si>
    <t>高橋 春樹</t>
  </si>
  <si>
    <t>タカハシ ハルキ</t>
  </si>
  <si>
    <t>〒815-0031
南区清水 2-20-2-1009</t>
  </si>
  <si>
    <t>homepage</t>
  </si>
  <si>
    <t>白石 渉</t>
  </si>
  <si>
    <t>シライシ ワタル</t>
  </si>
  <si>
    <t>090-9381-9012</t>
  </si>
  <si>
    <t>〒815-0032
福岡市南区塩原 3-3-13-701</t>
  </si>
  <si>
    <t>Change to eiken 30mn</t>
  </si>
  <si>
    <t>Take a break</t>
  </si>
  <si>
    <t>nreka514@icloud.com</t>
  </si>
  <si>
    <t>sarachan729@icloud.com</t>
  </si>
  <si>
    <t>Francais poour premier taiken mais est aussi interesse par Anglais.</t>
  </si>
  <si>
    <t>春田 縁</t>
  </si>
  <si>
    <t>はるた えにし</t>
  </si>
  <si>
    <t>〒815-0033
福岡市南区大橋2丁目24-205</t>
  </si>
  <si>
    <t>090-4488-3633</t>
  </si>
  <si>
    <t>m.haruta0219@gmail.com</t>
  </si>
  <si>
    <t>坂本 一真</t>
  </si>
  <si>
    <t>サカモト カズマ</t>
  </si>
  <si>
    <t>mario05243328@gmail.com</t>
  </si>
  <si>
    <t>〒811-1344
福岡市南区三宅2丁目31−1−22</t>
  </si>
  <si>
    <t>went great. We will probably create a class for them weekdays. Hesitated joining on the spot or taiken the four taiken but I could not be too forcful as taisei mom was wathicng</t>
  </si>
  <si>
    <t>080-562-4957</t>
  </si>
  <si>
    <t>received on 9/6</t>
  </si>
  <si>
    <t>fumiko2ndfloor@gmail.com</t>
  </si>
  <si>
    <t>canceled 15 minutes before if no re-bboking from 8 to 13, tthen ban.</t>
  </si>
  <si>
    <t>090-4516-7236</t>
  </si>
  <si>
    <t>井上 絵里</t>
  </si>
  <si>
    <t>いのうえ えり</t>
  </si>
  <si>
    <t>〒815-0033
　福岡市南区大橋2-19-27-304</t>
  </si>
  <si>
    <t>ery_nov@icloud.com</t>
  </si>
  <si>
    <t>090-7925-4457</t>
  </si>
  <si>
    <t>絵井上絵里里</t>
  </si>
  <si>
    <t>Eri</t>
  </si>
  <si>
    <t>satou Yui</t>
  </si>
  <si>
    <t>津原由美子</t>
  </si>
  <si>
    <t>ツハラ ユミコ</t>
  </si>
  <si>
    <t>原</t>
  </si>
  <si>
    <t>265</t>
  </si>
  <si>
    <t>1251578</t>
  </si>
  <si>
    <t>hhaaapr210950@gmail.com</t>
  </si>
  <si>
    <t>鈴木 yui</t>
  </si>
  <si>
    <t>090-7067-7184</t>
  </si>
  <si>
    <t>jolly.12241027@docomo.ne.jp</t>
  </si>
  <si>
    <t>yasuko5221@yahoo.co.jp</t>
  </si>
  <si>
    <t>Miyako</t>
  </si>
  <si>
    <t>090-9403-5837</t>
  </si>
  <si>
    <t xml:space="preserve">白石 </t>
  </si>
  <si>
    <t>Takahashi</t>
  </si>
  <si>
    <t xml:space="preserve">高橋 </t>
  </si>
  <si>
    <t>渉</t>
  </si>
  <si>
    <t>春樹</t>
  </si>
  <si>
    <t>First fees ok</t>
  </si>
  <si>
    <t>080-5206-5956</t>
  </si>
  <si>
    <t>柴田結菜</t>
  </si>
  <si>
    <t>u.u-adgjm@ezweb.ne.jp</t>
  </si>
  <si>
    <t>she was charged by mistake for 6,8 and 9</t>
  </si>
  <si>
    <t>she quits end of august. so was not supposed to be chargecd</t>
  </si>
  <si>
    <t>Enishi</t>
  </si>
  <si>
    <t>Kazuma</t>
  </si>
  <si>
    <t>Haruta</t>
  </si>
  <si>
    <t xml:space="preserve">春田 </t>
  </si>
  <si>
    <t>"〒815-0033
福岡市南区大橋2丁目24-205"</t>
  </si>
  <si>
    <t>"〒811-1344
福岡市南区三宅2丁目31−1−22"
福岡市南区大橋2丁目24-205"</t>
  </si>
  <si>
    <t>井上絵里</t>
  </si>
  <si>
    <t>絵里</t>
  </si>
  <si>
    <t>no</t>
  </si>
  <si>
    <t>日田</t>
  </si>
  <si>
    <t>724</t>
  </si>
  <si>
    <t>Hita</t>
  </si>
  <si>
    <t>090-1197-9644</t>
  </si>
  <si>
    <t>dbjsk073@yahoo.co.jp</t>
  </si>
  <si>
    <t>Hizuki Iwata</t>
  </si>
  <si>
    <t>iwataryoko0118@gmail.com</t>
  </si>
  <si>
    <t>090-5265-4824</t>
  </si>
  <si>
    <t>sui</t>
  </si>
  <si>
    <t>080-1402-5150</t>
  </si>
  <si>
    <t>山下朋恵</t>
  </si>
  <si>
    <t>styarakaparadais@icloud.com</t>
  </si>
  <si>
    <t>received</t>
  </si>
  <si>
    <t>山川</t>
  </si>
  <si>
    <t>rugby.maokudo@gmail.com</t>
  </si>
  <si>
    <t>080-6025-1304</t>
  </si>
  <si>
    <t>Yuina</t>
  </si>
  <si>
    <t>〒815-0041
福岡市南区 野間2丁目1-12-18-703</t>
  </si>
  <si>
    <t>Hizuki</t>
  </si>
  <si>
    <t>not the first time they come. a bit of a dim wit</t>
  </si>
  <si>
    <t>〒815-0033
福岡市南区大橋2丁目2-28-25-308</t>
  </si>
  <si>
    <t>kana.nagamoto.12691@eustylelab.co.jp&gt;</t>
  </si>
  <si>
    <t>永元花奈</t>
  </si>
  <si>
    <t>was not supposed to be charged</t>
  </si>
  <si>
    <t>went very well</t>
  </si>
  <si>
    <t>坂本 明日香</t>
  </si>
  <si>
    <t>福岡市南区皿山2丁目31−1−2</t>
  </si>
  <si>
    <t>166301-17280</t>
  </si>
  <si>
    <t>福岡市南区大橋2丁目28−24−205号</t>
  </si>
  <si>
    <t>北九州営業部</t>
  </si>
  <si>
    <t>255</t>
  </si>
  <si>
    <t>080-1734-8013</t>
  </si>
  <si>
    <t>090-6420-5927</t>
  </si>
  <si>
    <t>first fees ok</t>
  </si>
  <si>
    <t>090-8351-5224</t>
  </si>
  <si>
    <t>miyayo123@yahoo.co.jp</t>
  </si>
  <si>
    <t>渡邉怜</t>
  </si>
  <si>
    <t>Note received in Oct. Charge 14000 for november</t>
  </si>
  <si>
    <t>in cash not yet</t>
  </si>
  <si>
    <t>白石 靖子</t>
  </si>
  <si>
    <t>815-0032 福岡県福岡市南区塩原3-13-7-1</t>
  </si>
  <si>
    <t>100</t>
  </si>
  <si>
    <t>6266965</t>
  </si>
  <si>
    <t>815-0031福岡市南区清水2-20-2-1009</t>
  </si>
  <si>
    <t>高橋 昌宏</t>
  </si>
  <si>
    <t>住信SBIネット</t>
  </si>
  <si>
    <t>201</t>
  </si>
  <si>
    <t>0038</t>
  </si>
  <si>
    <t>JAL</t>
  </si>
  <si>
    <t>3155063</t>
  </si>
  <si>
    <t>サカモトアスカ</t>
  </si>
  <si>
    <t>ハルタヨコ</t>
  </si>
  <si>
    <t>シライシヤスコ</t>
  </si>
  <si>
    <t>タカハシマサヒロ</t>
  </si>
  <si>
    <t>春田美代子</t>
  </si>
  <si>
    <t>fee + renewal fee</t>
  </si>
  <si>
    <t>fe + renewal fee</t>
  </si>
  <si>
    <t>fee + renewal fee (was due in September but had not been charged)</t>
  </si>
  <si>
    <t>Nov  + Oct</t>
  </si>
  <si>
    <t>a.yamakawa0626@gmail.com</t>
  </si>
  <si>
    <t>vs.kana0112@gmail.com</t>
  </si>
  <si>
    <t>weiqiaoyen728@gmail.com</t>
  </si>
  <si>
    <t>〒815-0032
福岡市南区塩原1-15-1-701</t>
  </si>
  <si>
    <t>木村 百花</t>
  </si>
  <si>
    <t>きむら ももか</t>
  </si>
  <si>
    <t>〒816-0949
春日市 里見が丘3-17-4</t>
  </si>
  <si>
    <t>090-8405-5482</t>
  </si>
  <si>
    <t>cojicoji0808@icloud.com</t>
  </si>
  <si>
    <t>〒811-1302
福岡市南区井尻4-18-12</t>
  </si>
  <si>
    <t>haaappv3v@gmail.com</t>
  </si>
  <si>
    <t>went well but second time not scheduled yet. To be called.</t>
  </si>
  <si>
    <t>みやざき れん</t>
  </si>
  <si>
    <t>宮﨑 蓮</t>
  </si>
  <si>
    <t>First fees paid</t>
  </si>
  <si>
    <t>in cash - not received</t>
  </si>
  <si>
    <t>paid 11/10</t>
  </si>
  <si>
    <t>Failed - Mail sent 11/11</t>
  </si>
  <si>
    <t>Rico failed - Asked to pay cash 11/11 by mail</t>
  </si>
  <si>
    <t>Nove  was ok by rico . Asked for Octo payement by mail on 11/14</t>
  </si>
  <si>
    <t>paid on 10/4</t>
  </si>
  <si>
    <t>paid 10/4</t>
  </si>
  <si>
    <t>山川晃</t>
  </si>
  <si>
    <t>ヤマカワアキラ</t>
  </si>
  <si>
    <t>福岡県福岡市南区塩原1丁目15-1-701 ベルネージュ塩原</t>
  </si>
  <si>
    <t>宇部支店</t>
  </si>
  <si>
    <t>402</t>
  </si>
  <si>
    <t>ウベシテン</t>
  </si>
  <si>
    <t>paid in cash on 11/12</t>
  </si>
  <si>
    <t>refunded in cash 1500 given to Sara on 11/12. Because the total charge was 38500. But it was supposed to be  37000. Actually karen was supposed to bwe charged three times, And I did, But I charged the renewal fee for Sara and GO. Which is double mistake, Because there is non for Sara, and they started in December so , it should be charged in december. SO to avoid that being visible, And I just said that theye were charged by mistake 38500 instead of 37 000</t>
  </si>
  <si>
    <t>refunded 13200</t>
  </si>
  <si>
    <t>taka-chan.0-2-0-9@docomo.ne.jp</t>
  </si>
  <si>
    <t>山田朋芽</t>
  </si>
  <si>
    <t>tomotomo.y16@gmail.com</t>
  </si>
  <si>
    <t>090-8760-7515</t>
  </si>
  <si>
    <t>セミプライベート</t>
  </si>
  <si>
    <t xml:space="preserve">トウ イロハ </t>
  </si>
  <si>
    <t>k.naka-0815-yoshi.a@docomo.ne.jp</t>
  </si>
  <si>
    <t>090-5932-0737</t>
  </si>
  <si>
    <t xml:space="preserve">山田朋芽 </t>
  </si>
  <si>
    <t>梅　聖菜</t>
  </si>
  <si>
    <t>us0904si@yahoo.co.jp</t>
  </si>
  <si>
    <t>080-4699-1140</t>
  </si>
  <si>
    <t>幼稚園/小学生</t>
  </si>
  <si>
    <t>TAIKEN CANCELED 4歳（年少）と6歳（年長）のこどもがいて2人とも体験させたいです！</t>
  </si>
  <si>
    <t>went very well. Not araid to speak, Maybe not be good to be with other girls.</t>
  </si>
  <si>
    <t>paid 12/1</t>
  </si>
  <si>
    <t>宮部</t>
  </si>
  <si>
    <t>mami22nya@gmail.com</t>
  </si>
  <si>
    <t>banned</t>
  </si>
  <si>
    <t>吉田 鳥史</t>
  </si>
  <si>
    <t>〒815-0033
福岡市南区大橋2-22-19</t>
  </si>
  <si>
    <t>（080）3977-7789</t>
  </si>
  <si>
    <t>atsuyo08@yahoo.co.jp</t>
  </si>
  <si>
    <t>〒811-1302
福岡市南区井尻5丁目4-24</t>
  </si>
  <si>
    <t>Went well. But we did not mention the SEEMI PRIVATE during taiken presentation.</t>
  </si>
  <si>
    <t>飯岡里奈</t>
  </si>
  <si>
    <t>090-7723-9268</t>
  </si>
  <si>
    <t>okrn-c6@i.softbank.jp</t>
  </si>
  <si>
    <t>went super well Wants to visit other places before.</t>
  </si>
  <si>
    <t>〒815-0042
福岡市南若久6-2-4-202</t>
  </si>
  <si>
    <t>ok</t>
  </si>
  <si>
    <t>Rico Failed MUST REDO RICO</t>
  </si>
  <si>
    <t>Jan Base</t>
  </si>
  <si>
    <t>Shokeihi</t>
  </si>
  <si>
    <t>Total jan</t>
  </si>
  <si>
    <t>Comment</t>
  </si>
  <si>
    <t>Iroha</t>
  </si>
  <si>
    <t>"〒811-1302
福岡市南区井尻5丁目4-24"</t>
  </si>
  <si>
    <t>also Charge Natsuki, kyoko, et son amie</t>
  </si>
  <si>
    <t>renewal fee</t>
  </si>
  <si>
    <t>Must tell her the payment is 3500 more in january</t>
  </si>
  <si>
    <t>090-7296-4790</t>
  </si>
  <si>
    <t>080-1769-9978</t>
  </si>
  <si>
    <t>yoshihiroriesakumoto@yahoo.co.jp</t>
  </si>
  <si>
    <t>risa.i.1983.0808@gmail.com</t>
  </si>
  <si>
    <t>作本　晴将・美羽</t>
  </si>
  <si>
    <t>〒812-0017福岡市博多区美野島2丁目7-16-804</t>
  </si>
  <si>
    <t>〒811-1311
福岡市　南区　横手二丁目3-18</t>
  </si>
  <si>
    <t>Will start Feb 2. Monday 18:00 SEND DOCS</t>
  </si>
  <si>
    <t>wants to come at 19:00. Wed or Tuesday. SEND DOCS</t>
  </si>
  <si>
    <t>Isoe Sakuto 磯江 咲仁</t>
  </si>
  <si>
    <t>070-2415-1218</t>
  </si>
  <si>
    <t>open_sesame21@icloud.com</t>
  </si>
  <si>
    <t>吉田 kai</t>
  </si>
  <si>
    <t>banned DOUBLE banned DEFINITELY. Do no accept.</t>
  </si>
  <si>
    <t>Atsushi</t>
  </si>
  <si>
    <t>Isoe</t>
  </si>
  <si>
    <t>Sakuto</t>
  </si>
  <si>
    <t>Tomome</t>
  </si>
  <si>
    <t>咲仁</t>
  </si>
  <si>
    <t>Wataru Shiraishi</t>
  </si>
  <si>
    <t>Yamakawa</t>
  </si>
  <si>
    <t>Miu</t>
  </si>
  <si>
    <t>作本</t>
  </si>
  <si>
    <t>美羽</t>
  </si>
  <si>
    <t>晴将</t>
  </si>
  <si>
    <t>feb</t>
  </si>
  <si>
    <t>藤 苗</t>
  </si>
  <si>
    <t>トウ ナエ</t>
  </si>
  <si>
    <t>イジリ</t>
  </si>
  <si>
    <t>281</t>
  </si>
  <si>
    <t>Lady -  Weeldays - afternoon</t>
  </si>
  <si>
    <t>080-6415-1064</t>
  </si>
  <si>
    <t>080-1535-4547</t>
  </si>
  <si>
    <t>古田香菜子</t>
  </si>
  <si>
    <t>080-3959-8815</t>
  </si>
  <si>
    <t>takainoue0718@gmail.com</t>
  </si>
  <si>
    <t>090-7467-4721</t>
  </si>
  <si>
    <t>tncoco33@gmail.com</t>
  </si>
  <si>
    <t>080-6414-6873</t>
  </si>
  <si>
    <t>kanyacoo@gmail.com</t>
  </si>
  <si>
    <t>〒 815-0033
南区大橋 4-6-7</t>
  </si>
  <si>
    <t>honochiyo1@gmail.com</t>
  </si>
  <si>
    <t>080-3946-0846</t>
  </si>
  <si>
    <t>don't know of when they can come yet But are interested by private. have Nao calll back</t>
  </si>
  <si>
    <t>March</t>
  </si>
  <si>
    <t>June</t>
  </si>
  <si>
    <t>Sakurai Kosako</t>
  </si>
  <si>
    <t>福岡市　南区　5-11-11-502</t>
  </si>
  <si>
    <t>816-0042　大野城市　中央2-5-17</t>
  </si>
  <si>
    <t>PC</t>
  </si>
  <si>
    <t>舩越</t>
  </si>
  <si>
    <t>舩越晶</t>
  </si>
  <si>
    <t>舩晶</t>
  </si>
  <si>
    <t>Funako</t>
  </si>
  <si>
    <t>Shiaki</t>
  </si>
  <si>
    <t>2/29/2026</t>
  </si>
  <si>
    <t>Etsuko</t>
  </si>
  <si>
    <t>NOT DECIDED YET</t>
  </si>
  <si>
    <t>yorozuyurika@gmail.com</t>
  </si>
  <si>
    <t>090-4672-4836</t>
  </si>
  <si>
    <t>大江　天七郎　由梨佳</t>
  </si>
  <si>
    <t>〒 812-0016
博多区博多駅南 4-1-30 602</t>
  </si>
  <si>
    <r>
      <t>内枦保　瑳久</t>
    </r>
    <r>
      <rPr>
        <sz val="12"/>
        <color theme="1"/>
        <rFont val="Aptos"/>
        <family val="2"/>
      </rPr>
      <t xml:space="preserve"> </t>
    </r>
    <r>
      <rPr>
        <sz val="12"/>
        <color theme="1"/>
        <rFont val="MS Gothic"/>
        <family val="3"/>
      </rPr>
      <t xml:space="preserve"> ウチヘ ボ サク</t>
    </r>
  </si>
  <si>
    <t>〒815-0042
福岡市南区若久1丁目26-28-303</t>
  </si>
  <si>
    <t>イノウエエリ</t>
  </si>
  <si>
    <r>
      <t>井上　敬弘 いのうえたかひろ</t>
    </r>
    <r>
      <rPr>
        <sz val="12"/>
        <color theme="1"/>
        <rFont val="Aptos"/>
        <family val="2"/>
      </rPr>
      <t xml:space="preserve"> </t>
    </r>
  </si>
  <si>
    <t>Has not paid taiken fee</t>
  </si>
  <si>
    <t>New plan three private a month. Started I January so pays difference from february. then 14850 onwards</t>
  </si>
  <si>
    <t>敬弘</t>
  </si>
  <si>
    <t>Takahiro</t>
  </si>
  <si>
    <t>福岡県福岡市南区井尻24-12-304</t>
  </si>
  <si>
    <t>sf</t>
  </si>
  <si>
    <t>cash . sf ok</t>
  </si>
  <si>
    <t>Sakumoto</t>
  </si>
  <si>
    <t>sf ok</t>
  </si>
  <si>
    <t>if RICO not ok for Feb then Feb in cash</t>
  </si>
  <si>
    <t>2/30/2026</t>
  </si>
  <si>
    <t>Paid for 11,12 and 1</t>
  </si>
  <si>
    <t>磯江</t>
  </si>
  <si>
    <t>090-9725-0730</t>
  </si>
  <si>
    <t>本店営業部</t>
  </si>
  <si>
    <t>5785470</t>
  </si>
  <si>
    <t>福岡市博多区美野島2-7-16-804</t>
  </si>
  <si>
    <t>1399217</t>
  </si>
  <si>
    <t>233</t>
  </si>
  <si>
    <t>住吉</t>
  </si>
  <si>
    <t>スミヨシ</t>
  </si>
  <si>
    <t>イソエコウスケ</t>
  </si>
  <si>
    <t>磯江浩輔</t>
  </si>
  <si>
    <t>作本理恵</t>
  </si>
  <si>
    <t>サクモトリエ</t>
  </si>
  <si>
    <t>move to 2 lesson a month regular price +1500 par single lesson</t>
  </si>
  <si>
    <t>井上敬弘</t>
  </si>
  <si>
    <t>黒門</t>
  </si>
  <si>
    <t>イノウエタカヒロ</t>
  </si>
  <si>
    <t>215</t>
  </si>
  <si>
    <t>1438532</t>
  </si>
  <si>
    <t>クロモン</t>
  </si>
  <si>
    <t>Rico notgiven yet. And she has not taken her lessons in February</t>
  </si>
  <si>
    <t>ヨシダアツシ</t>
  </si>
  <si>
    <t>イオン銀行</t>
  </si>
  <si>
    <t>アメジスト支店</t>
  </si>
  <si>
    <t>00-40</t>
  </si>
  <si>
    <t>002</t>
  </si>
  <si>
    <t>5705898</t>
  </si>
  <si>
    <t>吉田鳥史</t>
  </si>
  <si>
    <t>Rico not given yet. Must pay in cash</t>
  </si>
  <si>
    <t>晶</t>
  </si>
  <si>
    <t>嶋津真紀</t>
  </si>
  <si>
    <t>not booked yet but supposed to when she comes back from businexss trip</t>
  </si>
  <si>
    <t>roseflower.maki.0722@gmail.com</t>
  </si>
  <si>
    <t>090-4519-9819</t>
  </si>
  <si>
    <t>wants private but ok for group too. about to pass eiken. high schopol</t>
  </si>
  <si>
    <t>090-1193-3798</t>
  </si>
  <si>
    <t>only group. high school. not set time yet. to be called back</t>
  </si>
  <si>
    <t>Paid in cash. 2/25/2026</t>
  </si>
  <si>
    <t>Must pay in cash. Bank W not done</t>
  </si>
  <si>
    <t>090-23106435</t>
  </si>
  <si>
    <t>a appelé directement par téléphone, elle habite à Couroumé et s'est intéressée par des leçons online. Elle avait l'indécis, donc il faudrait la rappeler et lui proposer de faire un taiken online.</t>
  </si>
  <si>
    <t>090-1418-5094</t>
  </si>
  <si>
    <t>お問い合わせ内容:
体験レッスン希望です。よろしくお願いいたします。
選択しないと、送信できなかったので、高校生を選択しましたが、私は大人です。大人でもレッスンはうけられますか？</t>
  </si>
  <si>
    <t xml:space="preserve">MARI ONITSUKA </t>
  </si>
  <si>
    <t>laestrellarosa@docomo.ne.jp</t>
  </si>
  <si>
    <t>090-9071-7268</t>
  </si>
  <si>
    <t>natsuki9244@yahoo.co.jp</t>
  </si>
  <si>
    <t>Harusama</t>
  </si>
  <si>
    <t>chry0607@yahoo.co.jp</t>
  </si>
  <si>
    <t>園田千里</t>
  </si>
  <si>
    <t>お問い合わせ内容:
子どもの体験を考えています。
4月から年長になります。英語学習の経験はないです。
土曜日が希望なのですが、レッスンは何時からの枠がありますか？
他の習い事の時間もあるので、候補がいくつかあると助かります。
よろしくお願いします。</t>
  </si>
  <si>
    <t>ayanone203@gmail.com</t>
  </si>
  <si>
    <t>want one coin at 4. et pour ce prix la, tu suces?</t>
  </si>
  <si>
    <t>received 3/18</t>
  </si>
  <si>
    <t>back to normal</t>
  </si>
  <si>
    <t>Kento will also take private From March. But was not charged so, we charge here, He will take both private and group. 7000 + 10250</t>
  </si>
  <si>
    <t>change to 3 PR with Nao. 16875. 3 regular from base of 20500 a month with 1500 added because only three lessons taken</t>
  </si>
  <si>
    <t>090-1920-2931</t>
  </si>
  <si>
    <t>〒815-0033
福岡市南区大橋3-30-13-304</t>
  </si>
  <si>
    <t>oruuv05671@yahoo.co.jp</t>
  </si>
  <si>
    <t>梶原 英来 愛来</t>
  </si>
  <si>
    <t>two kids, aira came for taiekn at 10;00 Alex baby class. She was very shy. The sister wass supposed to take Alex class at 11:00 (Elementary). But they came a little before and said they would come on Monday. They are registered at ECC and seem ammoyed byt the contract locking. SO WE MAKE AN OFFER. If they join we will offer 50% of the entrrance fee.</t>
  </si>
  <si>
    <t>半田 陸（はんだ りく）</t>
  </si>
  <si>
    <t>〒812-0895
博多区竹下4丁目1-36-1104
マーテル竹下</t>
  </si>
  <si>
    <t>2026年3月28日</t>
  </si>
  <si>
    <t>0801-7827-659</t>
  </si>
  <si>
    <r>
      <t>中原　征士朗</t>
    </r>
    <r>
      <rPr>
        <sz val="12"/>
        <color theme="1"/>
        <rFont val="Aptos"/>
        <family val="2"/>
      </rPr>
      <t xml:space="preserve"> </t>
    </r>
  </si>
  <si>
    <t>satobe0424@gmail.com&gt;</t>
  </si>
  <si>
    <t>36600 refund. 19800 -1500 for March and April</t>
  </si>
  <si>
    <t>was absaent</t>
  </si>
  <si>
    <t>go should becharged more from April but he was not so to do in May. So in May + 600</t>
  </si>
  <si>
    <t>tvxq.l.v.jj@icloud.com</t>
  </si>
  <si>
    <t>080-1744-1764</t>
  </si>
  <si>
    <t>080-1107-1257</t>
  </si>
  <si>
    <t>sayo320193@gmail.com</t>
  </si>
  <si>
    <t xml:space="preserve">sawa kataoka </t>
  </si>
  <si>
    <t>4月25日</t>
  </si>
  <si>
    <t>090-2513-0113</t>
  </si>
  <si>
    <t>yuinakae0113@gmail.com</t>
  </si>
  <si>
    <t>4月27日</t>
  </si>
  <si>
    <t>back to normal. but need to charge +600 for march and +600 for february</t>
  </si>
  <si>
    <t>quite</t>
  </si>
  <si>
    <t>福永様</t>
  </si>
  <si>
    <r>
      <t>原田和</t>
    </r>
    <r>
      <rPr>
        <sz val="12"/>
        <color theme="1"/>
        <rFont val="Aptos"/>
        <family val="2"/>
      </rPr>
      <t xml:space="preserve"> </t>
    </r>
  </si>
  <si>
    <t>omarupio3104@gmail.com</t>
  </si>
  <si>
    <t>090-9487-3105</t>
  </si>
  <si>
    <t>kagochan.s15@gmail.com</t>
  </si>
  <si>
    <t>2026年3月16日</t>
  </si>
  <si>
    <t>篭原 尚央 カゴハラ ナオ</t>
  </si>
  <si>
    <t>福岡市博多区諸岡 3-12-15-501</t>
  </si>
  <si>
    <t xml:space="preserve">篭原 </t>
  </si>
  <si>
    <t>尚央</t>
  </si>
  <si>
    <t>Gohara</t>
  </si>
  <si>
    <t xml:space="preserve">半田 </t>
  </si>
  <si>
    <t>陸</t>
  </si>
  <si>
    <t>Riku</t>
  </si>
  <si>
    <t>Handa</t>
  </si>
  <si>
    <t>090-9011-7288</t>
  </si>
  <si>
    <t>福岡市博多区竹下4丁目1-36-1104
（マンション名：アンピール竹下）</t>
  </si>
  <si>
    <t>FF ok</t>
  </si>
  <si>
    <t>半田貴和</t>
  </si>
  <si>
    <t>kiwajj0814@icloud.com</t>
  </si>
  <si>
    <t>090-5382-5120</t>
  </si>
  <si>
    <t>charge 7000 + 400 +400 for April and may adjustment + SEND EMAIL to notify</t>
  </si>
  <si>
    <t>13200 (new fee) + 1100 For May</t>
  </si>
  <si>
    <t>MOTHER: icchigo1@yahoo.co.jp</t>
  </si>
  <si>
    <r>
      <t>市山</t>
    </r>
    <r>
      <rPr>
        <sz val="12"/>
        <color theme="1"/>
        <rFont val="Aptos"/>
        <family val="2"/>
      </rPr>
      <t xml:space="preserve"> </t>
    </r>
    <r>
      <rPr>
        <sz val="12"/>
        <color theme="1"/>
        <rFont val="MS Gothic"/>
        <family val="3"/>
      </rPr>
      <t>澪</t>
    </r>
  </si>
  <si>
    <t>Attente confir de leur part</t>
  </si>
  <si>
    <t>090-4357-3316</t>
  </si>
  <si>
    <t>tomtomary@yahoo.co.jp</t>
  </si>
  <si>
    <t xml:space="preserve"> STOPS END OF JUNEplus 300 For Shokeihi. Because he paid in Dec but not January</t>
  </si>
  <si>
    <t>2 eme taiken le 5/21 a 16:30</t>
  </si>
  <si>
    <t>refund for April and may</t>
    <phoneticPr fontId="43"/>
  </si>
  <si>
    <t>refund for april, 14850 et 220 tranfer fee</t>
    <phoneticPr fontId="43"/>
  </si>
  <si>
    <t>karen</t>
    <phoneticPr fontId="43"/>
  </si>
  <si>
    <t>13200 + 200 fees</t>
    <phoneticPr fontId="43"/>
  </si>
  <si>
    <t xml:space="preserve">refund for payment of 19800 in june instead of 6600. </t>
    <phoneticPr fontId="43"/>
  </si>
  <si>
    <t>refund for may to may 2026 of Sena fees. As a gesture I waived the renewal fee for may 2026</t>
    <phoneticPr fontId="43"/>
  </si>
  <si>
    <t>140 400 + 400 Fees</t>
    <phoneticPr fontId="43"/>
  </si>
  <si>
    <t>2026/6/31</t>
    <phoneticPr fontId="43"/>
  </si>
  <si>
    <t>n</t>
    <phoneticPr fontId="43"/>
  </si>
  <si>
    <t>n</t>
    <phoneticPr fontId="43"/>
  </si>
  <si>
    <t>stops end of june</t>
    <phoneticPr fontId="43"/>
  </si>
  <si>
    <t>July</t>
    <phoneticPr fontId="4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</si>
</sst>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_(* #,##0.00_);_(* \(#,##0.00\);_(* &quot;-&quot;??_);_(@_)"/>
    <numFmt numFmtId="177" formatCode="[$-F800]dddd\,\ mmmm\ dd\,\ yyyy"/>
    <numFmt numFmtId="178" formatCode="_(* #,##0_);_(* \(#,##0\);_(* &quot;-&quot;??_);_(@_)"/>
    <numFmt numFmtId="179" formatCode="dd/mm/yy"/>
  </numFmts>
  <fonts count="44">
    <font>
      <sz val="11"/>
      <color theme="1"/>
      <name val="ＭＳ Ｐゴシック"/>
      <family val="2"/>
      <scheme val="minor"/>
    </font>
    <font>
      <b/>
      <sz val="11"/>
      <name val="Calibri"/>
      <family val="2"/>
    </font>
    <font>
      <sz val="11"/>
      <color theme="1"/>
      <name val="Calibri"/>
      <family val="2"/>
    </font>
    <font>
      <u/>
      <sz val="11"/>
      <color theme="10"/>
      <name val="ＭＳ Ｐゴシック"/>
      <family val="2"/>
      <scheme val="minor"/>
    </font>
    <font>
      <sz val="10"/>
      <color theme="1"/>
      <name val="Arial"/>
      <family val="2"/>
    </font>
    <font>
      <sz val="12"/>
      <color theme="1"/>
      <name val="MS Gothic"/>
      <family val="3"/>
    </font>
    <font>
      <sz val="11"/>
      <color theme="1"/>
      <name val="MS Gothic"/>
      <family val="3"/>
    </font>
    <font>
      <sz val="11"/>
      <color theme="1"/>
      <name val="Yu Gothic"/>
      <family val="2"/>
    </font>
    <font>
      <sz val="12"/>
      <color theme="1"/>
      <name val="Aptos"/>
      <family val="2"/>
    </font>
    <font>
      <sz val="12"/>
      <color theme="1"/>
      <name val="Arial"/>
      <family val="2"/>
    </font>
    <font>
      <sz val="12"/>
      <color theme="1"/>
      <name val="Yu Gothic Light"/>
      <family val="2"/>
    </font>
    <font>
      <b/>
      <sz val="12"/>
      <color theme="1"/>
      <name val="Yu Gothic Light"/>
      <family val="2"/>
    </font>
    <font>
      <b/>
      <sz val="11"/>
      <name val="Calibri"/>
      <family val="2"/>
    </font>
    <font>
      <sz val="11"/>
      <color theme="1"/>
      <name val="Calibri"/>
      <family val="2"/>
    </font>
    <font>
      <sz val="11"/>
      <color theme="1"/>
      <name val="ＭＳ Ｐゴシック"/>
      <family val="2"/>
      <scheme val="minor"/>
    </font>
    <font>
      <b/>
      <sz val="11"/>
      <color theme="1"/>
      <name val="ＭＳ Ｐゴシック"/>
      <family val="2"/>
      <scheme val="minor"/>
    </font>
    <font>
      <b/>
      <sz val="12"/>
      <color theme="0"/>
      <name val="ＭＳ Ｐゴシック"/>
      <family val="2"/>
      <scheme val="minor"/>
    </font>
    <font>
      <b/>
      <sz val="11"/>
      <color theme="0"/>
      <name val="Calibri"/>
      <family val="2"/>
    </font>
    <font>
      <sz val="12"/>
      <color theme="0"/>
      <name val="ＭＳ Ｐゴシック"/>
      <family val="2"/>
      <scheme val="minor"/>
    </font>
    <font>
      <sz val="10"/>
      <name val="Arial"/>
      <family val="2"/>
    </font>
    <font>
      <b/>
      <sz val="12"/>
      <name val="ＭＳ Ｐゴシック"/>
      <family val="2"/>
      <scheme val="minor"/>
    </font>
    <font>
      <sz val="12"/>
      <name val="ＭＳ Ｐゴシック"/>
      <family val="2"/>
      <scheme val="minor"/>
    </font>
    <font>
      <b/>
      <sz val="11"/>
      <name val="Calibri"/>
      <family val="2"/>
    </font>
    <font>
      <sz val="11"/>
      <color theme="0"/>
      <name val="ＭＳ Ｐゴシック"/>
      <family val="2"/>
      <scheme val="minor"/>
    </font>
    <font>
      <sz val="10"/>
      <color theme="1"/>
      <name val="Arial Unicode MS"/>
    </font>
    <font>
      <i/>
      <sz val="11"/>
      <color theme="1"/>
      <name val="ＭＳ Ｐゴシック"/>
      <family val="2"/>
      <scheme val="minor"/>
    </font>
    <font>
      <sz val="11"/>
      <color rgb="FF000000"/>
      <name val="Google Sans Text"/>
    </font>
    <font>
      <sz val="11"/>
      <color rgb="FF242424"/>
      <name val="Segoe UI"/>
      <family val="2"/>
    </font>
    <font>
      <sz val="11"/>
      <color rgb="FF000000"/>
      <name val="Calibri"/>
      <family val="2"/>
    </font>
    <font>
      <b/>
      <sz val="18"/>
      <color rgb="FF808000"/>
      <name val="Calibri"/>
      <family val="2"/>
    </font>
    <font>
      <sz val="11"/>
      <color rgb="FFFF0000"/>
      <name val="ＭＳ Ｐゴシック"/>
      <family val="2"/>
      <scheme val="minor"/>
    </font>
    <font>
      <u/>
      <sz val="11"/>
      <color rgb="FFFF0000"/>
      <name val="ＭＳ Ｐゴシック"/>
      <family val="2"/>
      <scheme val="minor"/>
    </font>
    <font>
      <sz val="7"/>
      <color rgb="FF242424"/>
      <name val="Segoe UI"/>
      <family val="2"/>
    </font>
    <font>
      <sz val="9"/>
      <color rgb="FF000000"/>
      <name val="Courier New"/>
      <family val="3"/>
    </font>
    <font>
      <sz val="12"/>
      <color rgb="FF000000"/>
      <name val="Aptos"/>
      <family val="2"/>
    </font>
    <font>
      <sz val="7"/>
      <color rgb="FF00467D"/>
      <name val="Segoe UI"/>
      <family val="2"/>
    </font>
    <font>
      <sz val="10"/>
      <color theme="1"/>
      <name val="Calibri"/>
      <family val="2"/>
    </font>
    <font>
      <sz val="11"/>
      <color rgb="FF0F6CBD"/>
      <name val="Segoe UI"/>
      <family val="2"/>
    </font>
    <font>
      <sz val="21"/>
      <color rgb="FF242424"/>
      <name val="Segoe UI"/>
      <family val="2"/>
    </font>
    <font>
      <sz val="21"/>
      <color rgb="FF242424"/>
      <name val="Segoe UI"/>
      <family val="2"/>
    </font>
    <font>
      <sz val="11"/>
      <color rgb="FF242424"/>
      <name val="Segoe UI"/>
      <family val="2"/>
    </font>
    <font>
      <sz val="12"/>
      <color rgb="FF333333"/>
      <name val="Arial"/>
      <family val="2"/>
    </font>
    <font>
      <sz val="11"/>
      <color theme="1"/>
      <name val="Aptos Light"/>
      <family val="2"/>
    </font>
    <font>
      <sz val="6"/>
      <name val="ＭＳ Ｐゴシック"/>
      <family val="3"/>
      <charset val="128"/>
      <scheme val="minor"/>
    </font>
  </fonts>
  <fills count="28">
    <fill>
      <patternFill patternType="none"/>
    </fill>
    <fill>
      <patternFill patternType="gray125"/>
    </fill>
    <fill>
      <patternFill patternType="solid">
        <fgColor rgb="FFFCE4D6"/>
        <bgColor indexed="64"/>
      </patternFill>
    </fill>
    <fill>
      <patternFill patternType="solid">
        <fgColor rgb="FF92D050"/>
        <bgColor indexed="64"/>
      </patternFill>
    </fill>
    <fill>
      <patternFill patternType="solid">
        <fgColor rgb="FFFFFF00"/>
        <bgColor indexed="64"/>
      </patternFill>
    </fill>
    <fill>
      <patternFill patternType="solid">
        <fgColor rgb="FF999999"/>
        <bgColor indexed="64"/>
      </patternFill>
    </fill>
    <fill>
      <patternFill patternType="solid">
        <fgColor rgb="FF00B050"/>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0"/>
        <bgColor indexed="64"/>
      </patternFill>
    </fill>
    <fill>
      <patternFill patternType="solid">
        <fgColor theme="3" tint="0.59999389629810485"/>
        <bgColor indexed="64"/>
      </patternFill>
    </fill>
    <fill>
      <patternFill patternType="solid">
        <fgColor theme="9" tint="-0.249977111117893"/>
        <bgColor indexed="64"/>
      </patternFill>
    </fill>
    <fill>
      <patternFill patternType="solid">
        <fgColor theme="4" tint="0.79998168889431442"/>
        <bgColor theme="4" tint="0.79998168889431442"/>
      </patternFill>
    </fill>
    <fill>
      <patternFill patternType="solid">
        <fgColor theme="7" tint="0.79998168889431442"/>
        <bgColor indexed="64"/>
      </patternFill>
    </fill>
    <fill>
      <patternFill patternType="solid">
        <fgColor rgb="FFFFC000"/>
        <bgColor indexed="64"/>
      </patternFill>
    </fill>
    <fill>
      <patternFill patternType="solid">
        <fgColor theme="0" tint="-0.14999847407452621"/>
        <bgColor theme="0" tint="-0.14999847407452621"/>
      </patternFill>
    </fill>
    <fill>
      <patternFill patternType="solid">
        <fgColor theme="4"/>
      </patternFill>
    </fill>
    <fill>
      <patternFill patternType="solid">
        <fgColor theme="0" tint="-0.34998626667073579"/>
        <bgColor theme="0" tint="-0.34998626667073579"/>
      </patternFill>
    </fill>
    <fill>
      <patternFill patternType="solid">
        <fgColor rgb="FFFF0000"/>
        <bgColor indexed="64"/>
      </patternFill>
    </fill>
    <fill>
      <patternFill patternType="solid">
        <fgColor rgb="FFFFFF99"/>
        <bgColor theme="0" tint="-0.14999847407452621"/>
      </patternFill>
    </fill>
    <fill>
      <patternFill patternType="solid">
        <fgColor rgb="FFFFFF00"/>
        <bgColor theme="0" tint="-0.14999847407452621"/>
      </patternFill>
    </fill>
    <fill>
      <patternFill patternType="solid">
        <fgColor rgb="FFFF0000"/>
        <bgColor theme="0" tint="-0.14999847407452621"/>
      </patternFill>
    </fill>
    <fill>
      <patternFill patternType="solid">
        <fgColor rgb="FFC00000"/>
        <bgColor theme="0" tint="-0.14999847407452621"/>
      </patternFill>
    </fill>
    <fill>
      <patternFill patternType="solid">
        <fgColor theme="0" tint="-0.14999847407452621"/>
        <bgColor indexed="64"/>
      </patternFill>
    </fill>
    <fill>
      <patternFill patternType="solid">
        <fgColor rgb="FFC00000"/>
        <bgColor indexed="64"/>
      </patternFill>
    </fill>
    <fill>
      <patternFill patternType="solid">
        <fgColor rgb="FFFFFF99"/>
        <bgColor indexed="64"/>
      </patternFill>
    </fill>
    <fill>
      <patternFill patternType="solid">
        <fgColor rgb="FF0070C0"/>
        <bgColor indexed="64"/>
      </patternFill>
    </fill>
  </fills>
  <borders count="31">
    <border>
      <left/>
      <right/>
      <top/>
      <bottom/>
      <diagonal/>
    </border>
    <border>
      <left style="medium">
        <color rgb="FFCCCCCC"/>
      </left>
      <right style="medium">
        <color rgb="FFCCCCCC"/>
      </right>
      <top style="medium">
        <color rgb="FFCCCCCC"/>
      </top>
      <bottom style="medium">
        <color rgb="FFCCCCCC"/>
      </bottom>
      <diagonal/>
    </border>
    <border>
      <left style="medium">
        <color rgb="FFCCCCCC"/>
      </left>
      <right/>
      <top style="medium">
        <color rgb="FFCCCCCC"/>
      </top>
      <bottom style="medium">
        <color rgb="FFCCCCCC"/>
      </bottom>
      <diagonal/>
    </border>
    <border>
      <left/>
      <right/>
      <top style="medium">
        <color rgb="FFCCCCCC"/>
      </top>
      <bottom style="medium">
        <color rgb="FFCCCCCC"/>
      </bottom>
      <diagonal/>
    </border>
    <border>
      <left/>
      <right style="medium">
        <color rgb="FFCCCCCC"/>
      </right>
      <top style="medium">
        <color rgb="FFCCCCCC"/>
      </top>
      <bottom style="medium">
        <color rgb="FFCCCCCC"/>
      </bottom>
      <diagonal/>
    </border>
    <border>
      <left style="medium">
        <color rgb="FFCCCCCC"/>
      </left>
      <right style="medium">
        <color rgb="FFCCCCCC"/>
      </right>
      <top/>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top/>
      <bottom style="thin">
        <color theme="1"/>
      </bottom>
      <diagonal/>
    </border>
    <border>
      <left style="thin">
        <color auto="1"/>
      </left>
      <right style="thin">
        <color auto="1"/>
      </right>
      <top/>
      <bottom/>
      <diagonal/>
    </border>
    <border>
      <left style="thin">
        <color theme="0"/>
      </left>
      <right style="thin">
        <color theme="0"/>
      </right>
      <top style="thin">
        <color theme="0"/>
      </top>
      <bottom style="thin">
        <color theme="0"/>
      </bottom>
      <diagonal/>
    </border>
    <border>
      <left style="thin">
        <color rgb="FFABABAB"/>
      </left>
      <right/>
      <top style="thin">
        <color rgb="FFABABAB"/>
      </top>
      <bottom/>
      <diagonal/>
    </border>
    <border>
      <left style="thin">
        <color indexed="65"/>
      </left>
      <right/>
      <top style="thin">
        <color rgb="FFABABAB"/>
      </top>
      <bottom/>
      <diagonal/>
    </border>
    <border>
      <left style="thin">
        <color indexed="65"/>
      </left>
      <right style="thin">
        <color rgb="FFABABAB"/>
      </right>
      <top style="thin">
        <color rgb="FFABABAB"/>
      </top>
      <bottom/>
      <diagonal/>
    </border>
    <border>
      <left style="thin">
        <color rgb="FFABABAB"/>
      </left>
      <right/>
      <top style="thin">
        <color indexed="65"/>
      </top>
      <bottom/>
      <diagonal/>
    </border>
    <border>
      <left style="thin">
        <color indexed="65"/>
      </left>
      <right/>
      <top style="thin">
        <color indexed="65"/>
      </top>
      <bottom/>
      <diagonal/>
    </border>
    <border>
      <left style="thin">
        <color indexed="65"/>
      </left>
      <right style="thin">
        <color rgb="FFABABAB"/>
      </right>
      <top style="thin">
        <color indexed="65"/>
      </top>
      <bottom/>
      <diagonal/>
    </border>
    <border>
      <left style="thin">
        <color rgb="FFABABAB"/>
      </left>
      <right/>
      <top style="thin">
        <color indexed="65"/>
      </top>
      <bottom style="thin">
        <color rgb="FFABABAB"/>
      </bottom>
      <diagonal/>
    </border>
    <border>
      <left style="thin">
        <color indexed="65"/>
      </left>
      <right/>
      <top style="thin">
        <color indexed="65"/>
      </top>
      <bottom style="thin">
        <color rgb="FFABABAB"/>
      </bottom>
      <diagonal/>
    </border>
    <border>
      <left style="thin">
        <color indexed="65"/>
      </left>
      <right style="thin">
        <color rgb="FFABABAB"/>
      </right>
      <top style="thin">
        <color indexed="65"/>
      </top>
      <bottom style="thin">
        <color rgb="FFABABAB"/>
      </bottom>
      <diagonal/>
    </border>
    <border>
      <left style="medium">
        <color rgb="FFCCCCCC"/>
      </left>
      <right style="medium">
        <color rgb="FFCCCCCC"/>
      </right>
      <top style="medium">
        <color rgb="FFCCCCCC"/>
      </top>
      <bottom/>
      <diagonal/>
    </border>
    <border>
      <left/>
      <right/>
      <top/>
      <bottom style="thin">
        <color indexed="64"/>
      </bottom>
      <diagonal/>
    </border>
    <border>
      <left style="thin">
        <color theme="0"/>
      </left>
      <right/>
      <top style="thin">
        <color theme="0"/>
      </top>
      <bottom style="thin">
        <color theme="0"/>
      </bottom>
      <diagonal/>
    </border>
  </borders>
  <cellStyleXfs count="5">
    <xf numFmtId="0" fontId="0" fillId="0" borderId="0"/>
    <xf numFmtId="0" fontId="3" fillId="0" borderId="0"/>
    <xf numFmtId="9" fontId="14" fillId="0" borderId="0"/>
    <xf numFmtId="176" fontId="14" fillId="0" borderId="0"/>
    <xf numFmtId="0" fontId="23" fillId="17" borderId="0"/>
  </cellStyleXfs>
  <cellXfs count="305">
    <xf numFmtId="0" fontId="0" fillId="0" borderId="0" xfId="0"/>
    <xf numFmtId="0" fontId="4" fillId="0" borderId="1" xfId="0" applyFont="1" applyBorder="1" applyAlignment="1">
      <alignment wrapText="1"/>
    </xf>
    <xf numFmtId="0" fontId="2" fillId="3" borderId="1" xfId="0" applyFont="1" applyFill="1" applyBorder="1" applyAlignment="1">
      <alignment wrapText="1"/>
    </xf>
    <xf numFmtId="0" fontId="5" fillId="3" borderId="1" xfId="0" applyFont="1" applyFill="1" applyBorder="1" applyAlignment="1">
      <alignment wrapText="1"/>
    </xf>
    <xf numFmtId="0" fontId="3" fillId="0" borderId="1" xfId="1" applyBorder="1" applyAlignment="1">
      <alignment wrapText="1"/>
    </xf>
    <xf numFmtId="0" fontId="2" fillId="3" borderId="1" xfId="0" applyFont="1" applyFill="1" applyBorder="1" applyAlignment="1">
      <alignment horizontal="right" wrapText="1"/>
    </xf>
    <xf numFmtId="0" fontId="4" fillId="3" borderId="1" xfId="0" applyFont="1" applyFill="1" applyBorder="1" applyAlignment="1">
      <alignment wrapText="1"/>
    </xf>
    <xf numFmtId="0" fontId="6" fillId="3" borderId="1" xfId="0" applyFont="1" applyFill="1" applyBorder="1" applyAlignment="1">
      <alignment wrapText="1"/>
    </xf>
    <xf numFmtId="0" fontId="6" fillId="3" borderId="1" xfId="0" applyFont="1" applyFill="1" applyBorder="1" applyAlignment="1">
      <alignment vertical="center"/>
    </xf>
    <xf numFmtId="0" fontId="2" fillId="0" borderId="1" xfId="0" applyFont="1" applyBorder="1" applyAlignment="1">
      <alignment horizontal="right" wrapText="1"/>
    </xf>
    <xf numFmtId="0" fontId="2" fillId="0" borderId="1" xfId="0" applyFont="1" applyBorder="1" applyAlignment="1">
      <alignment wrapText="1"/>
    </xf>
    <xf numFmtId="0" fontId="3" fillId="3" borderId="1" xfId="1" applyFill="1" applyBorder="1" applyAlignment="1">
      <alignment wrapText="1"/>
    </xf>
    <xf numFmtId="0" fontId="2" fillId="4" borderId="1" xfId="0" applyFont="1" applyFill="1" applyBorder="1" applyAlignment="1">
      <alignment wrapText="1"/>
    </xf>
    <xf numFmtId="0" fontId="3" fillId="0" borderId="0" xfId="1"/>
    <xf numFmtId="0" fontId="2" fillId="4" borderId="1" xfId="0" applyFont="1" applyFill="1" applyBorder="1" applyAlignment="1">
      <alignment horizontal="right" wrapText="1"/>
    </xf>
    <xf numFmtId="20" fontId="2" fillId="4" borderId="1" xfId="0" applyNumberFormat="1" applyFont="1" applyFill="1" applyBorder="1" applyAlignment="1">
      <alignment horizontal="right" wrapText="1"/>
    </xf>
    <xf numFmtId="0" fontId="4" fillId="4" borderId="1" xfId="0" applyFont="1" applyFill="1" applyBorder="1" applyAlignment="1">
      <alignment wrapText="1"/>
    </xf>
    <xf numFmtId="0" fontId="6" fillId="4" borderId="1" xfId="0" applyFont="1" applyFill="1" applyBorder="1" applyAlignment="1">
      <alignment vertical="center"/>
    </xf>
    <xf numFmtId="0" fontId="6" fillId="4" borderId="1" xfId="0" applyFont="1" applyFill="1" applyBorder="1" applyAlignment="1">
      <alignment wrapText="1"/>
    </xf>
    <xf numFmtId="0" fontId="5" fillId="0" borderId="1" xfId="0" applyFont="1" applyBorder="1" applyAlignment="1">
      <alignment wrapText="1"/>
    </xf>
    <xf numFmtId="0" fontId="6" fillId="0" borderId="1" xfId="0" applyFont="1" applyBorder="1" applyAlignment="1">
      <alignment wrapText="1"/>
    </xf>
    <xf numFmtId="0" fontId="2" fillId="0" borderId="1" xfId="0" applyFont="1" applyBorder="1" applyAlignment="1">
      <alignment vertical="center"/>
    </xf>
    <xf numFmtId="0" fontId="7" fillId="0" borderId="1" xfId="0" applyFont="1" applyBorder="1" applyAlignment="1">
      <alignment wrapText="1"/>
    </xf>
    <xf numFmtId="20" fontId="2" fillId="0" borderId="1" xfId="0" applyNumberFormat="1" applyFont="1" applyBorder="1" applyAlignment="1">
      <alignment horizontal="right" wrapText="1"/>
    </xf>
    <xf numFmtId="0" fontId="3" fillId="0" borderId="1" xfId="1" applyBorder="1" applyAlignment="1">
      <alignment vertical="center"/>
    </xf>
    <xf numFmtId="20" fontId="2" fillId="3" borderId="1" xfId="0" applyNumberFormat="1" applyFont="1" applyFill="1" applyBorder="1" applyAlignment="1">
      <alignment horizontal="right" wrapText="1"/>
    </xf>
    <xf numFmtId="0" fontId="2" fillId="5" borderId="1" xfId="0" applyFont="1" applyFill="1" applyBorder="1" applyAlignment="1">
      <alignment wrapText="1"/>
    </xf>
    <xf numFmtId="0" fontId="4" fillId="5" borderId="1" xfId="0" applyFont="1" applyFill="1" applyBorder="1" applyAlignment="1">
      <alignment wrapText="1"/>
    </xf>
    <xf numFmtId="20" fontId="2" fillId="5" borderId="1" xfId="0" applyNumberFormat="1" applyFont="1" applyFill="1" applyBorder="1" applyAlignment="1">
      <alignment horizontal="right" wrapText="1"/>
    </xf>
    <xf numFmtId="0" fontId="2" fillId="5" borderId="1" xfId="0" applyFont="1" applyFill="1" applyBorder="1" applyAlignment="1">
      <alignment vertical="center"/>
    </xf>
    <xf numFmtId="0" fontId="3" fillId="4" borderId="1" xfId="1" applyFill="1" applyBorder="1" applyAlignment="1">
      <alignment vertical="center"/>
    </xf>
    <xf numFmtId="0" fontId="0" fillId="4" borderId="0" xfId="0" applyFill="1"/>
    <xf numFmtId="0" fontId="2" fillId="0" borderId="0" xfId="0" applyFont="1" applyAlignment="1">
      <alignment vertical="center"/>
    </xf>
    <xf numFmtId="0" fontId="9" fillId="4" borderId="1" xfId="0" applyFont="1" applyFill="1" applyBorder="1" applyAlignment="1">
      <alignment wrapText="1"/>
    </xf>
    <xf numFmtId="20" fontId="4" fillId="4" borderId="1" xfId="0" applyNumberFormat="1" applyFont="1" applyFill="1" applyBorder="1" applyAlignment="1">
      <alignment horizontal="right" wrapText="1"/>
    </xf>
    <xf numFmtId="0" fontId="9" fillId="0" borderId="1" xfId="0" applyFont="1" applyBorder="1" applyAlignment="1">
      <alignment wrapText="1"/>
    </xf>
    <xf numFmtId="0" fontId="5" fillId="0" borderId="0" xfId="0" applyFont="1"/>
    <xf numFmtId="0" fontId="0" fillId="0" borderId="0" xfId="0" applyAlignment="1">
      <alignment vertical="center"/>
    </xf>
    <xf numFmtId="14" fontId="0" fillId="0" borderId="0" xfId="0" applyNumberFormat="1"/>
    <xf numFmtId="0" fontId="6" fillId="0" borderId="0" xfId="0" applyFont="1" applyAlignment="1">
      <alignment vertical="center"/>
    </xf>
    <xf numFmtId="0" fontId="0" fillId="0" borderId="0" xfId="0" applyAlignment="1">
      <alignment wrapText="1"/>
    </xf>
    <xf numFmtId="0" fontId="4" fillId="0" borderId="5" xfId="0" applyFont="1" applyBorder="1" applyAlignment="1">
      <alignment wrapText="1"/>
    </xf>
    <xf numFmtId="0" fontId="2" fillId="4" borderId="0" xfId="0" applyFont="1" applyFill="1" applyAlignment="1">
      <alignment wrapText="1"/>
    </xf>
    <xf numFmtId="0" fontId="4" fillId="0" borderId="0" xfId="0" applyFont="1" applyAlignment="1">
      <alignment wrapText="1"/>
    </xf>
    <xf numFmtId="0" fontId="6" fillId="0" borderId="5" xfId="0" applyFont="1" applyBorder="1" applyAlignment="1">
      <alignment wrapText="1"/>
    </xf>
    <xf numFmtId="20" fontId="0" fillId="0" borderId="0" xfId="0" applyNumberFormat="1"/>
    <xf numFmtId="0" fontId="8" fillId="3" borderId="1" xfId="0" applyFont="1" applyFill="1" applyBorder="1" applyAlignment="1">
      <alignment wrapText="1"/>
    </xf>
    <xf numFmtId="0" fontId="3" fillId="3" borderId="1" xfId="1" applyFill="1" applyBorder="1" applyAlignment="1">
      <alignment vertical="center"/>
    </xf>
    <xf numFmtId="0" fontId="2" fillId="3" borderId="0" xfId="0" applyFont="1" applyFill="1" applyAlignment="1">
      <alignment vertical="center"/>
    </xf>
    <xf numFmtId="0" fontId="0" fillId="3" borderId="0" xfId="0" applyFill="1"/>
    <xf numFmtId="0" fontId="9" fillId="3" borderId="1" xfId="0" applyFont="1" applyFill="1" applyBorder="1" applyAlignment="1">
      <alignment wrapText="1"/>
    </xf>
    <xf numFmtId="20" fontId="4" fillId="3" borderId="1" xfId="0" applyNumberFormat="1" applyFont="1" applyFill="1" applyBorder="1" applyAlignment="1">
      <alignment wrapText="1"/>
    </xf>
    <xf numFmtId="0" fontId="3" fillId="4" borderId="0" xfId="1" applyFill="1"/>
    <xf numFmtId="20" fontId="0" fillId="4" borderId="0" xfId="0" applyNumberFormat="1" applyFill="1"/>
    <xf numFmtId="0" fontId="6" fillId="4" borderId="0" xfId="0" applyFont="1" applyFill="1" applyAlignment="1">
      <alignment vertical="center"/>
    </xf>
    <xf numFmtId="0" fontId="0" fillId="4" borderId="0" xfId="0" applyFill="1" applyAlignment="1">
      <alignment vertical="center"/>
    </xf>
    <xf numFmtId="0" fontId="5" fillId="3" borderId="0" xfId="0" applyFont="1" applyFill="1"/>
    <xf numFmtId="0" fontId="5" fillId="6" borderId="0" xfId="0" applyFont="1" applyFill="1"/>
    <xf numFmtId="0" fontId="3" fillId="6" borderId="0" xfId="1" applyFill="1"/>
    <xf numFmtId="0" fontId="0" fillId="6" borderId="0" xfId="0" applyFill="1"/>
    <xf numFmtId="0" fontId="2" fillId="6" borderId="0" xfId="0" applyFont="1" applyFill="1" applyAlignment="1">
      <alignment wrapText="1"/>
    </xf>
    <xf numFmtId="20" fontId="0" fillId="6" borderId="0" xfId="0" applyNumberFormat="1" applyFill="1"/>
    <xf numFmtId="0" fontId="6" fillId="6" borderId="0" xfId="0" applyFont="1" applyFill="1" applyAlignment="1">
      <alignment vertical="center"/>
    </xf>
    <xf numFmtId="0" fontId="0" fillId="6" borderId="0" xfId="0" applyFill="1" applyAlignment="1">
      <alignment wrapText="1"/>
    </xf>
    <xf numFmtId="0" fontId="4" fillId="6" borderId="0" xfId="0" applyFont="1" applyFill="1" applyAlignment="1">
      <alignment wrapText="1"/>
    </xf>
    <xf numFmtId="46" fontId="0" fillId="3" borderId="0" xfId="0" applyNumberFormat="1" applyFill="1"/>
    <xf numFmtId="0" fontId="6" fillId="3" borderId="0" xfId="0" applyFont="1" applyFill="1" applyAlignment="1">
      <alignment vertical="center"/>
    </xf>
    <xf numFmtId="0" fontId="3" fillId="3" borderId="0" xfId="1" applyFill="1"/>
    <xf numFmtId="0" fontId="13" fillId="4" borderId="0" xfId="0" applyFont="1" applyFill="1" applyAlignment="1">
      <alignment wrapText="1"/>
    </xf>
    <xf numFmtId="14" fontId="2" fillId="3" borderId="1" xfId="0" applyNumberFormat="1" applyFont="1" applyFill="1" applyBorder="1" applyAlignment="1">
      <alignment horizontal="left" wrapText="1"/>
    </xf>
    <xf numFmtId="14" fontId="2" fillId="0" borderId="1" xfId="0" applyNumberFormat="1" applyFont="1" applyBorder="1" applyAlignment="1">
      <alignment horizontal="left" wrapText="1"/>
    </xf>
    <xf numFmtId="16" fontId="2" fillId="3" borderId="1" xfId="0" applyNumberFormat="1" applyFont="1" applyFill="1" applyBorder="1" applyAlignment="1">
      <alignment horizontal="left" wrapText="1"/>
    </xf>
    <xf numFmtId="14" fontId="2" fillId="4" borderId="1" xfId="0" applyNumberFormat="1" applyFont="1" applyFill="1" applyBorder="1" applyAlignment="1">
      <alignment horizontal="left" wrapText="1"/>
    </xf>
    <xf numFmtId="0" fontId="4" fillId="4" borderId="1" xfId="0" applyFont="1" applyFill="1" applyBorder="1" applyAlignment="1">
      <alignment horizontal="left" wrapText="1"/>
    </xf>
    <xf numFmtId="14" fontId="2" fillId="5" borderId="1" xfId="0" applyNumberFormat="1" applyFont="1" applyFill="1" applyBorder="1" applyAlignment="1">
      <alignment horizontal="left" wrapText="1"/>
    </xf>
    <xf numFmtId="14" fontId="4" fillId="4" borderId="1" xfId="0" applyNumberFormat="1" applyFont="1" applyFill="1" applyBorder="1" applyAlignment="1">
      <alignment horizontal="left" wrapText="1"/>
    </xf>
    <xf numFmtId="14" fontId="4" fillId="3" borderId="1" xfId="0" applyNumberFormat="1" applyFont="1" applyFill="1" applyBorder="1" applyAlignment="1">
      <alignment horizontal="left" wrapText="1"/>
    </xf>
    <xf numFmtId="14" fontId="0" fillId="0" borderId="0" xfId="0" applyNumberFormat="1" applyAlignment="1">
      <alignment horizontal="left"/>
    </xf>
    <xf numFmtId="0" fontId="0" fillId="0" borderId="0" xfId="0" applyAlignment="1">
      <alignment horizontal="left"/>
    </xf>
    <xf numFmtId="14" fontId="0" fillId="6" borderId="0" xfId="0" applyNumberFormat="1" applyFill="1" applyAlignment="1">
      <alignment horizontal="left"/>
    </xf>
    <xf numFmtId="14" fontId="0" fillId="3" borderId="0" xfId="0" applyNumberFormat="1" applyFill="1" applyAlignment="1">
      <alignment horizontal="left"/>
    </xf>
    <xf numFmtId="0" fontId="0" fillId="4" borderId="0" xfId="0" applyFill="1" applyAlignment="1">
      <alignment horizontal="left"/>
    </xf>
    <xf numFmtId="0" fontId="11" fillId="0" borderId="0" xfId="0" applyFont="1" applyAlignment="1">
      <alignment horizontal="left"/>
    </xf>
    <xf numFmtId="0" fontId="8" fillId="3" borderId="0" xfId="0" applyFont="1" applyFill="1"/>
    <xf numFmtId="0" fontId="2" fillId="3" borderId="0" xfId="0" applyFont="1" applyFill="1" applyAlignment="1">
      <alignment wrapText="1"/>
    </xf>
    <xf numFmtId="20" fontId="0" fillId="3" borderId="0" xfId="0" applyNumberFormat="1" applyFill="1"/>
    <xf numFmtId="0" fontId="0" fillId="3" borderId="0" xfId="0" applyFill="1" applyAlignment="1">
      <alignment vertical="center"/>
    </xf>
    <xf numFmtId="0" fontId="0" fillId="3" borderId="0" xfId="0" applyFill="1" applyAlignment="1">
      <alignment wrapText="1"/>
    </xf>
    <xf numFmtId="0" fontId="0" fillId="0" borderId="0" xfId="0" pivotButton="1"/>
    <xf numFmtId="9" fontId="0" fillId="0" borderId="0" xfId="2" applyFont="1"/>
    <xf numFmtId="0" fontId="0" fillId="0" borderId="7" xfId="0" applyBorder="1"/>
    <xf numFmtId="0" fontId="0" fillId="0" borderId="9" xfId="0" applyBorder="1"/>
    <xf numFmtId="0" fontId="15" fillId="0" borderId="0" xfId="0" applyFont="1"/>
    <xf numFmtId="0" fontId="15" fillId="0" borderId="8" xfId="0" applyFont="1" applyBorder="1"/>
    <xf numFmtId="0" fontId="16" fillId="0" borderId="0" xfId="0" applyFont="1"/>
    <xf numFmtId="0" fontId="15" fillId="7" borderId="0" xfId="0" applyFont="1" applyFill="1" applyAlignment="1">
      <alignment horizontal="center" vertical="center"/>
    </xf>
    <xf numFmtId="0" fontId="17" fillId="6" borderId="6" xfId="0" applyFont="1" applyFill="1" applyBorder="1" applyAlignment="1">
      <alignment horizontal="center" vertical="top"/>
    </xf>
    <xf numFmtId="0" fontId="18" fillId="0" borderId="0" xfId="0" applyFont="1"/>
    <xf numFmtId="0" fontId="16" fillId="0" borderId="0" xfId="0" applyFont="1" applyAlignment="1">
      <alignment wrapText="1"/>
    </xf>
    <xf numFmtId="0" fontId="0" fillId="8" borderId="7" xfId="0" applyFill="1" applyBorder="1"/>
    <xf numFmtId="0" fontId="16" fillId="0" borderId="0" xfId="0" applyFont="1" applyAlignment="1">
      <alignment horizontal="center"/>
    </xf>
    <xf numFmtId="1" fontId="0" fillId="0" borderId="0" xfId="2" applyNumberFormat="1" applyFont="1"/>
    <xf numFmtId="9" fontId="0" fillId="8" borderId="7" xfId="2" applyFont="1" applyFill="1" applyBorder="1"/>
    <xf numFmtId="1" fontId="0" fillId="8" borderId="7" xfId="2" applyNumberFormat="1" applyFont="1" applyFill="1" applyBorder="1"/>
    <xf numFmtId="0" fontId="3" fillId="0" borderId="2" xfId="1" applyBorder="1" applyAlignment="1">
      <alignment wrapText="1"/>
    </xf>
    <xf numFmtId="0" fontId="3" fillId="0" borderId="4" xfId="1" applyBorder="1" applyAlignment="1">
      <alignment wrapText="1"/>
    </xf>
    <xf numFmtId="0" fontId="2" fillId="0" borderId="2" xfId="0" applyFont="1" applyBorder="1" applyAlignment="1">
      <alignment wrapText="1"/>
    </xf>
    <xf numFmtId="0" fontId="2" fillId="0" borderId="3" xfId="0" applyFont="1" applyBorder="1" applyAlignment="1">
      <alignment wrapText="1"/>
    </xf>
    <xf numFmtId="0" fontId="2" fillId="0" borderId="4" xfId="0" applyFont="1" applyBorder="1" applyAlignment="1">
      <alignment wrapText="1"/>
    </xf>
    <xf numFmtId="0" fontId="6" fillId="3" borderId="2" xfId="0" applyFont="1" applyFill="1" applyBorder="1" applyAlignment="1">
      <alignment wrapText="1"/>
    </xf>
    <xf numFmtId="0" fontId="6" fillId="3" borderId="3" xfId="0" applyFont="1" applyFill="1" applyBorder="1" applyAlignment="1">
      <alignment wrapText="1"/>
    </xf>
    <xf numFmtId="0" fontId="6" fillId="3" borderId="4" xfId="0" applyFont="1" applyFill="1" applyBorder="1" applyAlignment="1">
      <alignment wrapText="1"/>
    </xf>
    <xf numFmtId="0" fontId="6" fillId="0" borderId="2" xfId="0" applyFont="1" applyBorder="1" applyAlignment="1">
      <alignment wrapText="1"/>
    </xf>
    <xf numFmtId="0" fontId="6" fillId="0" borderId="3" xfId="0" applyFont="1" applyBorder="1" applyAlignment="1">
      <alignment wrapText="1"/>
    </xf>
    <xf numFmtId="0" fontId="6" fillId="0" borderId="4" xfId="0" applyFont="1" applyBorder="1" applyAlignment="1">
      <alignment wrapText="1"/>
    </xf>
    <xf numFmtId="0" fontId="2" fillId="4" borderId="2" xfId="0" applyFont="1" applyFill="1" applyBorder="1" applyAlignment="1">
      <alignment wrapText="1"/>
    </xf>
    <xf numFmtId="0" fontId="2" fillId="4" borderId="4" xfId="0" applyFont="1" applyFill="1" applyBorder="1" applyAlignment="1">
      <alignment wrapText="1"/>
    </xf>
    <xf numFmtId="0" fontId="2" fillId="4" borderId="3" xfId="0" applyFont="1" applyFill="1" applyBorder="1" applyAlignment="1">
      <alignment wrapText="1"/>
    </xf>
    <xf numFmtId="0" fontId="16" fillId="6" borderId="0" xfId="0" applyFont="1" applyFill="1" applyAlignment="1">
      <alignment horizontal="center"/>
    </xf>
    <xf numFmtId="0" fontId="1" fillId="0" borderId="6" xfId="0" applyFont="1" applyBorder="1" applyAlignment="1">
      <alignment horizontal="center" vertical="top"/>
    </xf>
    <xf numFmtId="0" fontId="12" fillId="0" borderId="6" xfId="0" applyFont="1" applyBorder="1" applyAlignment="1">
      <alignment horizontal="center" vertical="top"/>
    </xf>
    <xf numFmtId="0" fontId="19" fillId="2" borderId="1" xfId="0" applyFont="1" applyFill="1" applyBorder="1" applyAlignment="1">
      <alignment wrapText="1"/>
    </xf>
    <xf numFmtId="0" fontId="1" fillId="2" borderId="1" xfId="0" applyFont="1" applyFill="1" applyBorder="1" applyAlignment="1">
      <alignment wrapText="1"/>
    </xf>
    <xf numFmtId="0" fontId="1" fillId="2" borderId="1" xfId="0" applyFont="1" applyFill="1" applyBorder="1" applyAlignment="1">
      <alignment horizontal="left" wrapText="1"/>
    </xf>
    <xf numFmtId="0" fontId="19" fillId="0" borderId="1" xfId="0" applyFont="1" applyBorder="1" applyAlignment="1">
      <alignment wrapText="1"/>
    </xf>
    <xf numFmtId="0" fontId="1" fillId="2" borderId="5" xfId="0" applyFont="1" applyFill="1" applyBorder="1" applyAlignment="1">
      <alignment wrapText="1"/>
    </xf>
    <xf numFmtId="0" fontId="1" fillId="4" borderId="6" xfId="0" applyFont="1" applyFill="1" applyBorder="1" applyAlignment="1">
      <alignment horizontal="center" vertical="top"/>
    </xf>
    <xf numFmtId="0" fontId="0" fillId="9" borderId="7" xfId="0" applyFill="1" applyBorder="1"/>
    <xf numFmtId="0" fontId="0" fillId="10" borderId="0" xfId="0" applyFill="1"/>
    <xf numFmtId="0" fontId="0" fillId="10" borderId="0" xfId="0" applyFill="1" applyAlignment="1">
      <alignment horizontal="left"/>
    </xf>
    <xf numFmtId="177" fontId="0" fillId="0" borderId="0" xfId="0" applyNumberFormat="1"/>
    <xf numFmtId="14" fontId="1" fillId="11" borderId="6" xfId="0" applyNumberFormat="1" applyFont="1" applyFill="1" applyBorder="1" applyAlignment="1">
      <alignment horizontal="center" vertical="top"/>
    </xf>
    <xf numFmtId="0" fontId="1" fillId="11" borderId="6" xfId="0" applyFont="1" applyFill="1" applyBorder="1" applyAlignment="1">
      <alignment horizontal="center" vertical="top"/>
    </xf>
    <xf numFmtId="177" fontId="1" fillId="11" borderId="6" xfId="0" applyNumberFormat="1" applyFont="1" applyFill="1" applyBorder="1" applyAlignment="1">
      <alignment horizontal="center" vertical="top"/>
    </xf>
    <xf numFmtId="0" fontId="17" fillId="12" borderId="6" xfId="0" applyFont="1" applyFill="1" applyBorder="1" applyAlignment="1">
      <alignment horizontal="center" vertical="top"/>
    </xf>
    <xf numFmtId="177" fontId="0" fillId="0" borderId="7" xfId="0" applyNumberFormat="1" applyBorder="1"/>
    <xf numFmtId="0" fontId="20" fillId="0" borderId="7" xfId="0" applyFont="1" applyBorder="1" applyAlignment="1">
      <alignment horizontal="center"/>
    </xf>
    <xf numFmtId="177" fontId="21" fillId="0" borderId="0" xfId="0" applyNumberFormat="1" applyFont="1"/>
    <xf numFmtId="178" fontId="0" fillId="0" borderId="0" xfId="3" applyNumberFormat="1" applyFont="1"/>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178" fontId="0" fillId="0" borderId="0" xfId="0" applyNumberFormat="1"/>
    <xf numFmtId="1" fontId="0" fillId="0" borderId="0" xfId="0" applyNumberFormat="1"/>
    <xf numFmtId="0" fontId="0" fillId="9" borderId="11" xfId="0" applyFill="1" applyBorder="1"/>
    <xf numFmtId="0" fontId="0" fillId="9" borderId="10" xfId="0" applyFill="1" applyBorder="1" applyAlignment="1">
      <alignment horizontal="left"/>
    </xf>
    <xf numFmtId="0" fontId="0" fillId="9" borderId="14" xfId="0" applyFill="1" applyBorder="1" applyAlignment="1">
      <alignment horizontal="left"/>
    </xf>
    <xf numFmtId="0" fontId="0" fillId="9" borderId="15" xfId="0" applyFill="1" applyBorder="1"/>
    <xf numFmtId="0" fontId="0" fillId="13" borderId="7" xfId="0" applyFill="1" applyBorder="1"/>
    <xf numFmtId="0" fontId="22" fillId="0" borderId="7" xfId="0" applyFont="1" applyBorder="1" applyAlignment="1">
      <alignment horizontal="center" vertical="top"/>
    </xf>
    <xf numFmtId="0" fontId="1" fillId="0" borderId="0" xfId="0" applyFont="1" applyAlignment="1">
      <alignment horizontal="center" vertical="top"/>
    </xf>
    <xf numFmtId="49" fontId="15" fillId="0" borderId="0" xfId="0" applyNumberFormat="1" applyFont="1" applyAlignment="1">
      <alignment horizontal="right" vertical="center"/>
    </xf>
    <xf numFmtId="49" fontId="0" fillId="0" borderId="0" xfId="0" applyNumberFormat="1" applyAlignment="1">
      <alignment horizontal="right" vertical="center"/>
    </xf>
    <xf numFmtId="49" fontId="0" fillId="0" borderId="0" xfId="0" applyNumberFormat="1"/>
    <xf numFmtId="0" fontId="15" fillId="14" borderId="0" xfId="0" applyFont="1" applyFill="1"/>
    <xf numFmtId="14" fontId="0" fillId="0" borderId="0" xfId="0" applyNumberFormat="1" applyAlignment="1">
      <alignment vertical="center" wrapText="1"/>
    </xf>
    <xf numFmtId="20" fontId="0" fillId="0" borderId="0" xfId="0" applyNumberFormat="1" applyAlignment="1">
      <alignment vertical="center" wrapText="1"/>
    </xf>
    <xf numFmtId="0" fontId="0" fillId="15" borderId="0" xfId="0" applyFill="1"/>
    <xf numFmtId="0" fontId="3" fillId="15" borderId="0" xfId="1" applyFill="1"/>
    <xf numFmtId="0" fontId="0" fillId="15" borderId="0" xfId="0" applyFill="1" applyAlignment="1">
      <alignment vertical="center"/>
    </xf>
    <xf numFmtId="0" fontId="2" fillId="15" borderId="0" xfId="0" applyFont="1" applyFill="1" applyAlignment="1">
      <alignment wrapText="1"/>
    </xf>
    <xf numFmtId="0" fontId="11" fillId="15" borderId="0" xfId="0" applyFont="1" applyFill="1" applyAlignment="1">
      <alignment horizontal="left"/>
    </xf>
    <xf numFmtId="20" fontId="0" fillId="15" borderId="0" xfId="0" applyNumberFormat="1" applyFill="1"/>
    <xf numFmtId="0" fontId="2" fillId="15" borderId="1" xfId="0" applyFont="1" applyFill="1" applyBorder="1" applyAlignment="1">
      <alignment wrapText="1"/>
    </xf>
    <xf numFmtId="0" fontId="6" fillId="15" borderId="0" xfId="0" applyFont="1" applyFill="1" applyAlignment="1">
      <alignment vertical="center"/>
    </xf>
    <xf numFmtId="0" fontId="0" fillId="16" borderId="0" xfId="0" applyFill="1"/>
    <xf numFmtId="0" fontId="1" fillId="0" borderId="7" xfId="0" applyFont="1" applyBorder="1" applyAlignment="1">
      <alignment horizontal="center" vertical="top"/>
    </xf>
    <xf numFmtId="0" fontId="1" fillId="4" borderId="7" xfId="0" applyFont="1" applyFill="1" applyBorder="1" applyAlignment="1">
      <alignment horizontal="center" vertical="top"/>
    </xf>
    <xf numFmtId="0" fontId="1" fillId="0" borderId="17" xfId="0" applyFont="1" applyBorder="1" applyAlignment="1">
      <alignment horizontal="center" vertical="top"/>
    </xf>
    <xf numFmtId="0" fontId="23" fillId="17" borderId="7" xfId="4" applyBorder="1" applyAlignment="1">
      <alignment horizontal="center" vertical="top"/>
    </xf>
    <xf numFmtId="0" fontId="23" fillId="17" borderId="0" xfId="4"/>
    <xf numFmtId="0" fontId="24" fillId="0" borderId="0" xfId="0" applyFont="1"/>
    <xf numFmtId="179" fontId="0" fillId="0" borderId="0" xfId="0" applyNumberFormat="1"/>
    <xf numFmtId="0" fontId="3" fillId="18" borderId="18" xfId="1" applyFill="1" applyBorder="1"/>
    <xf numFmtId="0" fontId="10" fillId="3" borderId="0" xfId="0" applyFont="1" applyFill="1"/>
    <xf numFmtId="0" fontId="11" fillId="3" borderId="0" xfId="0" applyFont="1" applyFill="1" applyAlignment="1">
      <alignment horizontal="left"/>
    </xf>
    <xf numFmtId="0" fontId="25" fillId="0" borderId="0" xfId="0" applyFont="1"/>
    <xf numFmtId="0" fontId="1" fillId="4" borderId="0" xfId="0" applyFont="1" applyFill="1" applyAlignment="1">
      <alignment horizontal="center" vertical="top"/>
    </xf>
    <xf numFmtId="0" fontId="1" fillId="11" borderId="0" xfId="0" applyFont="1" applyFill="1" applyAlignment="1">
      <alignment horizontal="center" vertical="top"/>
    </xf>
    <xf numFmtId="0" fontId="12" fillId="0" borderId="0" xfId="0" applyFont="1" applyAlignment="1">
      <alignment horizontal="center" vertical="top"/>
    </xf>
    <xf numFmtId="177" fontId="1" fillId="11" borderId="0" xfId="0" applyNumberFormat="1" applyFont="1" applyFill="1" applyAlignment="1">
      <alignment horizontal="center" vertical="top"/>
    </xf>
    <xf numFmtId="14" fontId="1" fillId="11" borderId="0" xfId="0" applyNumberFormat="1" applyFont="1" applyFill="1" applyAlignment="1">
      <alignment horizontal="center" vertical="top"/>
    </xf>
    <xf numFmtId="0" fontId="3" fillId="0" borderId="0" xfId="1" applyAlignment="1">
      <alignment horizontal="center" vertical="top"/>
    </xf>
    <xf numFmtId="0" fontId="1" fillId="0" borderId="0" xfId="0" applyFont="1" applyAlignment="1">
      <alignment wrapText="1"/>
    </xf>
    <xf numFmtId="179" fontId="1" fillId="11" borderId="0" xfId="0" applyNumberFormat="1" applyFont="1" applyFill="1" applyAlignment="1">
      <alignment horizontal="center" vertical="top"/>
    </xf>
    <xf numFmtId="0" fontId="17" fillId="6" borderId="0" xfId="0" applyFont="1" applyFill="1" applyAlignment="1">
      <alignment horizontal="center" vertical="top"/>
    </xf>
    <xf numFmtId="0" fontId="17" fillId="12" borderId="0" xfId="0" applyFont="1" applyFill="1" applyAlignment="1">
      <alignment horizontal="center" vertical="top"/>
    </xf>
    <xf numFmtId="179" fontId="17" fillId="12" borderId="0" xfId="0" applyNumberFormat="1" applyFont="1" applyFill="1" applyAlignment="1">
      <alignment horizontal="center" vertical="top"/>
    </xf>
    <xf numFmtId="0" fontId="5" fillId="19" borderId="0" xfId="0" applyFont="1" applyFill="1"/>
    <xf numFmtId="0" fontId="3" fillId="19" borderId="0" xfId="1" applyFill="1"/>
    <xf numFmtId="0" fontId="0" fillId="19" borderId="0" xfId="0" applyFill="1" applyAlignment="1">
      <alignment vertical="center"/>
    </xf>
    <xf numFmtId="0" fontId="2" fillId="19" borderId="0" xfId="0" applyFont="1" applyFill="1" applyAlignment="1">
      <alignment wrapText="1"/>
    </xf>
    <xf numFmtId="14" fontId="0" fillId="19" borderId="0" xfId="0" applyNumberFormat="1" applyFill="1" applyAlignment="1">
      <alignment horizontal="left"/>
    </xf>
    <xf numFmtId="20" fontId="0" fillId="19" borderId="0" xfId="0" applyNumberFormat="1" applyFill="1"/>
    <xf numFmtId="0" fontId="0" fillId="19" borderId="0" xfId="0" applyFill="1"/>
    <xf numFmtId="0" fontId="6" fillId="19" borderId="0" xfId="0" applyFont="1" applyFill="1" applyAlignment="1">
      <alignment vertical="center"/>
    </xf>
    <xf numFmtId="14" fontId="0" fillId="19" borderId="0" xfId="0" applyNumberFormat="1" applyFill="1"/>
    <xf numFmtId="14" fontId="0" fillId="4" borderId="0" xfId="0" applyNumberFormat="1" applyFill="1" applyAlignment="1">
      <alignment vertical="center" wrapText="1"/>
    </xf>
    <xf numFmtId="0" fontId="13" fillId="19" borderId="0" xfId="0" applyFont="1" applyFill="1" applyAlignment="1">
      <alignment wrapText="1"/>
    </xf>
    <xf numFmtId="0" fontId="2" fillId="19" borderId="1" xfId="0" applyFont="1" applyFill="1" applyBorder="1" applyAlignment="1">
      <alignment wrapText="1"/>
    </xf>
    <xf numFmtId="0" fontId="26" fillId="0" borderId="0" xfId="0" applyFont="1"/>
    <xf numFmtId="0" fontId="3" fillId="0" borderId="16" xfId="1" applyBorder="1"/>
    <xf numFmtId="0" fontId="0" fillId="20" borderId="0" xfId="0" applyFill="1"/>
    <xf numFmtId="14" fontId="4" fillId="3" borderId="1" xfId="0" applyNumberFormat="1" applyFont="1" applyFill="1" applyBorder="1" applyAlignment="1">
      <alignment wrapText="1"/>
    </xf>
    <xf numFmtId="0" fontId="0" fillId="0" borderId="19" xfId="0" applyBorder="1"/>
    <xf numFmtId="0" fontId="0" fillId="0" borderId="20" xfId="0" applyBorder="1"/>
    <xf numFmtId="0" fontId="0" fillId="0" borderId="21" xfId="0" applyBorder="1"/>
    <xf numFmtId="0" fontId="0" fillId="0" borderId="22" xfId="0" applyBorder="1"/>
    <xf numFmtId="0" fontId="0" fillId="0" borderId="23" xfId="0" applyBorder="1"/>
    <xf numFmtId="0" fontId="0" fillId="0" borderId="24" xfId="0" applyBorder="1"/>
    <xf numFmtId="0" fontId="0" fillId="0" borderId="25" xfId="0" applyBorder="1"/>
    <xf numFmtId="0" fontId="0" fillId="0" borderId="26" xfId="0" applyBorder="1"/>
    <xf numFmtId="0" fontId="0" fillId="0" borderId="27" xfId="0" applyBorder="1"/>
    <xf numFmtId="0" fontId="2" fillId="3" borderId="28" xfId="0" applyFont="1" applyFill="1" applyBorder="1" applyAlignment="1">
      <alignment wrapText="1"/>
    </xf>
    <xf numFmtId="0" fontId="0" fillId="21" borderId="0" xfId="0" applyFill="1"/>
    <xf numFmtId="0" fontId="0" fillId="22" borderId="0" xfId="0" applyFill="1"/>
    <xf numFmtId="0" fontId="22" fillId="0" borderId="0" xfId="0" applyFont="1" applyAlignment="1">
      <alignment horizontal="center" vertical="top"/>
    </xf>
    <xf numFmtId="0" fontId="0" fillId="4" borderId="0" xfId="0" applyFill="1" applyAlignment="1">
      <alignment wrapText="1"/>
    </xf>
    <xf numFmtId="0" fontId="30" fillId="4" borderId="0" xfId="0" applyFont="1" applyFill="1" applyAlignment="1">
      <alignment wrapText="1"/>
    </xf>
    <xf numFmtId="0" fontId="30" fillId="4" borderId="0" xfId="0" applyFont="1" applyFill="1"/>
    <xf numFmtId="0" fontId="31" fillId="4" borderId="0" xfId="1" applyFont="1" applyFill="1"/>
    <xf numFmtId="0" fontId="30" fillId="4" borderId="0" xfId="0" applyFont="1" applyFill="1" applyAlignment="1">
      <alignment vertical="center"/>
    </xf>
    <xf numFmtId="20" fontId="30" fillId="4" borderId="0" xfId="0" applyNumberFormat="1" applyFont="1" applyFill="1"/>
    <xf numFmtId="14" fontId="0" fillId="3" borderId="0" xfId="0" applyNumberFormat="1" applyFill="1"/>
    <xf numFmtId="0" fontId="0" fillId="0" borderId="16" xfId="0" applyBorder="1"/>
    <xf numFmtId="0" fontId="0" fillId="16" borderId="0" xfId="0" applyFill="1" applyAlignment="1">
      <alignment wrapText="1"/>
    </xf>
    <xf numFmtId="14" fontId="0" fillId="4" borderId="0" xfId="0" applyNumberFormat="1" applyFill="1" applyAlignment="1">
      <alignment horizontal="left"/>
    </xf>
    <xf numFmtId="0" fontId="4" fillId="0" borderId="3" xfId="0" applyFont="1" applyBorder="1" applyAlignment="1">
      <alignment wrapText="1"/>
    </xf>
    <xf numFmtId="0" fontId="32" fillId="3" borderId="0" xfId="0" applyFont="1" applyFill="1"/>
    <xf numFmtId="0" fontId="33" fillId="0" borderId="0" xfId="0" applyFont="1"/>
    <xf numFmtId="0" fontId="0" fillId="16" borderId="16" xfId="0" applyFill="1" applyBorder="1"/>
    <xf numFmtId="0" fontId="0" fillId="3" borderId="16" xfId="0" applyFill="1" applyBorder="1"/>
    <xf numFmtId="0" fontId="0" fillId="23" borderId="0" xfId="0" applyFill="1"/>
    <xf numFmtId="0" fontId="0" fillId="24" borderId="0" xfId="0" applyFill="1"/>
    <xf numFmtId="14" fontId="0" fillId="3" borderId="0" xfId="0" applyNumberFormat="1" applyFill="1" applyAlignment="1">
      <alignment vertical="center" wrapText="1"/>
    </xf>
    <xf numFmtId="0" fontId="34" fillId="4" borderId="0" xfId="0" applyFont="1" applyFill="1"/>
    <xf numFmtId="0" fontId="35" fillId="4" borderId="0" xfId="0" applyFont="1" applyFill="1"/>
    <xf numFmtId="2" fontId="0" fillId="0" borderId="0" xfId="0" applyNumberFormat="1"/>
    <xf numFmtId="0" fontId="0" fillId="16" borderId="18" xfId="0" applyFill="1" applyBorder="1" applyAlignment="1">
      <alignment vertical="center"/>
    </xf>
    <xf numFmtId="0" fontId="0" fillId="6" borderId="0" xfId="0" applyFill="1" applyAlignment="1">
      <alignment vertical="center"/>
    </xf>
    <xf numFmtId="0" fontId="3" fillId="16" borderId="18" xfId="1" applyFill="1" applyBorder="1"/>
    <xf numFmtId="0" fontId="32" fillId="0" borderId="0" xfId="0" applyFont="1"/>
    <xf numFmtId="3" fontId="0" fillId="25" borderId="0" xfId="0" applyNumberFormat="1" applyFill="1"/>
    <xf numFmtId="0" fontId="36" fillId="0" borderId="0" xfId="0" applyFont="1"/>
    <xf numFmtId="0" fontId="36" fillId="0" borderId="0" xfId="0" applyFont="1" applyAlignment="1">
      <alignment vertical="center"/>
    </xf>
    <xf numFmtId="0" fontId="0" fillId="19" borderId="0" xfId="0" applyFill="1" applyAlignment="1">
      <alignment wrapText="1"/>
    </xf>
    <xf numFmtId="0" fontId="32" fillId="19" borderId="0" xfId="0" applyFont="1" applyFill="1"/>
    <xf numFmtId="0" fontId="27" fillId="15" borderId="0" xfId="0" applyFont="1" applyFill="1"/>
    <xf numFmtId="14" fontId="0" fillId="15" borderId="0" xfId="0" applyNumberFormat="1" applyFill="1" applyAlignment="1">
      <alignment vertical="center" wrapText="1"/>
    </xf>
    <xf numFmtId="0" fontId="0" fillId="15" borderId="0" xfId="0" applyFill="1" applyAlignment="1">
      <alignment wrapText="1"/>
    </xf>
    <xf numFmtId="14" fontId="0" fillId="15" borderId="0" xfId="0" applyNumberFormat="1" applyFill="1" applyAlignment="1">
      <alignment horizontal="left"/>
    </xf>
    <xf numFmtId="0" fontId="6" fillId="19" borderId="1" xfId="0" applyFont="1" applyFill="1" applyBorder="1" applyAlignment="1">
      <alignment wrapText="1"/>
    </xf>
    <xf numFmtId="0" fontId="0" fillId="15" borderId="0" xfId="0" applyFill="1" applyAlignment="1">
      <alignment vertical="center" wrapText="1"/>
    </xf>
    <xf numFmtId="0" fontId="0" fillId="3" borderId="18" xfId="0" applyFill="1" applyBorder="1"/>
    <xf numFmtId="0" fontId="0" fillId="26" borderId="0" xfId="0" applyFill="1"/>
    <xf numFmtId="0" fontId="0" fillId="18" borderId="18" xfId="0" applyFill="1" applyBorder="1"/>
    <xf numFmtId="0" fontId="3" fillId="3" borderId="18" xfId="1" applyFill="1" applyBorder="1"/>
    <xf numFmtId="0" fontId="0" fillId="3" borderId="0" xfId="0" applyFill="1" applyAlignment="1">
      <alignment horizontal="left"/>
    </xf>
    <xf numFmtId="0" fontId="37" fillId="0" borderId="0" xfId="0" applyFont="1"/>
    <xf numFmtId="0" fontId="38" fillId="0" borderId="0" xfId="0" applyFont="1" applyAlignment="1">
      <alignment horizontal="left" vertical="center"/>
    </xf>
    <xf numFmtId="0" fontId="7" fillId="0" borderId="0" xfId="0" applyFont="1"/>
    <xf numFmtId="0" fontId="0" fillId="19" borderId="29" xfId="0" applyFill="1" applyBorder="1"/>
    <xf numFmtId="0" fontId="39" fillId="0" borderId="0" xfId="0" applyFont="1" applyAlignment="1">
      <alignment horizontal="left" vertical="center"/>
    </xf>
    <xf numFmtId="0" fontId="0" fillId="3" borderId="18" xfId="0" applyFill="1" applyBorder="1" applyAlignment="1">
      <alignment vertical="center"/>
    </xf>
    <xf numFmtId="0" fontId="27" fillId="0" borderId="0" xfId="0" applyFont="1"/>
    <xf numFmtId="0" fontId="0" fillId="19" borderId="0" xfId="0" applyFill="1" applyAlignment="1">
      <alignment horizontal="left"/>
    </xf>
    <xf numFmtId="0" fontId="27" fillId="19" borderId="0" xfId="0" applyFont="1" applyFill="1"/>
    <xf numFmtId="0" fontId="34" fillId="25" borderId="0" xfId="0" applyFont="1" applyFill="1"/>
    <xf numFmtId="0" fontId="0" fillId="25" borderId="0" xfId="0" applyFill="1"/>
    <xf numFmtId="0" fontId="0" fillId="25" borderId="0" xfId="0" applyFill="1" applyAlignment="1">
      <alignment wrapText="1"/>
    </xf>
    <xf numFmtId="14" fontId="0" fillId="25" borderId="0" xfId="0" applyNumberFormat="1" applyFill="1" applyAlignment="1">
      <alignment horizontal="left"/>
    </xf>
    <xf numFmtId="20" fontId="0" fillId="25" borderId="0" xfId="0" applyNumberFormat="1" applyFill="1"/>
    <xf numFmtId="0" fontId="0" fillId="0" borderId="18" xfId="0" applyBorder="1"/>
    <xf numFmtId="0" fontId="40" fillId="0" borderId="0" xfId="0" applyFont="1"/>
    <xf numFmtId="0" fontId="41" fillId="0" borderId="0" xfId="0" applyFont="1"/>
    <xf numFmtId="0" fontId="0" fillId="6" borderId="18" xfId="0" applyFill="1" applyBorder="1"/>
    <xf numFmtId="14" fontId="0" fillId="0" borderId="0" xfId="0" applyNumberFormat="1" applyAlignment="1">
      <alignment vertical="center"/>
    </xf>
    <xf numFmtId="0" fontId="0" fillId="16" borderId="18" xfId="0" applyFill="1" applyBorder="1"/>
    <xf numFmtId="0" fontId="0" fillId="3" borderId="30" xfId="0" applyFill="1" applyBorder="1" applyAlignment="1">
      <alignment wrapText="1"/>
    </xf>
    <xf numFmtId="0" fontId="42" fillId="0" borderId="0" xfId="0" applyFont="1"/>
    <xf numFmtId="0" fontId="8" fillId="4" borderId="0" xfId="0" applyFont="1" applyFill="1"/>
    <xf numFmtId="0" fontId="5" fillId="4" borderId="0" xfId="0" applyFont="1" applyFill="1"/>
    <xf numFmtId="0" fontId="0" fillId="27" borderId="0" xfId="0" applyFill="1"/>
    <xf numFmtId="0" fontId="3" fillId="27" borderId="0" xfId="1" applyFill="1"/>
    <xf numFmtId="0" fontId="0" fillId="27" borderId="0" xfId="0" applyFill="1" applyAlignment="1">
      <alignment vertical="center"/>
    </xf>
    <xf numFmtId="0" fontId="0" fillId="27" borderId="0" xfId="0" applyFill="1" applyAlignment="1">
      <alignment wrapText="1"/>
    </xf>
    <xf numFmtId="0" fontId="0" fillId="27" borderId="0" xfId="0" applyFill="1" applyAlignment="1">
      <alignment horizontal="left"/>
    </xf>
    <xf numFmtId="20" fontId="0" fillId="27" borderId="0" xfId="0" applyNumberFormat="1" applyFill="1"/>
    <xf numFmtId="0" fontId="8" fillId="0" borderId="0" xfId="0" applyFont="1"/>
    <xf numFmtId="0" fontId="0" fillId="6" borderId="18" xfId="0" applyFill="1" applyBorder="1" applyAlignment="1">
      <alignment vertical="center"/>
    </xf>
    <xf numFmtId="0" fontId="0" fillId="6" borderId="30" xfId="0" applyFill="1" applyBorder="1"/>
    <xf numFmtId="0" fontId="0" fillId="4" borderId="18" xfId="0" applyFill="1" applyBorder="1"/>
    <xf numFmtId="0" fontId="30" fillId="19" borderId="0" xfId="0" applyFont="1" applyFill="1"/>
    <xf numFmtId="1" fontId="0" fillId="0" borderId="0" xfId="0" applyNumberFormat="1" applyAlignment="1">
      <alignment horizontal="center"/>
    </xf>
    <xf numFmtId="0" fontId="0" fillId="0" borderId="0" xfId="0"/>
    <xf numFmtId="0" fontId="0" fillId="0" borderId="0" xfId="0" applyAlignment="1">
      <alignment horizontal="center"/>
    </xf>
    <xf numFmtId="49" fontId="0" fillId="0" borderId="0" xfId="0" applyNumberFormat="1"/>
    <xf numFmtId="0" fontId="16" fillId="6" borderId="0" xfId="0" applyFont="1" applyFill="1" applyAlignment="1">
      <alignment horizontal="center"/>
    </xf>
    <xf numFmtId="0" fontId="18" fillId="0" borderId="0" xfId="0" applyFont="1"/>
    <xf numFmtId="0" fontId="16" fillId="6" borderId="0" xfId="0" applyFont="1" applyFill="1" applyAlignment="1">
      <alignment horizontal="center" wrapText="1"/>
    </xf>
    <xf numFmtId="0" fontId="16" fillId="6" borderId="0" xfId="0" applyFont="1" applyFill="1" applyAlignment="1">
      <alignment horizontal="center" vertical="center"/>
    </xf>
    <xf numFmtId="0" fontId="0" fillId="7" borderId="0" xfId="0" applyFill="1" applyAlignment="1">
      <alignment horizontal="center"/>
    </xf>
  </cellXfs>
  <cellStyles count="5">
    <cellStyle name="アクセント 1" xfId="4" builtinId="29"/>
    <cellStyle name="パーセント" xfId="2" builtinId="5"/>
    <cellStyle name="ハイパーリンク" xfId="1" builtinId="8"/>
    <cellStyle name="桁区切り [0.00]" xfId="3" builtinId="3"/>
    <cellStyle name="標準" xfId="0" builtinId="0"/>
  </cellStyles>
  <dxfs count="50">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bgColor theme="0"/>
        </patternFill>
      </fill>
    </dxf>
    <dxf>
      <font>
        <color rgb="FF9C0006"/>
      </font>
      <fill>
        <patternFill>
          <bgColor rgb="FFFFC7CE"/>
        </patternFill>
      </fill>
    </dxf>
    <dxf>
      <numFmt numFmtId="25" formatCode="h:mm"/>
    </dxf>
    <dxf>
      <font>
        <strike val="0"/>
        <condense val="0"/>
        <extend val="0"/>
        <outline val="0"/>
        <shadow val="0"/>
        <vertAlign val="baseline"/>
        <sz val="11"/>
        <color theme="1"/>
        <name val="Calibri"/>
        <family val="2"/>
      </font>
      <fill>
        <patternFill patternType="solid">
          <fgColor indexed="64"/>
          <bgColor rgb="FFFFFF00"/>
        </patternFill>
      </fill>
      <alignment horizontal="general" vertical="bottom" wrapText="1"/>
    </dxf>
    <dxf>
      <alignment horizontal="general" vertical="center"/>
    </dxf>
    <dxf>
      <font>
        <b/>
        <strike val="0"/>
        <condense val="0"/>
        <extend val="0"/>
        <outline val="0"/>
        <shadow val="0"/>
        <vertAlign val="baseline"/>
        <sz val="11"/>
        <color auto="1"/>
        <name val="Calibri"/>
        <family val="2"/>
      </font>
      <fill>
        <patternFill patternType="solid">
          <fgColor indexed="64"/>
          <bgColor rgb="FFFCE4D6"/>
        </patternFill>
      </fill>
      <alignment horizontal="general" vertical="bottom" wrapText="1"/>
      <border outline="0">
        <left style="medium">
          <color rgb="FFCCCCCC"/>
        </left>
        <right style="medium">
          <color rgb="FFCCCCCC"/>
        </right>
        <top/>
        <bottom/>
      </border>
    </dxf>
    <dxf>
      <numFmt numFmtId="179" formatCode="dd/mm/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80" formatCode="m/d/yyyy"/>
    </dxf>
    <dxf>
      <numFmt numFmtId="179" formatCode="dd/mm/yy"/>
    </dxf>
    <dxf>
      <alignment horizontal="general" vertical="bottom" wrapText="1"/>
    </dxf>
    <dxf>
      <numFmt numFmtId="177" formatCode="[$-F800]dddd\,\ mmmm\ dd\,\ yyyy"/>
    </dxf>
    <dxf>
      <alignment horizontal="general" vertical="bottom" wrapText="1"/>
    </dxf>
    <dxf>
      <numFmt numFmtId="0" formatCode="General"/>
    </dxf>
    <dxf>
      <border outline="0">
        <top style="thin">
          <color auto="1"/>
        </top>
      </border>
    </dxf>
    <dxf>
      <border outline="0">
        <bottom style="thin">
          <color auto="1"/>
        </bottom>
      </border>
    </dxf>
    <dxf>
      <font>
        <b/>
        <strike val="0"/>
        <condense val="0"/>
        <extend val="0"/>
        <outline val="0"/>
        <shadow val="0"/>
        <vertAlign val="baseline"/>
        <sz val="11"/>
        <color auto="1"/>
        <name val="Calibri"/>
        <family val="2"/>
      </font>
      <alignment horizontal="center" vertical="top"/>
      <border outline="0">
        <left style="thin">
          <color auto="1"/>
        </left>
        <right style="thin">
          <color auto="1"/>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rot="0" spcFirstLastPara="1" vertOverflow="ellipsis" vert="horz" wrap="square" anchor="ctr" anchorCtr="1"/>
          <a:lstStyle/>
          <a:p>
            <a:pPr>
              <a:defRPr sz="1000" b="0" i="0" strike="noStrike" kern="1200" spc="0" baseline="0">
                <a:solidFill>
                  <a:schemeClr val="tx1">
                    <a:lumMod val="65000"/>
                    <a:lumOff val="35000"/>
                  </a:schemeClr>
                </a:solidFill>
                <a:latin typeface="+mn-lt"/>
                <a:ea typeface="+mn-ea"/>
                <a:cs typeface="+mn-cs"/>
              </a:defRPr>
            </a:pPr>
            <a:r>
              <a:rPr lang="en-US" sz="1000" b="1" i="0" strike="noStrike" baseline="0"/>
              <a:t>Profit Distribution by Teacher</a:t>
            </a:r>
            <a:endParaRPr lang="en-US" sz="1000" b="1"/>
          </a:p>
        </c:rich>
      </c:tx>
      <c:overlay val="0"/>
      <c:spPr>
        <a:noFill/>
        <a:ln>
          <a:noFill/>
          <a:prstDash val="solid"/>
        </a:ln>
      </c:spPr>
    </c:title>
    <c:autoTitleDeleted val="0"/>
    <c:plotArea>
      <c:layout/>
      <c:barChart>
        <c:barDir val="col"/>
        <c:grouping val="clustered"/>
        <c:varyColors val="0"/>
        <c:ser>
          <c:idx val="0"/>
          <c:order val="0"/>
          <c:tx>
            <c:strRef>
              <c:f>'KPI+Pivot'!$AJ$4</c:f>
              <c:strCache>
                <c:ptCount val="1"/>
                <c:pt idx="0">
                  <c:v>Profit</c:v>
                </c:pt>
              </c:strCache>
            </c:strRef>
          </c:tx>
          <c:spPr>
            <a:solidFill>
              <a:schemeClr val="accent1"/>
            </a:solidFill>
            <a:ln>
              <a:noFill/>
              <a:prstDash val="solid"/>
            </a:ln>
          </c:spPr>
          <c:invertIfNegative val="0"/>
          <c:cat>
            <c:strRef>
              <c:f>'KPI+Pivot'!$AG$5:$AG$8</c:f>
              <c:strCache>
                <c:ptCount val="4"/>
                <c:pt idx="0">
                  <c:v>Alex</c:v>
                </c:pt>
                <c:pt idx="1">
                  <c:v>Felix</c:v>
                </c:pt>
                <c:pt idx="2">
                  <c:v>Nao</c:v>
                </c:pt>
                <c:pt idx="3">
                  <c:v>Thomas</c:v>
                </c:pt>
              </c:strCache>
            </c:strRef>
          </c:cat>
          <c:val>
            <c:numRef>
              <c:f>'KPI+Pivot'!$AJ$5:$AJ$8</c:f>
              <c:numCache>
                <c:formatCode>General</c:formatCode>
                <c:ptCount val="4"/>
                <c:pt idx="0">
                  <c:v>-210000</c:v>
                </c:pt>
                <c:pt idx="1">
                  <c:v>0</c:v>
                </c:pt>
                <c:pt idx="2">
                  <c:v>0</c:v>
                </c:pt>
                <c:pt idx="3">
                  <c:v>0</c:v>
                </c:pt>
              </c:numCache>
            </c:numRef>
          </c:val>
          <c:extLst>
            <c:ext xmlns:c16="http://schemas.microsoft.com/office/drawing/2014/chart" uri="{C3380CC4-5D6E-409C-BE32-E72D297353CC}">
              <c16:uniqueId val="{00000000-8844-4D17-A3F4-37035541E5D7}"/>
            </c:ext>
          </c:extLst>
        </c:ser>
        <c:dLbls>
          <c:showLegendKey val="0"/>
          <c:showVal val="0"/>
          <c:showCatName val="0"/>
          <c:showSerName val="0"/>
          <c:showPercent val="0"/>
          <c:showBubbleSize val="0"/>
        </c:dLbls>
        <c:gapWidth val="219"/>
        <c:overlap val="-27"/>
        <c:axId val="1476924527"/>
        <c:axId val="1476919951"/>
      </c:barChart>
      <c:lineChart>
        <c:grouping val="standard"/>
        <c:varyColors val="0"/>
        <c:ser>
          <c:idx val="1"/>
          <c:order val="1"/>
          <c:tx>
            <c:strRef>
              <c:f>'KPI+Pivot'!$AK$4</c:f>
              <c:strCache>
                <c:ptCount val="1"/>
                <c:pt idx="0">
                  <c:v>Profit(%)</c:v>
                </c:pt>
              </c:strCache>
            </c:strRef>
          </c:tx>
          <c:spPr>
            <a:ln w="28575" cap="rnd">
              <a:solidFill>
                <a:schemeClr val="accent2"/>
              </a:solidFill>
              <a:prstDash val="solid"/>
              <a:round/>
            </a:ln>
          </c:spPr>
          <c:marker>
            <c:symbol val="none"/>
          </c:marker>
          <c:cat>
            <c:strRef>
              <c:f>'KPI+Pivot'!$AG$5:$AG$8</c:f>
              <c:strCache>
                <c:ptCount val="4"/>
                <c:pt idx="0">
                  <c:v>Alex</c:v>
                </c:pt>
                <c:pt idx="1">
                  <c:v>Felix</c:v>
                </c:pt>
                <c:pt idx="2">
                  <c:v>Nao</c:v>
                </c:pt>
                <c:pt idx="3">
                  <c:v>Thomas</c:v>
                </c:pt>
              </c:strCache>
            </c:strRef>
          </c:cat>
          <c:val>
            <c:numRef>
              <c:f>'KPI+Pivot'!$AK$5:$AK$8</c:f>
              <c:numCache>
                <c:formatCode>0%</c:formatCode>
                <c:ptCount val="4"/>
                <c:pt idx="0">
                  <c:v>-1</c:v>
                </c:pt>
                <c:pt idx="1">
                  <c:v>0</c:v>
                </c:pt>
                <c:pt idx="2">
                  <c:v>0</c:v>
                </c:pt>
                <c:pt idx="3">
                  <c:v>0</c:v>
                </c:pt>
              </c:numCache>
            </c:numRef>
          </c:val>
          <c:smooth val="0"/>
          <c:extLst>
            <c:ext xmlns:c16="http://schemas.microsoft.com/office/drawing/2014/chart" uri="{C3380CC4-5D6E-409C-BE32-E72D297353CC}">
              <c16:uniqueId val="{00000001-8844-4D17-A3F4-37035541E5D7}"/>
            </c:ext>
          </c:extLst>
        </c:ser>
        <c:dLbls>
          <c:showLegendKey val="0"/>
          <c:showVal val="0"/>
          <c:showCatName val="0"/>
          <c:showSerName val="0"/>
          <c:showPercent val="0"/>
          <c:showBubbleSize val="0"/>
        </c:dLbls>
        <c:marker val="1"/>
        <c:smooth val="0"/>
        <c:axId val="1476936591"/>
        <c:axId val="1476921615"/>
      </c:lineChart>
      <c:catAx>
        <c:axId val="14769245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76919951"/>
        <c:crosses val="autoZero"/>
        <c:auto val="1"/>
        <c:lblAlgn val="ctr"/>
        <c:lblOffset val="100"/>
        <c:noMultiLvlLbl val="0"/>
      </c:catAx>
      <c:valAx>
        <c:axId val="1476919951"/>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76924527"/>
        <c:crosses val="autoZero"/>
        <c:crossBetween val="between"/>
      </c:valAx>
      <c:catAx>
        <c:axId val="1476936591"/>
        <c:scaling>
          <c:orientation val="minMax"/>
        </c:scaling>
        <c:delete val="1"/>
        <c:axPos val="b"/>
        <c:numFmt formatCode="General" sourceLinked="1"/>
        <c:majorTickMark val="none"/>
        <c:minorTickMark val="none"/>
        <c:tickLblPos val="nextTo"/>
        <c:crossAx val="1476921615"/>
        <c:crosses val="autoZero"/>
        <c:auto val="1"/>
        <c:lblAlgn val="ctr"/>
        <c:lblOffset val="100"/>
        <c:noMultiLvlLbl val="0"/>
      </c:catAx>
      <c:valAx>
        <c:axId val="1476921615"/>
        <c:scaling>
          <c:orientation val="minMax"/>
        </c:scaling>
        <c:delete val="0"/>
        <c:axPos val="r"/>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76936591"/>
        <c:crosses val="max"/>
        <c:crossBetween val="between"/>
      </c:valAx>
    </c:plotArea>
    <c:legend>
      <c:legendPos val="t"/>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bg1"/>
    </a:solidFill>
    <a:ln w="9525" cap="flat" cmpd="sng" algn="ctr">
      <a:noFill/>
      <a:prstDash val="solid"/>
      <a:round/>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rot="0" spcFirstLastPara="1" vertOverflow="ellipsis" vert="horz" wrap="square" anchor="ctr" anchorCtr="1"/>
          <a:lstStyle/>
          <a:p>
            <a:pPr>
              <a:defRPr sz="1000" b="0" i="0" strike="noStrike" kern="1200" spc="0" baseline="0">
                <a:solidFill>
                  <a:schemeClr val="tx1">
                    <a:lumMod val="65000"/>
                    <a:lumOff val="35000"/>
                  </a:schemeClr>
                </a:solidFill>
                <a:latin typeface="+mn-lt"/>
                <a:ea typeface="+mn-ea"/>
                <a:cs typeface="+mn-cs"/>
              </a:defRPr>
            </a:pPr>
            <a:r>
              <a:rPr lang="en-US" sz="1000" b="1"/>
              <a:t>Month to Month Sales and Profit Trends</a:t>
            </a:r>
          </a:p>
        </c:rich>
      </c:tx>
      <c:overlay val="0"/>
      <c:spPr>
        <a:noFill/>
        <a:ln>
          <a:noFill/>
          <a:prstDash val="solid"/>
        </a:ln>
      </c:spPr>
    </c:title>
    <c:autoTitleDeleted val="0"/>
    <c:plotArea>
      <c:layout/>
      <c:lineChart>
        <c:grouping val="standard"/>
        <c:varyColors val="0"/>
        <c:ser>
          <c:idx val="0"/>
          <c:order val="0"/>
          <c:tx>
            <c:strRef>
              <c:f>'KPI+Pivot'!$BJ$5</c:f>
              <c:strCache>
                <c:ptCount val="1"/>
                <c:pt idx="0">
                  <c:v>Sales</c:v>
                </c:pt>
              </c:strCache>
            </c:strRef>
          </c:tx>
          <c:spPr>
            <a:ln w="28575" cap="rnd">
              <a:solidFill>
                <a:schemeClr val="accent1"/>
              </a:solidFill>
              <a:prstDash val="solid"/>
              <a:round/>
            </a:ln>
          </c:spPr>
          <c:marker>
            <c:symbol val="none"/>
          </c:marker>
          <c:cat>
            <c:strRef>
              <c:f>'KPI+Pivot'!$BK$4:$BV$4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'KPI+Pivot'!$BK$5:$BV$5</c:f>
              <c:numCache>
                <c:formatCode>General</c:formatCode>
                <c:ptCount val="12"/>
                <c:pt idx="0">
                  <c:v>#N/A</c:v>
                </c:pt>
                <c:pt idx="1">
                  <c:v>#N/A</c:v>
                </c:pt>
                <c:pt idx="2">
                  <c:v>0</c:v>
                </c:pt>
                <c:pt idx="3">
                  <c:v>#N/A</c:v>
                </c:pt>
                <c:pt idx="4">
                  <c:v>#N/A</c:v>
                </c:pt>
                <c:pt idx="5">
                  <c:v>#N/A</c:v>
                </c:pt>
                <c:pt idx="6">
                  <c:v>#N/A</c:v>
                </c:pt>
                <c:pt idx="7">
                  <c:v>0</c:v>
                </c:pt>
                <c:pt idx="8">
                  <c:v>#N/A</c:v>
                </c:pt>
                <c:pt idx="9">
                  <c:v>#N/A</c:v>
                </c:pt>
                <c:pt idx="10">
                  <c:v>0</c:v>
                </c:pt>
                <c:pt idx="11">
                  <c:v>0</c:v>
                </c:pt>
              </c:numCache>
            </c:numRef>
          </c:val>
          <c:smooth val="0"/>
          <c:extLst>
            <c:ext xmlns:c16="http://schemas.microsoft.com/office/drawing/2014/chart" uri="{C3380CC4-5D6E-409C-BE32-E72D297353CC}">
              <c16:uniqueId val="{00000000-8952-4A29-A3F5-C8B8C93815D6}"/>
            </c:ext>
          </c:extLst>
        </c:ser>
        <c:ser>
          <c:idx val="1"/>
          <c:order val="1"/>
          <c:tx>
            <c:strRef>
              <c:f>'KPI+Pivot'!$BJ$6</c:f>
              <c:strCache>
                <c:ptCount val="1"/>
                <c:pt idx="0">
                  <c:v>Profit</c:v>
                </c:pt>
              </c:strCache>
            </c:strRef>
          </c:tx>
          <c:spPr>
            <a:ln w="28575" cap="rnd">
              <a:solidFill>
                <a:schemeClr val="accent2"/>
              </a:solidFill>
              <a:prstDash val="solid"/>
              <a:round/>
            </a:ln>
          </c:spPr>
          <c:marker>
            <c:symbol val="none"/>
          </c:marker>
          <c:cat>
            <c:strRef>
              <c:f>'KPI+Pivot'!$BK$4:$BV$4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'KPI+Pivot'!$BK$6:$BV$6</c:f>
              <c:numCache>
                <c:formatCode>General</c:formatCode>
                <c:ptCount val="12"/>
                <c:pt idx="0">
                  <c:v>#N/A</c:v>
                </c:pt>
                <c:pt idx="1">
                  <c:v>#N/A</c:v>
                </c:pt>
                <c:pt idx="2">
                  <c:v>0</c:v>
                </c:pt>
                <c:pt idx="3">
                  <c:v>#N/A</c:v>
                </c:pt>
                <c:pt idx="4">
                  <c:v>#N/A</c:v>
                </c:pt>
                <c:pt idx="5">
                  <c:v>#N/A</c:v>
                </c:pt>
                <c:pt idx="6">
                  <c:v>#N/A</c:v>
                </c:pt>
                <c:pt idx="7">
                  <c:v>0</c:v>
                </c:pt>
                <c:pt idx="8">
                  <c:v>#N/A</c:v>
                </c:pt>
                <c:pt idx="9">
                  <c:v>#N/A</c:v>
                </c:pt>
                <c:pt idx="10">
                  <c:v>0</c:v>
                </c:pt>
                <c:pt idx="11">
                  <c:v>0</c:v>
                </c:pt>
              </c:numCache>
            </c:numRef>
          </c:val>
          <c:smooth val="0"/>
          <c:extLst>
            <c:ext xmlns:c16="http://schemas.microsoft.com/office/drawing/2014/chart" uri="{C3380CC4-5D6E-409C-BE32-E72D297353CC}">
              <c16:uniqueId val="{00000001-8952-4A29-A3F5-C8B8C93815D6}"/>
            </c:ext>
          </c:extLst>
        </c:ser>
        <c:dLbls>
          <c:showLegendKey val="0"/>
          <c:showVal val="0"/>
          <c:showCatName val="0"/>
          <c:showSerName val="0"/>
          <c:showPercent val="0"/>
          <c:showBubbleSize val="0"/>
        </c:dLbls>
        <c:smooth val="0"/>
        <c:axId val="93606847"/>
        <c:axId val="93604767"/>
      </c:lineChart>
      <c:catAx>
        <c:axId val="936068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3604767"/>
        <c:crosses val="autoZero"/>
        <c:auto val="1"/>
        <c:lblAlgn val="ctr"/>
        <c:lblOffset val="100"/>
        <c:noMultiLvlLbl val="0"/>
      </c:catAx>
      <c:valAx>
        <c:axId val="93604767"/>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3606847"/>
        <c:crosses val="autoZero"/>
        <c:crossBetween val="between"/>
      </c:valAx>
    </c:plotArea>
    <c:legend>
      <c:legendPos val="r"/>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bg1"/>
    </a:solidFill>
    <a:ln w="9525" cap="flat" cmpd="sng" algn="ctr">
      <a:noFill/>
      <a:prstDash val="solid"/>
      <a:round/>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rot="0" spcFirstLastPara="1" vertOverflow="ellipsis" vert="horz" wrap="square" anchor="ctr" anchorCtr="1"/>
          <a:lstStyle/>
          <a:p>
            <a:pPr>
              <a:defRPr sz="1100" b="0" i="0" strike="noStrike" kern="1200" spc="0" baseline="0">
                <a:solidFill>
                  <a:schemeClr val="tx1">
                    <a:lumMod val="65000"/>
                    <a:lumOff val="35000"/>
                  </a:schemeClr>
                </a:solidFill>
                <a:latin typeface="+mn-lt"/>
                <a:ea typeface="+mn-ea"/>
                <a:cs typeface="+mn-cs"/>
              </a:defRPr>
            </a:pPr>
            <a:r>
              <a:rPr lang="en-US" sz="1100" b="1" i="0" strike="noStrike" baseline="0"/>
              <a:t>Top 10 Lessons Per Student </a:t>
            </a:r>
            <a:r>
              <a:rPr lang="en-US" sz="1000" b="1" i="0" strike="noStrike" baseline="0"/>
              <a:t>Breakdown</a:t>
            </a:r>
            <a:endParaRPr lang="en-US" sz="1000" b="1"/>
          </a:p>
        </c:rich>
      </c:tx>
      <c:overlay val="0"/>
      <c:spPr>
        <a:noFill/>
        <a:ln>
          <a:noFill/>
          <a:prstDash val="solid"/>
        </a:ln>
      </c:spPr>
    </c:title>
    <c:autoTitleDeleted val="0"/>
    <c:plotArea>
      <c:layout/>
      <c:barChart>
        <c:barDir val="bar"/>
        <c:grouping val="clustered"/>
        <c:varyColors val="0"/>
        <c:ser>
          <c:idx val="0"/>
          <c:order val="0"/>
          <c:tx>
            <c:strRef>
              <c:f>'KPI+Pivot'!$CJ$3</c:f>
              <c:strCache>
                <c:ptCount val="1"/>
                <c:pt idx="0">
                  <c:v>Sum of For Frequency</c:v>
                </c:pt>
              </c:strCache>
            </c:strRef>
          </c:tx>
          <c:spPr>
            <a:solidFill>
              <a:schemeClr val="accent1"/>
            </a:solidFill>
            <a:ln>
              <a:noFill/>
              <a:prstDash val="solid"/>
            </a:ln>
          </c:spPr>
          <c:invertIfNegative val="0"/>
          <c:cat>
            <c:strRef>
              <c:f>'KPI+Pivot'!$CI$4:$CI$13</c:f>
              <c:strCache>
                <c:ptCount val="10"/>
                <c:pt idx="0">
                  <c:v>Kaede Watanabe</c:v>
                </c:pt>
                <c:pt idx="1">
                  <c:v>0</c:v>
                </c:pt>
                <c:pt idx="2">
                  <c:v>Yuna Inoue</c:v>
                </c:pt>
                <c:pt idx="3">
                  <c:v>Sara Shiraishi</c:v>
                </c:pt>
                <c:pt idx="4">
                  <c:v>Yasuko Matono</c:v>
                </c:pt>
                <c:pt idx="5">
                  <c:v>Taisuke Nonaka</c:v>
                </c:pt>
                <c:pt idx="6">
                  <c:v>Eito Suzuki</c:v>
                </c:pt>
                <c:pt idx="7">
                  <c:v>Akinari Shimoda</c:v>
                </c:pt>
                <c:pt idx="8">
                  <c:v>Haru Yanouchi</c:v>
                </c:pt>
                <c:pt idx="9">
                  <c:v>Sena Nonaka</c:v>
                </c:pt>
              </c:strCache>
            </c:strRef>
          </c:cat>
          <c:val>
            <c:numRef>
              <c:f>'KPI+Pivot'!$CJ$4:$CJ$13</c:f>
              <c:numCache>
                <c:formatCode>General</c:formatCode>
                <c:ptCount val="10"/>
                <c:pt idx="0">
                  <c:v>0</c:v>
                </c:pt>
                <c:pt idx="1">
                  <c:v>0</c:v>
                </c:pt>
                <c:pt idx="2">
                  <c:v>0</c:v>
                </c:pt>
                <c:pt idx="3">
                  <c:v>#N/A</c:v>
                </c:pt>
                <c:pt idx="4">
                  <c:v>#N/A</c:v>
                </c:pt>
                <c:pt idx="5">
                  <c:v>#N/A</c:v>
                </c:pt>
                <c:pt idx="6">
                  <c:v>#N/A</c:v>
                </c:pt>
                <c:pt idx="7">
                  <c:v>#N/A</c:v>
                </c:pt>
                <c:pt idx="8">
                  <c:v>#N/A</c:v>
                </c:pt>
                <c:pt idx="9">
                  <c:v>#N/A</c:v>
                </c:pt>
              </c:numCache>
            </c:numRef>
          </c:val>
          <c:extLst>
            <c:ext xmlns:c16="http://schemas.microsoft.com/office/drawing/2014/chart" uri="{C3380CC4-5D6E-409C-BE32-E72D297353CC}">
              <c16:uniqueId val="{00000000-CF7A-43D7-A90C-46F8EE4E0216}"/>
            </c:ext>
          </c:extLst>
        </c:ser>
        <c:dLbls>
          <c:showLegendKey val="0"/>
          <c:showVal val="0"/>
          <c:showCatName val="0"/>
          <c:showSerName val="0"/>
          <c:showPercent val="0"/>
          <c:showBubbleSize val="0"/>
        </c:dLbls>
        <c:gapWidth val="182"/>
        <c:axId val="93598111"/>
        <c:axId val="93595615"/>
      </c:barChart>
      <c:catAx>
        <c:axId val="9359811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3595615"/>
        <c:crosses val="autoZero"/>
        <c:auto val="1"/>
        <c:lblAlgn val="ctr"/>
        <c:lblOffset val="100"/>
        <c:noMultiLvlLbl val="0"/>
      </c:catAx>
      <c:valAx>
        <c:axId val="93595615"/>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3598111"/>
        <c:crosses val="autoZero"/>
        <c:crossBetween val="between"/>
      </c:valAx>
    </c:plotArea>
    <c:plotVisOnly val="1"/>
    <c:dispBlanksAs val="gap"/>
    <c:showDLblsOverMax val="1"/>
  </c:chart>
  <c:spPr>
    <a:solidFill>
      <a:schemeClr val="bg1"/>
    </a:solidFill>
    <a:ln w="9525" cap="flat" cmpd="sng" algn="ctr">
      <a:noFill/>
      <a:prstDash val="solid"/>
      <a:round/>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sz="1000" b="1"/>
              <a:t>Sales by Lesson Type</a:t>
            </a:r>
          </a:p>
        </c:rich>
      </c:tx>
      <c:overlay val="0"/>
      <c:spPr>
        <a:noFill/>
        <a:ln>
          <a:noFill/>
          <a:prstDash val="solid"/>
        </a:ln>
      </c:spPr>
    </c:title>
    <c:autoTitleDeleted val="0"/>
    <c:plotArea>
      <c:layout/>
      <c:pieChart>
        <c:varyColors val="1"/>
        <c:ser>
          <c:idx val="0"/>
          <c:order val="0"/>
          <c:tx>
            <c:strRef>
              <c:f>'KPI+Pivot'!$AU$4</c:f>
              <c:strCache>
                <c:ptCount val="1"/>
                <c:pt idx="0">
                  <c:v>Total Sales</c:v>
                </c:pt>
              </c:strCache>
            </c:strRef>
          </c:tx>
          <c:spPr>
            <a:ln>
              <a:prstDash val="solid"/>
            </a:ln>
          </c:spPr>
          <c:dPt>
            <c:idx val="0"/>
            <c:bubble3D val="0"/>
            <c:spPr>
              <a:solidFill>
                <a:schemeClr val="accent1"/>
              </a:solidFill>
              <a:ln w="19050">
                <a:solidFill>
                  <a:schemeClr val="lt1"/>
                </a:solidFill>
                <a:prstDash val="solid"/>
              </a:ln>
            </c:spPr>
            <c:extLst>
              <c:ext xmlns:c16="http://schemas.microsoft.com/office/drawing/2014/chart" uri="{C3380CC4-5D6E-409C-BE32-E72D297353CC}">
                <c16:uniqueId val="{00000001-B1F3-470B-BEFF-114FDDFF76DD}"/>
              </c:ext>
            </c:extLst>
          </c:dPt>
          <c:dPt>
            <c:idx val="1"/>
            <c:bubble3D val="0"/>
            <c:spPr>
              <a:solidFill>
                <a:schemeClr val="accent2"/>
              </a:solidFill>
              <a:ln w="19050">
                <a:solidFill>
                  <a:schemeClr val="lt1"/>
                </a:solidFill>
                <a:prstDash val="solid"/>
              </a:ln>
            </c:spPr>
            <c:extLst>
              <c:ext xmlns:c16="http://schemas.microsoft.com/office/drawing/2014/chart" uri="{C3380CC4-5D6E-409C-BE32-E72D297353CC}">
                <c16:uniqueId val="{00000003-B1F3-470B-BEFF-114FDDFF76DD}"/>
              </c:ext>
            </c:extLst>
          </c:dPt>
          <c:dLbls>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bg1"/>
                    </a:solidFill>
                    <a:latin typeface="+mn-lt"/>
                    <a:ea typeface="+mn-ea"/>
                    <a:cs typeface="+mn-cs"/>
                  </a:defRPr>
                </a:pPr>
                <a:endParaRPr lang="en-US"/>
              </a:p>
            </c:txPr>
            <c:dLblPos val="ctr"/>
            <c:showLegendKey val="0"/>
            <c:showVal val="1"/>
            <c:showCatName val="0"/>
            <c:showSerName val="0"/>
            <c:showPercent val="1"/>
            <c:showBubbleSize val="0"/>
            <c:showLeaderLines val="1"/>
            <c:extLst>
              <c:ext xmlns:c15="http://schemas.microsoft.com/office/drawing/2012/chart" uri="{CE6537A1-D6FC-4f65-9D91-7224C49458BB}"/>
            </c:extLst>
          </c:dLbls>
          <c:cat>
            <c:strRef>
              <c:f>'KPI+Pivot'!$AT$5:$AT$6</c:f>
              <c:strCache>
                <c:ptCount val="2"/>
                <c:pt idx="0">
                  <c:v>private</c:v>
                </c:pt>
                <c:pt idx="1">
                  <c:v>group</c:v>
                </c:pt>
              </c:strCache>
            </c:strRef>
          </c:cat>
          <c:val>
            <c:numRef>
              <c:f>'KPI+Pivot'!$AU$5:$AU$6</c:f>
              <c:numCache>
                <c:formatCode>General</c:formatCode>
                <c:ptCount val="2"/>
                <c:pt idx="0">
                  <c:v>0</c:v>
                </c:pt>
                <c:pt idx="1">
                  <c:v>0</c:v>
                </c:pt>
              </c:numCache>
            </c:numRef>
          </c:val>
          <c:extLst>
            <c:ext xmlns:c16="http://schemas.microsoft.com/office/drawing/2014/chart" uri="{C3380CC4-5D6E-409C-BE32-E72D297353CC}">
              <c16:uniqueId val="{00000004-B1F3-470B-BEFF-114FDDFF76DD}"/>
            </c:ext>
          </c:extLst>
        </c:ser>
        <c:dLbls>
          <c:dLblPos val="bestFit"/>
          <c:showLegendKey val="0"/>
          <c:showVal val="1"/>
          <c:showCatName val="0"/>
          <c:showSerName val="0"/>
          <c:showPercent val="0"/>
          <c:showBubbleSize val="0"/>
          <c:showLeaderLines val="1"/>
        </c:dLbls>
        <c:firstSliceAng val="0"/>
      </c:pieChart>
    </c:plotArea>
    <c:legend>
      <c:legendPos val="r"/>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sz="1000" b="1" i="0" baseline="0"/>
              <a:t>Student Classification by Money Spent</a:t>
            </a:r>
            <a:endParaRPr lang="en-US" sz="1000"/>
          </a:p>
        </c:rich>
      </c:tx>
      <c:overlay val="0"/>
      <c:spPr>
        <a:noFill/>
        <a:ln>
          <a:noFill/>
          <a:prstDash val="solid"/>
        </a:ln>
      </c:spPr>
    </c:title>
    <c:autoTitleDeleted val="0"/>
    <c:plotArea>
      <c:layout/>
      <c:barChart>
        <c:barDir val="col"/>
        <c:grouping val="clustered"/>
        <c:varyColors val="0"/>
        <c:ser>
          <c:idx val="0"/>
          <c:order val="0"/>
          <c:tx>
            <c:strRef>
              <c:f>'KPI+Pivot'!$CC$3</c:f>
              <c:strCache>
                <c:ptCount val="1"/>
                <c:pt idx="0">
                  <c:v>Salary</c:v>
                </c:pt>
              </c:strCache>
            </c:strRef>
          </c:tx>
          <c:spPr>
            <a:solidFill>
              <a:schemeClr val="accent1"/>
            </a:solidFill>
            <a:ln>
              <a:noFill/>
              <a:prstDash val="solid"/>
            </a:ln>
          </c:spPr>
          <c:invertIfNegative val="0"/>
          <c:cat>
            <c:strRef>
              <c:f>'KPI+Pivot'!$CB$4:$CB$8</c:f>
              <c:strCache>
                <c:ptCount val="5"/>
                <c:pt idx="0">
                  <c:v>Adult</c:v>
                </c:pt>
                <c:pt idx="1">
                  <c:v>Baby</c:v>
                </c:pt>
                <c:pt idx="2">
                  <c:v>Elementary</c:v>
                </c:pt>
                <c:pt idx="3">
                  <c:v>junior high</c:v>
                </c:pt>
                <c:pt idx="4">
                  <c:v>0</c:v>
                </c:pt>
              </c:strCache>
            </c:strRef>
          </c:cat>
          <c:val>
            <c:numRef>
              <c:f>'KPI+Pivot'!$CC$4:$CC$8</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0-035B-4AB3-8023-9EAFC52E6FE3}"/>
            </c:ext>
          </c:extLst>
        </c:ser>
        <c:ser>
          <c:idx val="1"/>
          <c:order val="1"/>
          <c:tx>
            <c:strRef>
              <c:f>'KPI+Pivot'!$CD$3</c:f>
              <c:strCache>
                <c:ptCount val="1"/>
                <c:pt idx="0">
                  <c:v>Profit</c:v>
                </c:pt>
              </c:strCache>
            </c:strRef>
          </c:tx>
          <c:spPr>
            <a:solidFill>
              <a:schemeClr val="accent2"/>
            </a:solidFill>
            <a:ln>
              <a:noFill/>
              <a:prstDash val="solid"/>
            </a:ln>
          </c:spPr>
          <c:invertIfNegative val="0"/>
          <c:cat>
            <c:strRef>
              <c:f>'KPI+Pivot'!$CB$4:$CB$8</c:f>
              <c:strCache>
                <c:ptCount val="5"/>
                <c:pt idx="0">
                  <c:v>Adult</c:v>
                </c:pt>
                <c:pt idx="1">
                  <c:v>Baby</c:v>
                </c:pt>
                <c:pt idx="2">
                  <c:v>Elementary</c:v>
                </c:pt>
                <c:pt idx="3">
                  <c:v>junior high</c:v>
                </c:pt>
                <c:pt idx="4">
                  <c:v>0</c:v>
                </c:pt>
              </c:strCache>
            </c:strRef>
          </c:cat>
          <c:val>
            <c:numRef>
              <c:f>'KPI+Pivot'!$CD$4:$CD$8</c:f>
              <c:numCache>
                <c:formatCode>General</c:formatCode>
                <c:ptCount val="5"/>
                <c:pt idx="0">
                  <c:v>0</c:v>
                </c:pt>
                <c:pt idx="1">
                  <c:v>0</c:v>
                </c:pt>
                <c:pt idx="2">
                  <c:v>7000</c:v>
                </c:pt>
                <c:pt idx="3">
                  <c:v>0</c:v>
                </c:pt>
                <c:pt idx="4">
                  <c:v>0</c:v>
                </c:pt>
              </c:numCache>
            </c:numRef>
          </c:val>
          <c:extLst>
            <c:ext xmlns:c16="http://schemas.microsoft.com/office/drawing/2014/chart" uri="{C3380CC4-5D6E-409C-BE32-E72D297353CC}">
              <c16:uniqueId val="{00000001-035B-4AB3-8023-9EAFC52E6FE3}"/>
            </c:ext>
          </c:extLst>
        </c:ser>
        <c:dLbls>
          <c:showLegendKey val="0"/>
          <c:showVal val="0"/>
          <c:showCatName val="0"/>
          <c:showSerName val="0"/>
          <c:showPercent val="0"/>
          <c:showBubbleSize val="0"/>
        </c:dLbls>
        <c:gapWidth val="219"/>
        <c:overlap val="-27"/>
        <c:axId val="62657983"/>
        <c:axId val="62661727"/>
      </c:barChart>
      <c:catAx>
        <c:axId val="626579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2661727"/>
        <c:crosses val="autoZero"/>
        <c:auto val="1"/>
        <c:lblAlgn val="ctr"/>
        <c:lblOffset val="100"/>
        <c:noMultiLvlLbl val="0"/>
      </c:catAx>
      <c:valAx>
        <c:axId val="62661727"/>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2657983"/>
        <c:crosses val="autoZero"/>
        <c:crossBetween val="between"/>
      </c:valAx>
    </c:plotArea>
    <c:legend>
      <c:legendPos val="t"/>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bg1"/>
    </a:solidFill>
    <a:ln w="9525" cap="flat" cmpd="sng" algn="ctr">
      <a:noFill/>
      <a:prstDash val="solid"/>
      <a:round/>
    </a:ln>
  </c:sp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gif"/></Relationships>
</file>

<file path=xl/drawings/_rels/drawing3.xml.rels><?xml version="1.0" encoding="UTF-8" standalone="yes"?>
<Relationships xmlns="http://schemas.openxmlformats.org/package/2006/relationships"><Relationship Id="rId1" Type="http://schemas.openxmlformats.org/officeDocument/2006/relationships/hyperlink" Target="file:///E:\OneDrive%20-%20Bee%20School\Scripts\Automation\Rico"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media/image1.gif"/></Relationships>
</file>

<file path=xl/drawings/_rels/drawing5.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image" Target="../media/image3.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2.png"/><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13</xdr:col>
      <xdr:colOff>1219868</xdr:colOff>
      <xdr:row>1</xdr:row>
      <xdr:rowOff>0</xdr:rowOff>
    </xdr:from>
    <xdr:to>
      <xdr:col>14</xdr:col>
      <xdr:colOff>6306</xdr:colOff>
      <xdr:row>1</xdr:row>
      <xdr:rowOff>0</xdr:rowOff>
    </xdr:to>
    <xdr:pic>
      <xdr:nvPicPr>
        <xdr:cNvPr id="2" name="Picture 1">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6419850" y="35026600"/>
          <a:ext cx="9525" cy="9525"/>
        </a:xfrm>
        <a:prstGeom prst="rect">
          <a:avLst/>
        </a:prstGeom>
        <a:noFill/>
        <a:ln>
          <a:prstDash val="solid"/>
        </a:ln>
      </xdr:spPr>
    </xdr:pic>
    <xdr:clientData/>
  </xdr:twoCellAnchor>
  <xdr:twoCellAnchor editAs="oneCell">
    <xdr:from>
      <xdr:col>21</xdr:col>
      <xdr:colOff>0</xdr:colOff>
      <xdr:row>1</xdr:row>
      <xdr:rowOff>0</xdr:rowOff>
    </xdr:from>
    <xdr:to>
      <xdr:col>21</xdr:col>
      <xdr:colOff>9525</xdr:colOff>
      <xdr:row>1</xdr:row>
      <xdr:rowOff>0</xdr:rowOff>
    </xdr:to>
    <xdr:pic>
      <xdr:nvPicPr>
        <xdr:cNvPr id="4" name="Picture 3">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9058275" y="44387502"/>
          <a:ext cx="9525" cy="1002"/>
        </a:xfrm>
        <a:prstGeom prst="rect">
          <a:avLst/>
        </a:prstGeom>
        <a:noFill/>
        <a:ln>
          <a:prstDash val="solid"/>
        </a:ln>
      </xdr:spPr>
    </xdr:pic>
    <xdr:clientData/>
  </xdr:twoCellAnchor>
  <xdr:twoCellAnchor editAs="oneCell">
    <xdr:from>
      <xdr:col>21</xdr:col>
      <xdr:colOff>0</xdr:colOff>
      <xdr:row>102</xdr:row>
      <xdr:rowOff>4650</xdr:rowOff>
    </xdr:from>
    <xdr:to>
      <xdr:col>21</xdr:col>
      <xdr:colOff>9525</xdr:colOff>
      <xdr:row>102</xdr:row>
      <xdr:rowOff>4650</xdr:rowOff>
    </xdr:to>
    <xdr:pic>
      <xdr:nvPicPr>
        <xdr:cNvPr id="6" name="Picture 5">
          <a:extLst>
            <a:ext uri="{FF2B5EF4-FFF2-40B4-BE49-F238E27FC236}">
              <a16:creationId xmlns:a16="http://schemas.microsoft.com/office/drawing/2014/main" id="{00000000-0008-0000-0000-000006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571750" y="209550"/>
          <a:ext cx="9525" cy="0"/>
        </a:xfrm>
        <a:prstGeom prst="rect">
          <a:avLst/>
        </a:prstGeom>
        <a:noFill/>
        <a:ln>
          <a:prstDash val="solid"/>
        </a:ln>
      </xdr:spPr>
    </xdr:pic>
    <xdr:clientData/>
  </xdr:twoCellAnchor>
  <xdr:twoCellAnchor editAs="oneCell">
    <xdr:from>
      <xdr:col>21</xdr:col>
      <xdr:colOff>0</xdr:colOff>
      <xdr:row>102</xdr:row>
      <xdr:rowOff>4650</xdr:rowOff>
    </xdr:from>
    <xdr:to>
      <xdr:col>21</xdr:col>
      <xdr:colOff>9525</xdr:colOff>
      <xdr:row>102</xdr:row>
      <xdr:rowOff>4650</xdr:rowOff>
    </xdr:to>
    <xdr:pic>
      <xdr:nvPicPr>
        <xdr:cNvPr id="7" name="Picture 6">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571750" y="209550"/>
          <a:ext cx="9525" cy="0"/>
        </a:xfrm>
        <a:prstGeom prst="rect">
          <a:avLst/>
        </a:prstGeom>
        <a:noFill/>
        <a:ln>
          <a:prstDash val="solid"/>
        </a:ln>
      </xdr:spPr>
    </xdr:pic>
    <xdr:clientData/>
  </xdr:twoCellAnchor>
  <xdr:oneCellAnchor>
    <xdr:from>
      <xdr:col>22</xdr:col>
      <xdr:colOff>0</xdr:colOff>
      <xdr:row>222</xdr:row>
      <xdr:rowOff>0</xdr:rowOff>
    </xdr:from>
    <xdr:ext cx="9525" cy="9525"/>
    <xdr:pic>
      <xdr:nvPicPr>
        <xdr:cNvPr id="3" name="Picture 2">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6694714" y="41610643"/>
          <a:ext cx="9525" cy="9525"/>
        </a:xfrm>
        <a:prstGeom prst="rect">
          <a:avLst/>
        </a:prstGeom>
        <a:noFill/>
        <a:ln>
          <a:prstDash val="solid"/>
        </a:ln>
      </xdr:spPr>
    </xdr:pic>
    <xdr:clientData/>
  </xdr:oneCellAnchor>
  <xdr:oneCellAnchor>
    <xdr:from>
      <xdr:col>22</xdr:col>
      <xdr:colOff>0</xdr:colOff>
      <xdr:row>222</xdr:row>
      <xdr:rowOff>0</xdr:rowOff>
    </xdr:from>
    <xdr:ext cx="9525" cy="9525"/>
    <xdr:pic>
      <xdr:nvPicPr>
        <xdr:cNvPr id="5" name="Picture 4">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239625" y="44386500"/>
          <a:ext cx="9525" cy="9525"/>
        </a:xfrm>
        <a:prstGeom prst="rect">
          <a:avLst/>
        </a:prstGeom>
        <a:noFill/>
        <a:ln>
          <a:prstDash val="solid"/>
        </a:ln>
      </xdr:spPr>
    </xdr:pic>
    <xdr:clientData/>
  </xdr:oneCellAnchor>
  <xdr:oneCellAnchor>
    <xdr:from>
      <xdr:col>22</xdr:col>
      <xdr:colOff>0</xdr:colOff>
      <xdr:row>227</xdr:row>
      <xdr:rowOff>9525</xdr:rowOff>
    </xdr:from>
    <xdr:ext cx="9525" cy="0"/>
    <xdr:pic>
      <xdr:nvPicPr>
        <xdr:cNvPr id="8" name="Picture 7">
          <a:extLst>
            <a:ext uri="{FF2B5EF4-FFF2-40B4-BE49-F238E27FC236}">
              <a16:creationId xmlns:a16="http://schemas.microsoft.com/office/drawing/2014/main" id="{00000000-0008-0000-0000-000008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0854147" y="61865996"/>
          <a:ext cx="9525" cy="0"/>
        </a:xfrm>
        <a:prstGeom prst="rect">
          <a:avLst/>
        </a:prstGeom>
        <a:noFill/>
        <a:ln>
          <a:prstDash val="solid"/>
        </a:ln>
      </xdr:spPr>
    </xdr:pic>
    <xdr:clientData/>
  </xdr:oneCellAnchor>
  <xdr:oneCellAnchor>
    <xdr:from>
      <xdr:col>22</xdr:col>
      <xdr:colOff>0</xdr:colOff>
      <xdr:row>227</xdr:row>
      <xdr:rowOff>9525</xdr:rowOff>
    </xdr:from>
    <xdr:ext cx="9525" cy="0"/>
    <xdr:pic>
      <xdr:nvPicPr>
        <xdr:cNvPr id="9" name="Picture 8">
          <a:extLst>
            <a:ext uri="{FF2B5EF4-FFF2-40B4-BE49-F238E27FC236}">
              <a16:creationId xmlns:a16="http://schemas.microsoft.com/office/drawing/2014/main" id="{00000000-0008-0000-0000-000009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0854147" y="61865996"/>
          <a:ext cx="9525" cy="0"/>
        </a:xfrm>
        <a:prstGeom prst="rect">
          <a:avLst/>
        </a:prstGeom>
        <a:noFill/>
        <a:ln>
          <a:prstDash val="solid"/>
        </a:ln>
      </xdr:spPr>
    </xdr:pic>
    <xdr:clientData/>
  </xdr:oneCellAnchor>
  <mc:AlternateContent xmlns:mc="http://schemas.openxmlformats.org/markup-compatibility/2006">
    <mc:Choice xmlns:a14="http://schemas.microsoft.com/office/drawing/2010/main" Requires="a14">
      <xdr:twoCellAnchor>
        <xdr:from>
          <xdr:col>39</xdr:col>
          <xdr:colOff>0</xdr:colOff>
          <xdr:row>2</xdr:row>
          <xdr:rowOff>0</xdr:rowOff>
        </xdr:from>
        <xdr:to>
          <xdr:col>40</xdr:col>
          <xdr:colOff>0</xdr:colOff>
          <xdr:row>3</xdr:row>
          <xdr:rowOff>0</xdr:rowOff>
        </xdr:to>
        <xdr:sp macro="" textlink="">
          <xdr:nvSpPr>
            <xdr:cNvPr id="1477" name="DeleteBtn_2" hidden="1">
              <a:extLst>
                <a:ext uri="{63B3BB69-23CF-44E3-9099-C40C66FF867C}">
                  <a14:compatExt spid="_x0000_s1477"/>
                </a:ext>
                <a:ext uri="{FF2B5EF4-FFF2-40B4-BE49-F238E27FC236}">
                  <a16:creationId xmlns:a16="http://schemas.microsoft.com/office/drawing/2014/main" id="{00000000-0008-0000-0000-0000C5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xdr:row>
          <xdr:rowOff>0</xdr:rowOff>
        </xdr:from>
        <xdr:to>
          <xdr:col>40</xdr:col>
          <xdr:colOff>0</xdr:colOff>
          <xdr:row>4</xdr:row>
          <xdr:rowOff>0</xdr:rowOff>
        </xdr:to>
        <xdr:sp macro="" textlink="">
          <xdr:nvSpPr>
            <xdr:cNvPr id="1478" name="DeleteBtn_3" hidden="1">
              <a:extLst>
                <a:ext uri="{63B3BB69-23CF-44E3-9099-C40C66FF867C}">
                  <a14:compatExt spid="_x0000_s1478"/>
                </a:ext>
                <a:ext uri="{FF2B5EF4-FFF2-40B4-BE49-F238E27FC236}">
                  <a16:creationId xmlns:a16="http://schemas.microsoft.com/office/drawing/2014/main" id="{00000000-0008-0000-0000-0000C6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xdr:row>
          <xdr:rowOff>0</xdr:rowOff>
        </xdr:from>
        <xdr:to>
          <xdr:col>40</xdr:col>
          <xdr:colOff>0</xdr:colOff>
          <xdr:row>5</xdr:row>
          <xdr:rowOff>0</xdr:rowOff>
        </xdr:to>
        <xdr:sp macro="" textlink="">
          <xdr:nvSpPr>
            <xdr:cNvPr id="1479" name="DeleteBtn_4" hidden="1">
              <a:extLst>
                <a:ext uri="{63B3BB69-23CF-44E3-9099-C40C66FF867C}">
                  <a14:compatExt spid="_x0000_s1479"/>
                </a:ext>
                <a:ext uri="{FF2B5EF4-FFF2-40B4-BE49-F238E27FC236}">
                  <a16:creationId xmlns:a16="http://schemas.microsoft.com/office/drawing/2014/main" id="{00000000-0008-0000-0000-0000C7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xdr:row>
          <xdr:rowOff>0</xdr:rowOff>
        </xdr:from>
        <xdr:to>
          <xdr:col>40</xdr:col>
          <xdr:colOff>0</xdr:colOff>
          <xdr:row>6</xdr:row>
          <xdr:rowOff>0</xdr:rowOff>
        </xdr:to>
        <xdr:sp macro="" textlink="">
          <xdr:nvSpPr>
            <xdr:cNvPr id="1480" name="DeleteBtn_5" hidden="1">
              <a:extLst>
                <a:ext uri="{63B3BB69-23CF-44E3-9099-C40C66FF867C}">
                  <a14:compatExt spid="_x0000_s1480"/>
                </a:ext>
                <a:ext uri="{FF2B5EF4-FFF2-40B4-BE49-F238E27FC236}">
                  <a16:creationId xmlns:a16="http://schemas.microsoft.com/office/drawing/2014/main" id="{00000000-0008-0000-0000-0000C8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xdr:row>
          <xdr:rowOff>0</xdr:rowOff>
        </xdr:from>
        <xdr:to>
          <xdr:col>40</xdr:col>
          <xdr:colOff>0</xdr:colOff>
          <xdr:row>7</xdr:row>
          <xdr:rowOff>0</xdr:rowOff>
        </xdr:to>
        <xdr:sp macro="" textlink="">
          <xdr:nvSpPr>
            <xdr:cNvPr id="1481" name="DeleteBtn_6" hidden="1">
              <a:extLst>
                <a:ext uri="{63B3BB69-23CF-44E3-9099-C40C66FF867C}">
                  <a14:compatExt spid="_x0000_s1481"/>
                </a:ext>
                <a:ext uri="{FF2B5EF4-FFF2-40B4-BE49-F238E27FC236}">
                  <a16:creationId xmlns:a16="http://schemas.microsoft.com/office/drawing/2014/main" id="{00000000-0008-0000-0000-0000C9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xdr:row>
          <xdr:rowOff>0</xdr:rowOff>
        </xdr:from>
        <xdr:to>
          <xdr:col>40</xdr:col>
          <xdr:colOff>0</xdr:colOff>
          <xdr:row>8</xdr:row>
          <xdr:rowOff>0</xdr:rowOff>
        </xdr:to>
        <xdr:sp macro="" textlink="">
          <xdr:nvSpPr>
            <xdr:cNvPr id="1482" name="DeleteBtn_7" hidden="1">
              <a:extLst>
                <a:ext uri="{63B3BB69-23CF-44E3-9099-C40C66FF867C}">
                  <a14:compatExt spid="_x0000_s1482"/>
                </a:ext>
                <a:ext uri="{FF2B5EF4-FFF2-40B4-BE49-F238E27FC236}">
                  <a16:creationId xmlns:a16="http://schemas.microsoft.com/office/drawing/2014/main" id="{00000000-0008-0000-0000-0000CA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xdr:row>
          <xdr:rowOff>0</xdr:rowOff>
        </xdr:from>
        <xdr:to>
          <xdr:col>40</xdr:col>
          <xdr:colOff>0</xdr:colOff>
          <xdr:row>9</xdr:row>
          <xdr:rowOff>0</xdr:rowOff>
        </xdr:to>
        <xdr:sp macro="" textlink="">
          <xdr:nvSpPr>
            <xdr:cNvPr id="1483" name="DeleteBtn_8" hidden="1">
              <a:extLst>
                <a:ext uri="{63B3BB69-23CF-44E3-9099-C40C66FF867C}">
                  <a14:compatExt spid="_x0000_s1483"/>
                </a:ext>
                <a:ext uri="{FF2B5EF4-FFF2-40B4-BE49-F238E27FC236}">
                  <a16:creationId xmlns:a16="http://schemas.microsoft.com/office/drawing/2014/main" id="{00000000-0008-0000-0000-0000CB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xdr:row>
          <xdr:rowOff>0</xdr:rowOff>
        </xdr:from>
        <xdr:to>
          <xdr:col>40</xdr:col>
          <xdr:colOff>0</xdr:colOff>
          <xdr:row>10</xdr:row>
          <xdr:rowOff>0</xdr:rowOff>
        </xdr:to>
        <xdr:sp macro="" textlink="">
          <xdr:nvSpPr>
            <xdr:cNvPr id="1484" name="DeleteBtn_9" hidden="1">
              <a:extLst>
                <a:ext uri="{63B3BB69-23CF-44E3-9099-C40C66FF867C}">
                  <a14:compatExt spid="_x0000_s1484"/>
                </a:ext>
                <a:ext uri="{FF2B5EF4-FFF2-40B4-BE49-F238E27FC236}">
                  <a16:creationId xmlns:a16="http://schemas.microsoft.com/office/drawing/2014/main" id="{00000000-0008-0000-0000-0000CC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xdr:row>
          <xdr:rowOff>0</xdr:rowOff>
        </xdr:from>
        <xdr:to>
          <xdr:col>40</xdr:col>
          <xdr:colOff>0</xdr:colOff>
          <xdr:row>11</xdr:row>
          <xdr:rowOff>0</xdr:rowOff>
        </xdr:to>
        <xdr:sp macro="" textlink="">
          <xdr:nvSpPr>
            <xdr:cNvPr id="1485" name="DeleteBtn_10" hidden="1">
              <a:extLst>
                <a:ext uri="{63B3BB69-23CF-44E3-9099-C40C66FF867C}">
                  <a14:compatExt spid="_x0000_s1485"/>
                </a:ext>
                <a:ext uri="{FF2B5EF4-FFF2-40B4-BE49-F238E27FC236}">
                  <a16:creationId xmlns:a16="http://schemas.microsoft.com/office/drawing/2014/main" id="{00000000-0008-0000-0000-0000CD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xdr:row>
          <xdr:rowOff>0</xdr:rowOff>
        </xdr:from>
        <xdr:to>
          <xdr:col>40</xdr:col>
          <xdr:colOff>0</xdr:colOff>
          <xdr:row>12</xdr:row>
          <xdr:rowOff>0</xdr:rowOff>
        </xdr:to>
        <xdr:sp macro="" textlink="">
          <xdr:nvSpPr>
            <xdr:cNvPr id="1486" name="DeleteBtn_11" hidden="1">
              <a:extLst>
                <a:ext uri="{63B3BB69-23CF-44E3-9099-C40C66FF867C}">
                  <a14:compatExt spid="_x0000_s1486"/>
                </a:ext>
                <a:ext uri="{FF2B5EF4-FFF2-40B4-BE49-F238E27FC236}">
                  <a16:creationId xmlns:a16="http://schemas.microsoft.com/office/drawing/2014/main" id="{00000000-0008-0000-0000-0000CE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xdr:row>
          <xdr:rowOff>0</xdr:rowOff>
        </xdr:from>
        <xdr:to>
          <xdr:col>40</xdr:col>
          <xdr:colOff>0</xdr:colOff>
          <xdr:row>13</xdr:row>
          <xdr:rowOff>0</xdr:rowOff>
        </xdr:to>
        <xdr:sp macro="" textlink="">
          <xdr:nvSpPr>
            <xdr:cNvPr id="1487" name="DeleteBtn_12" hidden="1">
              <a:extLst>
                <a:ext uri="{63B3BB69-23CF-44E3-9099-C40C66FF867C}">
                  <a14:compatExt spid="_x0000_s1487"/>
                </a:ext>
                <a:ext uri="{FF2B5EF4-FFF2-40B4-BE49-F238E27FC236}">
                  <a16:creationId xmlns:a16="http://schemas.microsoft.com/office/drawing/2014/main" id="{00000000-0008-0000-0000-0000CF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xdr:row>
          <xdr:rowOff>0</xdr:rowOff>
        </xdr:from>
        <xdr:to>
          <xdr:col>40</xdr:col>
          <xdr:colOff>0</xdr:colOff>
          <xdr:row>14</xdr:row>
          <xdr:rowOff>0</xdr:rowOff>
        </xdr:to>
        <xdr:sp macro="" textlink="">
          <xdr:nvSpPr>
            <xdr:cNvPr id="1488" name="DeleteBtn_13" hidden="1">
              <a:extLst>
                <a:ext uri="{63B3BB69-23CF-44E3-9099-C40C66FF867C}">
                  <a14:compatExt spid="_x0000_s1488"/>
                </a:ext>
                <a:ext uri="{FF2B5EF4-FFF2-40B4-BE49-F238E27FC236}">
                  <a16:creationId xmlns:a16="http://schemas.microsoft.com/office/drawing/2014/main" id="{00000000-0008-0000-0000-0000D0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xdr:row>
          <xdr:rowOff>0</xdr:rowOff>
        </xdr:from>
        <xdr:to>
          <xdr:col>40</xdr:col>
          <xdr:colOff>0</xdr:colOff>
          <xdr:row>15</xdr:row>
          <xdr:rowOff>0</xdr:rowOff>
        </xdr:to>
        <xdr:sp macro="" textlink="">
          <xdr:nvSpPr>
            <xdr:cNvPr id="1489" name="DeleteBtn_14" hidden="1">
              <a:extLst>
                <a:ext uri="{63B3BB69-23CF-44E3-9099-C40C66FF867C}">
                  <a14:compatExt spid="_x0000_s1489"/>
                </a:ext>
                <a:ext uri="{FF2B5EF4-FFF2-40B4-BE49-F238E27FC236}">
                  <a16:creationId xmlns:a16="http://schemas.microsoft.com/office/drawing/2014/main" id="{00000000-0008-0000-0000-0000D1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xdr:row>
          <xdr:rowOff>0</xdr:rowOff>
        </xdr:from>
        <xdr:to>
          <xdr:col>40</xdr:col>
          <xdr:colOff>0</xdr:colOff>
          <xdr:row>16</xdr:row>
          <xdr:rowOff>0</xdr:rowOff>
        </xdr:to>
        <xdr:sp macro="" textlink="">
          <xdr:nvSpPr>
            <xdr:cNvPr id="1490" name="DeleteBtn_15" hidden="1">
              <a:extLst>
                <a:ext uri="{63B3BB69-23CF-44E3-9099-C40C66FF867C}">
                  <a14:compatExt spid="_x0000_s1490"/>
                </a:ext>
                <a:ext uri="{FF2B5EF4-FFF2-40B4-BE49-F238E27FC236}">
                  <a16:creationId xmlns:a16="http://schemas.microsoft.com/office/drawing/2014/main" id="{00000000-0008-0000-0000-0000D2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xdr:row>
          <xdr:rowOff>0</xdr:rowOff>
        </xdr:from>
        <xdr:to>
          <xdr:col>40</xdr:col>
          <xdr:colOff>0</xdr:colOff>
          <xdr:row>17</xdr:row>
          <xdr:rowOff>0</xdr:rowOff>
        </xdr:to>
        <xdr:sp macro="" textlink="">
          <xdr:nvSpPr>
            <xdr:cNvPr id="1491" name="DeleteBtn_16" hidden="1">
              <a:extLst>
                <a:ext uri="{63B3BB69-23CF-44E3-9099-C40C66FF867C}">
                  <a14:compatExt spid="_x0000_s1491"/>
                </a:ext>
                <a:ext uri="{FF2B5EF4-FFF2-40B4-BE49-F238E27FC236}">
                  <a16:creationId xmlns:a16="http://schemas.microsoft.com/office/drawing/2014/main" id="{00000000-0008-0000-0000-0000D3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xdr:row>
          <xdr:rowOff>0</xdr:rowOff>
        </xdr:from>
        <xdr:to>
          <xdr:col>40</xdr:col>
          <xdr:colOff>0</xdr:colOff>
          <xdr:row>18</xdr:row>
          <xdr:rowOff>0</xdr:rowOff>
        </xdr:to>
        <xdr:sp macro="" textlink="">
          <xdr:nvSpPr>
            <xdr:cNvPr id="1492" name="DeleteBtn_17" hidden="1">
              <a:extLst>
                <a:ext uri="{63B3BB69-23CF-44E3-9099-C40C66FF867C}">
                  <a14:compatExt spid="_x0000_s1492"/>
                </a:ext>
                <a:ext uri="{FF2B5EF4-FFF2-40B4-BE49-F238E27FC236}">
                  <a16:creationId xmlns:a16="http://schemas.microsoft.com/office/drawing/2014/main" id="{00000000-0008-0000-0000-0000D4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xdr:row>
          <xdr:rowOff>0</xdr:rowOff>
        </xdr:from>
        <xdr:to>
          <xdr:col>40</xdr:col>
          <xdr:colOff>0</xdr:colOff>
          <xdr:row>19</xdr:row>
          <xdr:rowOff>0</xdr:rowOff>
        </xdr:to>
        <xdr:sp macro="" textlink="">
          <xdr:nvSpPr>
            <xdr:cNvPr id="1493" name="DeleteBtn_18" hidden="1">
              <a:extLst>
                <a:ext uri="{63B3BB69-23CF-44E3-9099-C40C66FF867C}">
                  <a14:compatExt spid="_x0000_s1493"/>
                </a:ext>
                <a:ext uri="{FF2B5EF4-FFF2-40B4-BE49-F238E27FC236}">
                  <a16:creationId xmlns:a16="http://schemas.microsoft.com/office/drawing/2014/main" id="{00000000-0008-0000-0000-0000D5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xdr:row>
          <xdr:rowOff>0</xdr:rowOff>
        </xdr:from>
        <xdr:to>
          <xdr:col>40</xdr:col>
          <xdr:colOff>0</xdr:colOff>
          <xdr:row>20</xdr:row>
          <xdr:rowOff>0</xdr:rowOff>
        </xdr:to>
        <xdr:sp macro="" textlink="">
          <xdr:nvSpPr>
            <xdr:cNvPr id="1494" name="DeleteBtn_19" hidden="1">
              <a:extLst>
                <a:ext uri="{63B3BB69-23CF-44E3-9099-C40C66FF867C}">
                  <a14:compatExt spid="_x0000_s1494"/>
                </a:ext>
                <a:ext uri="{FF2B5EF4-FFF2-40B4-BE49-F238E27FC236}">
                  <a16:creationId xmlns:a16="http://schemas.microsoft.com/office/drawing/2014/main" id="{00000000-0008-0000-0000-0000D6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xdr:row>
          <xdr:rowOff>0</xdr:rowOff>
        </xdr:from>
        <xdr:to>
          <xdr:col>40</xdr:col>
          <xdr:colOff>0</xdr:colOff>
          <xdr:row>21</xdr:row>
          <xdr:rowOff>0</xdr:rowOff>
        </xdr:to>
        <xdr:sp macro="" textlink="">
          <xdr:nvSpPr>
            <xdr:cNvPr id="1495" name="DeleteBtn_20" hidden="1">
              <a:extLst>
                <a:ext uri="{63B3BB69-23CF-44E3-9099-C40C66FF867C}">
                  <a14:compatExt spid="_x0000_s1495"/>
                </a:ext>
                <a:ext uri="{FF2B5EF4-FFF2-40B4-BE49-F238E27FC236}">
                  <a16:creationId xmlns:a16="http://schemas.microsoft.com/office/drawing/2014/main" id="{00000000-0008-0000-0000-0000D7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xdr:row>
          <xdr:rowOff>0</xdr:rowOff>
        </xdr:from>
        <xdr:to>
          <xdr:col>40</xdr:col>
          <xdr:colOff>0</xdr:colOff>
          <xdr:row>22</xdr:row>
          <xdr:rowOff>0</xdr:rowOff>
        </xdr:to>
        <xdr:sp macro="" textlink="">
          <xdr:nvSpPr>
            <xdr:cNvPr id="1496" name="DeleteBtn_21" hidden="1">
              <a:extLst>
                <a:ext uri="{63B3BB69-23CF-44E3-9099-C40C66FF867C}">
                  <a14:compatExt spid="_x0000_s1496"/>
                </a:ext>
                <a:ext uri="{FF2B5EF4-FFF2-40B4-BE49-F238E27FC236}">
                  <a16:creationId xmlns:a16="http://schemas.microsoft.com/office/drawing/2014/main" id="{00000000-0008-0000-0000-0000D8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xdr:row>
          <xdr:rowOff>0</xdr:rowOff>
        </xdr:from>
        <xdr:to>
          <xdr:col>40</xdr:col>
          <xdr:colOff>0</xdr:colOff>
          <xdr:row>23</xdr:row>
          <xdr:rowOff>0</xdr:rowOff>
        </xdr:to>
        <xdr:sp macro="" textlink="">
          <xdr:nvSpPr>
            <xdr:cNvPr id="1497" name="DeleteBtn_22" hidden="1">
              <a:extLst>
                <a:ext uri="{63B3BB69-23CF-44E3-9099-C40C66FF867C}">
                  <a14:compatExt spid="_x0000_s1497"/>
                </a:ext>
                <a:ext uri="{FF2B5EF4-FFF2-40B4-BE49-F238E27FC236}">
                  <a16:creationId xmlns:a16="http://schemas.microsoft.com/office/drawing/2014/main" id="{00000000-0008-0000-0000-0000D9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23</xdr:row>
          <xdr:rowOff>0</xdr:rowOff>
        </xdr:from>
        <xdr:to>
          <xdr:col>40</xdr:col>
          <xdr:colOff>0</xdr:colOff>
          <xdr:row>24</xdr:row>
          <xdr:rowOff>0</xdr:rowOff>
        </xdr:to>
        <xdr:sp macro="" textlink="">
          <xdr:nvSpPr>
            <xdr:cNvPr id="1498" name="DeleteBtn_23" hidden="1">
              <a:extLst>
                <a:ext uri="{63B3BB69-23CF-44E3-9099-C40C66FF867C}">
                  <a14:compatExt spid="_x0000_s1498"/>
                </a:ext>
                <a:ext uri="{FF2B5EF4-FFF2-40B4-BE49-F238E27FC236}">
                  <a16:creationId xmlns:a16="http://schemas.microsoft.com/office/drawing/2014/main" id="{00000000-0008-0000-0000-0000DA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24</xdr:row>
          <xdr:rowOff>0</xdr:rowOff>
        </xdr:from>
        <xdr:to>
          <xdr:col>40</xdr:col>
          <xdr:colOff>0</xdr:colOff>
          <xdr:row>25</xdr:row>
          <xdr:rowOff>0</xdr:rowOff>
        </xdr:to>
        <xdr:sp macro="" textlink="">
          <xdr:nvSpPr>
            <xdr:cNvPr id="1499" name="DeleteBtn_24" hidden="1">
              <a:extLst>
                <a:ext uri="{63B3BB69-23CF-44E3-9099-C40C66FF867C}">
                  <a14:compatExt spid="_x0000_s1499"/>
                </a:ext>
                <a:ext uri="{FF2B5EF4-FFF2-40B4-BE49-F238E27FC236}">
                  <a16:creationId xmlns:a16="http://schemas.microsoft.com/office/drawing/2014/main" id="{00000000-0008-0000-0000-0000DB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25</xdr:row>
          <xdr:rowOff>0</xdr:rowOff>
        </xdr:from>
        <xdr:to>
          <xdr:col>40</xdr:col>
          <xdr:colOff>0</xdr:colOff>
          <xdr:row>26</xdr:row>
          <xdr:rowOff>0</xdr:rowOff>
        </xdr:to>
        <xdr:sp macro="" textlink="">
          <xdr:nvSpPr>
            <xdr:cNvPr id="1500" name="DeleteBtn_25" hidden="1">
              <a:extLst>
                <a:ext uri="{63B3BB69-23CF-44E3-9099-C40C66FF867C}">
                  <a14:compatExt spid="_x0000_s1500"/>
                </a:ext>
                <a:ext uri="{FF2B5EF4-FFF2-40B4-BE49-F238E27FC236}">
                  <a16:creationId xmlns:a16="http://schemas.microsoft.com/office/drawing/2014/main" id="{00000000-0008-0000-0000-0000DC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26</xdr:row>
          <xdr:rowOff>0</xdr:rowOff>
        </xdr:from>
        <xdr:to>
          <xdr:col>40</xdr:col>
          <xdr:colOff>0</xdr:colOff>
          <xdr:row>27</xdr:row>
          <xdr:rowOff>0</xdr:rowOff>
        </xdr:to>
        <xdr:sp macro="" textlink="">
          <xdr:nvSpPr>
            <xdr:cNvPr id="1501" name="DeleteBtn_26" hidden="1">
              <a:extLst>
                <a:ext uri="{63B3BB69-23CF-44E3-9099-C40C66FF867C}">
                  <a14:compatExt spid="_x0000_s1501"/>
                </a:ext>
                <a:ext uri="{FF2B5EF4-FFF2-40B4-BE49-F238E27FC236}">
                  <a16:creationId xmlns:a16="http://schemas.microsoft.com/office/drawing/2014/main" id="{00000000-0008-0000-0000-0000DD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27</xdr:row>
          <xdr:rowOff>0</xdr:rowOff>
        </xdr:from>
        <xdr:to>
          <xdr:col>40</xdr:col>
          <xdr:colOff>0</xdr:colOff>
          <xdr:row>28</xdr:row>
          <xdr:rowOff>0</xdr:rowOff>
        </xdr:to>
        <xdr:sp macro="" textlink="">
          <xdr:nvSpPr>
            <xdr:cNvPr id="1502" name="DeleteBtn_27" hidden="1">
              <a:extLst>
                <a:ext uri="{63B3BB69-23CF-44E3-9099-C40C66FF867C}">
                  <a14:compatExt spid="_x0000_s1502"/>
                </a:ext>
                <a:ext uri="{FF2B5EF4-FFF2-40B4-BE49-F238E27FC236}">
                  <a16:creationId xmlns:a16="http://schemas.microsoft.com/office/drawing/2014/main" id="{00000000-0008-0000-0000-0000DE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28</xdr:row>
          <xdr:rowOff>0</xdr:rowOff>
        </xdr:from>
        <xdr:to>
          <xdr:col>40</xdr:col>
          <xdr:colOff>0</xdr:colOff>
          <xdr:row>29</xdr:row>
          <xdr:rowOff>0</xdr:rowOff>
        </xdr:to>
        <xdr:sp macro="" textlink="">
          <xdr:nvSpPr>
            <xdr:cNvPr id="1503" name="DeleteBtn_28" hidden="1">
              <a:extLst>
                <a:ext uri="{63B3BB69-23CF-44E3-9099-C40C66FF867C}">
                  <a14:compatExt spid="_x0000_s1503"/>
                </a:ext>
                <a:ext uri="{FF2B5EF4-FFF2-40B4-BE49-F238E27FC236}">
                  <a16:creationId xmlns:a16="http://schemas.microsoft.com/office/drawing/2014/main" id="{00000000-0008-0000-0000-0000DF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29</xdr:row>
          <xdr:rowOff>0</xdr:rowOff>
        </xdr:from>
        <xdr:to>
          <xdr:col>40</xdr:col>
          <xdr:colOff>0</xdr:colOff>
          <xdr:row>30</xdr:row>
          <xdr:rowOff>0</xdr:rowOff>
        </xdr:to>
        <xdr:sp macro="" textlink="">
          <xdr:nvSpPr>
            <xdr:cNvPr id="1504" name="DeleteBtn_29" hidden="1">
              <a:extLst>
                <a:ext uri="{63B3BB69-23CF-44E3-9099-C40C66FF867C}">
                  <a14:compatExt spid="_x0000_s1504"/>
                </a:ext>
                <a:ext uri="{FF2B5EF4-FFF2-40B4-BE49-F238E27FC236}">
                  <a16:creationId xmlns:a16="http://schemas.microsoft.com/office/drawing/2014/main" id="{00000000-0008-0000-0000-0000E0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30</xdr:row>
          <xdr:rowOff>0</xdr:rowOff>
        </xdr:from>
        <xdr:to>
          <xdr:col>40</xdr:col>
          <xdr:colOff>0</xdr:colOff>
          <xdr:row>31</xdr:row>
          <xdr:rowOff>0</xdr:rowOff>
        </xdr:to>
        <xdr:sp macro="" textlink="">
          <xdr:nvSpPr>
            <xdr:cNvPr id="1505" name="DeleteBtn_30" hidden="1">
              <a:extLst>
                <a:ext uri="{63B3BB69-23CF-44E3-9099-C40C66FF867C}">
                  <a14:compatExt spid="_x0000_s1505"/>
                </a:ext>
                <a:ext uri="{FF2B5EF4-FFF2-40B4-BE49-F238E27FC236}">
                  <a16:creationId xmlns:a16="http://schemas.microsoft.com/office/drawing/2014/main" id="{00000000-0008-0000-0000-0000E1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31</xdr:row>
          <xdr:rowOff>0</xdr:rowOff>
        </xdr:from>
        <xdr:to>
          <xdr:col>40</xdr:col>
          <xdr:colOff>0</xdr:colOff>
          <xdr:row>32</xdr:row>
          <xdr:rowOff>0</xdr:rowOff>
        </xdr:to>
        <xdr:sp macro="" textlink="">
          <xdr:nvSpPr>
            <xdr:cNvPr id="1506" name="DeleteBtn_31" hidden="1">
              <a:extLst>
                <a:ext uri="{63B3BB69-23CF-44E3-9099-C40C66FF867C}">
                  <a14:compatExt spid="_x0000_s1506"/>
                </a:ext>
                <a:ext uri="{FF2B5EF4-FFF2-40B4-BE49-F238E27FC236}">
                  <a16:creationId xmlns:a16="http://schemas.microsoft.com/office/drawing/2014/main" id="{00000000-0008-0000-0000-0000E2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32</xdr:row>
          <xdr:rowOff>0</xdr:rowOff>
        </xdr:from>
        <xdr:to>
          <xdr:col>40</xdr:col>
          <xdr:colOff>0</xdr:colOff>
          <xdr:row>33</xdr:row>
          <xdr:rowOff>0</xdr:rowOff>
        </xdr:to>
        <xdr:sp macro="" textlink="">
          <xdr:nvSpPr>
            <xdr:cNvPr id="1507" name="DeleteBtn_32" hidden="1">
              <a:extLst>
                <a:ext uri="{63B3BB69-23CF-44E3-9099-C40C66FF867C}">
                  <a14:compatExt spid="_x0000_s1507"/>
                </a:ext>
                <a:ext uri="{FF2B5EF4-FFF2-40B4-BE49-F238E27FC236}">
                  <a16:creationId xmlns:a16="http://schemas.microsoft.com/office/drawing/2014/main" id="{00000000-0008-0000-0000-0000E3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33</xdr:row>
          <xdr:rowOff>0</xdr:rowOff>
        </xdr:from>
        <xdr:to>
          <xdr:col>40</xdr:col>
          <xdr:colOff>0</xdr:colOff>
          <xdr:row>34</xdr:row>
          <xdr:rowOff>0</xdr:rowOff>
        </xdr:to>
        <xdr:sp macro="" textlink="">
          <xdr:nvSpPr>
            <xdr:cNvPr id="1508" name="DeleteBtn_33" hidden="1">
              <a:extLst>
                <a:ext uri="{63B3BB69-23CF-44E3-9099-C40C66FF867C}">
                  <a14:compatExt spid="_x0000_s1508"/>
                </a:ext>
                <a:ext uri="{FF2B5EF4-FFF2-40B4-BE49-F238E27FC236}">
                  <a16:creationId xmlns:a16="http://schemas.microsoft.com/office/drawing/2014/main" id="{00000000-0008-0000-0000-0000E4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34</xdr:row>
          <xdr:rowOff>0</xdr:rowOff>
        </xdr:from>
        <xdr:to>
          <xdr:col>40</xdr:col>
          <xdr:colOff>0</xdr:colOff>
          <xdr:row>35</xdr:row>
          <xdr:rowOff>0</xdr:rowOff>
        </xdr:to>
        <xdr:sp macro="" textlink="">
          <xdr:nvSpPr>
            <xdr:cNvPr id="1509" name="DeleteBtn_34" hidden="1">
              <a:extLst>
                <a:ext uri="{63B3BB69-23CF-44E3-9099-C40C66FF867C}">
                  <a14:compatExt spid="_x0000_s1509"/>
                </a:ext>
                <a:ext uri="{FF2B5EF4-FFF2-40B4-BE49-F238E27FC236}">
                  <a16:creationId xmlns:a16="http://schemas.microsoft.com/office/drawing/2014/main" id="{00000000-0008-0000-0000-0000E5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35</xdr:row>
          <xdr:rowOff>0</xdr:rowOff>
        </xdr:from>
        <xdr:to>
          <xdr:col>40</xdr:col>
          <xdr:colOff>0</xdr:colOff>
          <xdr:row>36</xdr:row>
          <xdr:rowOff>0</xdr:rowOff>
        </xdr:to>
        <xdr:sp macro="" textlink="">
          <xdr:nvSpPr>
            <xdr:cNvPr id="1510" name="DeleteBtn_35" hidden="1">
              <a:extLst>
                <a:ext uri="{63B3BB69-23CF-44E3-9099-C40C66FF867C}">
                  <a14:compatExt spid="_x0000_s1510"/>
                </a:ext>
                <a:ext uri="{FF2B5EF4-FFF2-40B4-BE49-F238E27FC236}">
                  <a16:creationId xmlns:a16="http://schemas.microsoft.com/office/drawing/2014/main" id="{00000000-0008-0000-0000-0000E6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36</xdr:row>
          <xdr:rowOff>0</xdr:rowOff>
        </xdr:from>
        <xdr:to>
          <xdr:col>40</xdr:col>
          <xdr:colOff>0</xdr:colOff>
          <xdr:row>37</xdr:row>
          <xdr:rowOff>0</xdr:rowOff>
        </xdr:to>
        <xdr:sp macro="" textlink="">
          <xdr:nvSpPr>
            <xdr:cNvPr id="1511" name="DeleteBtn_36" hidden="1">
              <a:extLst>
                <a:ext uri="{63B3BB69-23CF-44E3-9099-C40C66FF867C}">
                  <a14:compatExt spid="_x0000_s1511"/>
                </a:ext>
                <a:ext uri="{FF2B5EF4-FFF2-40B4-BE49-F238E27FC236}">
                  <a16:creationId xmlns:a16="http://schemas.microsoft.com/office/drawing/2014/main" id="{00000000-0008-0000-0000-0000E7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37</xdr:row>
          <xdr:rowOff>0</xdr:rowOff>
        </xdr:from>
        <xdr:to>
          <xdr:col>40</xdr:col>
          <xdr:colOff>0</xdr:colOff>
          <xdr:row>38</xdr:row>
          <xdr:rowOff>0</xdr:rowOff>
        </xdr:to>
        <xdr:sp macro="" textlink="">
          <xdr:nvSpPr>
            <xdr:cNvPr id="1512" name="DeleteBtn_37" hidden="1">
              <a:extLst>
                <a:ext uri="{63B3BB69-23CF-44E3-9099-C40C66FF867C}">
                  <a14:compatExt spid="_x0000_s1512"/>
                </a:ext>
                <a:ext uri="{FF2B5EF4-FFF2-40B4-BE49-F238E27FC236}">
                  <a16:creationId xmlns:a16="http://schemas.microsoft.com/office/drawing/2014/main" id="{00000000-0008-0000-0000-0000E8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38</xdr:row>
          <xdr:rowOff>0</xdr:rowOff>
        </xdr:from>
        <xdr:to>
          <xdr:col>40</xdr:col>
          <xdr:colOff>0</xdr:colOff>
          <xdr:row>39</xdr:row>
          <xdr:rowOff>0</xdr:rowOff>
        </xdr:to>
        <xdr:sp macro="" textlink="">
          <xdr:nvSpPr>
            <xdr:cNvPr id="1513" name="DeleteBtn_38" hidden="1">
              <a:extLst>
                <a:ext uri="{63B3BB69-23CF-44E3-9099-C40C66FF867C}">
                  <a14:compatExt spid="_x0000_s1513"/>
                </a:ext>
                <a:ext uri="{FF2B5EF4-FFF2-40B4-BE49-F238E27FC236}">
                  <a16:creationId xmlns:a16="http://schemas.microsoft.com/office/drawing/2014/main" id="{00000000-0008-0000-0000-0000E9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39</xdr:row>
          <xdr:rowOff>0</xdr:rowOff>
        </xdr:from>
        <xdr:to>
          <xdr:col>40</xdr:col>
          <xdr:colOff>0</xdr:colOff>
          <xdr:row>40</xdr:row>
          <xdr:rowOff>0</xdr:rowOff>
        </xdr:to>
        <xdr:sp macro="" textlink="">
          <xdr:nvSpPr>
            <xdr:cNvPr id="1514" name="DeleteBtn_39" hidden="1">
              <a:extLst>
                <a:ext uri="{63B3BB69-23CF-44E3-9099-C40C66FF867C}">
                  <a14:compatExt spid="_x0000_s1514"/>
                </a:ext>
                <a:ext uri="{FF2B5EF4-FFF2-40B4-BE49-F238E27FC236}">
                  <a16:creationId xmlns:a16="http://schemas.microsoft.com/office/drawing/2014/main" id="{00000000-0008-0000-0000-0000EA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40</xdr:row>
          <xdr:rowOff>0</xdr:rowOff>
        </xdr:from>
        <xdr:to>
          <xdr:col>40</xdr:col>
          <xdr:colOff>0</xdr:colOff>
          <xdr:row>41</xdr:row>
          <xdr:rowOff>0</xdr:rowOff>
        </xdr:to>
        <xdr:sp macro="" textlink="">
          <xdr:nvSpPr>
            <xdr:cNvPr id="1515" name="DeleteBtn_40" hidden="1">
              <a:extLst>
                <a:ext uri="{63B3BB69-23CF-44E3-9099-C40C66FF867C}">
                  <a14:compatExt spid="_x0000_s1515"/>
                </a:ext>
                <a:ext uri="{FF2B5EF4-FFF2-40B4-BE49-F238E27FC236}">
                  <a16:creationId xmlns:a16="http://schemas.microsoft.com/office/drawing/2014/main" id="{00000000-0008-0000-0000-0000EB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41</xdr:row>
          <xdr:rowOff>0</xdr:rowOff>
        </xdr:from>
        <xdr:to>
          <xdr:col>40</xdr:col>
          <xdr:colOff>0</xdr:colOff>
          <xdr:row>42</xdr:row>
          <xdr:rowOff>0</xdr:rowOff>
        </xdr:to>
        <xdr:sp macro="" textlink="">
          <xdr:nvSpPr>
            <xdr:cNvPr id="1516" name="DeleteBtn_41" hidden="1">
              <a:extLst>
                <a:ext uri="{63B3BB69-23CF-44E3-9099-C40C66FF867C}">
                  <a14:compatExt spid="_x0000_s1516"/>
                </a:ext>
                <a:ext uri="{FF2B5EF4-FFF2-40B4-BE49-F238E27FC236}">
                  <a16:creationId xmlns:a16="http://schemas.microsoft.com/office/drawing/2014/main" id="{00000000-0008-0000-0000-0000EC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42</xdr:row>
          <xdr:rowOff>0</xdr:rowOff>
        </xdr:from>
        <xdr:to>
          <xdr:col>40</xdr:col>
          <xdr:colOff>0</xdr:colOff>
          <xdr:row>43</xdr:row>
          <xdr:rowOff>0</xdr:rowOff>
        </xdr:to>
        <xdr:sp macro="" textlink="">
          <xdr:nvSpPr>
            <xdr:cNvPr id="1517" name="DeleteBtn_42" hidden="1">
              <a:extLst>
                <a:ext uri="{63B3BB69-23CF-44E3-9099-C40C66FF867C}">
                  <a14:compatExt spid="_x0000_s1517"/>
                </a:ext>
                <a:ext uri="{FF2B5EF4-FFF2-40B4-BE49-F238E27FC236}">
                  <a16:creationId xmlns:a16="http://schemas.microsoft.com/office/drawing/2014/main" id="{00000000-0008-0000-0000-0000ED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43</xdr:row>
          <xdr:rowOff>0</xdr:rowOff>
        </xdr:from>
        <xdr:to>
          <xdr:col>40</xdr:col>
          <xdr:colOff>0</xdr:colOff>
          <xdr:row>44</xdr:row>
          <xdr:rowOff>0</xdr:rowOff>
        </xdr:to>
        <xdr:sp macro="" textlink="">
          <xdr:nvSpPr>
            <xdr:cNvPr id="1518" name="DeleteBtn_43" hidden="1">
              <a:extLst>
                <a:ext uri="{63B3BB69-23CF-44E3-9099-C40C66FF867C}">
                  <a14:compatExt spid="_x0000_s1518"/>
                </a:ext>
                <a:ext uri="{FF2B5EF4-FFF2-40B4-BE49-F238E27FC236}">
                  <a16:creationId xmlns:a16="http://schemas.microsoft.com/office/drawing/2014/main" id="{00000000-0008-0000-0000-0000EE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44</xdr:row>
          <xdr:rowOff>0</xdr:rowOff>
        </xdr:from>
        <xdr:to>
          <xdr:col>40</xdr:col>
          <xdr:colOff>0</xdr:colOff>
          <xdr:row>45</xdr:row>
          <xdr:rowOff>0</xdr:rowOff>
        </xdr:to>
        <xdr:sp macro="" textlink="">
          <xdr:nvSpPr>
            <xdr:cNvPr id="1519" name="DeleteBtn_44" hidden="1">
              <a:extLst>
                <a:ext uri="{63B3BB69-23CF-44E3-9099-C40C66FF867C}">
                  <a14:compatExt spid="_x0000_s1519"/>
                </a:ext>
                <a:ext uri="{FF2B5EF4-FFF2-40B4-BE49-F238E27FC236}">
                  <a16:creationId xmlns:a16="http://schemas.microsoft.com/office/drawing/2014/main" id="{00000000-0008-0000-0000-0000EF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45</xdr:row>
          <xdr:rowOff>0</xdr:rowOff>
        </xdr:from>
        <xdr:to>
          <xdr:col>40</xdr:col>
          <xdr:colOff>0</xdr:colOff>
          <xdr:row>46</xdr:row>
          <xdr:rowOff>0</xdr:rowOff>
        </xdr:to>
        <xdr:sp macro="" textlink="">
          <xdr:nvSpPr>
            <xdr:cNvPr id="1520" name="DeleteBtn_45" hidden="1">
              <a:extLst>
                <a:ext uri="{63B3BB69-23CF-44E3-9099-C40C66FF867C}">
                  <a14:compatExt spid="_x0000_s1520"/>
                </a:ext>
                <a:ext uri="{FF2B5EF4-FFF2-40B4-BE49-F238E27FC236}">
                  <a16:creationId xmlns:a16="http://schemas.microsoft.com/office/drawing/2014/main" id="{00000000-0008-0000-0000-0000F0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46</xdr:row>
          <xdr:rowOff>0</xdr:rowOff>
        </xdr:from>
        <xdr:to>
          <xdr:col>40</xdr:col>
          <xdr:colOff>0</xdr:colOff>
          <xdr:row>47</xdr:row>
          <xdr:rowOff>0</xdr:rowOff>
        </xdr:to>
        <xdr:sp macro="" textlink="">
          <xdr:nvSpPr>
            <xdr:cNvPr id="1521" name="DeleteBtn_46" hidden="1">
              <a:extLst>
                <a:ext uri="{63B3BB69-23CF-44E3-9099-C40C66FF867C}">
                  <a14:compatExt spid="_x0000_s1521"/>
                </a:ext>
                <a:ext uri="{FF2B5EF4-FFF2-40B4-BE49-F238E27FC236}">
                  <a16:creationId xmlns:a16="http://schemas.microsoft.com/office/drawing/2014/main" id="{00000000-0008-0000-0000-0000F1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47</xdr:row>
          <xdr:rowOff>0</xdr:rowOff>
        </xdr:from>
        <xdr:to>
          <xdr:col>40</xdr:col>
          <xdr:colOff>0</xdr:colOff>
          <xdr:row>48</xdr:row>
          <xdr:rowOff>0</xdr:rowOff>
        </xdr:to>
        <xdr:sp macro="" textlink="">
          <xdr:nvSpPr>
            <xdr:cNvPr id="1522" name="DeleteBtn_47" hidden="1">
              <a:extLst>
                <a:ext uri="{63B3BB69-23CF-44E3-9099-C40C66FF867C}">
                  <a14:compatExt spid="_x0000_s1522"/>
                </a:ext>
                <a:ext uri="{FF2B5EF4-FFF2-40B4-BE49-F238E27FC236}">
                  <a16:creationId xmlns:a16="http://schemas.microsoft.com/office/drawing/2014/main" id="{00000000-0008-0000-0000-0000F2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48</xdr:row>
          <xdr:rowOff>0</xdr:rowOff>
        </xdr:from>
        <xdr:to>
          <xdr:col>40</xdr:col>
          <xdr:colOff>0</xdr:colOff>
          <xdr:row>49</xdr:row>
          <xdr:rowOff>0</xdr:rowOff>
        </xdr:to>
        <xdr:sp macro="" textlink="">
          <xdr:nvSpPr>
            <xdr:cNvPr id="1523" name="DeleteBtn_48" hidden="1">
              <a:extLst>
                <a:ext uri="{63B3BB69-23CF-44E3-9099-C40C66FF867C}">
                  <a14:compatExt spid="_x0000_s1523"/>
                </a:ext>
                <a:ext uri="{FF2B5EF4-FFF2-40B4-BE49-F238E27FC236}">
                  <a16:creationId xmlns:a16="http://schemas.microsoft.com/office/drawing/2014/main" id="{00000000-0008-0000-0000-0000F3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49</xdr:row>
          <xdr:rowOff>0</xdr:rowOff>
        </xdr:from>
        <xdr:to>
          <xdr:col>40</xdr:col>
          <xdr:colOff>0</xdr:colOff>
          <xdr:row>50</xdr:row>
          <xdr:rowOff>0</xdr:rowOff>
        </xdr:to>
        <xdr:sp macro="" textlink="">
          <xdr:nvSpPr>
            <xdr:cNvPr id="1524" name="DeleteBtn_49" hidden="1">
              <a:extLst>
                <a:ext uri="{63B3BB69-23CF-44E3-9099-C40C66FF867C}">
                  <a14:compatExt spid="_x0000_s1524"/>
                </a:ext>
                <a:ext uri="{FF2B5EF4-FFF2-40B4-BE49-F238E27FC236}">
                  <a16:creationId xmlns:a16="http://schemas.microsoft.com/office/drawing/2014/main" id="{00000000-0008-0000-0000-0000F4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50</xdr:row>
          <xdr:rowOff>0</xdr:rowOff>
        </xdr:from>
        <xdr:to>
          <xdr:col>40</xdr:col>
          <xdr:colOff>0</xdr:colOff>
          <xdr:row>51</xdr:row>
          <xdr:rowOff>0</xdr:rowOff>
        </xdr:to>
        <xdr:sp macro="" textlink="">
          <xdr:nvSpPr>
            <xdr:cNvPr id="1525" name="DeleteBtn_50" hidden="1">
              <a:extLst>
                <a:ext uri="{63B3BB69-23CF-44E3-9099-C40C66FF867C}">
                  <a14:compatExt spid="_x0000_s1525"/>
                </a:ext>
                <a:ext uri="{FF2B5EF4-FFF2-40B4-BE49-F238E27FC236}">
                  <a16:creationId xmlns:a16="http://schemas.microsoft.com/office/drawing/2014/main" id="{00000000-0008-0000-0000-0000F5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51</xdr:row>
          <xdr:rowOff>0</xdr:rowOff>
        </xdr:from>
        <xdr:to>
          <xdr:col>40</xdr:col>
          <xdr:colOff>0</xdr:colOff>
          <xdr:row>52</xdr:row>
          <xdr:rowOff>0</xdr:rowOff>
        </xdr:to>
        <xdr:sp macro="" textlink="">
          <xdr:nvSpPr>
            <xdr:cNvPr id="1526" name="DeleteBtn_51" hidden="1">
              <a:extLst>
                <a:ext uri="{63B3BB69-23CF-44E3-9099-C40C66FF867C}">
                  <a14:compatExt spid="_x0000_s1526"/>
                </a:ext>
                <a:ext uri="{FF2B5EF4-FFF2-40B4-BE49-F238E27FC236}">
                  <a16:creationId xmlns:a16="http://schemas.microsoft.com/office/drawing/2014/main" id="{00000000-0008-0000-0000-0000F6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52</xdr:row>
          <xdr:rowOff>0</xdr:rowOff>
        </xdr:from>
        <xdr:to>
          <xdr:col>40</xdr:col>
          <xdr:colOff>0</xdr:colOff>
          <xdr:row>53</xdr:row>
          <xdr:rowOff>0</xdr:rowOff>
        </xdr:to>
        <xdr:sp macro="" textlink="">
          <xdr:nvSpPr>
            <xdr:cNvPr id="1527" name="DeleteBtn_52" hidden="1">
              <a:extLst>
                <a:ext uri="{63B3BB69-23CF-44E3-9099-C40C66FF867C}">
                  <a14:compatExt spid="_x0000_s1527"/>
                </a:ext>
                <a:ext uri="{FF2B5EF4-FFF2-40B4-BE49-F238E27FC236}">
                  <a16:creationId xmlns:a16="http://schemas.microsoft.com/office/drawing/2014/main" id="{00000000-0008-0000-0000-0000F7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53</xdr:row>
          <xdr:rowOff>0</xdr:rowOff>
        </xdr:from>
        <xdr:to>
          <xdr:col>40</xdr:col>
          <xdr:colOff>0</xdr:colOff>
          <xdr:row>54</xdr:row>
          <xdr:rowOff>0</xdr:rowOff>
        </xdr:to>
        <xdr:sp macro="" textlink="">
          <xdr:nvSpPr>
            <xdr:cNvPr id="1528" name="DeleteBtn_53" hidden="1">
              <a:extLst>
                <a:ext uri="{63B3BB69-23CF-44E3-9099-C40C66FF867C}">
                  <a14:compatExt spid="_x0000_s1528"/>
                </a:ext>
                <a:ext uri="{FF2B5EF4-FFF2-40B4-BE49-F238E27FC236}">
                  <a16:creationId xmlns:a16="http://schemas.microsoft.com/office/drawing/2014/main" id="{00000000-0008-0000-0000-0000F8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54</xdr:row>
          <xdr:rowOff>0</xdr:rowOff>
        </xdr:from>
        <xdr:to>
          <xdr:col>40</xdr:col>
          <xdr:colOff>0</xdr:colOff>
          <xdr:row>55</xdr:row>
          <xdr:rowOff>0</xdr:rowOff>
        </xdr:to>
        <xdr:sp macro="" textlink="">
          <xdr:nvSpPr>
            <xdr:cNvPr id="1529" name="DeleteBtn_54" hidden="1">
              <a:extLst>
                <a:ext uri="{63B3BB69-23CF-44E3-9099-C40C66FF867C}">
                  <a14:compatExt spid="_x0000_s1529"/>
                </a:ext>
                <a:ext uri="{FF2B5EF4-FFF2-40B4-BE49-F238E27FC236}">
                  <a16:creationId xmlns:a16="http://schemas.microsoft.com/office/drawing/2014/main" id="{00000000-0008-0000-0000-0000F9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55</xdr:row>
          <xdr:rowOff>0</xdr:rowOff>
        </xdr:from>
        <xdr:to>
          <xdr:col>40</xdr:col>
          <xdr:colOff>0</xdr:colOff>
          <xdr:row>56</xdr:row>
          <xdr:rowOff>0</xdr:rowOff>
        </xdr:to>
        <xdr:sp macro="" textlink="">
          <xdr:nvSpPr>
            <xdr:cNvPr id="1530" name="DeleteBtn_55" hidden="1">
              <a:extLst>
                <a:ext uri="{63B3BB69-23CF-44E3-9099-C40C66FF867C}">
                  <a14:compatExt spid="_x0000_s1530"/>
                </a:ext>
                <a:ext uri="{FF2B5EF4-FFF2-40B4-BE49-F238E27FC236}">
                  <a16:creationId xmlns:a16="http://schemas.microsoft.com/office/drawing/2014/main" id="{00000000-0008-0000-0000-0000FA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56</xdr:row>
          <xdr:rowOff>0</xdr:rowOff>
        </xdr:from>
        <xdr:to>
          <xdr:col>40</xdr:col>
          <xdr:colOff>0</xdr:colOff>
          <xdr:row>57</xdr:row>
          <xdr:rowOff>0</xdr:rowOff>
        </xdr:to>
        <xdr:sp macro="" textlink="">
          <xdr:nvSpPr>
            <xdr:cNvPr id="1531" name="DeleteBtn_56" hidden="1">
              <a:extLst>
                <a:ext uri="{63B3BB69-23CF-44E3-9099-C40C66FF867C}">
                  <a14:compatExt spid="_x0000_s1531"/>
                </a:ext>
                <a:ext uri="{FF2B5EF4-FFF2-40B4-BE49-F238E27FC236}">
                  <a16:creationId xmlns:a16="http://schemas.microsoft.com/office/drawing/2014/main" id="{00000000-0008-0000-0000-0000FB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57</xdr:row>
          <xdr:rowOff>0</xdr:rowOff>
        </xdr:from>
        <xdr:to>
          <xdr:col>40</xdr:col>
          <xdr:colOff>0</xdr:colOff>
          <xdr:row>58</xdr:row>
          <xdr:rowOff>0</xdr:rowOff>
        </xdr:to>
        <xdr:sp macro="" textlink="">
          <xdr:nvSpPr>
            <xdr:cNvPr id="1532" name="DeleteBtn_57" hidden="1">
              <a:extLst>
                <a:ext uri="{63B3BB69-23CF-44E3-9099-C40C66FF867C}">
                  <a14:compatExt spid="_x0000_s1532"/>
                </a:ext>
                <a:ext uri="{FF2B5EF4-FFF2-40B4-BE49-F238E27FC236}">
                  <a16:creationId xmlns:a16="http://schemas.microsoft.com/office/drawing/2014/main" id="{00000000-0008-0000-0000-0000FC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58</xdr:row>
          <xdr:rowOff>0</xdr:rowOff>
        </xdr:from>
        <xdr:to>
          <xdr:col>40</xdr:col>
          <xdr:colOff>0</xdr:colOff>
          <xdr:row>59</xdr:row>
          <xdr:rowOff>0</xdr:rowOff>
        </xdr:to>
        <xdr:sp macro="" textlink="">
          <xdr:nvSpPr>
            <xdr:cNvPr id="1533" name="DeleteBtn_58" hidden="1">
              <a:extLst>
                <a:ext uri="{63B3BB69-23CF-44E3-9099-C40C66FF867C}">
                  <a14:compatExt spid="_x0000_s1533"/>
                </a:ext>
                <a:ext uri="{FF2B5EF4-FFF2-40B4-BE49-F238E27FC236}">
                  <a16:creationId xmlns:a16="http://schemas.microsoft.com/office/drawing/2014/main" id="{00000000-0008-0000-0000-0000FD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59</xdr:row>
          <xdr:rowOff>0</xdr:rowOff>
        </xdr:from>
        <xdr:to>
          <xdr:col>40</xdr:col>
          <xdr:colOff>0</xdr:colOff>
          <xdr:row>60</xdr:row>
          <xdr:rowOff>0</xdr:rowOff>
        </xdr:to>
        <xdr:sp macro="" textlink="">
          <xdr:nvSpPr>
            <xdr:cNvPr id="1534" name="DeleteBtn_59" hidden="1">
              <a:extLst>
                <a:ext uri="{63B3BB69-23CF-44E3-9099-C40C66FF867C}">
                  <a14:compatExt spid="_x0000_s1534"/>
                </a:ext>
                <a:ext uri="{FF2B5EF4-FFF2-40B4-BE49-F238E27FC236}">
                  <a16:creationId xmlns:a16="http://schemas.microsoft.com/office/drawing/2014/main" id="{00000000-0008-0000-0000-0000FE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60</xdr:row>
          <xdr:rowOff>0</xdr:rowOff>
        </xdr:from>
        <xdr:to>
          <xdr:col>40</xdr:col>
          <xdr:colOff>0</xdr:colOff>
          <xdr:row>61</xdr:row>
          <xdr:rowOff>0</xdr:rowOff>
        </xdr:to>
        <xdr:sp macro="" textlink="">
          <xdr:nvSpPr>
            <xdr:cNvPr id="1535" name="DeleteBtn_60" hidden="1">
              <a:extLst>
                <a:ext uri="{63B3BB69-23CF-44E3-9099-C40C66FF867C}">
                  <a14:compatExt spid="_x0000_s1535"/>
                </a:ext>
                <a:ext uri="{FF2B5EF4-FFF2-40B4-BE49-F238E27FC236}">
                  <a16:creationId xmlns:a16="http://schemas.microsoft.com/office/drawing/2014/main" id="{00000000-0008-0000-0000-0000FF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61</xdr:row>
          <xdr:rowOff>0</xdr:rowOff>
        </xdr:from>
        <xdr:to>
          <xdr:col>40</xdr:col>
          <xdr:colOff>0</xdr:colOff>
          <xdr:row>62</xdr:row>
          <xdr:rowOff>0</xdr:rowOff>
        </xdr:to>
        <xdr:sp macro="" textlink="">
          <xdr:nvSpPr>
            <xdr:cNvPr id="1536" name="DeleteBtn_61" hidden="1">
              <a:extLst>
                <a:ext uri="{63B3BB69-23CF-44E3-9099-C40C66FF867C}">
                  <a14:compatExt spid="_x0000_s1536"/>
                </a:ext>
                <a:ext uri="{FF2B5EF4-FFF2-40B4-BE49-F238E27FC236}">
                  <a16:creationId xmlns:a16="http://schemas.microsoft.com/office/drawing/2014/main" id="{00000000-0008-0000-0000-000000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62</xdr:row>
          <xdr:rowOff>0</xdr:rowOff>
        </xdr:from>
        <xdr:to>
          <xdr:col>40</xdr:col>
          <xdr:colOff>0</xdr:colOff>
          <xdr:row>63</xdr:row>
          <xdr:rowOff>0</xdr:rowOff>
        </xdr:to>
        <xdr:sp macro="" textlink="">
          <xdr:nvSpPr>
            <xdr:cNvPr id="1537" name="DeleteBtn_62" hidden="1">
              <a:extLst>
                <a:ext uri="{63B3BB69-23CF-44E3-9099-C40C66FF867C}">
                  <a14:compatExt spid="_x0000_s1537"/>
                </a:ext>
                <a:ext uri="{FF2B5EF4-FFF2-40B4-BE49-F238E27FC236}">
                  <a16:creationId xmlns:a16="http://schemas.microsoft.com/office/drawing/2014/main" id="{00000000-0008-0000-0000-000001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63</xdr:row>
          <xdr:rowOff>0</xdr:rowOff>
        </xdr:from>
        <xdr:to>
          <xdr:col>40</xdr:col>
          <xdr:colOff>0</xdr:colOff>
          <xdr:row>64</xdr:row>
          <xdr:rowOff>0</xdr:rowOff>
        </xdr:to>
        <xdr:sp macro="" textlink="">
          <xdr:nvSpPr>
            <xdr:cNvPr id="1538" name="DeleteBtn_63" hidden="1">
              <a:extLst>
                <a:ext uri="{63B3BB69-23CF-44E3-9099-C40C66FF867C}">
                  <a14:compatExt spid="_x0000_s1538"/>
                </a:ext>
                <a:ext uri="{FF2B5EF4-FFF2-40B4-BE49-F238E27FC236}">
                  <a16:creationId xmlns:a16="http://schemas.microsoft.com/office/drawing/2014/main" id="{00000000-0008-0000-0000-000002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64</xdr:row>
          <xdr:rowOff>0</xdr:rowOff>
        </xdr:from>
        <xdr:to>
          <xdr:col>40</xdr:col>
          <xdr:colOff>0</xdr:colOff>
          <xdr:row>65</xdr:row>
          <xdr:rowOff>0</xdr:rowOff>
        </xdr:to>
        <xdr:sp macro="" textlink="">
          <xdr:nvSpPr>
            <xdr:cNvPr id="1539" name="DeleteBtn_64" hidden="1">
              <a:extLst>
                <a:ext uri="{63B3BB69-23CF-44E3-9099-C40C66FF867C}">
                  <a14:compatExt spid="_x0000_s1539"/>
                </a:ext>
                <a:ext uri="{FF2B5EF4-FFF2-40B4-BE49-F238E27FC236}">
                  <a16:creationId xmlns:a16="http://schemas.microsoft.com/office/drawing/2014/main" id="{00000000-0008-0000-0000-000003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65</xdr:row>
          <xdr:rowOff>0</xdr:rowOff>
        </xdr:from>
        <xdr:to>
          <xdr:col>40</xdr:col>
          <xdr:colOff>0</xdr:colOff>
          <xdr:row>66</xdr:row>
          <xdr:rowOff>0</xdr:rowOff>
        </xdr:to>
        <xdr:sp macro="" textlink="">
          <xdr:nvSpPr>
            <xdr:cNvPr id="1540" name="DeleteBtn_65" hidden="1">
              <a:extLst>
                <a:ext uri="{63B3BB69-23CF-44E3-9099-C40C66FF867C}">
                  <a14:compatExt spid="_x0000_s1540"/>
                </a:ext>
                <a:ext uri="{FF2B5EF4-FFF2-40B4-BE49-F238E27FC236}">
                  <a16:creationId xmlns:a16="http://schemas.microsoft.com/office/drawing/2014/main" id="{00000000-0008-0000-0000-000004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66</xdr:row>
          <xdr:rowOff>0</xdr:rowOff>
        </xdr:from>
        <xdr:to>
          <xdr:col>40</xdr:col>
          <xdr:colOff>0</xdr:colOff>
          <xdr:row>67</xdr:row>
          <xdr:rowOff>0</xdr:rowOff>
        </xdr:to>
        <xdr:sp macro="" textlink="">
          <xdr:nvSpPr>
            <xdr:cNvPr id="1541" name="DeleteBtn_66" hidden="1">
              <a:extLst>
                <a:ext uri="{63B3BB69-23CF-44E3-9099-C40C66FF867C}">
                  <a14:compatExt spid="_x0000_s1541"/>
                </a:ext>
                <a:ext uri="{FF2B5EF4-FFF2-40B4-BE49-F238E27FC236}">
                  <a16:creationId xmlns:a16="http://schemas.microsoft.com/office/drawing/2014/main" id="{00000000-0008-0000-0000-000005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67</xdr:row>
          <xdr:rowOff>0</xdr:rowOff>
        </xdr:from>
        <xdr:to>
          <xdr:col>40</xdr:col>
          <xdr:colOff>0</xdr:colOff>
          <xdr:row>68</xdr:row>
          <xdr:rowOff>0</xdr:rowOff>
        </xdr:to>
        <xdr:sp macro="" textlink="">
          <xdr:nvSpPr>
            <xdr:cNvPr id="1542" name="DeleteBtn_67" hidden="1">
              <a:extLst>
                <a:ext uri="{63B3BB69-23CF-44E3-9099-C40C66FF867C}">
                  <a14:compatExt spid="_x0000_s1542"/>
                </a:ext>
                <a:ext uri="{FF2B5EF4-FFF2-40B4-BE49-F238E27FC236}">
                  <a16:creationId xmlns:a16="http://schemas.microsoft.com/office/drawing/2014/main" id="{00000000-0008-0000-0000-000006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68</xdr:row>
          <xdr:rowOff>0</xdr:rowOff>
        </xdr:from>
        <xdr:to>
          <xdr:col>40</xdr:col>
          <xdr:colOff>0</xdr:colOff>
          <xdr:row>69</xdr:row>
          <xdr:rowOff>0</xdr:rowOff>
        </xdr:to>
        <xdr:sp macro="" textlink="">
          <xdr:nvSpPr>
            <xdr:cNvPr id="1543" name="DeleteBtn_68" hidden="1">
              <a:extLst>
                <a:ext uri="{63B3BB69-23CF-44E3-9099-C40C66FF867C}">
                  <a14:compatExt spid="_x0000_s1543"/>
                </a:ext>
                <a:ext uri="{FF2B5EF4-FFF2-40B4-BE49-F238E27FC236}">
                  <a16:creationId xmlns:a16="http://schemas.microsoft.com/office/drawing/2014/main" id="{00000000-0008-0000-0000-000007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69</xdr:row>
          <xdr:rowOff>0</xdr:rowOff>
        </xdr:from>
        <xdr:to>
          <xdr:col>40</xdr:col>
          <xdr:colOff>0</xdr:colOff>
          <xdr:row>70</xdr:row>
          <xdr:rowOff>0</xdr:rowOff>
        </xdr:to>
        <xdr:sp macro="" textlink="">
          <xdr:nvSpPr>
            <xdr:cNvPr id="1544" name="DeleteBtn_69" hidden="1">
              <a:extLst>
                <a:ext uri="{63B3BB69-23CF-44E3-9099-C40C66FF867C}">
                  <a14:compatExt spid="_x0000_s1544"/>
                </a:ext>
                <a:ext uri="{FF2B5EF4-FFF2-40B4-BE49-F238E27FC236}">
                  <a16:creationId xmlns:a16="http://schemas.microsoft.com/office/drawing/2014/main" id="{00000000-0008-0000-0000-000008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70</xdr:row>
          <xdr:rowOff>0</xdr:rowOff>
        </xdr:from>
        <xdr:to>
          <xdr:col>40</xdr:col>
          <xdr:colOff>0</xdr:colOff>
          <xdr:row>71</xdr:row>
          <xdr:rowOff>0</xdr:rowOff>
        </xdr:to>
        <xdr:sp macro="" textlink="">
          <xdr:nvSpPr>
            <xdr:cNvPr id="1545" name="DeleteBtn_70" hidden="1">
              <a:extLst>
                <a:ext uri="{63B3BB69-23CF-44E3-9099-C40C66FF867C}">
                  <a14:compatExt spid="_x0000_s1545"/>
                </a:ext>
                <a:ext uri="{FF2B5EF4-FFF2-40B4-BE49-F238E27FC236}">
                  <a16:creationId xmlns:a16="http://schemas.microsoft.com/office/drawing/2014/main" id="{00000000-0008-0000-0000-000009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71</xdr:row>
          <xdr:rowOff>0</xdr:rowOff>
        </xdr:from>
        <xdr:to>
          <xdr:col>40</xdr:col>
          <xdr:colOff>0</xdr:colOff>
          <xdr:row>72</xdr:row>
          <xdr:rowOff>0</xdr:rowOff>
        </xdr:to>
        <xdr:sp macro="" textlink="">
          <xdr:nvSpPr>
            <xdr:cNvPr id="1546" name="DeleteBtn_71" hidden="1">
              <a:extLst>
                <a:ext uri="{63B3BB69-23CF-44E3-9099-C40C66FF867C}">
                  <a14:compatExt spid="_x0000_s1546"/>
                </a:ext>
                <a:ext uri="{FF2B5EF4-FFF2-40B4-BE49-F238E27FC236}">
                  <a16:creationId xmlns:a16="http://schemas.microsoft.com/office/drawing/2014/main" id="{00000000-0008-0000-0000-00000A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xdr:twoCellAnchor>
    <xdr:from>
      <xdr:col>39</xdr:col>
      <xdr:colOff>0</xdr:colOff>
      <xdr:row>72</xdr:row>
      <xdr:rowOff>0</xdr:rowOff>
    </xdr:from>
    <xdr:to>
      <xdr:col>40</xdr:col>
      <xdr:colOff>0</xdr:colOff>
      <xdr:row>73</xdr:row>
      <xdr:rowOff>0</xdr:rowOff>
    </xdr:to>
    <xdr:sp macro="" textlink="">
      <xdr:nvSpPr>
        <xdr:cNvPr id="1547" name="DeleteBtn_72" hidden="1">
          <a:extLst>
            <a:ext uri="{63B3BB69-23CF-44E3-9099-C40C66FF867C}">
              <a14:compatExt xmlns:a14="http://schemas.microsoft.com/office/drawing/2010/main" spid="_x0000_s1547"/>
            </a:ext>
            <a:ext uri="{FF2B5EF4-FFF2-40B4-BE49-F238E27FC236}">
              <a16:creationId xmlns:a16="http://schemas.microsoft.com/office/drawing/2014/main" id="{00000000-0008-0000-0000-00000B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AlternateContent xmlns:mc="http://schemas.openxmlformats.org/markup-compatibility/2006">
    <mc:Choice xmlns:a14="http://schemas.microsoft.com/office/drawing/2010/main" Requires="a14">
      <xdr:twoCellAnchor>
        <xdr:from>
          <xdr:col>39</xdr:col>
          <xdr:colOff>0</xdr:colOff>
          <xdr:row>73</xdr:row>
          <xdr:rowOff>0</xdr:rowOff>
        </xdr:from>
        <xdr:to>
          <xdr:col>40</xdr:col>
          <xdr:colOff>0</xdr:colOff>
          <xdr:row>74</xdr:row>
          <xdr:rowOff>0</xdr:rowOff>
        </xdr:to>
        <xdr:sp macro="" textlink="">
          <xdr:nvSpPr>
            <xdr:cNvPr id="1548" name="DeleteBtn_73" hidden="1">
              <a:extLst>
                <a:ext uri="{63B3BB69-23CF-44E3-9099-C40C66FF867C}">
                  <a14:compatExt spid="_x0000_s1548"/>
                </a:ext>
                <a:ext uri="{FF2B5EF4-FFF2-40B4-BE49-F238E27FC236}">
                  <a16:creationId xmlns:a16="http://schemas.microsoft.com/office/drawing/2014/main" id="{00000000-0008-0000-0000-00000C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74</xdr:row>
          <xdr:rowOff>0</xdr:rowOff>
        </xdr:from>
        <xdr:to>
          <xdr:col>40</xdr:col>
          <xdr:colOff>0</xdr:colOff>
          <xdr:row>75</xdr:row>
          <xdr:rowOff>0</xdr:rowOff>
        </xdr:to>
        <xdr:sp macro="" textlink="">
          <xdr:nvSpPr>
            <xdr:cNvPr id="1549" name="DeleteBtn_74" hidden="1">
              <a:extLst>
                <a:ext uri="{63B3BB69-23CF-44E3-9099-C40C66FF867C}">
                  <a14:compatExt spid="_x0000_s1549"/>
                </a:ext>
                <a:ext uri="{FF2B5EF4-FFF2-40B4-BE49-F238E27FC236}">
                  <a16:creationId xmlns:a16="http://schemas.microsoft.com/office/drawing/2014/main" id="{00000000-0008-0000-0000-00000D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75</xdr:row>
          <xdr:rowOff>0</xdr:rowOff>
        </xdr:from>
        <xdr:to>
          <xdr:col>40</xdr:col>
          <xdr:colOff>0</xdr:colOff>
          <xdr:row>76</xdr:row>
          <xdr:rowOff>0</xdr:rowOff>
        </xdr:to>
        <xdr:sp macro="" textlink="">
          <xdr:nvSpPr>
            <xdr:cNvPr id="1550" name="DeleteBtn_75" hidden="1">
              <a:extLst>
                <a:ext uri="{63B3BB69-23CF-44E3-9099-C40C66FF867C}">
                  <a14:compatExt spid="_x0000_s1550"/>
                </a:ext>
                <a:ext uri="{FF2B5EF4-FFF2-40B4-BE49-F238E27FC236}">
                  <a16:creationId xmlns:a16="http://schemas.microsoft.com/office/drawing/2014/main" id="{00000000-0008-0000-0000-00000E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76</xdr:row>
          <xdr:rowOff>0</xdr:rowOff>
        </xdr:from>
        <xdr:to>
          <xdr:col>40</xdr:col>
          <xdr:colOff>0</xdr:colOff>
          <xdr:row>77</xdr:row>
          <xdr:rowOff>0</xdr:rowOff>
        </xdr:to>
        <xdr:sp macro="" textlink="">
          <xdr:nvSpPr>
            <xdr:cNvPr id="1551" name="DeleteBtn_76" hidden="1">
              <a:extLst>
                <a:ext uri="{63B3BB69-23CF-44E3-9099-C40C66FF867C}">
                  <a14:compatExt spid="_x0000_s1551"/>
                </a:ext>
                <a:ext uri="{FF2B5EF4-FFF2-40B4-BE49-F238E27FC236}">
                  <a16:creationId xmlns:a16="http://schemas.microsoft.com/office/drawing/2014/main" id="{00000000-0008-0000-0000-00000F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77</xdr:row>
          <xdr:rowOff>0</xdr:rowOff>
        </xdr:from>
        <xdr:to>
          <xdr:col>40</xdr:col>
          <xdr:colOff>0</xdr:colOff>
          <xdr:row>78</xdr:row>
          <xdr:rowOff>0</xdr:rowOff>
        </xdr:to>
        <xdr:sp macro="" textlink="">
          <xdr:nvSpPr>
            <xdr:cNvPr id="1552" name="DeleteBtn_77" hidden="1">
              <a:extLst>
                <a:ext uri="{63B3BB69-23CF-44E3-9099-C40C66FF867C}">
                  <a14:compatExt spid="_x0000_s1552"/>
                </a:ext>
                <a:ext uri="{FF2B5EF4-FFF2-40B4-BE49-F238E27FC236}">
                  <a16:creationId xmlns:a16="http://schemas.microsoft.com/office/drawing/2014/main" id="{00000000-0008-0000-0000-000010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78</xdr:row>
          <xdr:rowOff>0</xdr:rowOff>
        </xdr:from>
        <xdr:to>
          <xdr:col>40</xdr:col>
          <xdr:colOff>0</xdr:colOff>
          <xdr:row>79</xdr:row>
          <xdr:rowOff>0</xdr:rowOff>
        </xdr:to>
        <xdr:sp macro="" textlink="">
          <xdr:nvSpPr>
            <xdr:cNvPr id="1553" name="DeleteBtn_78" hidden="1">
              <a:extLst>
                <a:ext uri="{63B3BB69-23CF-44E3-9099-C40C66FF867C}">
                  <a14:compatExt spid="_x0000_s1553"/>
                </a:ext>
                <a:ext uri="{FF2B5EF4-FFF2-40B4-BE49-F238E27FC236}">
                  <a16:creationId xmlns:a16="http://schemas.microsoft.com/office/drawing/2014/main" id="{00000000-0008-0000-0000-000011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79</xdr:row>
          <xdr:rowOff>0</xdr:rowOff>
        </xdr:from>
        <xdr:to>
          <xdr:col>40</xdr:col>
          <xdr:colOff>0</xdr:colOff>
          <xdr:row>80</xdr:row>
          <xdr:rowOff>0</xdr:rowOff>
        </xdr:to>
        <xdr:sp macro="" textlink="">
          <xdr:nvSpPr>
            <xdr:cNvPr id="1554" name="DeleteBtn_79" hidden="1">
              <a:extLst>
                <a:ext uri="{63B3BB69-23CF-44E3-9099-C40C66FF867C}">
                  <a14:compatExt spid="_x0000_s1554"/>
                </a:ext>
                <a:ext uri="{FF2B5EF4-FFF2-40B4-BE49-F238E27FC236}">
                  <a16:creationId xmlns:a16="http://schemas.microsoft.com/office/drawing/2014/main" id="{00000000-0008-0000-0000-000012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80</xdr:row>
          <xdr:rowOff>0</xdr:rowOff>
        </xdr:from>
        <xdr:to>
          <xdr:col>40</xdr:col>
          <xdr:colOff>0</xdr:colOff>
          <xdr:row>81</xdr:row>
          <xdr:rowOff>0</xdr:rowOff>
        </xdr:to>
        <xdr:sp macro="" textlink="">
          <xdr:nvSpPr>
            <xdr:cNvPr id="1555" name="DeleteBtn_80" hidden="1">
              <a:extLst>
                <a:ext uri="{63B3BB69-23CF-44E3-9099-C40C66FF867C}">
                  <a14:compatExt spid="_x0000_s1555"/>
                </a:ext>
                <a:ext uri="{FF2B5EF4-FFF2-40B4-BE49-F238E27FC236}">
                  <a16:creationId xmlns:a16="http://schemas.microsoft.com/office/drawing/2014/main" id="{00000000-0008-0000-0000-000013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81</xdr:row>
          <xdr:rowOff>0</xdr:rowOff>
        </xdr:from>
        <xdr:to>
          <xdr:col>40</xdr:col>
          <xdr:colOff>0</xdr:colOff>
          <xdr:row>82</xdr:row>
          <xdr:rowOff>0</xdr:rowOff>
        </xdr:to>
        <xdr:sp macro="" textlink="">
          <xdr:nvSpPr>
            <xdr:cNvPr id="1556" name="DeleteBtn_81" hidden="1">
              <a:extLst>
                <a:ext uri="{63B3BB69-23CF-44E3-9099-C40C66FF867C}">
                  <a14:compatExt spid="_x0000_s1556"/>
                </a:ext>
                <a:ext uri="{FF2B5EF4-FFF2-40B4-BE49-F238E27FC236}">
                  <a16:creationId xmlns:a16="http://schemas.microsoft.com/office/drawing/2014/main" id="{00000000-0008-0000-0000-000014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82</xdr:row>
          <xdr:rowOff>0</xdr:rowOff>
        </xdr:from>
        <xdr:to>
          <xdr:col>40</xdr:col>
          <xdr:colOff>0</xdr:colOff>
          <xdr:row>83</xdr:row>
          <xdr:rowOff>0</xdr:rowOff>
        </xdr:to>
        <xdr:sp macro="" textlink="">
          <xdr:nvSpPr>
            <xdr:cNvPr id="1557" name="DeleteBtn_82" hidden="1">
              <a:extLst>
                <a:ext uri="{63B3BB69-23CF-44E3-9099-C40C66FF867C}">
                  <a14:compatExt spid="_x0000_s1557"/>
                </a:ext>
                <a:ext uri="{FF2B5EF4-FFF2-40B4-BE49-F238E27FC236}">
                  <a16:creationId xmlns:a16="http://schemas.microsoft.com/office/drawing/2014/main" id="{00000000-0008-0000-0000-000015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83</xdr:row>
          <xdr:rowOff>0</xdr:rowOff>
        </xdr:from>
        <xdr:to>
          <xdr:col>40</xdr:col>
          <xdr:colOff>0</xdr:colOff>
          <xdr:row>84</xdr:row>
          <xdr:rowOff>0</xdr:rowOff>
        </xdr:to>
        <xdr:sp macro="" textlink="">
          <xdr:nvSpPr>
            <xdr:cNvPr id="1558" name="DeleteBtn_83" hidden="1">
              <a:extLst>
                <a:ext uri="{63B3BB69-23CF-44E3-9099-C40C66FF867C}">
                  <a14:compatExt spid="_x0000_s1558"/>
                </a:ext>
                <a:ext uri="{FF2B5EF4-FFF2-40B4-BE49-F238E27FC236}">
                  <a16:creationId xmlns:a16="http://schemas.microsoft.com/office/drawing/2014/main" id="{00000000-0008-0000-0000-000016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84</xdr:row>
          <xdr:rowOff>0</xdr:rowOff>
        </xdr:from>
        <xdr:to>
          <xdr:col>40</xdr:col>
          <xdr:colOff>0</xdr:colOff>
          <xdr:row>85</xdr:row>
          <xdr:rowOff>0</xdr:rowOff>
        </xdr:to>
        <xdr:sp macro="" textlink="">
          <xdr:nvSpPr>
            <xdr:cNvPr id="1559" name="DeleteBtn_84" hidden="1">
              <a:extLst>
                <a:ext uri="{63B3BB69-23CF-44E3-9099-C40C66FF867C}">
                  <a14:compatExt spid="_x0000_s1559"/>
                </a:ext>
                <a:ext uri="{FF2B5EF4-FFF2-40B4-BE49-F238E27FC236}">
                  <a16:creationId xmlns:a16="http://schemas.microsoft.com/office/drawing/2014/main" id="{00000000-0008-0000-0000-000017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85</xdr:row>
          <xdr:rowOff>0</xdr:rowOff>
        </xdr:from>
        <xdr:to>
          <xdr:col>40</xdr:col>
          <xdr:colOff>0</xdr:colOff>
          <xdr:row>86</xdr:row>
          <xdr:rowOff>0</xdr:rowOff>
        </xdr:to>
        <xdr:sp macro="" textlink="">
          <xdr:nvSpPr>
            <xdr:cNvPr id="1560" name="DeleteBtn_85" hidden="1">
              <a:extLst>
                <a:ext uri="{63B3BB69-23CF-44E3-9099-C40C66FF867C}">
                  <a14:compatExt spid="_x0000_s1560"/>
                </a:ext>
                <a:ext uri="{FF2B5EF4-FFF2-40B4-BE49-F238E27FC236}">
                  <a16:creationId xmlns:a16="http://schemas.microsoft.com/office/drawing/2014/main" id="{00000000-0008-0000-0000-000018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86</xdr:row>
          <xdr:rowOff>0</xdr:rowOff>
        </xdr:from>
        <xdr:to>
          <xdr:col>40</xdr:col>
          <xdr:colOff>0</xdr:colOff>
          <xdr:row>87</xdr:row>
          <xdr:rowOff>0</xdr:rowOff>
        </xdr:to>
        <xdr:sp macro="" textlink="">
          <xdr:nvSpPr>
            <xdr:cNvPr id="1561" name="DeleteBtn_86" hidden="1">
              <a:extLst>
                <a:ext uri="{63B3BB69-23CF-44E3-9099-C40C66FF867C}">
                  <a14:compatExt spid="_x0000_s1561"/>
                </a:ext>
                <a:ext uri="{FF2B5EF4-FFF2-40B4-BE49-F238E27FC236}">
                  <a16:creationId xmlns:a16="http://schemas.microsoft.com/office/drawing/2014/main" id="{00000000-0008-0000-0000-000019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87</xdr:row>
          <xdr:rowOff>0</xdr:rowOff>
        </xdr:from>
        <xdr:to>
          <xdr:col>40</xdr:col>
          <xdr:colOff>0</xdr:colOff>
          <xdr:row>88</xdr:row>
          <xdr:rowOff>0</xdr:rowOff>
        </xdr:to>
        <xdr:sp macro="" textlink="">
          <xdr:nvSpPr>
            <xdr:cNvPr id="1562" name="DeleteBtn_87" hidden="1">
              <a:extLst>
                <a:ext uri="{63B3BB69-23CF-44E3-9099-C40C66FF867C}">
                  <a14:compatExt spid="_x0000_s1562"/>
                </a:ext>
                <a:ext uri="{FF2B5EF4-FFF2-40B4-BE49-F238E27FC236}">
                  <a16:creationId xmlns:a16="http://schemas.microsoft.com/office/drawing/2014/main" id="{00000000-0008-0000-0000-00001A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88</xdr:row>
          <xdr:rowOff>0</xdr:rowOff>
        </xdr:from>
        <xdr:to>
          <xdr:col>40</xdr:col>
          <xdr:colOff>0</xdr:colOff>
          <xdr:row>89</xdr:row>
          <xdr:rowOff>0</xdr:rowOff>
        </xdr:to>
        <xdr:sp macro="" textlink="">
          <xdr:nvSpPr>
            <xdr:cNvPr id="1563" name="DeleteBtn_88" hidden="1">
              <a:extLst>
                <a:ext uri="{63B3BB69-23CF-44E3-9099-C40C66FF867C}">
                  <a14:compatExt spid="_x0000_s1563"/>
                </a:ext>
                <a:ext uri="{FF2B5EF4-FFF2-40B4-BE49-F238E27FC236}">
                  <a16:creationId xmlns:a16="http://schemas.microsoft.com/office/drawing/2014/main" id="{00000000-0008-0000-0000-00001B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89</xdr:row>
          <xdr:rowOff>0</xdr:rowOff>
        </xdr:from>
        <xdr:to>
          <xdr:col>40</xdr:col>
          <xdr:colOff>0</xdr:colOff>
          <xdr:row>90</xdr:row>
          <xdr:rowOff>0</xdr:rowOff>
        </xdr:to>
        <xdr:sp macro="" textlink="">
          <xdr:nvSpPr>
            <xdr:cNvPr id="1564" name="DeleteBtn_89" hidden="1">
              <a:extLst>
                <a:ext uri="{63B3BB69-23CF-44E3-9099-C40C66FF867C}">
                  <a14:compatExt spid="_x0000_s1564"/>
                </a:ext>
                <a:ext uri="{FF2B5EF4-FFF2-40B4-BE49-F238E27FC236}">
                  <a16:creationId xmlns:a16="http://schemas.microsoft.com/office/drawing/2014/main" id="{00000000-0008-0000-0000-00001C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90</xdr:row>
          <xdr:rowOff>0</xdr:rowOff>
        </xdr:from>
        <xdr:to>
          <xdr:col>40</xdr:col>
          <xdr:colOff>0</xdr:colOff>
          <xdr:row>91</xdr:row>
          <xdr:rowOff>0</xdr:rowOff>
        </xdr:to>
        <xdr:sp macro="" textlink="">
          <xdr:nvSpPr>
            <xdr:cNvPr id="1565" name="DeleteBtn_90" hidden="1">
              <a:extLst>
                <a:ext uri="{63B3BB69-23CF-44E3-9099-C40C66FF867C}">
                  <a14:compatExt spid="_x0000_s1565"/>
                </a:ext>
                <a:ext uri="{FF2B5EF4-FFF2-40B4-BE49-F238E27FC236}">
                  <a16:creationId xmlns:a16="http://schemas.microsoft.com/office/drawing/2014/main" id="{00000000-0008-0000-0000-00001D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91</xdr:row>
          <xdr:rowOff>0</xdr:rowOff>
        </xdr:from>
        <xdr:to>
          <xdr:col>40</xdr:col>
          <xdr:colOff>0</xdr:colOff>
          <xdr:row>92</xdr:row>
          <xdr:rowOff>0</xdr:rowOff>
        </xdr:to>
        <xdr:sp macro="" textlink="">
          <xdr:nvSpPr>
            <xdr:cNvPr id="1566" name="DeleteBtn_91" hidden="1">
              <a:extLst>
                <a:ext uri="{63B3BB69-23CF-44E3-9099-C40C66FF867C}">
                  <a14:compatExt spid="_x0000_s1566"/>
                </a:ext>
                <a:ext uri="{FF2B5EF4-FFF2-40B4-BE49-F238E27FC236}">
                  <a16:creationId xmlns:a16="http://schemas.microsoft.com/office/drawing/2014/main" id="{00000000-0008-0000-0000-00001E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92</xdr:row>
          <xdr:rowOff>0</xdr:rowOff>
        </xdr:from>
        <xdr:to>
          <xdr:col>40</xdr:col>
          <xdr:colOff>0</xdr:colOff>
          <xdr:row>93</xdr:row>
          <xdr:rowOff>0</xdr:rowOff>
        </xdr:to>
        <xdr:sp macro="" textlink="">
          <xdr:nvSpPr>
            <xdr:cNvPr id="1567" name="DeleteBtn_92" hidden="1">
              <a:extLst>
                <a:ext uri="{63B3BB69-23CF-44E3-9099-C40C66FF867C}">
                  <a14:compatExt spid="_x0000_s1567"/>
                </a:ext>
                <a:ext uri="{FF2B5EF4-FFF2-40B4-BE49-F238E27FC236}">
                  <a16:creationId xmlns:a16="http://schemas.microsoft.com/office/drawing/2014/main" id="{00000000-0008-0000-0000-00001F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93</xdr:row>
          <xdr:rowOff>0</xdr:rowOff>
        </xdr:from>
        <xdr:to>
          <xdr:col>40</xdr:col>
          <xdr:colOff>0</xdr:colOff>
          <xdr:row>94</xdr:row>
          <xdr:rowOff>0</xdr:rowOff>
        </xdr:to>
        <xdr:sp macro="" textlink="">
          <xdr:nvSpPr>
            <xdr:cNvPr id="1568" name="DeleteBtn_93" hidden="1">
              <a:extLst>
                <a:ext uri="{63B3BB69-23CF-44E3-9099-C40C66FF867C}">
                  <a14:compatExt spid="_x0000_s1568"/>
                </a:ext>
                <a:ext uri="{FF2B5EF4-FFF2-40B4-BE49-F238E27FC236}">
                  <a16:creationId xmlns:a16="http://schemas.microsoft.com/office/drawing/2014/main" id="{00000000-0008-0000-0000-000020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94</xdr:row>
          <xdr:rowOff>0</xdr:rowOff>
        </xdr:from>
        <xdr:to>
          <xdr:col>40</xdr:col>
          <xdr:colOff>0</xdr:colOff>
          <xdr:row>95</xdr:row>
          <xdr:rowOff>0</xdr:rowOff>
        </xdr:to>
        <xdr:sp macro="" textlink="">
          <xdr:nvSpPr>
            <xdr:cNvPr id="1569" name="DeleteBtn_94" hidden="1">
              <a:extLst>
                <a:ext uri="{63B3BB69-23CF-44E3-9099-C40C66FF867C}">
                  <a14:compatExt spid="_x0000_s1569"/>
                </a:ext>
                <a:ext uri="{FF2B5EF4-FFF2-40B4-BE49-F238E27FC236}">
                  <a16:creationId xmlns:a16="http://schemas.microsoft.com/office/drawing/2014/main" id="{00000000-0008-0000-0000-000021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95</xdr:row>
          <xdr:rowOff>0</xdr:rowOff>
        </xdr:from>
        <xdr:to>
          <xdr:col>40</xdr:col>
          <xdr:colOff>0</xdr:colOff>
          <xdr:row>96</xdr:row>
          <xdr:rowOff>0</xdr:rowOff>
        </xdr:to>
        <xdr:sp macro="" textlink="">
          <xdr:nvSpPr>
            <xdr:cNvPr id="1570" name="DeleteBtn_95" hidden="1">
              <a:extLst>
                <a:ext uri="{63B3BB69-23CF-44E3-9099-C40C66FF867C}">
                  <a14:compatExt spid="_x0000_s1570"/>
                </a:ext>
                <a:ext uri="{FF2B5EF4-FFF2-40B4-BE49-F238E27FC236}">
                  <a16:creationId xmlns:a16="http://schemas.microsoft.com/office/drawing/2014/main" id="{00000000-0008-0000-0000-000022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96</xdr:row>
          <xdr:rowOff>0</xdr:rowOff>
        </xdr:from>
        <xdr:to>
          <xdr:col>40</xdr:col>
          <xdr:colOff>0</xdr:colOff>
          <xdr:row>97</xdr:row>
          <xdr:rowOff>0</xdr:rowOff>
        </xdr:to>
        <xdr:sp macro="" textlink="">
          <xdr:nvSpPr>
            <xdr:cNvPr id="1571" name="DeleteBtn_96" hidden="1">
              <a:extLst>
                <a:ext uri="{63B3BB69-23CF-44E3-9099-C40C66FF867C}">
                  <a14:compatExt spid="_x0000_s1571"/>
                </a:ext>
                <a:ext uri="{FF2B5EF4-FFF2-40B4-BE49-F238E27FC236}">
                  <a16:creationId xmlns:a16="http://schemas.microsoft.com/office/drawing/2014/main" id="{00000000-0008-0000-0000-000023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97</xdr:row>
          <xdr:rowOff>0</xdr:rowOff>
        </xdr:from>
        <xdr:to>
          <xdr:col>40</xdr:col>
          <xdr:colOff>0</xdr:colOff>
          <xdr:row>98</xdr:row>
          <xdr:rowOff>0</xdr:rowOff>
        </xdr:to>
        <xdr:sp macro="" textlink="">
          <xdr:nvSpPr>
            <xdr:cNvPr id="1572" name="DeleteBtn_97" hidden="1">
              <a:extLst>
                <a:ext uri="{63B3BB69-23CF-44E3-9099-C40C66FF867C}">
                  <a14:compatExt spid="_x0000_s1572"/>
                </a:ext>
                <a:ext uri="{FF2B5EF4-FFF2-40B4-BE49-F238E27FC236}">
                  <a16:creationId xmlns:a16="http://schemas.microsoft.com/office/drawing/2014/main" id="{00000000-0008-0000-0000-000024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98</xdr:row>
          <xdr:rowOff>0</xdr:rowOff>
        </xdr:from>
        <xdr:to>
          <xdr:col>40</xdr:col>
          <xdr:colOff>0</xdr:colOff>
          <xdr:row>99</xdr:row>
          <xdr:rowOff>0</xdr:rowOff>
        </xdr:to>
        <xdr:sp macro="" textlink="">
          <xdr:nvSpPr>
            <xdr:cNvPr id="1573" name="DeleteBtn_98" hidden="1">
              <a:extLst>
                <a:ext uri="{63B3BB69-23CF-44E3-9099-C40C66FF867C}">
                  <a14:compatExt spid="_x0000_s1573"/>
                </a:ext>
                <a:ext uri="{FF2B5EF4-FFF2-40B4-BE49-F238E27FC236}">
                  <a16:creationId xmlns:a16="http://schemas.microsoft.com/office/drawing/2014/main" id="{00000000-0008-0000-0000-000025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99</xdr:row>
          <xdr:rowOff>0</xdr:rowOff>
        </xdr:from>
        <xdr:to>
          <xdr:col>40</xdr:col>
          <xdr:colOff>0</xdr:colOff>
          <xdr:row>100</xdr:row>
          <xdr:rowOff>0</xdr:rowOff>
        </xdr:to>
        <xdr:sp macro="" textlink="">
          <xdr:nvSpPr>
            <xdr:cNvPr id="1574" name="DeleteBtn_99" hidden="1">
              <a:extLst>
                <a:ext uri="{63B3BB69-23CF-44E3-9099-C40C66FF867C}">
                  <a14:compatExt spid="_x0000_s1574"/>
                </a:ext>
                <a:ext uri="{FF2B5EF4-FFF2-40B4-BE49-F238E27FC236}">
                  <a16:creationId xmlns:a16="http://schemas.microsoft.com/office/drawing/2014/main" id="{00000000-0008-0000-0000-000026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100</xdr:row>
          <xdr:rowOff>0</xdr:rowOff>
        </xdr:from>
        <xdr:to>
          <xdr:col>40</xdr:col>
          <xdr:colOff>0</xdr:colOff>
          <xdr:row>101</xdr:row>
          <xdr:rowOff>0</xdr:rowOff>
        </xdr:to>
        <xdr:sp macro="" textlink="">
          <xdr:nvSpPr>
            <xdr:cNvPr id="1575" name="DeleteBtn_100" hidden="1">
              <a:extLst>
                <a:ext uri="{63B3BB69-23CF-44E3-9099-C40C66FF867C}">
                  <a14:compatExt spid="_x0000_s1575"/>
                </a:ext>
                <a:ext uri="{FF2B5EF4-FFF2-40B4-BE49-F238E27FC236}">
                  <a16:creationId xmlns:a16="http://schemas.microsoft.com/office/drawing/2014/main" id="{00000000-0008-0000-0000-000027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101</xdr:row>
          <xdr:rowOff>0</xdr:rowOff>
        </xdr:from>
        <xdr:to>
          <xdr:col>40</xdr:col>
          <xdr:colOff>0</xdr:colOff>
          <xdr:row>102</xdr:row>
          <xdr:rowOff>0</xdr:rowOff>
        </xdr:to>
        <xdr:sp macro="" textlink="">
          <xdr:nvSpPr>
            <xdr:cNvPr id="1576" name="DeleteBtn_101" hidden="1">
              <a:extLst>
                <a:ext uri="{63B3BB69-23CF-44E3-9099-C40C66FF867C}">
                  <a14:compatExt spid="_x0000_s1576"/>
                </a:ext>
                <a:ext uri="{FF2B5EF4-FFF2-40B4-BE49-F238E27FC236}">
                  <a16:creationId xmlns:a16="http://schemas.microsoft.com/office/drawing/2014/main" id="{00000000-0008-0000-0000-000028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102</xdr:row>
          <xdr:rowOff>0</xdr:rowOff>
        </xdr:from>
        <xdr:to>
          <xdr:col>40</xdr:col>
          <xdr:colOff>0</xdr:colOff>
          <xdr:row>103</xdr:row>
          <xdr:rowOff>0</xdr:rowOff>
        </xdr:to>
        <xdr:sp macro="" textlink="">
          <xdr:nvSpPr>
            <xdr:cNvPr id="1577" name="DeleteBtn_102" hidden="1">
              <a:extLst>
                <a:ext uri="{63B3BB69-23CF-44E3-9099-C40C66FF867C}">
                  <a14:compatExt spid="_x0000_s1577"/>
                </a:ext>
                <a:ext uri="{FF2B5EF4-FFF2-40B4-BE49-F238E27FC236}">
                  <a16:creationId xmlns:a16="http://schemas.microsoft.com/office/drawing/2014/main" id="{00000000-0008-0000-0000-000029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103</xdr:row>
          <xdr:rowOff>0</xdr:rowOff>
        </xdr:from>
        <xdr:to>
          <xdr:col>40</xdr:col>
          <xdr:colOff>0</xdr:colOff>
          <xdr:row>104</xdr:row>
          <xdr:rowOff>0</xdr:rowOff>
        </xdr:to>
        <xdr:sp macro="" textlink="">
          <xdr:nvSpPr>
            <xdr:cNvPr id="1578" name="DeleteBtn_103" hidden="1">
              <a:extLst>
                <a:ext uri="{63B3BB69-23CF-44E3-9099-C40C66FF867C}">
                  <a14:compatExt spid="_x0000_s1578"/>
                </a:ext>
                <a:ext uri="{FF2B5EF4-FFF2-40B4-BE49-F238E27FC236}">
                  <a16:creationId xmlns:a16="http://schemas.microsoft.com/office/drawing/2014/main" id="{00000000-0008-0000-0000-00002A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104</xdr:row>
          <xdr:rowOff>0</xdr:rowOff>
        </xdr:from>
        <xdr:to>
          <xdr:col>40</xdr:col>
          <xdr:colOff>0</xdr:colOff>
          <xdr:row>105</xdr:row>
          <xdr:rowOff>0</xdr:rowOff>
        </xdr:to>
        <xdr:sp macro="" textlink="">
          <xdr:nvSpPr>
            <xdr:cNvPr id="1579" name="DeleteBtn_104" hidden="1">
              <a:extLst>
                <a:ext uri="{63B3BB69-23CF-44E3-9099-C40C66FF867C}">
                  <a14:compatExt spid="_x0000_s1579"/>
                </a:ext>
                <a:ext uri="{FF2B5EF4-FFF2-40B4-BE49-F238E27FC236}">
                  <a16:creationId xmlns:a16="http://schemas.microsoft.com/office/drawing/2014/main" id="{00000000-0008-0000-0000-00002B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105</xdr:row>
          <xdr:rowOff>0</xdr:rowOff>
        </xdr:from>
        <xdr:to>
          <xdr:col>40</xdr:col>
          <xdr:colOff>0</xdr:colOff>
          <xdr:row>106</xdr:row>
          <xdr:rowOff>0</xdr:rowOff>
        </xdr:to>
        <xdr:sp macro="" textlink="">
          <xdr:nvSpPr>
            <xdr:cNvPr id="1580" name="DeleteBtn_105" hidden="1">
              <a:extLst>
                <a:ext uri="{63B3BB69-23CF-44E3-9099-C40C66FF867C}">
                  <a14:compatExt spid="_x0000_s1580"/>
                </a:ext>
                <a:ext uri="{FF2B5EF4-FFF2-40B4-BE49-F238E27FC236}">
                  <a16:creationId xmlns:a16="http://schemas.microsoft.com/office/drawing/2014/main" id="{00000000-0008-0000-0000-00002C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106</xdr:row>
          <xdr:rowOff>0</xdr:rowOff>
        </xdr:from>
        <xdr:to>
          <xdr:col>40</xdr:col>
          <xdr:colOff>0</xdr:colOff>
          <xdr:row>107</xdr:row>
          <xdr:rowOff>0</xdr:rowOff>
        </xdr:to>
        <xdr:sp macro="" textlink="">
          <xdr:nvSpPr>
            <xdr:cNvPr id="1581" name="DeleteBtn_106" hidden="1">
              <a:extLst>
                <a:ext uri="{63B3BB69-23CF-44E3-9099-C40C66FF867C}">
                  <a14:compatExt spid="_x0000_s1581"/>
                </a:ext>
                <a:ext uri="{FF2B5EF4-FFF2-40B4-BE49-F238E27FC236}">
                  <a16:creationId xmlns:a16="http://schemas.microsoft.com/office/drawing/2014/main" id="{00000000-0008-0000-0000-00002D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107</xdr:row>
          <xdr:rowOff>0</xdr:rowOff>
        </xdr:from>
        <xdr:to>
          <xdr:col>40</xdr:col>
          <xdr:colOff>0</xdr:colOff>
          <xdr:row>108</xdr:row>
          <xdr:rowOff>0</xdr:rowOff>
        </xdr:to>
        <xdr:sp macro="" textlink="">
          <xdr:nvSpPr>
            <xdr:cNvPr id="1582" name="DeleteBtn_107" hidden="1">
              <a:extLst>
                <a:ext uri="{63B3BB69-23CF-44E3-9099-C40C66FF867C}">
                  <a14:compatExt spid="_x0000_s1582"/>
                </a:ext>
                <a:ext uri="{FF2B5EF4-FFF2-40B4-BE49-F238E27FC236}">
                  <a16:creationId xmlns:a16="http://schemas.microsoft.com/office/drawing/2014/main" id="{00000000-0008-0000-0000-00002E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108</xdr:row>
          <xdr:rowOff>0</xdr:rowOff>
        </xdr:from>
        <xdr:to>
          <xdr:col>40</xdr:col>
          <xdr:colOff>0</xdr:colOff>
          <xdr:row>109</xdr:row>
          <xdr:rowOff>0</xdr:rowOff>
        </xdr:to>
        <xdr:sp macro="" textlink="">
          <xdr:nvSpPr>
            <xdr:cNvPr id="1583" name="DeleteBtn_108" hidden="1">
              <a:extLst>
                <a:ext uri="{63B3BB69-23CF-44E3-9099-C40C66FF867C}">
                  <a14:compatExt spid="_x0000_s1583"/>
                </a:ext>
                <a:ext uri="{FF2B5EF4-FFF2-40B4-BE49-F238E27FC236}">
                  <a16:creationId xmlns:a16="http://schemas.microsoft.com/office/drawing/2014/main" id="{00000000-0008-0000-0000-00002F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109</xdr:row>
          <xdr:rowOff>0</xdr:rowOff>
        </xdr:from>
        <xdr:to>
          <xdr:col>40</xdr:col>
          <xdr:colOff>0</xdr:colOff>
          <xdr:row>110</xdr:row>
          <xdr:rowOff>0</xdr:rowOff>
        </xdr:to>
        <xdr:sp macro="" textlink="">
          <xdr:nvSpPr>
            <xdr:cNvPr id="1584" name="DeleteBtn_109" hidden="1">
              <a:extLst>
                <a:ext uri="{63B3BB69-23CF-44E3-9099-C40C66FF867C}">
                  <a14:compatExt spid="_x0000_s1584"/>
                </a:ext>
                <a:ext uri="{FF2B5EF4-FFF2-40B4-BE49-F238E27FC236}">
                  <a16:creationId xmlns:a16="http://schemas.microsoft.com/office/drawing/2014/main" id="{00000000-0008-0000-0000-000030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110</xdr:row>
          <xdr:rowOff>0</xdr:rowOff>
        </xdr:from>
        <xdr:to>
          <xdr:col>40</xdr:col>
          <xdr:colOff>0</xdr:colOff>
          <xdr:row>111</xdr:row>
          <xdr:rowOff>0</xdr:rowOff>
        </xdr:to>
        <xdr:sp macro="" textlink="">
          <xdr:nvSpPr>
            <xdr:cNvPr id="1585" name="DeleteBtn_110" hidden="1">
              <a:extLst>
                <a:ext uri="{63B3BB69-23CF-44E3-9099-C40C66FF867C}">
                  <a14:compatExt spid="_x0000_s1585"/>
                </a:ext>
                <a:ext uri="{FF2B5EF4-FFF2-40B4-BE49-F238E27FC236}">
                  <a16:creationId xmlns:a16="http://schemas.microsoft.com/office/drawing/2014/main" id="{00000000-0008-0000-0000-000031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111</xdr:row>
          <xdr:rowOff>0</xdr:rowOff>
        </xdr:from>
        <xdr:to>
          <xdr:col>40</xdr:col>
          <xdr:colOff>0</xdr:colOff>
          <xdr:row>112</xdr:row>
          <xdr:rowOff>0</xdr:rowOff>
        </xdr:to>
        <xdr:sp macro="" textlink="">
          <xdr:nvSpPr>
            <xdr:cNvPr id="1586" name="DeleteBtn_111" hidden="1">
              <a:extLst>
                <a:ext uri="{63B3BB69-23CF-44E3-9099-C40C66FF867C}">
                  <a14:compatExt spid="_x0000_s1586"/>
                </a:ext>
                <a:ext uri="{FF2B5EF4-FFF2-40B4-BE49-F238E27FC236}">
                  <a16:creationId xmlns:a16="http://schemas.microsoft.com/office/drawing/2014/main" id="{00000000-0008-0000-0000-000032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112</xdr:row>
          <xdr:rowOff>0</xdr:rowOff>
        </xdr:from>
        <xdr:to>
          <xdr:col>40</xdr:col>
          <xdr:colOff>0</xdr:colOff>
          <xdr:row>113</xdr:row>
          <xdr:rowOff>0</xdr:rowOff>
        </xdr:to>
        <xdr:sp macro="" textlink="">
          <xdr:nvSpPr>
            <xdr:cNvPr id="1587" name="DeleteBtn_112" hidden="1">
              <a:extLst>
                <a:ext uri="{63B3BB69-23CF-44E3-9099-C40C66FF867C}">
                  <a14:compatExt spid="_x0000_s1587"/>
                </a:ext>
                <a:ext uri="{FF2B5EF4-FFF2-40B4-BE49-F238E27FC236}">
                  <a16:creationId xmlns:a16="http://schemas.microsoft.com/office/drawing/2014/main" id="{00000000-0008-0000-0000-000033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113</xdr:row>
          <xdr:rowOff>0</xdr:rowOff>
        </xdr:from>
        <xdr:to>
          <xdr:col>40</xdr:col>
          <xdr:colOff>0</xdr:colOff>
          <xdr:row>114</xdr:row>
          <xdr:rowOff>0</xdr:rowOff>
        </xdr:to>
        <xdr:sp macro="" textlink="">
          <xdr:nvSpPr>
            <xdr:cNvPr id="1588" name="DeleteBtn_113" hidden="1">
              <a:extLst>
                <a:ext uri="{63B3BB69-23CF-44E3-9099-C40C66FF867C}">
                  <a14:compatExt spid="_x0000_s1588"/>
                </a:ext>
                <a:ext uri="{FF2B5EF4-FFF2-40B4-BE49-F238E27FC236}">
                  <a16:creationId xmlns:a16="http://schemas.microsoft.com/office/drawing/2014/main" id="{00000000-0008-0000-0000-000034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114</xdr:row>
          <xdr:rowOff>0</xdr:rowOff>
        </xdr:from>
        <xdr:to>
          <xdr:col>40</xdr:col>
          <xdr:colOff>0</xdr:colOff>
          <xdr:row>115</xdr:row>
          <xdr:rowOff>0</xdr:rowOff>
        </xdr:to>
        <xdr:sp macro="" textlink="">
          <xdr:nvSpPr>
            <xdr:cNvPr id="1589" name="DeleteBtn_114" hidden="1">
              <a:extLst>
                <a:ext uri="{63B3BB69-23CF-44E3-9099-C40C66FF867C}">
                  <a14:compatExt spid="_x0000_s1589"/>
                </a:ext>
                <a:ext uri="{FF2B5EF4-FFF2-40B4-BE49-F238E27FC236}">
                  <a16:creationId xmlns:a16="http://schemas.microsoft.com/office/drawing/2014/main" id="{00000000-0008-0000-0000-000035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115</xdr:row>
          <xdr:rowOff>0</xdr:rowOff>
        </xdr:from>
        <xdr:to>
          <xdr:col>40</xdr:col>
          <xdr:colOff>0</xdr:colOff>
          <xdr:row>116</xdr:row>
          <xdr:rowOff>0</xdr:rowOff>
        </xdr:to>
        <xdr:sp macro="" textlink="">
          <xdr:nvSpPr>
            <xdr:cNvPr id="1590" name="DeleteBtn_115" hidden="1">
              <a:extLst>
                <a:ext uri="{63B3BB69-23CF-44E3-9099-C40C66FF867C}">
                  <a14:compatExt spid="_x0000_s1590"/>
                </a:ext>
                <a:ext uri="{FF2B5EF4-FFF2-40B4-BE49-F238E27FC236}">
                  <a16:creationId xmlns:a16="http://schemas.microsoft.com/office/drawing/2014/main" id="{00000000-0008-0000-0000-000036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116</xdr:row>
          <xdr:rowOff>0</xdr:rowOff>
        </xdr:from>
        <xdr:to>
          <xdr:col>40</xdr:col>
          <xdr:colOff>0</xdr:colOff>
          <xdr:row>117</xdr:row>
          <xdr:rowOff>0</xdr:rowOff>
        </xdr:to>
        <xdr:sp macro="" textlink="">
          <xdr:nvSpPr>
            <xdr:cNvPr id="1591" name="DeleteBtn_116" hidden="1">
              <a:extLst>
                <a:ext uri="{63B3BB69-23CF-44E3-9099-C40C66FF867C}">
                  <a14:compatExt spid="_x0000_s1591"/>
                </a:ext>
                <a:ext uri="{FF2B5EF4-FFF2-40B4-BE49-F238E27FC236}">
                  <a16:creationId xmlns:a16="http://schemas.microsoft.com/office/drawing/2014/main" id="{00000000-0008-0000-0000-000037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117</xdr:row>
          <xdr:rowOff>0</xdr:rowOff>
        </xdr:from>
        <xdr:to>
          <xdr:col>40</xdr:col>
          <xdr:colOff>0</xdr:colOff>
          <xdr:row>118</xdr:row>
          <xdr:rowOff>0</xdr:rowOff>
        </xdr:to>
        <xdr:sp macro="" textlink="">
          <xdr:nvSpPr>
            <xdr:cNvPr id="1592" name="DeleteBtn_117" hidden="1">
              <a:extLst>
                <a:ext uri="{63B3BB69-23CF-44E3-9099-C40C66FF867C}">
                  <a14:compatExt spid="_x0000_s1592"/>
                </a:ext>
                <a:ext uri="{FF2B5EF4-FFF2-40B4-BE49-F238E27FC236}">
                  <a16:creationId xmlns:a16="http://schemas.microsoft.com/office/drawing/2014/main" id="{00000000-0008-0000-0000-000038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118</xdr:row>
          <xdr:rowOff>0</xdr:rowOff>
        </xdr:from>
        <xdr:to>
          <xdr:col>40</xdr:col>
          <xdr:colOff>0</xdr:colOff>
          <xdr:row>119</xdr:row>
          <xdr:rowOff>0</xdr:rowOff>
        </xdr:to>
        <xdr:sp macro="" textlink="">
          <xdr:nvSpPr>
            <xdr:cNvPr id="1593" name="DeleteBtn_118" hidden="1">
              <a:extLst>
                <a:ext uri="{63B3BB69-23CF-44E3-9099-C40C66FF867C}">
                  <a14:compatExt spid="_x0000_s1593"/>
                </a:ext>
                <a:ext uri="{FF2B5EF4-FFF2-40B4-BE49-F238E27FC236}">
                  <a16:creationId xmlns:a16="http://schemas.microsoft.com/office/drawing/2014/main" id="{00000000-0008-0000-0000-000039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119</xdr:row>
          <xdr:rowOff>0</xdr:rowOff>
        </xdr:from>
        <xdr:to>
          <xdr:col>40</xdr:col>
          <xdr:colOff>0</xdr:colOff>
          <xdr:row>120</xdr:row>
          <xdr:rowOff>0</xdr:rowOff>
        </xdr:to>
        <xdr:sp macro="" textlink="">
          <xdr:nvSpPr>
            <xdr:cNvPr id="1594" name="DeleteBtn_119" hidden="1">
              <a:extLst>
                <a:ext uri="{63B3BB69-23CF-44E3-9099-C40C66FF867C}">
                  <a14:compatExt spid="_x0000_s1594"/>
                </a:ext>
                <a:ext uri="{FF2B5EF4-FFF2-40B4-BE49-F238E27FC236}">
                  <a16:creationId xmlns:a16="http://schemas.microsoft.com/office/drawing/2014/main" id="{00000000-0008-0000-0000-00003A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120</xdr:row>
          <xdr:rowOff>0</xdr:rowOff>
        </xdr:from>
        <xdr:to>
          <xdr:col>40</xdr:col>
          <xdr:colOff>0</xdr:colOff>
          <xdr:row>121</xdr:row>
          <xdr:rowOff>0</xdr:rowOff>
        </xdr:to>
        <xdr:sp macro="" textlink="">
          <xdr:nvSpPr>
            <xdr:cNvPr id="1595" name="DeleteBtn_120" hidden="1">
              <a:extLst>
                <a:ext uri="{63B3BB69-23CF-44E3-9099-C40C66FF867C}">
                  <a14:compatExt spid="_x0000_s1595"/>
                </a:ext>
                <a:ext uri="{FF2B5EF4-FFF2-40B4-BE49-F238E27FC236}">
                  <a16:creationId xmlns:a16="http://schemas.microsoft.com/office/drawing/2014/main" id="{00000000-0008-0000-0000-00003B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121</xdr:row>
          <xdr:rowOff>0</xdr:rowOff>
        </xdr:from>
        <xdr:to>
          <xdr:col>40</xdr:col>
          <xdr:colOff>0</xdr:colOff>
          <xdr:row>122</xdr:row>
          <xdr:rowOff>0</xdr:rowOff>
        </xdr:to>
        <xdr:sp macro="" textlink="">
          <xdr:nvSpPr>
            <xdr:cNvPr id="1596" name="DeleteBtn_121" hidden="1">
              <a:extLst>
                <a:ext uri="{63B3BB69-23CF-44E3-9099-C40C66FF867C}">
                  <a14:compatExt spid="_x0000_s1596"/>
                </a:ext>
                <a:ext uri="{FF2B5EF4-FFF2-40B4-BE49-F238E27FC236}">
                  <a16:creationId xmlns:a16="http://schemas.microsoft.com/office/drawing/2014/main" id="{00000000-0008-0000-0000-00003C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122</xdr:row>
          <xdr:rowOff>0</xdr:rowOff>
        </xdr:from>
        <xdr:to>
          <xdr:col>40</xdr:col>
          <xdr:colOff>0</xdr:colOff>
          <xdr:row>123</xdr:row>
          <xdr:rowOff>0</xdr:rowOff>
        </xdr:to>
        <xdr:sp macro="" textlink="">
          <xdr:nvSpPr>
            <xdr:cNvPr id="1597" name="DeleteBtn_122" hidden="1">
              <a:extLst>
                <a:ext uri="{63B3BB69-23CF-44E3-9099-C40C66FF867C}">
                  <a14:compatExt spid="_x0000_s1597"/>
                </a:ext>
                <a:ext uri="{FF2B5EF4-FFF2-40B4-BE49-F238E27FC236}">
                  <a16:creationId xmlns:a16="http://schemas.microsoft.com/office/drawing/2014/main" id="{00000000-0008-0000-0000-00003D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123</xdr:row>
          <xdr:rowOff>0</xdr:rowOff>
        </xdr:from>
        <xdr:to>
          <xdr:col>40</xdr:col>
          <xdr:colOff>0</xdr:colOff>
          <xdr:row>124</xdr:row>
          <xdr:rowOff>0</xdr:rowOff>
        </xdr:to>
        <xdr:sp macro="" textlink="">
          <xdr:nvSpPr>
            <xdr:cNvPr id="1598" name="DeleteBtn_123" hidden="1">
              <a:extLst>
                <a:ext uri="{63B3BB69-23CF-44E3-9099-C40C66FF867C}">
                  <a14:compatExt spid="_x0000_s1598"/>
                </a:ext>
                <a:ext uri="{FF2B5EF4-FFF2-40B4-BE49-F238E27FC236}">
                  <a16:creationId xmlns:a16="http://schemas.microsoft.com/office/drawing/2014/main" id="{00000000-0008-0000-0000-00003E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124</xdr:row>
          <xdr:rowOff>0</xdr:rowOff>
        </xdr:from>
        <xdr:to>
          <xdr:col>40</xdr:col>
          <xdr:colOff>0</xdr:colOff>
          <xdr:row>125</xdr:row>
          <xdr:rowOff>0</xdr:rowOff>
        </xdr:to>
        <xdr:sp macro="" textlink="">
          <xdr:nvSpPr>
            <xdr:cNvPr id="1599" name="DeleteBtn_124" hidden="1">
              <a:extLst>
                <a:ext uri="{63B3BB69-23CF-44E3-9099-C40C66FF867C}">
                  <a14:compatExt spid="_x0000_s1599"/>
                </a:ext>
                <a:ext uri="{FF2B5EF4-FFF2-40B4-BE49-F238E27FC236}">
                  <a16:creationId xmlns:a16="http://schemas.microsoft.com/office/drawing/2014/main" id="{00000000-0008-0000-0000-00003F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125</xdr:row>
          <xdr:rowOff>0</xdr:rowOff>
        </xdr:from>
        <xdr:to>
          <xdr:col>40</xdr:col>
          <xdr:colOff>0</xdr:colOff>
          <xdr:row>126</xdr:row>
          <xdr:rowOff>0</xdr:rowOff>
        </xdr:to>
        <xdr:sp macro="" textlink="">
          <xdr:nvSpPr>
            <xdr:cNvPr id="1600" name="DeleteBtn_125" hidden="1">
              <a:extLst>
                <a:ext uri="{63B3BB69-23CF-44E3-9099-C40C66FF867C}">
                  <a14:compatExt spid="_x0000_s1600"/>
                </a:ext>
                <a:ext uri="{FF2B5EF4-FFF2-40B4-BE49-F238E27FC236}">
                  <a16:creationId xmlns:a16="http://schemas.microsoft.com/office/drawing/2014/main" id="{00000000-0008-0000-0000-000040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126</xdr:row>
          <xdr:rowOff>0</xdr:rowOff>
        </xdr:from>
        <xdr:to>
          <xdr:col>40</xdr:col>
          <xdr:colOff>0</xdr:colOff>
          <xdr:row>127</xdr:row>
          <xdr:rowOff>0</xdr:rowOff>
        </xdr:to>
        <xdr:sp macro="" textlink="">
          <xdr:nvSpPr>
            <xdr:cNvPr id="1601" name="DeleteBtn_126" hidden="1">
              <a:extLst>
                <a:ext uri="{63B3BB69-23CF-44E3-9099-C40C66FF867C}">
                  <a14:compatExt spid="_x0000_s1601"/>
                </a:ext>
                <a:ext uri="{FF2B5EF4-FFF2-40B4-BE49-F238E27FC236}">
                  <a16:creationId xmlns:a16="http://schemas.microsoft.com/office/drawing/2014/main" id="{00000000-0008-0000-0000-000041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127</xdr:row>
          <xdr:rowOff>0</xdr:rowOff>
        </xdr:from>
        <xdr:to>
          <xdr:col>40</xdr:col>
          <xdr:colOff>0</xdr:colOff>
          <xdr:row>128</xdr:row>
          <xdr:rowOff>0</xdr:rowOff>
        </xdr:to>
        <xdr:sp macro="" textlink="">
          <xdr:nvSpPr>
            <xdr:cNvPr id="1602" name="DeleteBtn_127" hidden="1">
              <a:extLst>
                <a:ext uri="{63B3BB69-23CF-44E3-9099-C40C66FF867C}">
                  <a14:compatExt spid="_x0000_s1602"/>
                </a:ext>
                <a:ext uri="{FF2B5EF4-FFF2-40B4-BE49-F238E27FC236}">
                  <a16:creationId xmlns:a16="http://schemas.microsoft.com/office/drawing/2014/main" id="{00000000-0008-0000-0000-000042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128</xdr:row>
          <xdr:rowOff>0</xdr:rowOff>
        </xdr:from>
        <xdr:to>
          <xdr:col>40</xdr:col>
          <xdr:colOff>0</xdr:colOff>
          <xdr:row>129</xdr:row>
          <xdr:rowOff>0</xdr:rowOff>
        </xdr:to>
        <xdr:sp macro="" textlink="">
          <xdr:nvSpPr>
            <xdr:cNvPr id="1603" name="DeleteBtn_128" hidden="1">
              <a:extLst>
                <a:ext uri="{63B3BB69-23CF-44E3-9099-C40C66FF867C}">
                  <a14:compatExt spid="_x0000_s1603"/>
                </a:ext>
                <a:ext uri="{FF2B5EF4-FFF2-40B4-BE49-F238E27FC236}">
                  <a16:creationId xmlns:a16="http://schemas.microsoft.com/office/drawing/2014/main" id="{00000000-0008-0000-0000-000043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129</xdr:row>
          <xdr:rowOff>0</xdr:rowOff>
        </xdr:from>
        <xdr:to>
          <xdr:col>40</xdr:col>
          <xdr:colOff>0</xdr:colOff>
          <xdr:row>130</xdr:row>
          <xdr:rowOff>0</xdr:rowOff>
        </xdr:to>
        <xdr:sp macro="" textlink="">
          <xdr:nvSpPr>
            <xdr:cNvPr id="1604" name="DeleteBtn_129" hidden="1">
              <a:extLst>
                <a:ext uri="{63B3BB69-23CF-44E3-9099-C40C66FF867C}">
                  <a14:compatExt spid="_x0000_s1604"/>
                </a:ext>
                <a:ext uri="{FF2B5EF4-FFF2-40B4-BE49-F238E27FC236}">
                  <a16:creationId xmlns:a16="http://schemas.microsoft.com/office/drawing/2014/main" id="{00000000-0008-0000-0000-000044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130</xdr:row>
          <xdr:rowOff>0</xdr:rowOff>
        </xdr:from>
        <xdr:to>
          <xdr:col>40</xdr:col>
          <xdr:colOff>0</xdr:colOff>
          <xdr:row>131</xdr:row>
          <xdr:rowOff>0</xdr:rowOff>
        </xdr:to>
        <xdr:sp macro="" textlink="">
          <xdr:nvSpPr>
            <xdr:cNvPr id="1605" name="DeleteBtn_130" hidden="1">
              <a:extLst>
                <a:ext uri="{63B3BB69-23CF-44E3-9099-C40C66FF867C}">
                  <a14:compatExt spid="_x0000_s1605"/>
                </a:ext>
                <a:ext uri="{FF2B5EF4-FFF2-40B4-BE49-F238E27FC236}">
                  <a16:creationId xmlns:a16="http://schemas.microsoft.com/office/drawing/2014/main" id="{00000000-0008-0000-0000-000045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131</xdr:row>
          <xdr:rowOff>0</xdr:rowOff>
        </xdr:from>
        <xdr:to>
          <xdr:col>40</xdr:col>
          <xdr:colOff>0</xdr:colOff>
          <xdr:row>132</xdr:row>
          <xdr:rowOff>0</xdr:rowOff>
        </xdr:to>
        <xdr:sp macro="" textlink="">
          <xdr:nvSpPr>
            <xdr:cNvPr id="1606" name="DeleteBtn_131" hidden="1">
              <a:extLst>
                <a:ext uri="{63B3BB69-23CF-44E3-9099-C40C66FF867C}">
                  <a14:compatExt spid="_x0000_s1606"/>
                </a:ext>
                <a:ext uri="{FF2B5EF4-FFF2-40B4-BE49-F238E27FC236}">
                  <a16:creationId xmlns:a16="http://schemas.microsoft.com/office/drawing/2014/main" id="{00000000-0008-0000-0000-000046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132</xdr:row>
          <xdr:rowOff>0</xdr:rowOff>
        </xdr:from>
        <xdr:to>
          <xdr:col>40</xdr:col>
          <xdr:colOff>0</xdr:colOff>
          <xdr:row>133</xdr:row>
          <xdr:rowOff>0</xdr:rowOff>
        </xdr:to>
        <xdr:sp macro="" textlink="">
          <xdr:nvSpPr>
            <xdr:cNvPr id="1607" name="DeleteBtn_132" hidden="1">
              <a:extLst>
                <a:ext uri="{63B3BB69-23CF-44E3-9099-C40C66FF867C}">
                  <a14:compatExt spid="_x0000_s1607"/>
                </a:ext>
                <a:ext uri="{FF2B5EF4-FFF2-40B4-BE49-F238E27FC236}">
                  <a16:creationId xmlns:a16="http://schemas.microsoft.com/office/drawing/2014/main" id="{00000000-0008-0000-0000-000047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133</xdr:row>
          <xdr:rowOff>0</xdr:rowOff>
        </xdr:from>
        <xdr:to>
          <xdr:col>40</xdr:col>
          <xdr:colOff>0</xdr:colOff>
          <xdr:row>134</xdr:row>
          <xdr:rowOff>0</xdr:rowOff>
        </xdr:to>
        <xdr:sp macro="" textlink="">
          <xdr:nvSpPr>
            <xdr:cNvPr id="1608" name="DeleteBtn_133" hidden="1">
              <a:extLst>
                <a:ext uri="{63B3BB69-23CF-44E3-9099-C40C66FF867C}">
                  <a14:compatExt spid="_x0000_s1608"/>
                </a:ext>
                <a:ext uri="{FF2B5EF4-FFF2-40B4-BE49-F238E27FC236}">
                  <a16:creationId xmlns:a16="http://schemas.microsoft.com/office/drawing/2014/main" id="{00000000-0008-0000-0000-000048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134</xdr:row>
          <xdr:rowOff>0</xdr:rowOff>
        </xdr:from>
        <xdr:to>
          <xdr:col>40</xdr:col>
          <xdr:colOff>0</xdr:colOff>
          <xdr:row>135</xdr:row>
          <xdr:rowOff>0</xdr:rowOff>
        </xdr:to>
        <xdr:sp macro="" textlink="">
          <xdr:nvSpPr>
            <xdr:cNvPr id="1609" name="DeleteBtn_134" hidden="1">
              <a:extLst>
                <a:ext uri="{63B3BB69-23CF-44E3-9099-C40C66FF867C}">
                  <a14:compatExt spid="_x0000_s1609"/>
                </a:ext>
                <a:ext uri="{FF2B5EF4-FFF2-40B4-BE49-F238E27FC236}">
                  <a16:creationId xmlns:a16="http://schemas.microsoft.com/office/drawing/2014/main" id="{00000000-0008-0000-0000-000049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135</xdr:row>
          <xdr:rowOff>0</xdr:rowOff>
        </xdr:from>
        <xdr:to>
          <xdr:col>40</xdr:col>
          <xdr:colOff>0</xdr:colOff>
          <xdr:row>136</xdr:row>
          <xdr:rowOff>0</xdr:rowOff>
        </xdr:to>
        <xdr:sp macro="" textlink="">
          <xdr:nvSpPr>
            <xdr:cNvPr id="1610" name="DeleteBtn_135" hidden="1">
              <a:extLst>
                <a:ext uri="{63B3BB69-23CF-44E3-9099-C40C66FF867C}">
                  <a14:compatExt spid="_x0000_s1610"/>
                </a:ext>
                <a:ext uri="{FF2B5EF4-FFF2-40B4-BE49-F238E27FC236}">
                  <a16:creationId xmlns:a16="http://schemas.microsoft.com/office/drawing/2014/main" id="{00000000-0008-0000-0000-00004A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136</xdr:row>
          <xdr:rowOff>0</xdr:rowOff>
        </xdr:from>
        <xdr:to>
          <xdr:col>40</xdr:col>
          <xdr:colOff>0</xdr:colOff>
          <xdr:row>137</xdr:row>
          <xdr:rowOff>0</xdr:rowOff>
        </xdr:to>
        <xdr:sp macro="" textlink="">
          <xdr:nvSpPr>
            <xdr:cNvPr id="1611" name="DeleteBtn_136" hidden="1">
              <a:extLst>
                <a:ext uri="{63B3BB69-23CF-44E3-9099-C40C66FF867C}">
                  <a14:compatExt spid="_x0000_s1611"/>
                </a:ext>
                <a:ext uri="{FF2B5EF4-FFF2-40B4-BE49-F238E27FC236}">
                  <a16:creationId xmlns:a16="http://schemas.microsoft.com/office/drawing/2014/main" id="{00000000-0008-0000-0000-00004B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137</xdr:row>
          <xdr:rowOff>0</xdr:rowOff>
        </xdr:from>
        <xdr:to>
          <xdr:col>40</xdr:col>
          <xdr:colOff>0</xdr:colOff>
          <xdr:row>138</xdr:row>
          <xdr:rowOff>0</xdr:rowOff>
        </xdr:to>
        <xdr:sp macro="" textlink="">
          <xdr:nvSpPr>
            <xdr:cNvPr id="1612" name="DeleteBtn_137" hidden="1">
              <a:extLst>
                <a:ext uri="{63B3BB69-23CF-44E3-9099-C40C66FF867C}">
                  <a14:compatExt spid="_x0000_s1612"/>
                </a:ext>
                <a:ext uri="{FF2B5EF4-FFF2-40B4-BE49-F238E27FC236}">
                  <a16:creationId xmlns:a16="http://schemas.microsoft.com/office/drawing/2014/main" id="{00000000-0008-0000-0000-00004C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138</xdr:row>
          <xdr:rowOff>0</xdr:rowOff>
        </xdr:from>
        <xdr:to>
          <xdr:col>40</xdr:col>
          <xdr:colOff>0</xdr:colOff>
          <xdr:row>139</xdr:row>
          <xdr:rowOff>0</xdr:rowOff>
        </xdr:to>
        <xdr:sp macro="" textlink="">
          <xdr:nvSpPr>
            <xdr:cNvPr id="1613" name="DeleteBtn_138" hidden="1">
              <a:extLst>
                <a:ext uri="{63B3BB69-23CF-44E3-9099-C40C66FF867C}">
                  <a14:compatExt spid="_x0000_s1613"/>
                </a:ext>
                <a:ext uri="{FF2B5EF4-FFF2-40B4-BE49-F238E27FC236}">
                  <a16:creationId xmlns:a16="http://schemas.microsoft.com/office/drawing/2014/main" id="{00000000-0008-0000-0000-00004D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139</xdr:row>
          <xdr:rowOff>0</xdr:rowOff>
        </xdr:from>
        <xdr:to>
          <xdr:col>40</xdr:col>
          <xdr:colOff>0</xdr:colOff>
          <xdr:row>140</xdr:row>
          <xdr:rowOff>0</xdr:rowOff>
        </xdr:to>
        <xdr:sp macro="" textlink="">
          <xdr:nvSpPr>
            <xdr:cNvPr id="1614" name="DeleteBtn_139" hidden="1">
              <a:extLst>
                <a:ext uri="{63B3BB69-23CF-44E3-9099-C40C66FF867C}">
                  <a14:compatExt spid="_x0000_s1614"/>
                </a:ext>
                <a:ext uri="{FF2B5EF4-FFF2-40B4-BE49-F238E27FC236}">
                  <a16:creationId xmlns:a16="http://schemas.microsoft.com/office/drawing/2014/main" id="{00000000-0008-0000-0000-00004E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140</xdr:row>
          <xdr:rowOff>0</xdr:rowOff>
        </xdr:from>
        <xdr:to>
          <xdr:col>40</xdr:col>
          <xdr:colOff>0</xdr:colOff>
          <xdr:row>141</xdr:row>
          <xdr:rowOff>0</xdr:rowOff>
        </xdr:to>
        <xdr:sp macro="" textlink="">
          <xdr:nvSpPr>
            <xdr:cNvPr id="1615" name="DeleteBtn_140" hidden="1">
              <a:extLst>
                <a:ext uri="{63B3BB69-23CF-44E3-9099-C40C66FF867C}">
                  <a14:compatExt spid="_x0000_s1615"/>
                </a:ext>
                <a:ext uri="{FF2B5EF4-FFF2-40B4-BE49-F238E27FC236}">
                  <a16:creationId xmlns:a16="http://schemas.microsoft.com/office/drawing/2014/main" id="{00000000-0008-0000-0000-00004F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141</xdr:row>
          <xdr:rowOff>0</xdr:rowOff>
        </xdr:from>
        <xdr:to>
          <xdr:col>40</xdr:col>
          <xdr:colOff>0</xdr:colOff>
          <xdr:row>142</xdr:row>
          <xdr:rowOff>0</xdr:rowOff>
        </xdr:to>
        <xdr:sp macro="" textlink="">
          <xdr:nvSpPr>
            <xdr:cNvPr id="1616" name="DeleteBtn_141" hidden="1">
              <a:extLst>
                <a:ext uri="{63B3BB69-23CF-44E3-9099-C40C66FF867C}">
                  <a14:compatExt spid="_x0000_s1616"/>
                </a:ext>
                <a:ext uri="{FF2B5EF4-FFF2-40B4-BE49-F238E27FC236}">
                  <a16:creationId xmlns:a16="http://schemas.microsoft.com/office/drawing/2014/main" id="{00000000-0008-0000-0000-000050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142</xdr:row>
          <xdr:rowOff>0</xdr:rowOff>
        </xdr:from>
        <xdr:to>
          <xdr:col>40</xdr:col>
          <xdr:colOff>0</xdr:colOff>
          <xdr:row>143</xdr:row>
          <xdr:rowOff>0</xdr:rowOff>
        </xdr:to>
        <xdr:sp macro="" textlink="">
          <xdr:nvSpPr>
            <xdr:cNvPr id="1617" name="DeleteBtn_142" hidden="1">
              <a:extLst>
                <a:ext uri="{63B3BB69-23CF-44E3-9099-C40C66FF867C}">
                  <a14:compatExt spid="_x0000_s1617"/>
                </a:ext>
                <a:ext uri="{FF2B5EF4-FFF2-40B4-BE49-F238E27FC236}">
                  <a16:creationId xmlns:a16="http://schemas.microsoft.com/office/drawing/2014/main" id="{00000000-0008-0000-0000-000051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143</xdr:row>
          <xdr:rowOff>0</xdr:rowOff>
        </xdr:from>
        <xdr:to>
          <xdr:col>40</xdr:col>
          <xdr:colOff>0</xdr:colOff>
          <xdr:row>144</xdr:row>
          <xdr:rowOff>0</xdr:rowOff>
        </xdr:to>
        <xdr:sp macro="" textlink="">
          <xdr:nvSpPr>
            <xdr:cNvPr id="1618" name="DeleteBtn_143" hidden="1">
              <a:extLst>
                <a:ext uri="{63B3BB69-23CF-44E3-9099-C40C66FF867C}">
                  <a14:compatExt spid="_x0000_s1618"/>
                </a:ext>
                <a:ext uri="{FF2B5EF4-FFF2-40B4-BE49-F238E27FC236}">
                  <a16:creationId xmlns:a16="http://schemas.microsoft.com/office/drawing/2014/main" id="{00000000-0008-0000-0000-000052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144</xdr:row>
          <xdr:rowOff>0</xdr:rowOff>
        </xdr:from>
        <xdr:to>
          <xdr:col>40</xdr:col>
          <xdr:colOff>0</xdr:colOff>
          <xdr:row>145</xdr:row>
          <xdr:rowOff>0</xdr:rowOff>
        </xdr:to>
        <xdr:sp macro="" textlink="">
          <xdr:nvSpPr>
            <xdr:cNvPr id="1619" name="DeleteBtn_144" hidden="1">
              <a:extLst>
                <a:ext uri="{63B3BB69-23CF-44E3-9099-C40C66FF867C}">
                  <a14:compatExt spid="_x0000_s1619"/>
                </a:ext>
                <a:ext uri="{FF2B5EF4-FFF2-40B4-BE49-F238E27FC236}">
                  <a16:creationId xmlns:a16="http://schemas.microsoft.com/office/drawing/2014/main" id="{00000000-0008-0000-0000-000053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145</xdr:row>
          <xdr:rowOff>0</xdr:rowOff>
        </xdr:from>
        <xdr:to>
          <xdr:col>40</xdr:col>
          <xdr:colOff>0</xdr:colOff>
          <xdr:row>146</xdr:row>
          <xdr:rowOff>0</xdr:rowOff>
        </xdr:to>
        <xdr:sp macro="" textlink="">
          <xdr:nvSpPr>
            <xdr:cNvPr id="1620" name="DeleteBtn_145" hidden="1">
              <a:extLst>
                <a:ext uri="{63B3BB69-23CF-44E3-9099-C40C66FF867C}">
                  <a14:compatExt spid="_x0000_s1620"/>
                </a:ext>
                <a:ext uri="{FF2B5EF4-FFF2-40B4-BE49-F238E27FC236}">
                  <a16:creationId xmlns:a16="http://schemas.microsoft.com/office/drawing/2014/main" id="{00000000-0008-0000-0000-000054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146</xdr:row>
          <xdr:rowOff>0</xdr:rowOff>
        </xdr:from>
        <xdr:to>
          <xdr:col>40</xdr:col>
          <xdr:colOff>0</xdr:colOff>
          <xdr:row>147</xdr:row>
          <xdr:rowOff>0</xdr:rowOff>
        </xdr:to>
        <xdr:sp macro="" textlink="">
          <xdr:nvSpPr>
            <xdr:cNvPr id="1621" name="DeleteBtn_146" hidden="1">
              <a:extLst>
                <a:ext uri="{63B3BB69-23CF-44E3-9099-C40C66FF867C}">
                  <a14:compatExt spid="_x0000_s1621"/>
                </a:ext>
                <a:ext uri="{FF2B5EF4-FFF2-40B4-BE49-F238E27FC236}">
                  <a16:creationId xmlns:a16="http://schemas.microsoft.com/office/drawing/2014/main" id="{00000000-0008-0000-0000-000055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147</xdr:row>
          <xdr:rowOff>0</xdr:rowOff>
        </xdr:from>
        <xdr:to>
          <xdr:col>40</xdr:col>
          <xdr:colOff>0</xdr:colOff>
          <xdr:row>148</xdr:row>
          <xdr:rowOff>0</xdr:rowOff>
        </xdr:to>
        <xdr:sp macro="" textlink="">
          <xdr:nvSpPr>
            <xdr:cNvPr id="1622" name="DeleteBtn_147" hidden="1">
              <a:extLst>
                <a:ext uri="{63B3BB69-23CF-44E3-9099-C40C66FF867C}">
                  <a14:compatExt spid="_x0000_s1622"/>
                </a:ext>
                <a:ext uri="{FF2B5EF4-FFF2-40B4-BE49-F238E27FC236}">
                  <a16:creationId xmlns:a16="http://schemas.microsoft.com/office/drawing/2014/main" id="{00000000-0008-0000-0000-000056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148</xdr:row>
          <xdr:rowOff>0</xdr:rowOff>
        </xdr:from>
        <xdr:to>
          <xdr:col>40</xdr:col>
          <xdr:colOff>0</xdr:colOff>
          <xdr:row>149</xdr:row>
          <xdr:rowOff>0</xdr:rowOff>
        </xdr:to>
        <xdr:sp macro="" textlink="">
          <xdr:nvSpPr>
            <xdr:cNvPr id="1623" name="DeleteBtn_148" hidden="1">
              <a:extLst>
                <a:ext uri="{63B3BB69-23CF-44E3-9099-C40C66FF867C}">
                  <a14:compatExt spid="_x0000_s1623"/>
                </a:ext>
                <a:ext uri="{FF2B5EF4-FFF2-40B4-BE49-F238E27FC236}">
                  <a16:creationId xmlns:a16="http://schemas.microsoft.com/office/drawing/2014/main" id="{00000000-0008-0000-0000-000057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149</xdr:row>
          <xdr:rowOff>0</xdr:rowOff>
        </xdr:from>
        <xdr:to>
          <xdr:col>40</xdr:col>
          <xdr:colOff>0</xdr:colOff>
          <xdr:row>150</xdr:row>
          <xdr:rowOff>0</xdr:rowOff>
        </xdr:to>
        <xdr:sp macro="" textlink="">
          <xdr:nvSpPr>
            <xdr:cNvPr id="1624" name="DeleteBtn_149" hidden="1">
              <a:extLst>
                <a:ext uri="{63B3BB69-23CF-44E3-9099-C40C66FF867C}">
                  <a14:compatExt spid="_x0000_s1624"/>
                </a:ext>
                <a:ext uri="{FF2B5EF4-FFF2-40B4-BE49-F238E27FC236}">
                  <a16:creationId xmlns:a16="http://schemas.microsoft.com/office/drawing/2014/main" id="{00000000-0008-0000-0000-000058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150</xdr:row>
          <xdr:rowOff>0</xdr:rowOff>
        </xdr:from>
        <xdr:to>
          <xdr:col>40</xdr:col>
          <xdr:colOff>0</xdr:colOff>
          <xdr:row>151</xdr:row>
          <xdr:rowOff>0</xdr:rowOff>
        </xdr:to>
        <xdr:sp macro="" textlink="">
          <xdr:nvSpPr>
            <xdr:cNvPr id="1625" name="DeleteBtn_150" hidden="1">
              <a:extLst>
                <a:ext uri="{63B3BB69-23CF-44E3-9099-C40C66FF867C}">
                  <a14:compatExt spid="_x0000_s1625"/>
                </a:ext>
                <a:ext uri="{FF2B5EF4-FFF2-40B4-BE49-F238E27FC236}">
                  <a16:creationId xmlns:a16="http://schemas.microsoft.com/office/drawing/2014/main" id="{00000000-0008-0000-0000-000059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151</xdr:row>
          <xdr:rowOff>0</xdr:rowOff>
        </xdr:from>
        <xdr:to>
          <xdr:col>40</xdr:col>
          <xdr:colOff>0</xdr:colOff>
          <xdr:row>152</xdr:row>
          <xdr:rowOff>0</xdr:rowOff>
        </xdr:to>
        <xdr:sp macro="" textlink="">
          <xdr:nvSpPr>
            <xdr:cNvPr id="1626" name="DeleteBtn_151" hidden="1">
              <a:extLst>
                <a:ext uri="{63B3BB69-23CF-44E3-9099-C40C66FF867C}">
                  <a14:compatExt spid="_x0000_s1626"/>
                </a:ext>
                <a:ext uri="{FF2B5EF4-FFF2-40B4-BE49-F238E27FC236}">
                  <a16:creationId xmlns:a16="http://schemas.microsoft.com/office/drawing/2014/main" id="{00000000-0008-0000-0000-00005A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152</xdr:row>
          <xdr:rowOff>0</xdr:rowOff>
        </xdr:from>
        <xdr:to>
          <xdr:col>40</xdr:col>
          <xdr:colOff>0</xdr:colOff>
          <xdr:row>153</xdr:row>
          <xdr:rowOff>0</xdr:rowOff>
        </xdr:to>
        <xdr:sp macro="" textlink="">
          <xdr:nvSpPr>
            <xdr:cNvPr id="1627" name="DeleteBtn_152" hidden="1">
              <a:extLst>
                <a:ext uri="{63B3BB69-23CF-44E3-9099-C40C66FF867C}">
                  <a14:compatExt spid="_x0000_s1627"/>
                </a:ext>
                <a:ext uri="{FF2B5EF4-FFF2-40B4-BE49-F238E27FC236}">
                  <a16:creationId xmlns:a16="http://schemas.microsoft.com/office/drawing/2014/main" id="{00000000-0008-0000-0000-00005B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153</xdr:row>
          <xdr:rowOff>0</xdr:rowOff>
        </xdr:from>
        <xdr:to>
          <xdr:col>40</xdr:col>
          <xdr:colOff>0</xdr:colOff>
          <xdr:row>154</xdr:row>
          <xdr:rowOff>0</xdr:rowOff>
        </xdr:to>
        <xdr:sp macro="" textlink="">
          <xdr:nvSpPr>
            <xdr:cNvPr id="1628" name="DeleteBtn_153" hidden="1">
              <a:extLst>
                <a:ext uri="{63B3BB69-23CF-44E3-9099-C40C66FF867C}">
                  <a14:compatExt spid="_x0000_s1628"/>
                </a:ext>
                <a:ext uri="{FF2B5EF4-FFF2-40B4-BE49-F238E27FC236}">
                  <a16:creationId xmlns:a16="http://schemas.microsoft.com/office/drawing/2014/main" id="{00000000-0008-0000-0000-00005C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154</xdr:row>
          <xdr:rowOff>0</xdr:rowOff>
        </xdr:from>
        <xdr:to>
          <xdr:col>40</xdr:col>
          <xdr:colOff>0</xdr:colOff>
          <xdr:row>155</xdr:row>
          <xdr:rowOff>0</xdr:rowOff>
        </xdr:to>
        <xdr:sp macro="" textlink="">
          <xdr:nvSpPr>
            <xdr:cNvPr id="1629" name="DeleteBtn_154" hidden="1">
              <a:extLst>
                <a:ext uri="{63B3BB69-23CF-44E3-9099-C40C66FF867C}">
                  <a14:compatExt spid="_x0000_s1629"/>
                </a:ext>
                <a:ext uri="{FF2B5EF4-FFF2-40B4-BE49-F238E27FC236}">
                  <a16:creationId xmlns:a16="http://schemas.microsoft.com/office/drawing/2014/main" id="{00000000-0008-0000-0000-00005D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155</xdr:row>
          <xdr:rowOff>0</xdr:rowOff>
        </xdr:from>
        <xdr:to>
          <xdr:col>40</xdr:col>
          <xdr:colOff>0</xdr:colOff>
          <xdr:row>156</xdr:row>
          <xdr:rowOff>0</xdr:rowOff>
        </xdr:to>
        <xdr:sp macro="" textlink="">
          <xdr:nvSpPr>
            <xdr:cNvPr id="1630" name="DeleteBtn_155" hidden="1">
              <a:extLst>
                <a:ext uri="{63B3BB69-23CF-44E3-9099-C40C66FF867C}">
                  <a14:compatExt spid="_x0000_s1630"/>
                </a:ext>
                <a:ext uri="{FF2B5EF4-FFF2-40B4-BE49-F238E27FC236}">
                  <a16:creationId xmlns:a16="http://schemas.microsoft.com/office/drawing/2014/main" id="{00000000-0008-0000-0000-00005E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156</xdr:row>
          <xdr:rowOff>0</xdr:rowOff>
        </xdr:from>
        <xdr:to>
          <xdr:col>40</xdr:col>
          <xdr:colOff>0</xdr:colOff>
          <xdr:row>157</xdr:row>
          <xdr:rowOff>0</xdr:rowOff>
        </xdr:to>
        <xdr:sp macro="" textlink="">
          <xdr:nvSpPr>
            <xdr:cNvPr id="1631" name="DeleteBtn_156" hidden="1">
              <a:extLst>
                <a:ext uri="{63B3BB69-23CF-44E3-9099-C40C66FF867C}">
                  <a14:compatExt spid="_x0000_s1631"/>
                </a:ext>
                <a:ext uri="{FF2B5EF4-FFF2-40B4-BE49-F238E27FC236}">
                  <a16:creationId xmlns:a16="http://schemas.microsoft.com/office/drawing/2014/main" id="{00000000-0008-0000-0000-00005F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157</xdr:row>
          <xdr:rowOff>0</xdr:rowOff>
        </xdr:from>
        <xdr:to>
          <xdr:col>40</xdr:col>
          <xdr:colOff>0</xdr:colOff>
          <xdr:row>158</xdr:row>
          <xdr:rowOff>0</xdr:rowOff>
        </xdr:to>
        <xdr:sp macro="" textlink="">
          <xdr:nvSpPr>
            <xdr:cNvPr id="1632" name="DeleteBtn_157" hidden="1">
              <a:extLst>
                <a:ext uri="{63B3BB69-23CF-44E3-9099-C40C66FF867C}">
                  <a14:compatExt spid="_x0000_s1632"/>
                </a:ext>
                <a:ext uri="{FF2B5EF4-FFF2-40B4-BE49-F238E27FC236}">
                  <a16:creationId xmlns:a16="http://schemas.microsoft.com/office/drawing/2014/main" id="{00000000-0008-0000-0000-000060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158</xdr:row>
          <xdr:rowOff>0</xdr:rowOff>
        </xdr:from>
        <xdr:to>
          <xdr:col>40</xdr:col>
          <xdr:colOff>0</xdr:colOff>
          <xdr:row>159</xdr:row>
          <xdr:rowOff>0</xdr:rowOff>
        </xdr:to>
        <xdr:sp macro="" textlink="">
          <xdr:nvSpPr>
            <xdr:cNvPr id="1633" name="DeleteBtn_158" hidden="1">
              <a:extLst>
                <a:ext uri="{63B3BB69-23CF-44E3-9099-C40C66FF867C}">
                  <a14:compatExt spid="_x0000_s1633"/>
                </a:ext>
                <a:ext uri="{FF2B5EF4-FFF2-40B4-BE49-F238E27FC236}">
                  <a16:creationId xmlns:a16="http://schemas.microsoft.com/office/drawing/2014/main" id="{00000000-0008-0000-0000-000061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159</xdr:row>
          <xdr:rowOff>0</xdr:rowOff>
        </xdr:from>
        <xdr:to>
          <xdr:col>40</xdr:col>
          <xdr:colOff>0</xdr:colOff>
          <xdr:row>160</xdr:row>
          <xdr:rowOff>0</xdr:rowOff>
        </xdr:to>
        <xdr:sp macro="" textlink="">
          <xdr:nvSpPr>
            <xdr:cNvPr id="1634" name="DeleteBtn_159" hidden="1">
              <a:extLst>
                <a:ext uri="{63B3BB69-23CF-44E3-9099-C40C66FF867C}">
                  <a14:compatExt spid="_x0000_s1634"/>
                </a:ext>
                <a:ext uri="{FF2B5EF4-FFF2-40B4-BE49-F238E27FC236}">
                  <a16:creationId xmlns:a16="http://schemas.microsoft.com/office/drawing/2014/main" id="{00000000-0008-0000-0000-000062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160</xdr:row>
          <xdr:rowOff>0</xdr:rowOff>
        </xdr:from>
        <xdr:to>
          <xdr:col>40</xdr:col>
          <xdr:colOff>0</xdr:colOff>
          <xdr:row>161</xdr:row>
          <xdr:rowOff>0</xdr:rowOff>
        </xdr:to>
        <xdr:sp macro="" textlink="">
          <xdr:nvSpPr>
            <xdr:cNvPr id="1635" name="DeleteBtn_160" hidden="1">
              <a:extLst>
                <a:ext uri="{63B3BB69-23CF-44E3-9099-C40C66FF867C}">
                  <a14:compatExt spid="_x0000_s1635"/>
                </a:ext>
                <a:ext uri="{FF2B5EF4-FFF2-40B4-BE49-F238E27FC236}">
                  <a16:creationId xmlns:a16="http://schemas.microsoft.com/office/drawing/2014/main" id="{00000000-0008-0000-0000-000063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161</xdr:row>
          <xdr:rowOff>0</xdr:rowOff>
        </xdr:from>
        <xdr:to>
          <xdr:col>40</xdr:col>
          <xdr:colOff>0</xdr:colOff>
          <xdr:row>162</xdr:row>
          <xdr:rowOff>0</xdr:rowOff>
        </xdr:to>
        <xdr:sp macro="" textlink="">
          <xdr:nvSpPr>
            <xdr:cNvPr id="1636" name="DeleteBtn_161" hidden="1">
              <a:extLst>
                <a:ext uri="{63B3BB69-23CF-44E3-9099-C40C66FF867C}">
                  <a14:compatExt spid="_x0000_s1636"/>
                </a:ext>
                <a:ext uri="{FF2B5EF4-FFF2-40B4-BE49-F238E27FC236}">
                  <a16:creationId xmlns:a16="http://schemas.microsoft.com/office/drawing/2014/main" id="{00000000-0008-0000-0000-000064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162</xdr:row>
          <xdr:rowOff>0</xdr:rowOff>
        </xdr:from>
        <xdr:to>
          <xdr:col>40</xdr:col>
          <xdr:colOff>0</xdr:colOff>
          <xdr:row>163</xdr:row>
          <xdr:rowOff>0</xdr:rowOff>
        </xdr:to>
        <xdr:sp macro="" textlink="">
          <xdr:nvSpPr>
            <xdr:cNvPr id="1637" name="DeleteBtn_162" hidden="1">
              <a:extLst>
                <a:ext uri="{63B3BB69-23CF-44E3-9099-C40C66FF867C}">
                  <a14:compatExt spid="_x0000_s1637"/>
                </a:ext>
                <a:ext uri="{FF2B5EF4-FFF2-40B4-BE49-F238E27FC236}">
                  <a16:creationId xmlns:a16="http://schemas.microsoft.com/office/drawing/2014/main" id="{00000000-0008-0000-0000-000065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163</xdr:row>
          <xdr:rowOff>0</xdr:rowOff>
        </xdr:from>
        <xdr:to>
          <xdr:col>40</xdr:col>
          <xdr:colOff>0</xdr:colOff>
          <xdr:row>164</xdr:row>
          <xdr:rowOff>0</xdr:rowOff>
        </xdr:to>
        <xdr:sp macro="" textlink="">
          <xdr:nvSpPr>
            <xdr:cNvPr id="1638" name="DeleteBtn_163" hidden="1">
              <a:extLst>
                <a:ext uri="{63B3BB69-23CF-44E3-9099-C40C66FF867C}">
                  <a14:compatExt spid="_x0000_s1638"/>
                </a:ext>
                <a:ext uri="{FF2B5EF4-FFF2-40B4-BE49-F238E27FC236}">
                  <a16:creationId xmlns:a16="http://schemas.microsoft.com/office/drawing/2014/main" id="{00000000-0008-0000-0000-000066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164</xdr:row>
          <xdr:rowOff>0</xdr:rowOff>
        </xdr:from>
        <xdr:to>
          <xdr:col>40</xdr:col>
          <xdr:colOff>0</xdr:colOff>
          <xdr:row>165</xdr:row>
          <xdr:rowOff>0</xdr:rowOff>
        </xdr:to>
        <xdr:sp macro="" textlink="">
          <xdr:nvSpPr>
            <xdr:cNvPr id="1639" name="DeleteBtn_164" hidden="1">
              <a:extLst>
                <a:ext uri="{63B3BB69-23CF-44E3-9099-C40C66FF867C}">
                  <a14:compatExt spid="_x0000_s1639"/>
                </a:ext>
                <a:ext uri="{FF2B5EF4-FFF2-40B4-BE49-F238E27FC236}">
                  <a16:creationId xmlns:a16="http://schemas.microsoft.com/office/drawing/2014/main" id="{00000000-0008-0000-0000-000067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165</xdr:row>
          <xdr:rowOff>0</xdr:rowOff>
        </xdr:from>
        <xdr:to>
          <xdr:col>40</xdr:col>
          <xdr:colOff>0</xdr:colOff>
          <xdr:row>166</xdr:row>
          <xdr:rowOff>0</xdr:rowOff>
        </xdr:to>
        <xdr:sp macro="" textlink="">
          <xdr:nvSpPr>
            <xdr:cNvPr id="1640" name="DeleteBtn_165" hidden="1">
              <a:extLst>
                <a:ext uri="{63B3BB69-23CF-44E3-9099-C40C66FF867C}">
                  <a14:compatExt spid="_x0000_s1640"/>
                </a:ext>
                <a:ext uri="{FF2B5EF4-FFF2-40B4-BE49-F238E27FC236}">
                  <a16:creationId xmlns:a16="http://schemas.microsoft.com/office/drawing/2014/main" id="{00000000-0008-0000-0000-000068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167</xdr:row>
          <xdr:rowOff>0</xdr:rowOff>
        </xdr:from>
        <xdr:to>
          <xdr:col>40</xdr:col>
          <xdr:colOff>0</xdr:colOff>
          <xdr:row>168</xdr:row>
          <xdr:rowOff>0</xdr:rowOff>
        </xdr:to>
        <xdr:sp macro="" textlink="">
          <xdr:nvSpPr>
            <xdr:cNvPr id="1642" name="DeleteBtn_167" hidden="1">
              <a:extLst>
                <a:ext uri="{63B3BB69-23CF-44E3-9099-C40C66FF867C}">
                  <a14:compatExt spid="_x0000_s1642"/>
                </a:ext>
                <a:ext uri="{FF2B5EF4-FFF2-40B4-BE49-F238E27FC236}">
                  <a16:creationId xmlns:a16="http://schemas.microsoft.com/office/drawing/2014/main" id="{00000000-0008-0000-0000-00006A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169</xdr:row>
          <xdr:rowOff>0</xdr:rowOff>
        </xdr:from>
        <xdr:to>
          <xdr:col>40</xdr:col>
          <xdr:colOff>0</xdr:colOff>
          <xdr:row>170</xdr:row>
          <xdr:rowOff>0</xdr:rowOff>
        </xdr:to>
        <xdr:sp macro="" textlink="">
          <xdr:nvSpPr>
            <xdr:cNvPr id="1643" name="DeleteBtn_168" hidden="1">
              <a:extLst>
                <a:ext uri="{63B3BB69-23CF-44E3-9099-C40C66FF867C}">
                  <a14:compatExt spid="_x0000_s1643"/>
                </a:ext>
                <a:ext uri="{FF2B5EF4-FFF2-40B4-BE49-F238E27FC236}">
                  <a16:creationId xmlns:a16="http://schemas.microsoft.com/office/drawing/2014/main" id="{00000000-0008-0000-0000-00006B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170</xdr:row>
          <xdr:rowOff>0</xdr:rowOff>
        </xdr:from>
        <xdr:to>
          <xdr:col>40</xdr:col>
          <xdr:colOff>0</xdr:colOff>
          <xdr:row>171</xdr:row>
          <xdr:rowOff>0</xdr:rowOff>
        </xdr:to>
        <xdr:sp macro="" textlink="">
          <xdr:nvSpPr>
            <xdr:cNvPr id="1644" name="DeleteBtn_169" hidden="1">
              <a:extLst>
                <a:ext uri="{63B3BB69-23CF-44E3-9099-C40C66FF867C}">
                  <a14:compatExt spid="_x0000_s1644"/>
                </a:ext>
                <a:ext uri="{FF2B5EF4-FFF2-40B4-BE49-F238E27FC236}">
                  <a16:creationId xmlns:a16="http://schemas.microsoft.com/office/drawing/2014/main" id="{00000000-0008-0000-0000-00006C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171</xdr:row>
          <xdr:rowOff>0</xdr:rowOff>
        </xdr:from>
        <xdr:to>
          <xdr:col>40</xdr:col>
          <xdr:colOff>0</xdr:colOff>
          <xdr:row>172</xdr:row>
          <xdr:rowOff>0</xdr:rowOff>
        </xdr:to>
        <xdr:sp macro="" textlink="">
          <xdr:nvSpPr>
            <xdr:cNvPr id="1645" name="DeleteBtn_170" hidden="1">
              <a:extLst>
                <a:ext uri="{63B3BB69-23CF-44E3-9099-C40C66FF867C}">
                  <a14:compatExt spid="_x0000_s1645"/>
                </a:ext>
                <a:ext uri="{FF2B5EF4-FFF2-40B4-BE49-F238E27FC236}">
                  <a16:creationId xmlns:a16="http://schemas.microsoft.com/office/drawing/2014/main" id="{00000000-0008-0000-0000-00006D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172</xdr:row>
          <xdr:rowOff>0</xdr:rowOff>
        </xdr:from>
        <xdr:to>
          <xdr:col>40</xdr:col>
          <xdr:colOff>0</xdr:colOff>
          <xdr:row>173</xdr:row>
          <xdr:rowOff>0</xdr:rowOff>
        </xdr:to>
        <xdr:sp macro="" textlink="">
          <xdr:nvSpPr>
            <xdr:cNvPr id="1646" name="DeleteBtn_171" hidden="1">
              <a:extLst>
                <a:ext uri="{63B3BB69-23CF-44E3-9099-C40C66FF867C}">
                  <a14:compatExt spid="_x0000_s1646"/>
                </a:ext>
                <a:ext uri="{FF2B5EF4-FFF2-40B4-BE49-F238E27FC236}">
                  <a16:creationId xmlns:a16="http://schemas.microsoft.com/office/drawing/2014/main" id="{00000000-0008-0000-0000-00006E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173</xdr:row>
          <xdr:rowOff>0</xdr:rowOff>
        </xdr:from>
        <xdr:to>
          <xdr:col>40</xdr:col>
          <xdr:colOff>0</xdr:colOff>
          <xdr:row>174</xdr:row>
          <xdr:rowOff>0</xdr:rowOff>
        </xdr:to>
        <xdr:sp macro="" textlink="">
          <xdr:nvSpPr>
            <xdr:cNvPr id="1647" name="DeleteBtn_172" hidden="1">
              <a:extLst>
                <a:ext uri="{63B3BB69-23CF-44E3-9099-C40C66FF867C}">
                  <a14:compatExt spid="_x0000_s1647"/>
                </a:ext>
                <a:ext uri="{FF2B5EF4-FFF2-40B4-BE49-F238E27FC236}">
                  <a16:creationId xmlns:a16="http://schemas.microsoft.com/office/drawing/2014/main" id="{00000000-0008-0000-0000-00006F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174</xdr:row>
          <xdr:rowOff>0</xdr:rowOff>
        </xdr:from>
        <xdr:to>
          <xdr:col>40</xdr:col>
          <xdr:colOff>0</xdr:colOff>
          <xdr:row>175</xdr:row>
          <xdr:rowOff>0</xdr:rowOff>
        </xdr:to>
        <xdr:sp macro="" textlink="">
          <xdr:nvSpPr>
            <xdr:cNvPr id="1648" name="DeleteBtn_173" hidden="1">
              <a:extLst>
                <a:ext uri="{63B3BB69-23CF-44E3-9099-C40C66FF867C}">
                  <a14:compatExt spid="_x0000_s1648"/>
                </a:ext>
                <a:ext uri="{FF2B5EF4-FFF2-40B4-BE49-F238E27FC236}">
                  <a16:creationId xmlns:a16="http://schemas.microsoft.com/office/drawing/2014/main" id="{00000000-0008-0000-0000-000070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175</xdr:row>
          <xdr:rowOff>0</xdr:rowOff>
        </xdr:from>
        <xdr:to>
          <xdr:col>40</xdr:col>
          <xdr:colOff>0</xdr:colOff>
          <xdr:row>176</xdr:row>
          <xdr:rowOff>0</xdr:rowOff>
        </xdr:to>
        <xdr:sp macro="" textlink="">
          <xdr:nvSpPr>
            <xdr:cNvPr id="1649" name="DeleteBtn_174" hidden="1">
              <a:extLst>
                <a:ext uri="{63B3BB69-23CF-44E3-9099-C40C66FF867C}">
                  <a14:compatExt spid="_x0000_s1649"/>
                </a:ext>
                <a:ext uri="{FF2B5EF4-FFF2-40B4-BE49-F238E27FC236}">
                  <a16:creationId xmlns:a16="http://schemas.microsoft.com/office/drawing/2014/main" id="{00000000-0008-0000-0000-000071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176</xdr:row>
          <xdr:rowOff>0</xdr:rowOff>
        </xdr:from>
        <xdr:to>
          <xdr:col>40</xdr:col>
          <xdr:colOff>0</xdr:colOff>
          <xdr:row>177</xdr:row>
          <xdr:rowOff>0</xdr:rowOff>
        </xdr:to>
        <xdr:sp macro="" textlink="">
          <xdr:nvSpPr>
            <xdr:cNvPr id="1650" name="DeleteBtn_175" hidden="1">
              <a:extLst>
                <a:ext uri="{63B3BB69-23CF-44E3-9099-C40C66FF867C}">
                  <a14:compatExt spid="_x0000_s1650"/>
                </a:ext>
                <a:ext uri="{FF2B5EF4-FFF2-40B4-BE49-F238E27FC236}">
                  <a16:creationId xmlns:a16="http://schemas.microsoft.com/office/drawing/2014/main" id="{00000000-0008-0000-0000-000072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177</xdr:row>
          <xdr:rowOff>0</xdr:rowOff>
        </xdr:from>
        <xdr:to>
          <xdr:col>40</xdr:col>
          <xdr:colOff>0</xdr:colOff>
          <xdr:row>178</xdr:row>
          <xdr:rowOff>0</xdr:rowOff>
        </xdr:to>
        <xdr:sp macro="" textlink="">
          <xdr:nvSpPr>
            <xdr:cNvPr id="1651" name="DeleteBtn_176" hidden="1">
              <a:extLst>
                <a:ext uri="{63B3BB69-23CF-44E3-9099-C40C66FF867C}">
                  <a14:compatExt spid="_x0000_s1651"/>
                </a:ext>
                <a:ext uri="{FF2B5EF4-FFF2-40B4-BE49-F238E27FC236}">
                  <a16:creationId xmlns:a16="http://schemas.microsoft.com/office/drawing/2014/main" id="{00000000-0008-0000-0000-000073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178</xdr:row>
          <xdr:rowOff>0</xdr:rowOff>
        </xdr:from>
        <xdr:to>
          <xdr:col>40</xdr:col>
          <xdr:colOff>0</xdr:colOff>
          <xdr:row>179</xdr:row>
          <xdr:rowOff>0</xdr:rowOff>
        </xdr:to>
        <xdr:sp macro="" textlink="">
          <xdr:nvSpPr>
            <xdr:cNvPr id="1652" name="DeleteBtn_177" hidden="1">
              <a:extLst>
                <a:ext uri="{63B3BB69-23CF-44E3-9099-C40C66FF867C}">
                  <a14:compatExt spid="_x0000_s1652"/>
                </a:ext>
                <a:ext uri="{FF2B5EF4-FFF2-40B4-BE49-F238E27FC236}">
                  <a16:creationId xmlns:a16="http://schemas.microsoft.com/office/drawing/2014/main" id="{00000000-0008-0000-0000-000074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179</xdr:row>
          <xdr:rowOff>0</xdr:rowOff>
        </xdr:from>
        <xdr:to>
          <xdr:col>40</xdr:col>
          <xdr:colOff>0</xdr:colOff>
          <xdr:row>180</xdr:row>
          <xdr:rowOff>0</xdr:rowOff>
        </xdr:to>
        <xdr:sp macro="" textlink="">
          <xdr:nvSpPr>
            <xdr:cNvPr id="1653" name="DeleteBtn_178" hidden="1">
              <a:extLst>
                <a:ext uri="{63B3BB69-23CF-44E3-9099-C40C66FF867C}">
                  <a14:compatExt spid="_x0000_s1653"/>
                </a:ext>
                <a:ext uri="{FF2B5EF4-FFF2-40B4-BE49-F238E27FC236}">
                  <a16:creationId xmlns:a16="http://schemas.microsoft.com/office/drawing/2014/main" id="{00000000-0008-0000-0000-000075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180</xdr:row>
          <xdr:rowOff>0</xdr:rowOff>
        </xdr:from>
        <xdr:to>
          <xdr:col>40</xdr:col>
          <xdr:colOff>0</xdr:colOff>
          <xdr:row>181</xdr:row>
          <xdr:rowOff>0</xdr:rowOff>
        </xdr:to>
        <xdr:sp macro="" textlink="">
          <xdr:nvSpPr>
            <xdr:cNvPr id="1654" name="DeleteBtn_179" hidden="1">
              <a:extLst>
                <a:ext uri="{63B3BB69-23CF-44E3-9099-C40C66FF867C}">
                  <a14:compatExt spid="_x0000_s1654"/>
                </a:ext>
                <a:ext uri="{FF2B5EF4-FFF2-40B4-BE49-F238E27FC236}">
                  <a16:creationId xmlns:a16="http://schemas.microsoft.com/office/drawing/2014/main" id="{00000000-0008-0000-0000-000076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181</xdr:row>
          <xdr:rowOff>0</xdr:rowOff>
        </xdr:from>
        <xdr:to>
          <xdr:col>40</xdr:col>
          <xdr:colOff>0</xdr:colOff>
          <xdr:row>182</xdr:row>
          <xdr:rowOff>0</xdr:rowOff>
        </xdr:to>
        <xdr:sp macro="" textlink="">
          <xdr:nvSpPr>
            <xdr:cNvPr id="1655" name="DeleteBtn_180" hidden="1">
              <a:extLst>
                <a:ext uri="{63B3BB69-23CF-44E3-9099-C40C66FF867C}">
                  <a14:compatExt spid="_x0000_s1655"/>
                </a:ext>
                <a:ext uri="{FF2B5EF4-FFF2-40B4-BE49-F238E27FC236}">
                  <a16:creationId xmlns:a16="http://schemas.microsoft.com/office/drawing/2014/main" id="{00000000-0008-0000-0000-000077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182</xdr:row>
          <xdr:rowOff>0</xdr:rowOff>
        </xdr:from>
        <xdr:to>
          <xdr:col>40</xdr:col>
          <xdr:colOff>0</xdr:colOff>
          <xdr:row>183</xdr:row>
          <xdr:rowOff>0</xdr:rowOff>
        </xdr:to>
        <xdr:sp macro="" textlink="">
          <xdr:nvSpPr>
            <xdr:cNvPr id="1656" name="DeleteBtn_181" hidden="1">
              <a:extLst>
                <a:ext uri="{63B3BB69-23CF-44E3-9099-C40C66FF867C}">
                  <a14:compatExt spid="_x0000_s1656"/>
                </a:ext>
                <a:ext uri="{FF2B5EF4-FFF2-40B4-BE49-F238E27FC236}">
                  <a16:creationId xmlns:a16="http://schemas.microsoft.com/office/drawing/2014/main" id="{00000000-0008-0000-0000-000078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183</xdr:row>
          <xdr:rowOff>0</xdr:rowOff>
        </xdr:from>
        <xdr:to>
          <xdr:col>40</xdr:col>
          <xdr:colOff>0</xdr:colOff>
          <xdr:row>184</xdr:row>
          <xdr:rowOff>0</xdr:rowOff>
        </xdr:to>
        <xdr:sp macro="" textlink="">
          <xdr:nvSpPr>
            <xdr:cNvPr id="1657" name="DeleteBtn_182" hidden="1">
              <a:extLst>
                <a:ext uri="{63B3BB69-23CF-44E3-9099-C40C66FF867C}">
                  <a14:compatExt spid="_x0000_s1657"/>
                </a:ext>
                <a:ext uri="{FF2B5EF4-FFF2-40B4-BE49-F238E27FC236}">
                  <a16:creationId xmlns:a16="http://schemas.microsoft.com/office/drawing/2014/main" id="{00000000-0008-0000-0000-000079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184</xdr:row>
          <xdr:rowOff>0</xdr:rowOff>
        </xdr:from>
        <xdr:to>
          <xdr:col>40</xdr:col>
          <xdr:colOff>0</xdr:colOff>
          <xdr:row>185</xdr:row>
          <xdr:rowOff>0</xdr:rowOff>
        </xdr:to>
        <xdr:sp macro="" textlink="">
          <xdr:nvSpPr>
            <xdr:cNvPr id="1659" name="DeleteBtn_184" hidden="1">
              <a:extLst>
                <a:ext uri="{63B3BB69-23CF-44E3-9099-C40C66FF867C}">
                  <a14:compatExt spid="_x0000_s1659"/>
                </a:ext>
                <a:ext uri="{FF2B5EF4-FFF2-40B4-BE49-F238E27FC236}">
                  <a16:creationId xmlns:a16="http://schemas.microsoft.com/office/drawing/2014/main" id="{00000000-0008-0000-0000-00007B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185</xdr:row>
          <xdr:rowOff>0</xdr:rowOff>
        </xdr:from>
        <xdr:to>
          <xdr:col>40</xdr:col>
          <xdr:colOff>0</xdr:colOff>
          <xdr:row>186</xdr:row>
          <xdr:rowOff>0</xdr:rowOff>
        </xdr:to>
        <xdr:sp macro="" textlink="">
          <xdr:nvSpPr>
            <xdr:cNvPr id="1660" name="DeleteBtn_185" hidden="1">
              <a:extLst>
                <a:ext uri="{63B3BB69-23CF-44E3-9099-C40C66FF867C}">
                  <a14:compatExt spid="_x0000_s1660"/>
                </a:ext>
                <a:ext uri="{FF2B5EF4-FFF2-40B4-BE49-F238E27FC236}">
                  <a16:creationId xmlns:a16="http://schemas.microsoft.com/office/drawing/2014/main" id="{00000000-0008-0000-0000-00007C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186</xdr:row>
          <xdr:rowOff>0</xdr:rowOff>
        </xdr:from>
        <xdr:to>
          <xdr:col>40</xdr:col>
          <xdr:colOff>0</xdr:colOff>
          <xdr:row>187</xdr:row>
          <xdr:rowOff>0</xdr:rowOff>
        </xdr:to>
        <xdr:sp macro="" textlink="">
          <xdr:nvSpPr>
            <xdr:cNvPr id="1661" name="DeleteBtn_186" hidden="1">
              <a:extLst>
                <a:ext uri="{63B3BB69-23CF-44E3-9099-C40C66FF867C}">
                  <a14:compatExt spid="_x0000_s1661"/>
                </a:ext>
                <a:ext uri="{FF2B5EF4-FFF2-40B4-BE49-F238E27FC236}">
                  <a16:creationId xmlns:a16="http://schemas.microsoft.com/office/drawing/2014/main" id="{00000000-0008-0000-0000-00007D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187</xdr:row>
          <xdr:rowOff>0</xdr:rowOff>
        </xdr:from>
        <xdr:to>
          <xdr:col>40</xdr:col>
          <xdr:colOff>0</xdr:colOff>
          <xdr:row>188</xdr:row>
          <xdr:rowOff>0</xdr:rowOff>
        </xdr:to>
        <xdr:sp macro="" textlink="">
          <xdr:nvSpPr>
            <xdr:cNvPr id="1662" name="DeleteBtn_187" hidden="1">
              <a:extLst>
                <a:ext uri="{63B3BB69-23CF-44E3-9099-C40C66FF867C}">
                  <a14:compatExt spid="_x0000_s1662"/>
                </a:ext>
                <a:ext uri="{FF2B5EF4-FFF2-40B4-BE49-F238E27FC236}">
                  <a16:creationId xmlns:a16="http://schemas.microsoft.com/office/drawing/2014/main" id="{00000000-0008-0000-0000-00007E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188</xdr:row>
          <xdr:rowOff>0</xdr:rowOff>
        </xdr:from>
        <xdr:to>
          <xdr:col>40</xdr:col>
          <xdr:colOff>0</xdr:colOff>
          <xdr:row>189</xdr:row>
          <xdr:rowOff>0</xdr:rowOff>
        </xdr:to>
        <xdr:sp macro="" textlink="">
          <xdr:nvSpPr>
            <xdr:cNvPr id="1663" name="DeleteBtn_188" hidden="1">
              <a:extLst>
                <a:ext uri="{63B3BB69-23CF-44E3-9099-C40C66FF867C}">
                  <a14:compatExt spid="_x0000_s1663"/>
                </a:ext>
                <a:ext uri="{FF2B5EF4-FFF2-40B4-BE49-F238E27FC236}">
                  <a16:creationId xmlns:a16="http://schemas.microsoft.com/office/drawing/2014/main" id="{00000000-0008-0000-0000-00007F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189</xdr:row>
          <xdr:rowOff>0</xdr:rowOff>
        </xdr:from>
        <xdr:to>
          <xdr:col>40</xdr:col>
          <xdr:colOff>0</xdr:colOff>
          <xdr:row>190</xdr:row>
          <xdr:rowOff>0</xdr:rowOff>
        </xdr:to>
        <xdr:sp macro="" textlink="">
          <xdr:nvSpPr>
            <xdr:cNvPr id="1664" name="DeleteBtn_189" hidden="1">
              <a:extLst>
                <a:ext uri="{63B3BB69-23CF-44E3-9099-C40C66FF867C}">
                  <a14:compatExt spid="_x0000_s1664"/>
                </a:ext>
                <a:ext uri="{FF2B5EF4-FFF2-40B4-BE49-F238E27FC236}">
                  <a16:creationId xmlns:a16="http://schemas.microsoft.com/office/drawing/2014/main" id="{00000000-0008-0000-0000-000080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190</xdr:row>
          <xdr:rowOff>0</xdr:rowOff>
        </xdr:from>
        <xdr:to>
          <xdr:col>40</xdr:col>
          <xdr:colOff>0</xdr:colOff>
          <xdr:row>191</xdr:row>
          <xdr:rowOff>0</xdr:rowOff>
        </xdr:to>
        <xdr:sp macro="" textlink="">
          <xdr:nvSpPr>
            <xdr:cNvPr id="1665" name="DeleteBtn_190" hidden="1">
              <a:extLst>
                <a:ext uri="{63B3BB69-23CF-44E3-9099-C40C66FF867C}">
                  <a14:compatExt spid="_x0000_s1665"/>
                </a:ext>
                <a:ext uri="{FF2B5EF4-FFF2-40B4-BE49-F238E27FC236}">
                  <a16:creationId xmlns:a16="http://schemas.microsoft.com/office/drawing/2014/main" id="{00000000-0008-0000-0000-000081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191</xdr:row>
          <xdr:rowOff>0</xdr:rowOff>
        </xdr:from>
        <xdr:to>
          <xdr:col>40</xdr:col>
          <xdr:colOff>0</xdr:colOff>
          <xdr:row>192</xdr:row>
          <xdr:rowOff>0</xdr:rowOff>
        </xdr:to>
        <xdr:sp macro="" textlink="">
          <xdr:nvSpPr>
            <xdr:cNvPr id="1666" name="DeleteBtn_191" hidden="1">
              <a:extLst>
                <a:ext uri="{63B3BB69-23CF-44E3-9099-C40C66FF867C}">
                  <a14:compatExt spid="_x0000_s1666"/>
                </a:ext>
                <a:ext uri="{FF2B5EF4-FFF2-40B4-BE49-F238E27FC236}">
                  <a16:creationId xmlns:a16="http://schemas.microsoft.com/office/drawing/2014/main" id="{00000000-0008-0000-0000-000082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192</xdr:row>
          <xdr:rowOff>0</xdr:rowOff>
        </xdr:from>
        <xdr:to>
          <xdr:col>40</xdr:col>
          <xdr:colOff>0</xdr:colOff>
          <xdr:row>193</xdr:row>
          <xdr:rowOff>0</xdr:rowOff>
        </xdr:to>
        <xdr:sp macro="" textlink="">
          <xdr:nvSpPr>
            <xdr:cNvPr id="1667" name="DeleteBtn_192" hidden="1">
              <a:extLst>
                <a:ext uri="{63B3BB69-23CF-44E3-9099-C40C66FF867C}">
                  <a14:compatExt spid="_x0000_s1667"/>
                </a:ext>
                <a:ext uri="{FF2B5EF4-FFF2-40B4-BE49-F238E27FC236}">
                  <a16:creationId xmlns:a16="http://schemas.microsoft.com/office/drawing/2014/main" id="{00000000-0008-0000-0000-000083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193</xdr:row>
          <xdr:rowOff>0</xdr:rowOff>
        </xdr:from>
        <xdr:to>
          <xdr:col>40</xdr:col>
          <xdr:colOff>0</xdr:colOff>
          <xdr:row>194</xdr:row>
          <xdr:rowOff>0</xdr:rowOff>
        </xdr:to>
        <xdr:sp macro="" textlink="">
          <xdr:nvSpPr>
            <xdr:cNvPr id="1668" name="DeleteBtn_193" hidden="1">
              <a:extLst>
                <a:ext uri="{63B3BB69-23CF-44E3-9099-C40C66FF867C}">
                  <a14:compatExt spid="_x0000_s1668"/>
                </a:ext>
                <a:ext uri="{FF2B5EF4-FFF2-40B4-BE49-F238E27FC236}">
                  <a16:creationId xmlns:a16="http://schemas.microsoft.com/office/drawing/2014/main" id="{00000000-0008-0000-0000-000084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194</xdr:row>
          <xdr:rowOff>0</xdr:rowOff>
        </xdr:from>
        <xdr:to>
          <xdr:col>40</xdr:col>
          <xdr:colOff>0</xdr:colOff>
          <xdr:row>195</xdr:row>
          <xdr:rowOff>0</xdr:rowOff>
        </xdr:to>
        <xdr:sp macro="" textlink="">
          <xdr:nvSpPr>
            <xdr:cNvPr id="1669" name="DeleteBtn_194" hidden="1">
              <a:extLst>
                <a:ext uri="{63B3BB69-23CF-44E3-9099-C40C66FF867C}">
                  <a14:compatExt spid="_x0000_s1669"/>
                </a:ext>
                <a:ext uri="{FF2B5EF4-FFF2-40B4-BE49-F238E27FC236}">
                  <a16:creationId xmlns:a16="http://schemas.microsoft.com/office/drawing/2014/main" id="{00000000-0008-0000-0000-000085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195</xdr:row>
          <xdr:rowOff>0</xdr:rowOff>
        </xdr:from>
        <xdr:to>
          <xdr:col>40</xdr:col>
          <xdr:colOff>0</xdr:colOff>
          <xdr:row>196</xdr:row>
          <xdr:rowOff>0</xdr:rowOff>
        </xdr:to>
        <xdr:sp macro="" textlink="">
          <xdr:nvSpPr>
            <xdr:cNvPr id="1670" name="DeleteBtn_195" hidden="1">
              <a:extLst>
                <a:ext uri="{63B3BB69-23CF-44E3-9099-C40C66FF867C}">
                  <a14:compatExt spid="_x0000_s1670"/>
                </a:ext>
                <a:ext uri="{FF2B5EF4-FFF2-40B4-BE49-F238E27FC236}">
                  <a16:creationId xmlns:a16="http://schemas.microsoft.com/office/drawing/2014/main" id="{00000000-0008-0000-0000-000086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196</xdr:row>
          <xdr:rowOff>0</xdr:rowOff>
        </xdr:from>
        <xdr:to>
          <xdr:col>40</xdr:col>
          <xdr:colOff>0</xdr:colOff>
          <xdr:row>197</xdr:row>
          <xdr:rowOff>0</xdr:rowOff>
        </xdr:to>
        <xdr:sp macro="" textlink="">
          <xdr:nvSpPr>
            <xdr:cNvPr id="1671" name="DeleteBtn_196" hidden="1">
              <a:extLst>
                <a:ext uri="{63B3BB69-23CF-44E3-9099-C40C66FF867C}">
                  <a14:compatExt spid="_x0000_s1671"/>
                </a:ext>
                <a:ext uri="{FF2B5EF4-FFF2-40B4-BE49-F238E27FC236}">
                  <a16:creationId xmlns:a16="http://schemas.microsoft.com/office/drawing/2014/main" id="{00000000-0008-0000-0000-000087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197</xdr:row>
          <xdr:rowOff>0</xdr:rowOff>
        </xdr:from>
        <xdr:to>
          <xdr:col>40</xdr:col>
          <xdr:colOff>0</xdr:colOff>
          <xdr:row>198</xdr:row>
          <xdr:rowOff>0</xdr:rowOff>
        </xdr:to>
        <xdr:sp macro="" textlink="">
          <xdr:nvSpPr>
            <xdr:cNvPr id="1672" name="DeleteBtn_197" hidden="1">
              <a:extLst>
                <a:ext uri="{63B3BB69-23CF-44E3-9099-C40C66FF867C}">
                  <a14:compatExt spid="_x0000_s1672"/>
                </a:ext>
                <a:ext uri="{FF2B5EF4-FFF2-40B4-BE49-F238E27FC236}">
                  <a16:creationId xmlns:a16="http://schemas.microsoft.com/office/drawing/2014/main" id="{00000000-0008-0000-0000-000088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198</xdr:row>
          <xdr:rowOff>0</xdr:rowOff>
        </xdr:from>
        <xdr:to>
          <xdr:col>40</xdr:col>
          <xdr:colOff>0</xdr:colOff>
          <xdr:row>199</xdr:row>
          <xdr:rowOff>0</xdr:rowOff>
        </xdr:to>
        <xdr:sp macro="" textlink="">
          <xdr:nvSpPr>
            <xdr:cNvPr id="1673" name="DeleteBtn_198" hidden="1">
              <a:extLst>
                <a:ext uri="{63B3BB69-23CF-44E3-9099-C40C66FF867C}">
                  <a14:compatExt spid="_x0000_s1673"/>
                </a:ext>
                <a:ext uri="{FF2B5EF4-FFF2-40B4-BE49-F238E27FC236}">
                  <a16:creationId xmlns:a16="http://schemas.microsoft.com/office/drawing/2014/main" id="{00000000-0008-0000-0000-000089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199</xdr:row>
          <xdr:rowOff>0</xdr:rowOff>
        </xdr:from>
        <xdr:to>
          <xdr:col>40</xdr:col>
          <xdr:colOff>0</xdr:colOff>
          <xdr:row>200</xdr:row>
          <xdr:rowOff>0</xdr:rowOff>
        </xdr:to>
        <xdr:sp macro="" textlink="">
          <xdr:nvSpPr>
            <xdr:cNvPr id="1674" name="DeleteBtn_199" hidden="1">
              <a:extLst>
                <a:ext uri="{63B3BB69-23CF-44E3-9099-C40C66FF867C}">
                  <a14:compatExt spid="_x0000_s1674"/>
                </a:ext>
                <a:ext uri="{FF2B5EF4-FFF2-40B4-BE49-F238E27FC236}">
                  <a16:creationId xmlns:a16="http://schemas.microsoft.com/office/drawing/2014/main" id="{00000000-0008-0000-0000-00008A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200</xdr:row>
          <xdr:rowOff>0</xdr:rowOff>
        </xdr:from>
        <xdr:to>
          <xdr:col>40</xdr:col>
          <xdr:colOff>0</xdr:colOff>
          <xdr:row>201</xdr:row>
          <xdr:rowOff>0</xdr:rowOff>
        </xdr:to>
        <xdr:sp macro="" textlink="">
          <xdr:nvSpPr>
            <xdr:cNvPr id="1675" name="DeleteBtn_200" hidden="1">
              <a:extLst>
                <a:ext uri="{63B3BB69-23CF-44E3-9099-C40C66FF867C}">
                  <a14:compatExt spid="_x0000_s1675"/>
                </a:ext>
                <a:ext uri="{FF2B5EF4-FFF2-40B4-BE49-F238E27FC236}">
                  <a16:creationId xmlns:a16="http://schemas.microsoft.com/office/drawing/2014/main" id="{00000000-0008-0000-0000-00008B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201</xdr:row>
          <xdr:rowOff>0</xdr:rowOff>
        </xdr:from>
        <xdr:to>
          <xdr:col>40</xdr:col>
          <xdr:colOff>0</xdr:colOff>
          <xdr:row>202</xdr:row>
          <xdr:rowOff>0</xdr:rowOff>
        </xdr:to>
        <xdr:sp macro="" textlink="">
          <xdr:nvSpPr>
            <xdr:cNvPr id="1676" name="DeleteBtn_201" hidden="1">
              <a:extLst>
                <a:ext uri="{63B3BB69-23CF-44E3-9099-C40C66FF867C}">
                  <a14:compatExt spid="_x0000_s1676"/>
                </a:ext>
                <a:ext uri="{FF2B5EF4-FFF2-40B4-BE49-F238E27FC236}">
                  <a16:creationId xmlns:a16="http://schemas.microsoft.com/office/drawing/2014/main" id="{00000000-0008-0000-0000-00008C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202</xdr:row>
          <xdr:rowOff>0</xdr:rowOff>
        </xdr:from>
        <xdr:to>
          <xdr:col>40</xdr:col>
          <xdr:colOff>0</xdr:colOff>
          <xdr:row>203</xdr:row>
          <xdr:rowOff>0</xdr:rowOff>
        </xdr:to>
        <xdr:sp macro="" textlink="">
          <xdr:nvSpPr>
            <xdr:cNvPr id="1677" name="DeleteBtn_202" hidden="1">
              <a:extLst>
                <a:ext uri="{63B3BB69-23CF-44E3-9099-C40C66FF867C}">
                  <a14:compatExt spid="_x0000_s1677"/>
                </a:ext>
                <a:ext uri="{FF2B5EF4-FFF2-40B4-BE49-F238E27FC236}">
                  <a16:creationId xmlns:a16="http://schemas.microsoft.com/office/drawing/2014/main" id="{00000000-0008-0000-0000-00008D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203</xdr:row>
          <xdr:rowOff>0</xdr:rowOff>
        </xdr:from>
        <xdr:to>
          <xdr:col>40</xdr:col>
          <xdr:colOff>0</xdr:colOff>
          <xdr:row>204</xdr:row>
          <xdr:rowOff>0</xdr:rowOff>
        </xdr:to>
        <xdr:sp macro="" textlink="">
          <xdr:nvSpPr>
            <xdr:cNvPr id="1678" name="DeleteBtn_203" hidden="1">
              <a:extLst>
                <a:ext uri="{63B3BB69-23CF-44E3-9099-C40C66FF867C}">
                  <a14:compatExt spid="_x0000_s1678"/>
                </a:ext>
                <a:ext uri="{FF2B5EF4-FFF2-40B4-BE49-F238E27FC236}">
                  <a16:creationId xmlns:a16="http://schemas.microsoft.com/office/drawing/2014/main" id="{00000000-0008-0000-0000-00008E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204</xdr:row>
          <xdr:rowOff>0</xdr:rowOff>
        </xdr:from>
        <xdr:to>
          <xdr:col>40</xdr:col>
          <xdr:colOff>0</xdr:colOff>
          <xdr:row>205</xdr:row>
          <xdr:rowOff>0</xdr:rowOff>
        </xdr:to>
        <xdr:sp macro="" textlink="">
          <xdr:nvSpPr>
            <xdr:cNvPr id="1679" name="DeleteBtn_204" hidden="1">
              <a:extLst>
                <a:ext uri="{63B3BB69-23CF-44E3-9099-C40C66FF867C}">
                  <a14:compatExt spid="_x0000_s1679"/>
                </a:ext>
                <a:ext uri="{FF2B5EF4-FFF2-40B4-BE49-F238E27FC236}">
                  <a16:creationId xmlns:a16="http://schemas.microsoft.com/office/drawing/2014/main" id="{00000000-0008-0000-0000-00008F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205</xdr:row>
          <xdr:rowOff>0</xdr:rowOff>
        </xdr:from>
        <xdr:to>
          <xdr:col>40</xdr:col>
          <xdr:colOff>0</xdr:colOff>
          <xdr:row>206</xdr:row>
          <xdr:rowOff>0</xdr:rowOff>
        </xdr:to>
        <xdr:sp macro="" textlink="">
          <xdr:nvSpPr>
            <xdr:cNvPr id="1680" name="DeleteBtn_205" hidden="1">
              <a:extLst>
                <a:ext uri="{63B3BB69-23CF-44E3-9099-C40C66FF867C}">
                  <a14:compatExt spid="_x0000_s1680"/>
                </a:ext>
                <a:ext uri="{FF2B5EF4-FFF2-40B4-BE49-F238E27FC236}">
                  <a16:creationId xmlns:a16="http://schemas.microsoft.com/office/drawing/2014/main" id="{00000000-0008-0000-0000-000090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206</xdr:row>
          <xdr:rowOff>0</xdr:rowOff>
        </xdr:from>
        <xdr:to>
          <xdr:col>40</xdr:col>
          <xdr:colOff>0</xdr:colOff>
          <xdr:row>207</xdr:row>
          <xdr:rowOff>0</xdr:rowOff>
        </xdr:to>
        <xdr:sp macro="" textlink="">
          <xdr:nvSpPr>
            <xdr:cNvPr id="1681" name="DeleteBtn_206" hidden="1">
              <a:extLst>
                <a:ext uri="{63B3BB69-23CF-44E3-9099-C40C66FF867C}">
                  <a14:compatExt spid="_x0000_s1681"/>
                </a:ext>
                <a:ext uri="{FF2B5EF4-FFF2-40B4-BE49-F238E27FC236}">
                  <a16:creationId xmlns:a16="http://schemas.microsoft.com/office/drawing/2014/main" id="{00000000-0008-0000-0000-000091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207</xdr:row>
          <xdr:rowOff>0</xdr:rowOff>
        </xdr:from>
        <xdr:to>
          <xdr:col>40</xdr:col>
          <xdr:colOff>0</xdr:colOff>
          <xdr:row>208</xdr:row>
          <xdr:rowOff>0</xdr:rowOff>
        </xdr:to>
        <xdr:sp macro="" textlink="">
          <xdr:nvSpPr>
            <xdr:cNvPr id="1682" name="DeleteBtn_207" hidden="1">
              <a:extLst>
                <a:ext uri="{63B3BB69-23CF-44E3-9099-C40C66FF867C}">
                  <a14:compatExt spid="_x0000_s1682"/>
                </a:ext>
                <a:ext uri="{FF2B5EF4-FFF2-40B4-BE49-F238E27FC236}">
                  <a16:creationId xmlns:a16="http://schemas.microsoft.com/office/drawing/2014/main" id="{00000000-0008-0000-0000-000092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208</xdr:row>
          <xdr:rowOff>0</xdr:rowOff>
        </xdr:from>
        <xdr:to>
          <xdr:col>40</xdr:col>
          <xdr:colOff>0</xdr:colOff>
          <xdr:row>209</xdr:row>
          <xdr:rowOff>0</xdr:rowOff>
        </xdr:to>
        <xdr:sp macro="" textlink="">
          <xdr:nvSpPr>
            <xdr:cNvPr id="1683" name="DeleteBtn_208" hidden="1">
              <a:extLst>
                <a:ext uri="{63B3BB69-23CF-44E3-9099-C40C66FF867C}">
                  <a14:compatExt spid="_x0000_s1683"/>
                </a:ext>
                <a:ext uri="{FF2B5EF4-FFF2-40B4-BE49-F238E27FC236}">
                  <a16:creationId xmlns:a16="http://schemas.microsoft.com/office/drawing/2014/main" id="{00000000-0008-0000-0000-000093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209</xdr:row>
          <xdr:rowOff>0</xdr:rowOff>
        </xdr:from>
        <xdr:to>
          <xdr:col>40</xdr:col>
          <xdr:colOff>0</xdr:colOff>
          <xdr:row>210</xdr:row>
          <xdr:rowOff>0</xdr:rowOff>
        </xdr:to>
        <xdr:sp macro="" textlink="">
          <xdr:nvSpPr>
            <xdr:cNvPr id="1684" name="DeleteBtn_209" hidden="1">
              <a:extLst>
                <a:ext uri="{63B3BB69-23CF-44E3-9099-C40C66FF867C}">
                  <a14:compatExt spid="_x0000_s1684"/>
                </a:ext>
                <a:ext uri="{FF2B5EF4-FFF2-40B4-BE49-F238E27FC236}">
                  <a16:creationId xmlns:a16="http://schemas.microsoft.com/office/drawing/2014/main" id="{00000000-0008-0000-0000-000094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210</xdr:row>
          <xdr:rowOff>0</xdr:rowOff>
        </xdr:from>
        <xdr:to>
          <xdr:col>40</xdr:col>
          <xdr:colOff>0</xdr:colOff>
          <xdr:row>211</xdr:row>
          <xdr:rowOff>0</xdr:rowOff>
        </xdr:to>
        <xdr:sp macro="" textlink="">
          <xdr:nvSpPr>
            <xdr:cNvPr id="1685" name="DeleteBtn_210" hidden="1">
              <a:extLst>
                <a:ext uri="{63B3BB69-23CF-44E3-9099-C40C66FF867C}">
                  <a14:compatExt spid="_x0000_s1685"/>
                </a:ext>
                <a:ext uri="{FF2B5EF4-FFF2-40B4-BE49-F238E27FC236}">
                  <a16:creationId xmlns:a16="http://schemas.microsoft.com/office/drawing/2014/main" id="{00000000-0008-0000-0000-000095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211</xdr:row>
          <xdr:rowOff>0</xdr:rowOff>
        </xdr:from>
        <xdr:to>
          <xdr:col>40</xdr:col>
          <xdr:colOff>0</xdr:colOff>
          <xdr:row>212</xdr:row>
          <xdr:rowOff>0</xdr:rowOff>
        </xdr:to>
        <xdr:sp macro="" textlink="">
          <xdr:nvSpPr>
            <xdr:cNvPr id="1686" name="DeleteBtn_211" hidden="1">
              <a:extLst>
                <a:ext uri="{63B3BB69-23CF-44E3-9099-C40C66FF867C}">
                  <a14:compatExt spid="_x0000_s1686"/>
                </a:ext>
                <a:ext uri="{FF2B5EF4-FFF2-40B4-BE49-F238E27FC236}">
                  <a16:creationId xmlns:a16="http://schemas.microsoft.com/office/drawing/2014/main" id="{00000000-0008-0000-0000-000096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212</xdr:row>
          <xdr:rowOff>0</xdr:rowOff>
        </xdr:from>
        <xdr:to>
          <xdr:col>40</xdr:col>
          <xdr:colOff>0</xdr:colOff>
          <xdr:row>213</xdr:row>
          <xdr:rowOff>0</xdr:rowOff>
        </xdr:to>
        <xdr:sp macro="" textlink="">
          <xdr:nvSpPr>
            <xdr:cNvPr id="1687" name="DeleteBtn_212" hidden="1">
              <a:extLst>
                <a:ext uri="{63B3BB69-23CF-44E3-9099-C40C66FF867C}">
                  <a14:compatExt spid="_x0000_s1687"/>
                </a:ext>
                <a:ext uri="{FF2B5EF4-FFF2-40B4-BE49-F238E27FC236}">
                  <a16:creationId xmlns:a16="http://schemas.microsoft.com/office/drawing/2014/main" id="{00000000-0008-0000-0000-000097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213</xdr:row>
          <xdr:rowOff>0</xdr:rowOff>
        </xdr:from>
        <xdr:to>
          <xdr:col>40</xdr:col>
          <xdr:colOff>0</xdr:colOff>
          <xdr:row>214</xdr:row>
          <xdr:rowOff>0</xdr:rowOff>
        </xdr:to>
        <xdr:sp macro="" textlink="">
          <xdr:nvSpPr>
            <xdr:cNvPr id="1688" name="DeleteBtn_213" hidden="1">
              <a:extLst>
                <a:ext uri="{63B3BB69-23CF-44E3-9099-C40C66FF867C}">
                  <a14:compatExt spid="_x0000_s1688"/>
                </a:ext>
                <a:ext uri="{FF2B5EF4-FFF2-40B4-BE49-F238E27FC236}">
                  <a16:creationId xmlns:a16="http://schemas.microsoft.com/office/drawing/2014/main" id="{00000000-0008-0000-0000-000098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214</xdr:row>
          <xdr:rowOff>0</xdr:rowOff>
        </xdr:from>
        <xdr:to>
          <xdr:col>40</xdr:col>
          <xdr:colOff>0</xdr:colOff>
          <xdr:row>215</xdr:row>
          <xdr:rowOff>0</xdr:rowOff>
        </xdr:to>
        <xdr:sp macro="" textlink="">
          <xdr:nvSpPr>
            <xdr:cNvPr id="1689" name="DeleteBtn_214" hidden="1">
              <a:extLst>
                <a:ext uri="{63B3BB69-23CF-44E3-9099-C40C66FF867C}">
                  <a14:compatExt spid="_x0000_s1689"/>
                </a:ext>
                <a:ext uri="{FF2B5EF4-FFF2-40B4-BE49-F238E27FC236}">
                  <a16:creationId xmlns:a16="http://schemas.microsoft.com/office/drawing/2014/main" id="{00000000-0008-0000-0000-000099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215</xdr:row>
          <xdr:rowOff>0</xdr:rowOff>
        </xdr:from>
        <xdr:to>
          <xdr:col>40</xdr:col>
          <xdr:colOff>0</xdr:colOff>
          <xdr:row>216</xdr:row>
          <xdr:rowOff>0</xdr:rowOff>
        </xdr:to>
        <xdr:sp macro="" textlink="">
          <xdr:nvSpPr>
            <xdr:cNvPr id="1690" name="DeleteBtn_215" hidden="1">
              <a:extLst>
                <a:ext uri="{63B3BB69-23CF-44E3-9099-C40C66FF867C}">
                  <a14:compatExt spid="_x0000_s1690"/>
                </a:ext>
                <a:ext uri="{FF2B5EF4-FFF2-40B4-BE49-F238E27FC236}">
                  <a16:creationId xmlns:a16="http://schemas.microsoft.com/office/drawing/2014/main" id="{00000000-0008-0000-0000-00009A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216</xdr:row>
          <xdr:rowOff>0</xdr:rowOff>
        </xdr:from>
        <xdr:to>
          <xdr:col>40</xdr:col>
          <xdr:colOff>0</xdr:colOff>
          <xdr:row>217</xdr:row>
          <xdr:rowOff>0</xdr:rowOff>
        </xdr:to>
        <xdr:sp macro="" textlink="">
          <xdr:nvSpPr>
            <xdr:cNvPr id="1692" name="DeleteBtn_217" hidden="1">
              <a:extLst>
                <a:ext uri="{63B3BB69-23CF-44E3-9099-C40C66FF867C}">
                  <a14:compatExt spid="_x0000_s1692"/>
                </a:ext>
                <a:ext uri="{FF2B5EF4-FFF2-40B4-BE49-F238E27FC236}">
                  <a16:creationId xmlns:a16="http://schemas.microsoft.com/office/drawing/2014/main" id="{00000000-0008-0000-0000-00009C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217</xdr:row>
          <xdr:rowOff>0</xdr:rowOff>
        </xdr:from>
        <xdr:to>
          <xdr:col>40</xdr:col>
          <xdr:colOff>0</xdr:colOff>
          <xdr:row>218</xdr:row>
          <xdr:rowOff>0</xdr:rowOff>
        </xdr:to>
        <xdr:sp macro="" textlink="">
          <xdr:nvSpPr>
            <xdr:cNvPr id="1693" name="DeleteBtn_218" hidden="1">
              <a:extLst>
                <a:ext uri="{63B3BB69-23CF-44E3-9099-C40C66FF867C}">
                  <a14:compatExt spid="_x0000_s1693"/>
                </a:ext>
                <a:ext uri="{FF2B5EF4-FFF2-40B4-BE49-F238E27FC236}">
                  <a16:creationId xmlns:a16="http://schemas.microsoft.com/office/drawing/2014/main" id="{00000000-0008-0000-0000-00009D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218</xdr:row>
          <xdr:rowOff>0</xdr:rowOff>
        </xdr:from>
        <xdr:to>
          <xdr:col>40</xdr:col>
          <xdr:colOff>0</xdr:colOff>
          <xdr:row>219</xdr:row>
          <xdr:rowOff>0</xdr:rowOff>
        </xdr:to>
        <xdr:sp macro="" textlink="">
          <xdr:nvSpPr>
            <xdr:cNvPr id="1694" name="DeleteBtn_219" hidden="1">
              <a:extLst>
                <a:ext uri="{63B3BB69-23CF-44E3-9099-C40C66FF867C}">
                  <a14:compatExt spid="_x0000_s1694"/>
                </a:ext>
                <a:ext uri="{FF2B5EF4-FFF2-40B4-BE49-F238E27FC236}">
                  <a16:creationId xmlns:a16="http://schemas.microsoft.com/office/drawing/2014/main" id="{00000000-0008-0000-0000-00009E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219</xdr:row>
          <xdr:rowOff>0</xdr:rowOff>
        </xdr:from>
        <xdr:to>
          <xdr:col>40</xdr:col>
          <xdr:colOff>0</xdr:colOff>
          <xdr:row>220</xdr:row>
          <xdr:rowOff>0</xdr:rowOff>
        </xdr:to>
        <xdr:sp macro="" textlink="">
          <xdr:nvSpPr>
            <xdr:cNvPr id="1695" name="DeleteBtn_220" hidden="1">
              <a:extLst>
                <a:ext uri="{63B3BB69-23CF-44E3-9099-C40C66FF867C}">
                  <a14:compatExt spid="_x0000_s1695"/>
                </a:ext>
                <a:ext uri="{FF2B5EF4-FFF2-40B4-BE49-F238E27FC236}">
                  <a16:creationId xmlns:a16="http://schemas.microsoft.com/office/drawing/2014/main" id="{00000000-0008-0000-0000-00009F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220</xdr:row>
          <xdr:rowOff>0</xdr:rowOff>
        </xdr:from>
        <xdr:to>
          <xdr:col>40</xdr:col>
          <xdr:colOff>0</xdr:colOff>
          <xdr:row>221</xdr:row>
          <xdr:rowOff>0</xdr:rowOff>
        </xdr:to>
        <xdr:sp macro="" textlink="">
          <xdr:nvSpPr>
            <xdr:cNvPr id="1696" name="DeleteBtn_221" hidden="1">
              <a:extLst>
                <a:ext uri="{63B3BB69-23CF-44E3-9099-C40C66FF867C}">
                  <a14:compatExt spid="_x0000_s1696"/>
                </a:ext>
                <a:ext uri="{FF2B5EF4-FFF2-40B4-BE49-F238E27FC236}">
                  <a16:creationId xmlns:a16="http://schemas.microsoft.com/office/drawing/2014/main" id="{00000000-0008-0000-0000-0000A0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221</xdr:row>
          <xdr:rowOff>0</xdr:rowOff>
        </xdr:from>
        <xdr:to>
          <xdr:col>40</xdr:col>
          <xdr:colOff>0</xdr:colOff>
          <xdr:row>222</xdr:row>
          <xdr:rowOff>0</xdr:rowOff>
        </xdr:to>
        <xdr:sp macro="" textlink="">
          <xdr:nvSpPr>
            <xdr:cNvPr id="1697" name="DeleteBtn_222" hidden="1">
              <a:extLst>
                <a:ext uri="{63B3BB69-23CF-44E3-9099-C40C66FF867C}">
                  <a14:compatExt spid="_x0000_s1697"/>
                </a:ext>
                <a:ext uri="{FF2B5EF4-FFF2-40B4-BE49-F238E27FC236}">
                  <a16:creationId xmlns:a16="http://schemas.microsoft.com/office/drawing/2014/main" id="{00000000-0008-0000-0000-0000A1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222</xdr:row>
          <xdr:rowOff>0</xdr:rowOff>
        </xdr:from>
        <xdr:to>
          <xdr:col>40</xdr:col>
          <xdr:colOff>0</xdr:colOff>
          <xdr:row>223</xdr:row>
          <xdr:rowOff>0</xdr:rowOff>
        </xdr:to>
        <xdr:sp macro="" textlink="">
          <xdr:nvSpPr>
            <xdr:cNvPr id="1698" name="DeleteBtn_223" hidden="1">
              <a:extLst>
                <a:ext uri="{63B3BB69-23CF-44E3-9099-C40C66FF867C}">
                  <a14:compatExt spid="_x0000_s1698"/>
                </a:ext>
                <a:ext uri="{FF2B5EF4-FFF2-40B4-BE49-F238E27FC236}">
                  <a16:creationId xmlns:a16="http://schemas.microsoft.com/office/drawing/2014/main" id="{00000000-0008-0000-0000-0000A2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223</xdr:row>
          <xdr:rowOff>0</xdr:rowOff>
        </xdr:from>
        <xdr:to>
          <xdr:col>40</xdr:col>
          <xdr:colOff>0</xdr:colOff>
          <xdr:row>224</xdr:row>
          <xdr:rowOff>0</xdr:rowOff>
        </xdr:to>
        <xdr:sp macro="" textlink="">
          <xdr:nvSpPr>
            <xdr:cNvPr id="1699" name="DeleteBtn_224" hidden="1">
              <a:extLst>
                <a:ext uri="{63B3BB69-23CF-44E3-9099-C40C66FF867C}">
                  <a14:compatExt spid="_x0000_s1699"/>
                </a:ext>
                <a:ext uri="{FF2B5EF4-FFF2-40B4-BE49-F238E27FC236}">
                  <a16:creationId xmlns:a16="http://schemas.microsoft.com/office/drawing/2014/main" id="{00000000-0008-0000-0000-0000A3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224</xdr:row>
          <xdr:rowOff>0</xdr:rowOff>
        </xdr:from>
        <xdr:to>
          <xdr:col>40</xdr:col>
          <xdr:colOff>0</xdr:colOff>
          <xdr:row>225</xdr:row>
          <xdr:rowOff>0</xdr:rowOff>
        </xdr:to>
        <xdr:sp macro="" textlink="">
          <xdr:nvSpPr>
            <xdr:cNvPr id="1700" name="DeleteBtn_225" hidden="1">
              <a:extLst>
                <a:ext uri="{63B3BB69-23CF-44E3-9099-C40C66FF867C}">
                  <a14:compatExt spid="_x0000_s1700"/>
                </a:ext>
                <a:ext uri="{FF2B5EF4-FFF2-40B4-BE49-F238E27FC236}">
                  <a16:creationId xmlns:a16="http://schemas.microsoft.com/office/drawing/2014/main" id="{00000000-0008-0000-0000-0000A4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225</xdr:row>
          <xdr:rowOff>0</xdr:rowOff>
        </xdr:from>
        <xdr:to>
          <xdr:col>40</xdr:col>
          <xdr:colOff>0</xdr:colOff>
          <xdr:row>226</xdr:row>
          <xdr:rowOff>0</xdr:rowOff>
        </xdr:to>
        <xdr:sp macro="" textlink="">
          <xdr:nvSpPr>
            <xdr:cNvPr id="1701" name="DeleteBtn_226" hidden="1">
              <a:extLst>
                <a:ext uri="{63B3BB69-23CF-44E3-9099-C40C66FF867C}">
                  <a14:compatExt spid="_x0000_s1701"/>
                </a:ext>
                <a:ext uri="{FF2B5EF4-FFF2-40B4-BE49-F238E27FC236}">
                  <a16:creationId xmlns:a16="http://schemas.microsoft.com/office/drawing/2014/main" id="{00000000-0008-0000-0000-0000A5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226</xdr:row>
          <xdr:rowOff>0</xdr:rowOff>
        </xdr:from>
        <xdr:to>
          <xdr:col>40</xdr:col>
          <xdr:colOff>0</xdr:colOff>
          <xdr:row>227</xdr:row>
          <xdr:rowOff>0</xdr:rowOff>
        </xdr:to>
        <xdr:sp macro="" textlink="">
          <xdr:nvSpPr>
            <xdr:cNvPr id="1702" name="DeleteBtn_227" hidden="1">
              <a:extLst>
                <a:ext uri="{63B3BB69-23CF-44E3-9099-C40C66FF867C}">
                  <a14:compatExt spid="_x0000_s1702"/>
                </a:ext>
                <a:ext uri="{FF2B5EF4-FFF2-40B4-BE49-F238E27FC236}">
                  <a16:creationId xmlns:a16="http://schemas.microsoft.com/office/drawing/2014/main" id="{00000000-0008-0000-0000-0000A6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166</xdr:row>
          <xdr:rowOff>0</xdr:rowOff>
        </xdr:from>
        <xdr:to>
          <xdr:col>40</xdr:col>
          <xdr:colOff>0</xdr:colOff>
          <xdr:row>167</xdr:row>
          <xdr:rowOff>0</xdr:rowOff>
        </xdr:to>
        <xdr:sp macro="" textlink="">
          <xdr:nvSpPr>
            <xdr:cNvPr id="1641" name="DeleteBtn_166" hidden="1">
              <a:extLst>
                <a:ext uri="{63B3BB69-23CF-44E3-9099-C40C66FF867C}">
                  <a14:compatExt spid="_x0000_s1641"/>
                </a:ext>
                <a:ext uri="{FF2B5EF4-FFF2-40B4-BE49-F238E27FC236}">
                  <a16:creationId xmlns:a16="http://schemas.microsoft.com/office/drawing/2014/main" id="{00000000-0008-0000-0000-000069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0</xdr:colOff>
          <xdr:row>168</xdr:row>
          <xdr:rowOff>0</xdr:rowOff>
        </xdr:from>
        <xdr:to>
          <xdr:col>32</xdr:col>
          <xdr:colOff>0</xdr:colOff>
          <xdr:row>169</xdr:row>
          <xdr:rowOff>0</xdr:rowOff>
        </xdr:to>
        <xdr:sp macro="" textlink="">
          <xdr:nvSpPr>
            <xdr:cNvPr id="1703" name="Button 679" hidden="1">
              <a:extLst>
                <a:ext uri="{63B3BB69-23CF-44E3-9099-C40C66FF867C}">
                  <a14:compatExt spid="_x0000_s1703"/>
                </a:ext>
                <a:ext uri="{FF2B5EF4-FFF2-40B4-BE49-F238E27FC236}">
                  <a16:creationId xmlns:a16="http://schemas.microsoft.com/office/drawing/2014/main" id="{00000000-0008-0000-0000-0000A7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xdr:colOff>
          <xdr:row>1</xdr:row>
          <xdr:rowOff>28575</xdr:rowOff>
        </xdr:from>
        <xdr:to>
          <xdr:col>0</xdr:col>
          <xdr:colOff>1009650</xdr:colOff>
          <xdr:row>1</xdr:row>
          <xdr:rowOff>390525</xdr:rowOff>
        </xdr:to>
        <xdr:sp macro="" textlink="">
          <xdr:nvSpPr>
            <xdr:cNvPr id="1708" name="Button 684" hidden="1">
              <a:extLst>
                <a:ext uri="{63B3BB69-23CF-44E3-9099-C40C66FF867C}">
                  <a14:compatExt spid="_x0000_s1708"/>
                </a:ext>
                <a:ext uri="{FF2B5EF4-FFF2-40B4-BE49-F238E27FC236}">
                  <a16:creationId xmlns:a16="http://schemas.microsoft.com/office/drawing/2014/main" id="{00000000-0008-0000-0000-0000AC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To Finance</a:t>
              </a:r>
            </a:p>
            <a:p>
              <a:pPr algn="ctr" rtl="0">
                <a:defRPr sz="1000"/>
              </a:pPr>
              <a:endParaRPr lang="ja-JP" altLang="en-US" sz="1100" b="0" i="0" u="none" strike="noStrike" baseline="0">
                <a:solidFill>
                  <a:srgbClr val="000000"/>
                </a:solidFill>
                <a:latin typeface="Calibri"/>
                <a:cs typeface="Calibri"/>
              </a:endParaRPr>
            </a:p>
            <a:p>
              <a:pPr algn="ctr" rtl="0">
                <a:defRPr sz="1000"/>
              </a:pPr>
              <a:endParaRPr lang="ja-JP" altLang="en-US"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85725</xdr:colOff>
          <xdr:row>0</xdr:row>
          <xdr:rowOff>66675</xdr:rowOff>
        </xdr:from>
        <xdr:to>
          <xdr:col>0</xdr:col>
          <xdr:colOff>714375</xdr:colOff>
          <xdr:row>0</xdr:row>
          <xdr:rowOff>228600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Button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47625</xdr:colOff>
          <xdr:row>0</xdr:row>
          <xdr:rowOff>9525</xdr:rowOff>
        </xdr:from>
        <xdr:to>
          <xdr:col>10</xdr:col>
          <xdr:colOff>942975</xdr:colOff>
          <xdr:row>0</xdr:row>
          <xdr:rowOff>371475</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200-00000714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ja-JP" altLang="en-US" sz="1800" b="1" i="0" u="none" strike="noStrike" baseline="0">
                  <a:solidFill>
                    <a:srgbClr val="808000"/>
                  </a:solidFill>
                  <a:latin typeface="Calibri"/>
                  <a:cs typeface="Calibri"/>
                </a:rPr>
                <a:t>Get All</a:t>
              </a:r>
            </a:p>
            <a:p>
              <a:pPr algn="ctr" rtl="0">
                <a:defRPr sz="1000"/>
              </a:pPr>
              <a:r>
                <a:rPr lang="ja-JP" altLang="en-US" sz="1800" b="1" i="0" u="none" strike="noStrike" baseline="0">
                  <a:solidFill>
                    <a:srgbClr val="808000"/>
                  </a:solidFill>
                  <a:latin typeface="Calibri"/>
                  <a:cs typeface="Calibri"/>
                </a:rPr>
                <a:t> 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66675</xdr:colOff>
          <xdr:row>1</xdr:row>
          <xdr:rowOff>47625</xdr:rowOff>
        </xdr:from>
        <xdr:to>
          <xdr:col>10</xdr:col>
          <xdr:colOff>962025</xdr:colOff>
          <xdr:row>1</xdr:row>
          <xdr:rowOff>352425</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0200-00000A1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Inject Gesha</a:t>
              </a:r>
            </a:p>
            <a:p>
              <a:pPr algn="ctr" rtl="0">
                <a:defRPr sz="1000"/>
              </a:pPr>
              <a:endParaRPr lang="ja-JP" altLang="en-US"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0</xdr:row>
          <xdr:rowOff>85725</xdr:rowOff>
        </xdr:from>
        <xdr:to>
          <xdr:col>4</xdr:col>
          <xdr:colOff>466725</xdr:colOff>
          <xdr:row>0</xdr:row>
          <xdr:rowOff>590550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Get Missing Payment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76200</xdr:colOff>
          <xdr:row>0</xdr:row>
          <xdr:rowOff>114300</xdr:rowOff>
        </xdr:from>
        <xdr:to>
          <xdr:col>11</xdr:col>
          <xdr:colOff>542925</xdr:colOff>
          <xdr:row>0</xdr:row>
          <xdr:rowOff>638175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300-000003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Send Payment Reminder</a:t>
              </a:r>
            </a:p>
          </xdr:txBody>
        </xdr:sp>
        <xdr:clientData fPrintsWithSheet="0"/>
      </xdr:twoCellAnchor>
    </mc:Choice>
    <mc:Fallback/>
  </mc:AlternateContent>
  <xdr:twoCellAnchor>
    <xdr:from>
      <xdr:col>6</xdr:col>
      <xdr:colOff>123825</xdr:colOff>
      <xdr:row>0</xdr:row>
      <xdr:rowOff>180975</xdr:rowOff>
    </xdr:from>
    <xdr:to>
      <xdr:col>7</xdr:col>
      <xdr:colOff>533400</xdr:colOff>
      <xdr:row>0</xdr:row>
      <xdr:rowOff>552450</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11E94011-637C-4EA6-8930-6E73326F0B2E}"/>
            </a:ext>
          </a:extLst>
        </xdr:cNvPr>
        <xdr:cNvSpPr/>
      </xdr:nvSpPr>
      <xdr:spPr>
        <a:xfrm>
          <a:off x="3781425" y="180975"/>
          <a:ext cx="1019175" cy="371475"/>
        </a:xfrm>
        <a:prstGeom prst="round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r>
            <a:rPr lang="en-US" sz="1100"/>
            <a:t>Open Report</a:t>
          </a:r>
        </a:p>
      </xdr:txBody>
    </xdr:sp>
    <xdr:clientData/>
  </xdr:twoCellAnchor>
  <xdr:twoCellAnchor>
    <xdr:from>
      <xdr:col>15</xdr:col>
      <xdr:colOff>0</xdr:colOff>
      <xdr:row>2</xdr:row>
      <xdr:rowOff>0</xdr:rowOff>
    </xdr:from>
    <xdr:to>
      <xdr:col>16</xdr:col>
      <xdr:colOff>279400</xdr:colOff>
      <xdr:row>2</xdr:row>
      <xdr:rowOff>254000</xdr:rowOff>
    </xdr:to>
    <xdr:sp macro="SendRowToRICO" textlink="">
      <xdr:nvSpPr>
        <xdr:cNvPr id="3" name="RICO_BTN_2">
          <a:extLst>
            <a:ext uri="{FF2B5EF4-FFF2-40B4-BE49-F238E27FC236}">
              <a16:creationId xmlns:a16="http://schemas.microsoft.com/office/drawing/2014/main" id="{6156F561-80CE-4E77-A26A-9C4BE427C3E2}"/>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3</xdr:row>
      <xdr:rowOff>0</xdr:rowOff>
    </xdr:from>
    <xdr:to>
      <xdr:col>16</xdr:col>
      <xdr:colOff>279400</xdr:colOff>
      <xdr:row>3</xdr:row>
      <xdr:rowOff>254000</xdr:rowOff>
    </xdr:to>
    <xdr:sp macro="SendRowToRICO" textlink="">
      <xdr:nvSpPr>
        <xdr:cNvPr id="4" name="RICO_BTN_2">
          <a:extLst>
            <a:ext uri="{FF2B5EF4-FFF2-40B4-BE49-F238E27FC236}">
              <a16:creationId xmlns:a16="http://schemas.microsoft.com/office/drawing/2014/main" id="{185B4C86-AA23-4D08-B981-7951700E9871}"/>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4</xdr:row>
      <xdr:rowOff>0</xdr:rowOff>
    </xdr:from>
    <xdr:to>
      <xdr:col>16</xdr:col>
      <xdr:colOff>279400</xdr:colOff>
      <xdr:row>4</xdr:row>
      <xdr:rowOff>254000</xdr:rowOff>
    </xdr:to>
    <xdr:sp macro="SendRowToRICO" textlink="">
      <xdr:nvSpPr>
        <xdr:cNvPr id="5" name="RICO_BTN_2">
          <a:extLst>
            <a:ext uri="{FF2B5EF4-FFF2-40B4-BE49-F238E27FC236}">
              <a16:creationId xmlns:a16="http://schemas.microsoft.com/office/drawing/2014/main" id="{6C8BB0F4-0838-49E9-A693-A03117B6C543}"/>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5</xdr:row>
      <xdr:rowOff>0</xdr:rowOff>
    </xdr:from>
    <xdr:to>
      <xdr:col>16</xdr:col>
      <xdr:colOff>279400</xdr:colOff>
      <xdr:row>5</xdr:row>
      <xdr:rowOff>254000</xdr:rowOff>
    </xdr:to>
    <xdr:sp macro="SendRowToRICO" textlink="">
      <xdr:nvSpPr>
        <xdr:cNvPr id="6" name="RICO_BTN_2">
          <a:extLst>
            <a:ext uri="{FF2B5EF4-FFF2-40B4-BE49-F238E27FC236}">
              <a16:creationId xmlns:a16="http://schemas.microsoft.com/office/drawing/2014/main" id="{57B7E55E-982C-4DDE-9393-C2B7B89673E0}"/>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6</xdr:row>
      <xdr:rowOff>0</xdr:rowOff>
    </xdr:from>
    <xdr:to>
      <xdr:col>16</xdr:col>
      <xdr:colOff>279400</xdr:colOff>
      <xdr:row>6</xdr:row>
      <xdr:rowOff>254000</xdr:rowOff>
    </xdr:to>
    <xdr:sp macro="SendRowToRICO" textlink="">
      <xdr:nvSpPr>
        <xdr:cNvPr id="7" name="RICO_BTN_2">
          <a:extLst>
            <a:ext uri="{FF2B5EF4-FFF2-40B4-BE49-F238E27FC236}">
              <a16:creationId xmlns:a16="http://schemas.microsoft.com/office/drawing/2014/main" id="{5AA6CB87-A3C9-488D-82EE-BC6C00A44494}"/>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7</xdr:row>
      <xdr:rowOff>0</xdr:rowOff>
    </xdr:from>
    <xdr:to>
      <xdr:col>16</xdr:col>
      <xdr:colOff>279400</xdr:colOff>
      <xdr:row>7</xdr:row>
      <xdr:rowOff>254000</xdr:rowOff>
    </xdr:to>
    <xdr:sp macro="SendRowToRICO" textlink="">
      <xdr:nvSpPr>
        <xdr:cNvPr id="8" name="RICO_BTN_2">
          <a:extLst>
            <a:ext uri="{FF2B5EF4-FFF2-40B4-BE49-F238E27FC236}">
              <a16:creationId xmlns:a16="http://schemas.microsoft.com/office/drawing/2014/main" id="{C34CB576-5256-4DD3-A30A-3B08DE615DEE}"/>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8</xdr:row>
      <xdr:rowOff>0</xdr:rowOff>
    </xdr:from>
    <xdr:to>
      <xdr:col>16</xdr:col>
      <xdr:colOff>279400</xdr:colOff>
      <xdr:row>8</xdr:row>
      <xdr:rowOff>254000</xdr:rowOff>
    </xdr:to>
    <xdr:sp macro="SendRowToRICO" textlink="">
      <xdr:nvSpPr>
        <xdr:cNvPr id="9" name="RICO_BTN_2">
          <a:extLst>
            <a:ext uri="{FF2B5EF4-FFF2-40B4-BE49-F238E27FC236}">
              <a16:creationId xmlns:a16="http://schemas.microsoft.com/office/drawing/2014/main" id="{CF96ADD4-4E93-4E11-92EF-5BA680907A98}"/>
            </a:ext>
          </a:extLst>
        </xdr:cNvPr>
        <xdr:cNvSpPr/>
      </xdr:nvSpPr>
      <xdr:spPr>
        <a:xfrm>
          <a:off x="9435353" y="2117912"/>
          <a:ext cx="884518" cy="187325"/>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9</xdr:row>
      <xdr:rowOff>0</xdr:rowOff>
    </xdr:from>
    <xdr:to>
      <xdr:col>16</xdr:col>
      <xdr:colOff>279400</xdr:colOff>
      <xdr:row>9</xdr:row>
      <xdr:rowOff>254000</xdr:rowOff>
    </xdr:to>
    <xdr:sp macro="SendRowToRICO" textlink="">
      <xdr:nvSpPr>
        <xdr:cNvPr id="10" name="RICO_BTN_2">
          <a:extLst>
            <a:ext uri="{FF2B5EF4-FFF2-40B4-BE49-F238E27FC236}">
              <a16:creationId xmlns:a16="http://schemas.microsoft.com/office/drawing/2014/main" id="{A2A368F3-6EDA-466E-A45A-27A03A3F86C3}"/>
            </a:ext>
          </a:extLst>
        </xdr:cNvPr>
        <xdr:cNvSpPr/>
      </xdr:nvSpPr>
      <xdr:spPr>
        <a:xfrm>
          <a:off x="9435353" y="2117912"/>
          <a:ext cx="884518" cy="187325"/>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mc:AlternateContent xmlns:mc="http://schemas.openxmlformats.org/markup-compatibility/2006">
    <mc:Choice xmlns:a14="http://schemas.microsoft.com/office/drawing/2010/main" Requires="a14">
      <xdr:twoCellAnchor>
        <xdr:from>
          <xdr:col>15</xdr:col>
          <xdr:colOff>123825</xdr:colOff>
          <xdr:row>10</xdr:row>
          <xdr:rowOff>47625</xdr:rowOff>
        </xdr:from>
        <xdr:to>
          <xdr:col>15</xdr:col>
          <xdr:colOff>495300</xdr:colOff>
          <xdr:row>10</xdr:row>
          <xdr:rowOff>152400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300-000004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Button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95250</xdr:colOff>
          <xdr:row>11</xdr:row>
          <xdr:rowOff>0</xdr:rowOff>
        </xdr:from>
        <xdr:to>
          <xdr:col>15</xdr:col>
          <xdr:colOff>495300</xdr:colOff>
          <xdr:row>11</xdr:row>
          <xdr:rowOff>152400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300-000006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Button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104775</xdr:colOff>
          <xdr:row>12</xdr:row>
          <xdr:rowOff>28575</xdr:rowOff>
        </xdr:from>
        <xdr:to>
          <xdr:col>15</xdr:col>
          <xdr:colOff>523875</xdr:colOff>
          <xdr:row>12</xdr:row>
          <xdr:rowOff>142875</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300-000007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Button 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142875</xdr:colOff>
          <xdr:row>13</xdr:row>
          <xdr:rowOff>47625</xdr:rowOff>
        </xdr:from>
        <xdr:to>
          <xdr:col>15</xdr:col>
          <xdr:colOff>514350</xdr:colOff>
          <xdr:row>13</xdr:row>
          <xdr:rowOff>152400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300-000008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Button 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57150</xdr:colOff>
          <xdr:row>15</xdr:row>
          <xdr:rowOff>0</xdr:rowOff>
        </xdr:from>
        <xdr:to>
          <xdr:col>15</xdr:col>
          <xdr:colOff>533400</xdr:colOff>
          <xdr:row>15</xdr:row>
          <xdr:rowOff>123825</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300-000009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Button 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123825</xdr:colOff>
          <xdr:row>16</xdr:row>
          <xdr:rowOff>171450</xdr:rowOff>
        </xdr:from>
        <xdr:to>
          <xdr:col>15</xdr:col>
          <xdr:colOff>581025</xdr:colOff>
          <xdr:row>16</xdr:row>
          <xdr:rowOff>847725</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300-00000A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Button 10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85725</xdr:colOff>
          <xdr:row>19</xdr:row>
          <xdr:rowOff>76200</xdr:rowOff>
        </xdr:from>
        <xdr:to>
          <xdr:col>15</xdr:col>
          <xdr:colOff>561975</xdr:colOff>
          <xdr:row>19</xdr:row>
          <xdr:rowOff>152400</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300-00000B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Button 11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76200</xdr:colOff>
          <xdr:row>20</xdr:row>
          <xdr:rowOff>28575</xdr:rowOff>
        </xdr:from>
        <xdr:to>
          <xdr:col>15</xdr:col>
          <xdr:colOff>561975</xdr:colOff>
          <xdr:row>20</xdr:row>
          <xdr:rowOff>142875</xdr:rowOff>
        </xdr:to>
        <xdr:sp macro="" textlink="">
          <xdr:nvSpPr>
            <xdr:cNvPr id="2060" name="Button 12" hidden="1">
              <a:extLst>
                <a:ext uri="{63B3BB69-23CF-44E3-9099-C40C66FF867C}">
                  <a14:compatExt spid="_x0000_s2060"/>
                </a:ext>
                <a:ext uri="{FF2B5EF4-FFF2-40B4-BE49-F238E27FC236}">
                  <a16:creationId xmlns:a16="http://schemas.microsoft.com/office/drawing/2014/main" id="{00000000-0008-0000-0300-00000C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Button 12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95250</xdr:colOff>
          <xdr:row>17</xdr:row>
          <xdr:rowOff>38100</xdr:rowOff>
        </xdr:from>
        <xdr:to>
          <xdr:col>15</xdr:col>
          <xdr:colOff>571500</xdr:colOff>
          <xdr:row>17</xdr:row>
          <xdr:rowOff>114300</xdr:rowOff>
        </xdr:to>
        <xdr:sp macro="" textlink="">
          <xdr:nvSpPr>
            <xdr:cNvPr id="2063" name="Button 15" hidden="1">
              <a:extLst>
                <a:ext uri="{63B3BB69-23CF-44E3-9099-C40C66FF867C}">
                  <a14:compatExt spid="_x0000_s2063"/>
                </a:ext>
                <a:ext uri="{FF2B5EF4-FFF2-40B4-BE49-F238E27FC236}">
                  <a16:creationId xmlns:a16="http://schemas.microsoft.com/office/drawing/2014/main" id="{00000000-0008-0000-0300-00000F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Button 15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104775</xdr:colOff>
          <xdr:row>18</xdr:row>
          <xdr:rowOff>47625</xdr:rowOff>
        </xdr:from>
        <xdr:to>
          <xdr:col>15</xdr:col>
          <xdr:colOff>523875</xdr:colOff>
          <xdr:row>18</xdr:row>
          <xdr:rowOff>133350</xdr:rowOff>
        </xdr:to>
        <xdr:sp macro="" textlink="">
          <xdr:nvSpPr>
            <xdr:cNvPr id="2064" name="Button 16" hidden="1">
              <a:extLst>
                <a:ext uri="{63B3BB69-23CF-44E3-9099-C40C66FF867C}">
                  <a14:compatExt spid="_x0000_s2064"/>
                </a:ext>
                <a:ext uri="{FF2B5EF4-FFF2-40B4-BE49-F238E27FC236}">
                  <a16:creationId xmlns:a16="http://schemas.microsoft.com/office/drawing/2014/main" id="{00000000-0008-0000-0300-000010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Button 16</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5</xdr:col>
      <xdr:colOff>0</xdr:colOff>
      <xdr:row>1</xdr:row>
      <xdr:rowOff>9525</xdr:rowOff>
    </xdr:from>
    <xdr:to>
      <xdr:col>5</xdr:col>
      <xdr:colOff>9525</xdr:colOff>
      <xdr:row>1</xdr:row>
      <xdr:rowOff>9525</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6153150" y="35775900"/>
          <a:ext cx="9525" cy="9525"/>
        </a:xfrm>
        <a:prstGeom prst="rect">
          <a:avLst/>
        </a:prstGeom>
        <a:noFill/>
        <a:ln>
          <a:prstDash val="solid"/>
        </a:ln>
      </xdr:spPr>
    </xdr:pic>
    <xdr:clientData/>
  </xdr:twoCellAnchor>
</xdr:wsDr>
</file>

<file path=xl/drawings/drawing5.xml><?xml version="1.0" encoding="utf-8"?>
<xdr:wsDr xmlns:xdr="http://schemas.openxmlformats.org/drawingml/2006/spreadsheetDrawing" xmlns:a="http://schemas.openxmlformats.org/drawingml/2006/main">
  <xdr:twoCellAnchor>
    <xdr:from>
      <xdr:col>7</xdr:col>
      <xdr:colOff>582474</xdr:colOff>
      <xdr:row>10</xdr:row>
      <xdr:rowOff>5876</xdr:rowOff>
    </xdr:from>
    <xdr:to>
      <xdr:col>14</xdr:col>
      <xdr:colOff>201706</xdr:colOff>
      <xdr:row>21</xdr:row>
      <xdr:rowOff>16690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207381</xdr:colOff>
      <xdr:row>21</xdr:row>
      <xdr:rowOff>58861</xdr:rowOff>
    </xdr:from>
    <xdr:to>
      <xdr:col>14</xdr:col>
      <xdr:colOff>198717</xdr:colOff>
      <xdr:row>32</xdr:row>
      <xdr:rowOff>43329</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231588</xdr:colOff>
      <xdr:row>21</xdr:row>
      <xdr:rowOff>55469</xdr:rowOff>
    </xdr:from>
    <xdr:to>
      <xdr:col>21</xdr:col>
      <xdr:colOff>522941</xdr:colOff>
      <xdr:row>32</xdr:row>
      <xdr:rowOff>24319</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193977</xdr:colOff>
      <xdr:row>10</xdr:row>
      <xdr:rowOff>12099</xdr:rowOff>
    </xdr:from>
    <xdr:to>
      <xdr:col>7</xdr:col>
      <xdr:colOff>531945</xdr:colOff>
      <xdr:row>21</xdr:row>
      <xdr:rowOff>30140</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14</xdr:col>
      <xdr:colOff>239058</xdr:colOff>
      <xdr:row>10</xdr:row>
      <xdr:rowOff>7470</xdr:rowOff>
    </xdr:from>
    <xdr:to>
      <xdr:col>21</xdr:col>
      <xdr:colOff>522940</xdr:colOff>
      <xdr:row>21</xdr:row>
      <xdr:rowOff>14941</xdr:rowOff>
    </xdr:to>
    <xdr:graphicFrame macro="">
      <xdr:nvGraphicFramePr>
        <xdr:cNvPr id="6" name="Chart 5">
          <a:extLst>
            <a:ext uri="{FF2B5EF4-FFF2-40B4-BE49-F238E27FC236}">
              <a16:creationId xmlns:a16="http://schemas.microsoft.com/office/drawing/2014/main" id="{00000000-0008-0000-06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0</xdr:col>
      <xdr:colOff>0</xdr:colOff>
      <xdr:row>0</xdr:row>
      <xdr:rowOff>0</xdr:rowOff>
    </xdr:from>
    <xdr:to>
      <xdr:col>2</xdr:col>
      <xdr:colOff>126663</xdr:colOff>
      <xdr:row>4</xdr:row>
      <xdr:rowOff>152228</xdr:rowOff>
    </xdr:to>
    <xdr:pic>
      <xdr:nvPicPr>
        <xdr:cNvPr id="16" name="Picture 15" descr="Dashboard ">
          <a:extLst>
            <a:ext uri="{FF2B5EF4-FFF2-40B4-BE49-F238E27FC236}">
              <a16:creationId xmlns:a16="http://schemas.microsoft.com/office/drawing/2014/main" id="{00000000-0008-0000-0600-000010000000}"/>
            </a:ext>
          </a:extLst>
        </xdr:cNvPr>
        <xdr:cNvPicPr>
          <a:picLocks noChangeAspect="1" noChangeArrowheads="1"/>
        </xdr:cNvPicPr>
      </xdr:nvPicPr>
      <xdr:blipFill>
        <a:blip xmlns:r="http://schemas.openxmlformats.org/officeDocument/2006/relationships" r:embed="rId6"/>
        <a:srcRect/>
        <a:stretch>
          <a:fillRect/>
        </a:stretch>
      </xdr:blipFill>
      <xdr:spPr bwMode="auto">
        <a:xfrm>
          <a:off x="0" y="0"/>
          <a:ext cx="1423684" cy="881802"/>
        </a:xfrm>
        <a:prstGeom prst="rect">
          <a:avLst/>
        </a:prstGeom>
        <a:noFill/>
        <a:ln>
          <a:prstDash val="solid"/>
        </a:ln>
      </xdr:spPr>
    </xdr:pic>
    <xdr:clientData/>
  </xdr:twoCellAnchor>
  <xdr:twoCellAnchor editAs="oneCell">
    <xdr:from>
      <xdr:col>2</xdr:col>
      <xdr:colOff>388620</xdr:colOff>
      <xdr:row>0</xdr:row>
      <xdr:rowOff>83820</xdr:rowOff>
    </xdr:from>
    <xdr:to>
      <xdr:col>3</xdr:col>
      <xdr:colOff>388620</xdr:colOff>
      <xdr:row>3</xdr:row>
      <xdr:rowOff>60960</xdr:rowOff>
    </xdr:to>
    <xdr:pic>
      <xdr:nvPicPr>
        <xdr:cNvPr id="17" name="Picture 16">
          <a:extLst>
            <a:ext uri="{FF2B5EF4-FFF2-40B4-BE49-F238E27FC236}">
              <a16:creationId xmlns:a16="http://schemas.microsoft.com/office/drawing/2014/main" id="{00000000-0008-0000-0600-000011000000}"/>
            </a:ext>
          </a:extLst>
        </xdr:cNvPr>
        <xdr:cNvPicPr>
          <a:picLocks noChangeAspect="1"/>
        </xdr:cNvPicPr>
      </xdr:nvPicPr>
      <xdr:blipFill>
        <a:blip xmlns:r="http://schemas.openxmlformats.org/officeDocument/2006/relationships" r:embed="rId7"/>
        <a:stretch>
          <a:fillRect/>
        </a:stretch>
      </xdr:blipFill>
      <xdr:spPr>
        <a:xfrm>
          <a:off x="1607820" y="83820"/>
          <a:ext cx="609600" cy="525780"/>
        </a:xfrm>
        <a:prstGeom prst="rect">
          <a:avLst/>
        </a:prstGeom>
        <a:ln>
          <a:prstDash val="solid"/>
        </a:ln>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eeSchool" refreshedDate="45824.395352662039" createdVersion="7" refreshedVersion="8" minRefreshableVersion="3" recordCount="228" xr:uid="{00000000-000A-0000-FFFF-FFFF00000000}">
  <cacheSource type="worksheet">
    <worksheetSource name="Table1"/>
  </cacheSource>
  <cacheFields count="67">
    <cacheField name="CustomerID" numFmtId="0">
      <sharedItems containsString="0" containsBlank="1" containsNumber="1" containsInteger="1" minValue="2" maxValue="9999"/>
    </cacheField>
    <cacheField name="Active" numFmtId="0">
      <sharedItems containsBlank="1" count="3">
        <m/>
        <s v="n"/>
        <s v="y"/>
      </sharedItems>
    </cacheField>
    <cacheField name="t" numFmtId="0">
      <sharedItems containsBlank="1"/>
    </cacheField>
    <cacheField name="Last Name" numFmtId="0">
      <sharedItems containsBlank="1"/>
    </cacheField>
    <cacheField name="Name Suffix" numFmtId="0">
      <sharedItems containsBlank="1"/>
    </cacheField>
    <cacheField name="Phonetic First Name" numFmtId="0">
      <sharedItems containsBlank="1"/>
    </cacheField>
    <cacheField name="NameJp" numFmtId="0">
      <sharedItems containsBlank="1"/>
    </cacheField>
    <cacheField name="Phonetic Last Name" numFmtId="0">
      <sharedItems containsBlank="1"/>
    </cacheField>
    <cacheField name="Link To finance" numFmtId="0">
      <sharedItems/>
    </cacheField>
    <cacheField name="Teacher" numFmtId="0">
      <sharedItems containsBlank="1" count="5">
        <m/>
        <s v="Alex"/>
        <s v="Nao"/>
        <s v="Thomas"/>
        <s v="Felix"/>
      </sharedItems>
    </cacheField>
    <cacheField name="lesson type" numFmtId="0">
      <sharedItems containsBlank="1"/>
    </cacheField>
    <cacheField name="Age" numFmtId="0">
      <sharedItems containsBlank="1" count="12">
        <m/>
        <s v="幼稚園"/>
        <s v="大人"/>
        <s v="Baby"/>
        <s v="小学生"/>
        <s v="高校生"/>
        <s v="Adult"/>
        <s v="Elementary"/>
        <s v="High school"/>
        <s v="junior high"/>
        <s v="中学生"/>
        <s v="シニア"/>
      </sharedItems>
    </cacheField>
    <cacheField name="Group Name" numFmtId="0">
      <sharedItems containsBlank="1"/>
    </cacheField>
    <cacheField name="Frequency" numFmtId="0">
      <sharedItems containsString="0" containsBlank="1" containsNumber="1" containsInteger="1" minValue="2" maxValue="12"/>
    </cacheField>
    <cacheField name="Fee" numFmtId="0">
      <sharedItems containsString="0" containsBlank="1" containsNumber="1" containsInteger="1" minValue="3300" maxValue="59400"/>
    </cacheField>
    <cacheField name="RICO Next fee" numFmtId="0">
      <sharedItems containsString="0" containsBlank="1" containsNumber="1" containsInteger="1" minValue="0" maxValue="46200"/>
    </cacheField>
    <cacheField name="Detail next fee" numFmtId="0">
      <sharedItems containsBlank="1"/>
    </cacheField>
    <cacheField name="Joining " numFmtId="0">
      <sharedItems containsNonDate="0" containsDate="1" containsString="0" containsBlank="1" minDate="2018-01-01T00:00:00" maxDate="2025-05-04T00:00:00"/>
    </cacheField>
    <cacheField name="Column2" numFmtId="0">
      <sharedItems containsNonDate="0" containsDate="1" containsString="0" containsBlank="1" minDate="2025-02-28T00:00:00" maxDate="2025-06-01T00:00:00"/>
    </cacheField>
    <cacheField name="Mail" numFmtId="0">
      <sharedItems containsBlank="1"/>
    </cacheField>
    <cacheField name="Gmail2" numFmtId="0">
      <sharedItems containsBlank="1"/>
    </cacheField>
    <cacheField name="Homework mail" numFmtId="0">
      <sharedItems containsBlank="1"/>
    </cacheField>
    <cacheField name="携帯" numFmtId="0">
      <sharedItems containsBlank="1" containsMixedTypes="1" containsNumber="1" containsInteger="1" minValue="928829459" maxValue="9098708927"/>
    </cacheField>
    <cacheField name="Phone 2 - label" numFmtId="0">
      <sharedItems containsBlank="1"/>
    </cacheField>
    <cacheField name="Phone 2 - label2" numFmtId="0">
      <sharedItems containsBlank="1"/>
    </cacheField>
    <cacheField name="Address 1 - Street" numFmtId="0">
      <sharedItems containsBlank="1"/>
    </cacheField>
    <cacheField name="Birthday" numFmtId="0">
      <sharedItems containsNonDate="0" containsString="0" containsBlank="1"/>
    </cacheField>
    <cacheField name="Joining Date" numFmtId="177">
      <sharedItems containsNonDate="0" containsDate="1" containsString="0" containsBlank="1" minDate="2018-01-01T00:00:00" maxDate="2025-05-10T00:00:00"/>
    </cacheField>
    <cacheField name="Relation 1 - Label" numFmtId="0">
      <sharedItems containsNonDate="0" containsDate="1" containsString="0" containsBlank="1" minDate="2025-02-28T00:00:00" maxDate="2025-03-01T00:00:00"/>
    </cacheField>
    <cacheField name="Relation 1 - Value" numFmtId="0">
      <sharedItems containsNonDate="0" containsString="0" containsBlank="1"/>
    </cacheField>
    <cacheField name="Website 1 - Label" numFmtId="0">
      <sharedItems containsBlank="1"/>
    </cacheField>
    <cacheField name="Website 1 - Value" numFmtId="0">
      <sharedItems containsNonDate="0" containsString="0" containsBlank="1"/>
    </cacheField>
    <cacheField name="Notes" numFmtId="0">
      <sharedItems containsBlank="1"/>
    </cacheField>
    <cacheField name="Notes 2" numFmtId="0">
      <sharedItems containsBlank="1"/>
    </cacheField>
    <cacheField name="Labels" numFmtId="0">
      <sharedItems containsBlank="1" containsMixedTypes="1" containsNumber="1" containsInteger="1" minValue="4" maxValue="4"/>
    </cacheField>
    <cacheField name="Start Date" numFmtId="0">
      <sharedItems containsBlank="1"/>
    </cacheField>
    <cacheField name="Stop" numFmtId="0">
      <sharedItems containsDate="1" containsString="0" containsBlank="1" containsMixedTypes="1" minDate="2025-01-31T00:00:00" maxDate="1900-01-06T18:40:04"/>
    </cacheField>
    <cacheField name="Column1" numFmtId="0">
      <sharedItems containsBlank="1"/>
    </cacheField>
    <cacheField name="Name" numFmtId="0">
      <sharedItems containsBlank="1"/>
    </cacheField>
    <cacheField name="CustomerID3" numFmtId="0">
      <sharedItems containsBlank="1" containsMixedTypes="1" containsNumber="1" containsInteger="1" minValue="2" maxValue="155"/>
    </cacheField>
    <cacheField name="Full_Name" numFmtId="0">
      <sharedItems containsBlank="1"/>
    </cacheField>
    <cacheField name="Clean Lesson Type" numFmtId="0">
      <sharedItems count="3">
        <s v=""/>
        <s v="private"/>
        <s v="group"/>
      </sharedItems>
    </cacheField>
    <cacheField name="Clean Frequency" numFmtId="0">
      <sharedItems containsMixedTypes="1" containsNumber="1" containsInteger="1" minValue="2" maxValue="364"/>
    </cacheField>
    <cacheField name="Month" numFmtId="0">
      <sharedItems count="13">
        <s v=""/>
        <s v="Jan"/>
        <s v="Feb"/>
        <s v="Jun"/>
        <s v="May"/>
        <s v="Apr"/>
        <s v="Oct"/>
        <s v="Jul"/>
        <s v="Aug"/>
        <s v="Mar"/>
        <s v="Taisei Kuroiwa"/>
        <s v="Sep"/>
        <s v="#######" u="1"/>
      </sharedItems>
    </cacheField>
    <cacheField name="Year" numFmtId="0">
      <sharedItems containsMixedTypes="1" containsNumber="1" containsInteger="1" minValue="2018" maxValue="2025" count="9">
        <s v=""/>
        <n v="2025"/>
        <n v="2024"/>
        <n v="2023"/>
        <n v="2020"/>
        <n v="2019"/>
        <n v="2021"/>
        <n v="2018"/>
        <n v="2022"/>
      </sharedItems>
    </cacheField>
    <cacheField name="Helper" numFmtId="0">
      <sharedItems/>
    </cacheField>
    <cacheField name="Group Frequency" numFmtId="0">
      <sharedItems containsMixedTypes="1" containsNumber="1" containsInteger="1" minValue="2" maxValue="4"/>
    </cacheField>
    <cacheField name="First Occurrence" numFmtId="0">
      <sharedItems containsMixedTypes="1" containsNumber="1" containsInteger="1" minValue="1" maxValue="210000"/>
    </cacheField>
    <cacheField name="Final PrivateFrequency" numFmtId="0">
      <sharedItems containsMixedTypes="1" containsNumber="1" containsInteger="1" minValue="2" maxValue="12"/>
    </cacheField>
    <cacheField name="Final Group Frequency2" numFmtId="0">
      <sharedItems containsMixedTypes="1" containsNumber="1" containsInteger="1" minValue="2" maxValue="4"/>
    </cacheField>
    <cacheField name="Duration" numFmtId="0">
      <sharedItems containsMixedTypes="1" containsNumber="1" containsInteger="1" minValue="38" maxValue="45824"/>
    </cacheField>
    <cacheField name="Customer name" numFmtId="0">
      <sharedItems count="220">
        <s v=" "/>
        <s v="Haruki Akaba"/>
        <s v="Akiko Tominaga"/>
        <s v="Akitoshi Ikeguchi"/>
        <s v="Anna Shirozumi"/>
        <s v="Ao Hirabaru"/>
        <s v="Ao Tsukiji"/>
        <s v="Asuka Maruyama"/>
        <s v="Atsuko Koi"/>
        <s v="Atsuko Nishiyama"/>
        <s v="Aya Yamamoto"/>
        <s v="Ayaka Nagatani"/>
        <s v="Ayaka Kinoshita"/>
        <s v="Ayane Shiba"/>
        <s v="ayumu ninomiya"/>
        <s v="Yuzuna Baba"/>
        <s v="Buntaro Takara"/>
        <s v="Chiaki Yanagihara"/>
        <s v="Chieko Mori"/>
        <s v="Chizuru Iguchi"/>
        <s v="Eishin Hamada"/>
        <s v="Eisuke Uehara"/>
        <s v="Eito Suzuki"/>
        <s v="Ema Hideshima"/>
        <s v="Emi Fukuoka"/>
        <s v="Emi Kinoshita"/>
        <s v="Hanane sasaki"/>
        <s v="Hanari Mochidome"/>
        <s v="Hanzo Segawa"/>
        <s v="Haruki Ikemoto"/>
        <s v="Harumi Higuchi"/>
        <s v="Hatsune Nagai"/>
        <s v="Hayato Tsuruta"/>
        <s v="Hikaru Matake"/>
        <s v="Hina Hirata"/>
        <s v="Hina Hirano"/>
        <s v="Hirao Kinoshita"/>
        <s v="Hirao Ayaka"/>
        <s v="Hiroko Miyazaki"/>
        <s v="Hironao Onuma"/>
        <s v="Hiroshi Yamada"/>
        <s v="Hisae Eguchi"/>
        <s v="Hitomi Abe"/>
        <s v="Honami Kinoshita"/>
        <s v="Ichie Sano"/>
        <s v="Ichika Matake"/>
        <s v="Ichiro Uchiyama"/>
        <s v="Iori Maeda"/>
        <s v="Itsuki Ono"/>
        <s v="Kaho Tokieda"/>
        <s v="Kai Toriyama"/>
        <s v="Kaito Takaji"/>
        <s v="Kaito Uetsuki"/>
        <s v="Kanon Mizukami"/>
        <s v="Kanrin "/>
        <s v="Kaori Ban"/>
        <s v="Kaori Nishiyori"/>
        <s v="Karen Inoue"/>
        <s v="Go Inoue"/>
        <s v=" Sara Inoue"/>
        <s v="Katsuki Murakami"/>
        <s v="Katsumi Sugihara"/>
        <s v="Katsuyo Saitou"/>
        <s v="Kazue Konishi"/>
        <s v="Kazuki Fujiwara"/>
        <s v="Kazuko Kusaba"/>
        <s v="Keiko Sakamoto"/>
        <s v="Keishi Ueda"/>
        <s v="Kengo Takaji"/>
        <s v="Kenta Uemura"/>
        <s v="Kento Arisawa"/>
        <s v="Kenya Sadasue"/>
        <s v="Kiho Baba"/>
        <s v="Koji Kinoshita"/>
        <s v="Konomi Tokunaga"/>
        <s v="Korin Tomono"/>
        <s v="Kosuke Takada"/>
        <s v="koudai hato"/>
        <s v="Kouki Ushijima"/>
        <s v="Haruto Ushijima"/>
        <s v="Kouta Yamaguchi"/>
        <s v="Kumiko Okusako"/>
        <s v="Kyoko Akama"/>
        <s v="Kyosuke Saita"/>
        <s v="Maho Akiyama"/>
        <s v="Maki Yamauchi"/>
        <s v="Mao Miyazaki"/>
        <s v="Mariko Hiroshima"/>
        <s v="Masahiro Nishikawa"/>
        <s v="Masako Higuchi"/>
        <s v="Masanori Adachi"/>
        <s v="Masateru &amp; Sechiko Yamashita"/>
        <s v="Masateru Wada"/>
        <s v="Mayu Saita"/>
        <s v="Mei Nakamura"/>
        <s v="Michiko Kinoshita"/>
        <s v="Miharu Horimoto"/>
        <s v="miho "/>
        <s v="Mina Baba"/>
        <s v="Minami Nagatomo"/>
        <s v="Minato Koshino"/>
        <s v="Mio Miyamoto"/>
        <s v="Mirei Adachi"/>
        <s v="Misora kuroki"/>
        <s v="Mitsuki Furusho"/>
        <s v="Mitsuki Fujiwara"/>
        <s v="Mitsuki Kuroishi"/>
        <s v="Miyuki Hama"/>
        <s v="Mizuki Futagawa"/>
        <s v="Momo ＆ Yuzu Watanabe"/>
        <s v="Momo Watanabe"/>
        <s v="Momoka Sato"/>
        <s v="Momoko Fujino"/>
        <s v="Nagi Ono"/>
        <s v="Nanami Uetsuki"/>
        <s v="nanase Shingo"/>
        <s v="Naoko Shiiba"/>
        <s v="Naoko Tou"/>
        <s v="Narumi Deguchi"/>
        <s v="Natsuki Maruyama"/>
        <s v="natsumi otsubo"/>
        <s v="Noa Imamura"/>
        <s v="Noriko Tanaka"/>
        <s v="Noriko Kai"/>
        <s v="ohbntm@gmail.com "/>
        <s v="Osuke Yoshida"/>
        <s v="Otowa Mochidome"/>
        <s v="Rei Shimotsusa"/>
        <s v="Reiko Iwata"/>
        <s v="Reina Omori"/>
        <s v="Ren Ishikawa"/>
        <s v="Rika Yano"/>
        <s v="Rikutaro Tsutsumi"/>
        <s v="Risa Shigetome"/>
        <s v="Risa Hayashida"/>
        <s v="Riya Motomatsu"/>
        <s v="Rumi Nakano"/>
        <s v="Ryousei Tsutsui"/>
        <s v="Ryuuko Kinoshita"/>
        <s v="Sachiko Matsuo"/>
        <s v="saki Koshimuta"/>
        <s v="Sakura Nishiyama"/>
        <s v="Sakurako Matsuyama"/>
        <s v="Sakutaro Nagao"/>
        <s v="Sara Tsutsumi"/>
        <s v="Sara Shiraishi"/>
        <s v="Sawa Sunada"/>
        <s v="Saya Hashimoto"/>
        <s v="Sayaka Yahiro"/>
        <s v="Sayaka Matsumoto"/>
        <s v="Sena Nonaka"/>
        <s v="Setsuko Udaka"/>
        <s v="Shinya Hirota"/>
        <s v="Shizuka Miyamoto"/>
        <s v="Shu Sakamoto"/>
        <s v="Sosuke Iwagami"/>
        <s v="Sosuke Tomonou"/>
        <s v="Sota To"/>
        <s v="Souta Teramatsu"/>
        <s v="Suguru Muromoto"/>
        <s v="Taisei Sonezaki"/>
        <s v="Taisei Kuroiwa"/>
        <s v="Taishi Yamawaki"/>
        <s v=""/>
        <s v="Taisuke Nonaka"/>
        <s v="Takane Nagai"/>
        <s v="Tomoko Omagari"/>
        <s v="Tomoko Kinoshita"/>
        <s v="Tomoyuki Miyahara"/>
        <s v="Touru Nakamura"/>
        <s v="Uchiyama Seicho"/>
        <s v="Uta Takara"/>
        <s v="Wakana Nagae"/>
        <s v="Wanon Shima"/>
        <s v="Wataru Nagamatsu"/>
        <s v="Yasuaki Deguchi"/>
        <s v="Yasuhisa Adachi"/>
        <s v="Yasuko Tsutsui"/>
        <s v="Yoko Uchida"/>
        <s v="Yoko Segawa"/>
        <s v="Yu Nakamura"/>
        <s v="Yu Sakurai"/>
        <s v="Yudai Okuno"/>
        <s v="Yui Kusano"/>
        <s v="Yuka Shimizu"/>
        <s v="Yuka Abe"/>
        <s v="Yuki "/>
        <s v="Yuki Kinoshita"/>
        <s v="Yuki Kado"/>
        <s v="Yukiko Shigetomi"/>
        <s v="Yukiyo Koyama(Yamaguchi)"/>
        <s v="Yuko Iwamoto"/>
        <s v="Yume Nakae"/>
        <s v="Yuna Abe"/>
        <s v="Yuna Kubota"/>
        <s v="Yuri Matsumoto"/>
        <s v="Yuria Maruyama"/>
        <s v="Yushin Sonezaki"/>
        <s v="Yuta tomooka"/>
        <s v="Yuta Watanabe"/>
        <s v="Yuta Tou"/>
        <s v="Yuto Kinoshita"/>
        <s v="Yuzu Watanabe"/>
        <s v="Yuzuki Segawa"/>
        <s v="マタケいちか "/>
        <s v="Yasuko Kamo"/>
        <s v="Haruka Tamura"/>
        <s v="Kanon Takeda"/>
        <s v="Yasuko Matono"/>
        <s v="Akinari Yamashita"/>
        <s v="Shimugi Kawahara"/>
        <s v="Homare Araki"/>
        <s v="Akinari Shimoda"/>
        <s v="Fumina Atobe"/>
        <s v="Rin Korematsu"/>
        <s v="Ayaha Morishita"/>
        <s v="Haru Yanouchi"/>
        <s v="Kaede Watanabe"/>
        <s v="Yuna Inoue"/>
        <s v="Asaki Shimoda" u="1"/>
      </sharedItems>
    </cacheField>
    <cacheField name="Salary without Alex" numFmtId="0">
      <sharedItems/>
    </cacheField>
    <cacheField name="Fee without Alex" numFmtId="0">
      <sharedItems containsMixedTypes="1" containsNumber="1" containsInteger="1" minValue="7000" maxValue="7000"/>
    </cacheField>
    <cacheField name="Pay Type" numFmtId="0">
      <sharedItems/>
    </cacheField>
    <cacheField name="Salary / Hourly Rate" numFmtId="0">
      <sharedItems containsMixedTypes="1" containsNumber="1" containsInteger="1" minValue="2600" maxValue="210000"/>
    </cacheField>
    <cacheField name="Group Salary" numFmtId="0">
      <sharedItems containsMixedTypes="1" containsNumber="1" containsInteger="1" minValue="0" maxValue="12000"/>
    </cacheField>
    <cacheField name="Private Salary" numFmtId="0">
      <sharedItems containsDate="1" containsMixedTypes="1" minDate="1899-12-31T00:00:00" maxDate="1900-01-04T19:20:04"/>
    </cacheField>
    <cacheField name="Total Salary" numFmtId="0">
      <sharedItems containsBlank="1" containsMixedTypes="1" containsNumber="1" containsInteger="1" minValue="0" maxValue="31200"/>
    </cacheField>
    <cacheField name="Money Spend" numFmtId="0">
      <sharedItems containsBlank="1"/>
    </cacheField>
    <cacheField name="Profit" numFmtId="0">
      <sharedItems containsBlank="1" containsMixedTypes="1" containsNumber="1" containsInteger="1" minValue="-17000" maxValue="28200"/>
    </cacheField>
    <cacheField name="For Amount" numFmtId="0">
      <sharedItems containsBlank="1"/>
    </cacheField>
    <cacheField name="For Count" numFmtId="0">
      <sharedItems containsBlank="1" count="6">
        <s v=""/>
        <e v="#N/A"/>
        <m/>
        <s v="Old" u="1"/>
        <s v="New" u="1"/>
        <s v="Future" u="1"/>
      </sharedItems>
    </cacheField>
    <cacheField name="For Salary" numFmtId="0">
      <sharedItems containsBlank="1"/>
    </cacheField>
    <cacheField name="For Frequency" numFmtId="0">
      <sharedItems containsBlank="1"/>
    </cacheField>
    <cacheField name="For End Date" numFmtId="0">
      <sharedItems containsBlank="1"/>
    </cacheField>
    <cacheField name="Group" numFmtId="0" formula="'Joining Date'+7" databaseField="0"/>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count="228">
  <r>
    <m/>
    <x v="0"/>
    <m/>
    <m/>
    <m/>
    <m/>
    <m/>
    <m/>
    <s v="❌ ID introuvable"/>
    <x v="0"/>
    <m/>
    <x v="0"/>
    <m/>
    <m/>
    <m/>
    <m/>
    <m/>
    <m/>
    <m/>
    <m/>
    <m/>
    <m/>
    <m/>
    <m/>
    <m/>
    <m/>
    <m/>
    <m/>
    <m/>
    <m/>
    <m/>
    <m/>
    <m/>
    <m/>
    <m/>
    <m/>
    <m/>
    <m/>
    <m/>
    <m/>
    <m/>
    <x v="0"/>
    <s v=""/>
    <x v="0"/>
    <x v="0"/>
    <s v=""/>
    <s v=""/>
    <s v=""/>
    <s v=""/>
    <s v=""/>
    <s v=""/>
    <x v="0"/>
    <s v=""/>
    <s v=""/>
    <s v=""/>
    <s v=""/>
    <n v="0"/>
    <n v="0"/>
    <n v="0"/>
    <s v=""/>
    <n v="0"/>
    <s v=""/>
    <x v="0"/>
    <s v=""/>
    <s v=""/>
    <s v=""/>
  </r>
  <r>
    <m/>
    <x v="1"/>
    <s v="Haruki"/>
    <s v="Akaba"/>
    <m/>
    <s v="はるき"/>
    <s v="赤羽はるき"/>
    <s v="赤羽"/>
    <s v="❌ ID introuvable"/>
    <x v="0"/>
    <m/>
    <x v="1"/>
    <m/>
    <m/>
    <m/>
    <m/>
    <m/>
    <m/>
    <m/>
    <s v="happy.nara.0311@gmail.com"/>
    <s v="happy.nara.0311@gmail.com"/>
    <m/>
    <s v="090-1713-6778"/>
    <s v="電話番号"/>
    <m/>
    <m/>
    <m/>
    <m/>
    <m/>
    <m/>
    <s v="Gmail"/>
    <m/>
    <m/>
    <m/>
    <s v="幼稚園"/>
    <m/>
    <m/>
    <m/>
    <s v="赤羽はるき"/>
    <m/>
    <m/>
    <x v="0"/>
    <s v=""/>
    <x v="0"/>
    <x v="0"/>
    <s v=""/>
    <s v=""/>
    <s v=""/>
    <s v=""/>
    <s v=""/>
    <s v=""/>
    <x v="1"/>
    <s v=""/>
    <s v=""/>
    <s v=""/>
    <s v=""/>
    <n v="0"/>
    <n v="0"/>
    <n v="0"/>
    <s v=""/>
    <n v="0"/>
    <s v=""/>
    <x v="0"/>
    <s v=""/>
    <s v=""/>
    <s v=""/>
  </r>
  <r>
    <m/>
    <x v="1"/>
    <s v="Akiko"/>
    <s v="Tominaga"/>
    <m/>
    <s v="亜希子"/>
    <s v="富永亜希子"/>
    <s v="富永"/>
    <s v="❌ ID introuvable"/>
    <x v="0"/>
    <m/>
    <x v="0"/>
    <m/>
    <m/>
    <m/>
    <m/>
    <m/>
    <m/>
    <m/>
    <s v="haru.soru07.24@icloud.com"/>
    <m/>
    <m/>
    <m/>
    <s v="電話番号"/>
    <m/>
    <s v="福岡市南区大橋1-20-10-503"/>
    <m/>
    <m/>
    <m/>
    <m/>
    <s v="Gmail"/>
    <m/>
    <s v="福岡市南区大橋1-20-10-503"/>
    <m/>
    <s v="プら"/>
    <m/>
    <m/>
    <m/>
    <s v="富永亜希子"/>
    <m/>
    <m/>
    <x v="0"/>
    <s v=""/>
    <x v="0"/>
    <x v="0"/>
    <s v=""/>
    <s v=""/>
    <s v=""/>
    <s v=""/>
    <s v=""/>
    <s v=""/>
    <x v="2"/>
    <s v=""/>
    <s v=""/>
    <s v=""/>
    <s v=""/>
    <n v="0"/>
    <n v="0"/>
    <n v="0"/>
    <s v=""/>
    <n v="0"/>
    <s v=""/>
    <x v="0"/>
    <s v=""/>
    <s v=""/>
    <s v=""/>
  </r>
  <r>
    <m/>
    <x v="1"/>
    <s v="Akitoshi"/>
    <s v="Ikeguchi"/>
    <m/>
    <s v="彰敏"/>
    <s v="池口彰敏"/>
    <s v="池口"/>
    <s v="❌ ID introuvable"/>
    <x v="0"/>
    <m/>
    <x v="2"/>
    <m/>
    <m/>
    <m/>
    <m/>
    <m/>
    <m/>
    <m/>
    <s v="mo2959@icloud.com"/>
    <m/>
    <m/>
    <s v="090-7575-1686"/>
    <s v="電話番号"/>
    <m/>
    <s v="福岡市早良区小田部1-12-5-302"/>
    <m/>
    <m/>
    <m/>
    <m/>
    <s v="Gmail"/>
    <m/>
    <s v="福岡市早良区小田部1-12-5-302"/>
    <m/>
    <s v="グルップ,大人"/>
    <m/>
    <m/>
    <m/>
    <s v="池口彰敏"/>
    <m/>
    <m/>
    <x v="0"/>
    <s v=""/>
    <x v="0"/>
    <x v="0"/>
    <s v=""/>
    <s v=""/>
    <s v=""/>
    <s v=""/>
    <s v=""/>
    <s v=""/>
    <x v="3"/>
    <s v=""/>
    <s v=""/>
    <s v=""/>
    <s v=""/>
    <n v="0"/>
    <n v="0"/>
    <n v="0"/>
    <s v=""/>
    <n v="0"/>
    <s v=""/>
    <x v="0"/>
    <s v=""/>
    <s v=""/>
    <s v=""/>
  </r>
  <r>
    <m/>
    <x v="1"/>
    <s v="Anna"/>
    <s v="Shirozumi"/>
    <m/>
    <s v="アンナ"/>
    <s v="白水アンナ"/>
    <s v="白水"/>
    <s v="❌ ID introuvable"/>
    <x v="0"/>
    <m/>
    <x v="0"/>
    <m/>
    <m/>
    <m/>
    <m/>
    <m/>
    <m/>
    <m/>
    <s v="volvic93@icloud.com"/>
    <m/>
    <m/>
    <m/>
    <s v="電話番号"/>
    <m/>
    <s v="８１１－１３４６_x000a_福岡市南区老司１－２８－２７－４０２"/>
    <m/>
    <m/>
    <m/>
    <m/>
    <s v="Gmail"/>
    <m/>
    <s v="８１１－１３４６_x000a_福岡市南区老司１－２８－２７－４０２"/>
    <m/>
    <s v="小学生"/>
    <m/>
    <m/>
    <m/>
    <s v="白水アンナ"/>
    <m/>
    <m/>
    <x v="0"/>
    <s v=""/>
    <x v="0"/>
    <x v="0"/>
    <s v=""/>
    <s v=""/>
    <s v=""/>
    <s v=""/>
    <s v=""/>
    <s v=""/>
    <x v="4"/>
    <s v=""/>
    <s v=""/>
    <s v=""/>
    <s v=""/>
    <n v="0"/>
    <n v="0"/>
    <n v="0"/>
    <s v=""/>
    <n v="0"/>
    <s v=""/>
    <x v="0"/>
    <s v=""/>
    <s v=""/>
    <s v=""/>
  </r>
  <r>
    <n v="158"/>
    <x v="2"/>
    <s v="Ao"/>
    <s v="Hirabaru"/>
    <m/>
    <s v="あお"/>
    <s v="平原あお"/>
    <s v="平原"/>
    <s v="🔗 Go to finance"/>
    <x v="1"/>
    <s v="private"/>
    <x v="3"/>
    <m/>
    <n v="4"/>
    <n v="6600"/>
    <m/>
    <m/>
    <d v="2025-01-04T00:00:00"/>
    <m/>
    <s v="shingai_haruka@mac.com"/>
    <m/>
    <m/>
    <m/>
    <s v="電話番号"/>
    <m/>
    <s v="福岡市南区２-3-11部屋303"/>
    <m/>
    <d v="2025-01-04T00:00:00"/>
    <m/>
    <m/>
    <s v="Gmail"/>
    <m/>
    <s v="福岡市南区２-3-11部屋303"/>
    <m/>
    <s v="Baby"/>
    <m/>
    <m/>
    <m/>
    <s v="平原あお"/>
    <m/>
    <m/>
    <x v="1"/>
    <n v="4"/>
    <x v="1"/>
    <x v="1"/>
    <s v=""/>
    <s v=""/>
    <s v=""/>
    <n v="4"/>
    <s v=""/>
    <n v="163"/>
    <x v="5"/>
    <s v=""/>
    <s v=""/>
    <s v="Fixed"/>
    <n v="210000"/>
    <s v="-"/>
    <s v="----"/>
    <s v="---"/>
    <s v=""/>
    <s v=""/>
    <e v="#N/A"/>
    <x v="1"/>
    <e v="#N/A"/>
    <e v="#N/A"/>
    <s v=""/>
  </r>
  <r>
    <n v="161"/>
    <x v="2"/>
    <s v="Ao"/>
    <s v="Tsukiji"/>
    <m/>
    <s v="あお"/>
    <s v="築地あお"/>
    <s v="築地"/>
    <s v="🔗 Go to finance"/>
    <x v="1"/>
    <s v="group"/>
    <x v="3"/>
    <m/>
    <n v="4"/>
    <n v="6600"/>
    <m/>
    <m/>
    <d v="2025-02-06T00:00:00"/>
    <m/>
    <s v="hatsumi0911.ia@gmail.com"/>
    <s v="hatsumi0911_ia@gmail.com"/>
    <m/>
    <n v="9064205927"/>
    <s v="電話番号"/>
    <m/>
    <m/>
    <m/>
    <d v="2025-02-06T00:00:00"/>
    <m/>
    <m/>
    <s v="Gmail"/>
    <m/>
    <m/>
    <m/>
    <s v="Baby"/>
    <m/>
    <m/>
    <m/>
    <s v="築地あお"/>
    <m/>
    <m/>
    <x v="2"/>
    <n v="4"/>
    <x v="2"/>
    <x v="1"/>
    <s v=""/>
    <s v=""/>
    <s v=""/>
    <s v=""/>
    <s v=""/>
    <n v="130"/>
    <x v="6"/>
    <s v=""/>
    <s v=""/>
    <s v="Fixed"/>
    <n v="210000"/>
    <s v="-"/>
    <s v="----"/>
    <s v="---"/>
    <s v=""/>
    <s v=""/>
    <e v="#N/A"/>
    <x v="1"/>
    <e v="#N/A"/>
    <e v="#N/A"/>
    <s v=""/>
  </r>
  <r>
    <m/>
    <x v="1"/>
    <s v="Asuka"/>
    <s v="Maruyama"/>
    <m/>
    <s v="明夏"/>
    <s v="丸山明夏"/>
    <s v="丸山"/>
    <s v="❌ ID introuvable"/>
    <x v="0"/>
    <m/>
    <x v="4"/>
    <m/>
    <m/>
    <m/>
    <m/>
    <m/>
    <m/>
    <m/>
    <s v="tokitan0317@docomo.ne.jp"/>
    <m/>
    <m/>
    <s v="08027791763(お母様)"/>
    <s v="電話番号"/>
    <m/>
    <s v="〒815-0033_x000a_福岡市南区大橋4丁目18-9"/>
    <m/>
    <m/>
    <m/>
    <m/>
    <s v="Gmail"/>
    <m/>
    <s v="〒815-0033_x000a_福岡市南区大橋4丁目18-9"/>
    <m/>
    <s v="セミプラ,大人"/>
    <m/>
    <m/>
    <m/>
    <s v="丸山明夏"/>
    <m/>
    <m/>
    <x v="0"/>
    <s v=""/>
    <x v="0"/>
    <x v="0"/>
    <s v=""/>
    <s v=""/>
    <s v=""/>
    <s v=""/>
    <s v=""/>
    <s v=""/>
    <x v="7"/>
    <s v=""/>
    <s v=""/>
    <s v=""/>
    <s v=""/>
    <n v="0"/>
    <n v="0"/>
    <n v="0"/>
    <s v=""/>
    <n v="0"/>
    <s v=""/>
    <x v="0"/>
    <s v=""/>
    <s v=""/>
    <s v=""/>
  </r>
  <r>
    <m/>
    <x v="1"/>
    <s v="Atsuko"/>
    <s v="Koi"/>
    <m/>
    <s v="敦子"/>
    <s v="河井敦子"/>
    <s v="河井"/>
    <s v="❌ ID introuvable"/>
    <x v="0"/>
    <m/>
    <x v="5"/>
    <m/>
    <m/>
    <m/>
    <m/>
    <m/>
    <m/>
    <m/>
    <m/>
    <m/>
    <m/>
    <m/>
    <s v="電話番号"/>
    <m/>
    <s v="811-1344_x000a_福岡市南区 _x000a_3-8-47-705"/>
    <m/>
    <m/>
    <m/>
    <m/>
    <s v="Gmail"/>
    <m/>
    <s v="811-1344_x000a_福岡市南区 _x000a_3-8-47-705"/>
    <m/>
    <s v="高校生"/>
    <m/>
    <m/>
    <m/>
    <s v="河井敦子"/>
    <m/>
    <m/>
    <x v="0"/>
    <s v=""/>
    <x v="0"/>
    <x v="0"/>
    <s v=""/>
    <s v=""/>
    <s v=""/>
    <s v=""/>
    <s v=""/>
    <s v=""/>
    <x v="8"/>
    <s v=""/>
    <s v=""/>
    <s v=""/>
    <s v=""/>
    <n v="0"/>
    <n v="0"/>
    <n v="0"/>
    <s v=""/>
    <n v="0"/>
    <s v=""/>
    <x v="0"/>
    <s v=""/>
    <s v=""/>
    <s v=""/>
  </r>
  <r>
    <m/>
    <x v="1"/>
    <s v="Atsuko"/>
    <s v="Nishiyama"/>
    <m/>
    <s v="厚子"/>
    <s v="西山厚子"/>
    <s v="西山"/>
    <s v="❌ ID introuvable"/>
    <x v="0"/>
    <m/>
    <x v="2"/>
    <m/>
    <m/>
    <m/>
    <m/>
    <m/>
    <m/>
    <m/>
    <s v="akko-chan24801105@q.vodafone.ne.jp"/>
    <m/>
    <m/>
    <s v="090-1365-5074"/>
    <s v="電話番号"/>
    <m/>
    <s v="福岡市南区和田2-5-1"/>
    <m/>
    <m/>
    <m/>
    <m/>
    <s v="Gmail"/>
    <m/>
    <s v="福岡市南区和田2-5-1"/>
    <m/>
    <s v="グルップ２回,大人"/>
    <m/>
    <m/>
    <m/>
    <s v="西山厚子"/>
    <m/>
    <m/>
    <x v="0"/>
    <s v=""/>
    <x v="0"/>
    <x v="0"/>
    <s v=""/>
    <s v=""/>
    <s v=""/>
    <s v=""/>
    <s v=""/>
    <s v=""/>
    <x v="9"/>
    <s v=""/>
    <s v=""/>
    <s v=""/>
    <s v=""/>
    <n v="0"/>
    <n v="0"/>
    <n v="0"/>
    <s v=""/>
    <n v="0"/>
    <s v=""/>
    <x v="0"/>
    <s v=""/>
    <s v=""/>
    <s v=""/>
  </r>
  <r>
    <n v="101"/>
    <x v="1"/>
    <s v="Aya"/>
    <s v="Yamamoto"/>
    <m/>
    <s v="あや"/>
    <s v="山本あや"/>
    <s v="山本"/>
    <s v="🔗 Go to finance"/>
    <x v="0"/>
    <m/>
    <x v="2"/>
    <m/>
    <m/>
    <n v="19800"/>
    <m/>
    <m/>
    <m/>
    <m/>
    <m/>
    <m/>
    <m/>
    <m/>
    <s v="電話番号"/>
    <m/>
    <s v="8150037_x000a_福岡市南区玉川町４－１８"/>
    <m/>
    <m/>
    <m/>
    <m/>
    <s v="Gmail"/>
    <m/>
    <s v="8150037_x000a_福岡市南区玉川町４－１８"/>
    <m/>
    <s v="プら,大人"/>
    <m/>
    <d v="2025-04-23T00:00:00"/>
    <m/>
    <s v="山本あや"/>
    <m/>
    <m/>
    <x v="0"/>
    <s v=""/>
    <x v="0"/>
    <x v="0"/>
    <s v=""/>
    <s v=""/>
    <s v=""/>
    <s v=""/>
    <s v=""/>
    <s v=""/>
    <x v="10"/>
    <s v=""/>
    <s v=""/>
    <s v=""/>
    <s v=""/>
    <n v="0"/>
    <n v="0"/>
    <n v="0"/>
    <s v=""/>
    <n v="19800"/>
    <s v=""/>
    <x v="0"/>
    <s v=""/>
    <s v=""/>
    <s v=""/>
  </r>
  <r>
    <m/>
    <x v="1"/>
    <s v="Ayaka"/>
    <s v="Nagatani"/>
    <m/>
    <s v="彩夏"/>
    <s v="永谷彩夏"/>
    <s v="永谷"/>
    <s v="❌ ID introuvable"/>
    <x v="0"/>
    <m/>
    <x v="5"/>
    <m/>
    <m/>
    <m/>
    <m/>
    <m/>
    <m/>
    <m/>
    <m/>
    <m/>
    <m/>
    <s v="090-3987-0967"/>
    <s v="電話番号"/>
    <m/>
    <s v="福岡市南区大橋1-18-1-504"/>
    <m/>
    <m/>
    <m/>
    <m/>
    <s v="Gmail"/>
    <m/>
    <s v="福岡市南区大橋1-18-1-504"/>
    <m/>
    <s v="グルップ,高校生"/>
    <m/>
    <m/>
    <m/>
    <s v="永谷彩夏"/>
    <m/>
    <m/>
    <x v="0"/>
    <s v=""/>
    <x v="0"/>
    <x v="0"/>
    <s v=""/>
    <s v=""/>
    <s v=""/>
    <s v=""/>
    <s v=""/>
    <s v=""/>
    <x v="11"/>
    <s v=""/>
    <s v=""/>
    <s v=""/>
    <s v=""/>
    <n v="0"/>
    <n v="0"/>
    <n v="0"/>
    <s v=""/>
    <n v="0"/>
    <s v=""/>
    <x v="0"/>
    <s v=""/>
    <s v=""/>
    <s v=""/>
  </r>
  <r>
    <m/>
    <x v="1"/>
    <s v="Ayaka"/>
    <s v="Kinoshita"/>
    <m/>
    <s v="綾夏"/>
    <s v="西尾綾夏"/>
    <s v="西尾"/>
    <s v="❌ ID introuvable"/>
    <x v="0"/>
    <m/>
    <x v="0"/>
    <m/>
    <m/>
    <m/>
    <m/>
    <m/>
    <m/>
    <m/>
    <s v="ayakankan007@gmail.com"/>
    <m/>
    <m/>
    <s v="080-1357-8753"/>
    <s v="電話番号"/>
    <m/>
    <m/>
    <m/>
    <m/>
    <m/>
    <m/>
    <s v="Gmail"/>
    <m/>
    <m/>
    <m/>
    <m/>
    <m/>
    <m/>
    <m/>
    <s v="西尾綾夏"/>
    <m/>
    <m/>
    <x v="0"/>
    <s v=""/>
    <x v="0"/>
    <x v="0"/>
    <s v=""/>
    <s v=""/>
    <s v=""/>
    <s v=""/>
    <s v=""/>
    <s v=""/>
    <x v="12"/>
    <s v=""/>
    <s v=""/>
    <s v=""/>
    <s v=""/>
    <n v="0"/>
    <n v="0"/>
    <n v="0"/>
    <s v=""/>
    <n v="0"/>
    <s v=""/>
    <x v="0"/>
    <s v=""/>
    <s v=""/>
    <s v=""/>
  </r>
  <r>
    <n v="136"/>
    <x v="1"/>
    <s v="Ayane"/>
    <s v="Shiba"/>
    <m/>
    <s v="アヤネ"/>
    <s v="椎葉アヤネ"/>
    <s v="椎葉"/>
    <s v="🔗 Go to finance"/>
    <x v="0"/>
    <m/>
    <x v="0"/>
    <m/>
    <m/>
    <m/>
    <m/>
    <m/>
    <m/>
    <m/>
    <s v="kayomoco99@gmail.com"/>
    <s v="kayomoco99@gmail.com"/>
    <m/>
    <m/>
    <s v="電話番号"/>
    <m/>
    <s v="811-1344_x000a_福岡市南区三宅1-7-6-305"/>
    <m/>
    <m/>
    <m/>
    <m/>
    <s v="Gmail"/>
    <m/>
    <s v="811-1344_x000a_福岡市南区三宅1-7-6-305"/>
    <m/>
    <s v="小学生"/>
    <m/>
    <d v="2025-02-28T00:00:00"/>
    <m/>
    <s v="椎葉アヤネ"/>
    <m/>
    <m/>
    <x v="0"/>
    <s v=""/>
    <x v="0"/>
    <x v="0"/>
    <s v=""/>
    <s v=""/>
    <s v=""/>
    <s v=""/>
    <s v=""/>
    <s v=""/>
    <x v="13"/>
    <s v=""/>
    <s v=""/>
    <s v=""/>
    <s v=""/>
    <n v="0"/>
    <n v="0"/>
    <n v="0"/>
    <s v=""/>
    <n v="0"/>
    <s v=""/>
    <x v="0"/>
    <s v=""/>
    <s v=""/>
    <s v=""/>
  </r>
  <r>
    <m/>
    <x v="1"/>
    <s v="ayumu"/>
    <s v="ninomiya"/>
    <m/>
    <s v="歩夢"/>
    <s v="二宮歩夢"/>
    <s v="二宮"/>
    <s v="❌ ID introuvable"/>
    <x v="0"/>
    <m/>
    <x v="0"/>
    <m/>
    <m/>
    <m/>
    <m/>
    <m/>
    <m/>
    <m/>
    <s v="ayumu09160610@gmail.com"/>
    <s v="ayumu09160610@gmail.com"/>
    <m/>
    <n v="8081090540"/>
    <s v="電話番号"/>
    <m/>
    <m/>
    <m/>
    <m/>
    <m/>
    <m/>
    <s v="Gmail"/>
    <m/>
    <m/>
    <m/>
    <s v="英検プライベート"/>
    <m/>
    <m/>
    <m/>
    <s v="二宮歩夢"/>
    <m/>
    <m/>
    <x v="0"/>
    <s v=""/>
    <x v="0"/>
    <x v="0"/>
    <s v=""/>
    <s v=""/>
    <s v=""/>
    <s v=""/>
    <s v=""/>
    <s v=""/>
    <x v="14"/>
    <s v=""/>
    <s v=""/>
    <s v=""/>
    <s v=""/>
    <n v="0"/>
    <n v="0"/>
    <n v="0"/>
    <s v=""/>
    <n v="0"/>
    <s v=""/>
    <x v="0"/>
    <s v=""/>
    <s v=""/>
    <s v=""/>
  </r>
  <r>
    <m/>
    <x v="1"/>
    <s v="Yuzuna"/>
    <s v="Baba"/>
    <m/>
    <s v="ユズナ"/>
    <s v="馬場ユズナ"/>
    <s v="馬場"/>
    <s v="❌ ID introuvable"/>
    <x v="0"/>
    <m/>
    <x v="5"/>
    <m/>
    <m/>
    <m/>
    <m/>
    <m/>
    <m/>
    <m/>
    <m/>
    <m/>
    <m/>
    <m/>
    <s v="電話番号"/>
    <m/>
    <m/>
    <m/>
    <m/>
    <m/>
    <m/>
    <s v="Gmail"/>
    <m/>
    <m/>
    <m/>
    <s v="中高生"/>
    <m/>
    <m/>
    <m/>
    <s v="馬場ユズナ"/>
    <m/>
    <m/>
    <x v="0"/>
    <s v=""/>
    <x v="0"/>
    <x v="0"/>
    <s v=""/>
    <s v=""/>
    <s v=""/>
    <s v=""/>
    <s v=""/>
    <s v=""/>
    <x v="15"/>
    <s v=""/>
    <s v=""/>
    <s v=""/>
    <s v=""/>
    <n v="0"/>
    <n v="0"/>
    <n v="0"/>
    <s v=""/>
    <n v="0"/>
    <s v=""/>
    <x v="0"/>
    <s v=""/>
    <s v=""/>
    <s v=""/>
  </r>
  <r>
    <n v="103"/>
    <x v="1"/>
    <s v="Buntaro"/>
    <s v="Takara"/>
    <m/>
    <s v="太郎"/>
    <s v="寶太郎"/>
    <s v="寶"/>
    <s v="🔗 Go to finance"/>
    <x v="0"/>
    <m/>
    <x v="0"/>
    <m/>
    <m/>
    <m/>
    <m/>
    <m/>
    <m/>
    <m/>
    <s v="kouji_takara0219@yahoo.co.jp"/>
    <s v="steptime0000@gmail.com"/>
    <m/>
    <n v="9048027828"/>
    <s v="電話番号"/>
    <m/>
    <s v="1050033_x000a_福岡市南区大橋_x000a_4-27-17 ファール大橋206"/>
    <m/>
    <d v="2024-06-03T00:00:00"/>
    <m/>
    <m/>
    <s v="Gmail"/>
    <m/>
    <s v="1050033_x000a_福岡市南区大橋_x000a_4-27-17 ファール大橋206"/>
    <m/>
    <s v="小学生"/>
    <m/>
    <d v="2025-03-31T00:00:00"/>
    <m/>
    <s v="寶太郎"/>
    <m/>
    <m/>
    <x v="0"/>
    <s v=""/>
    <x v="3"/>
    <x v="2"/>
    <s v=""/>
    <s v=""/>
    <s v=""/>
    <s v=""/>
    <s v=""/>
    <s v=""/>
    <x v="16"/>
    <s v=""/>
    <s v=""/>
    <s v=""/>
    <s v=""/>
    <n v="0"/>
    <n v="0"/>
    <n v="0"/>
    <s v=""/>
    <n v="0"/>
    <e v="#N/A"/>
    <x v="1"/>
    <e v="#N/A"/>
    <e v="#N/A"/>
    <e v="#N/A"/>
  </r>
  <r>
    <n v="87"/>
    <x v="2"/>
    <s v="Chiaki"/>
    <s v="Yanagihara"/>
    <m/>
    <s v="千亜紀"/>
    <s v="柳原千亜紀"/>
    <s v="柳原"/>
    <s v="🔗 Go to finance"/>
    <x v="2"/>
    <s v="private"/>
    <x v="6"/>
    <m/>
    <n v="4"/>
    <n v="19800"/>
    <n v="0"/>
    <m/>
    <m/>
    <m/>
    <s v="chiyaki32@yahoo.co.jp"/>
    <m/>
    <m/>
    <m/>
    <s v="電話番号"/>
    <m/>
    <s v="福岡市南野間３－１１－３－７０４"/>
    <m/>
    <d v="2023-05-01T00:00:00"/>
    <m/>
    <m/>
    <s v="Gmail"/>
    <m/>
    <s v="福岡市南野間３－１１－３－７０４"/>
    <m/>
    <s v="Adult"/>
    <m/>
    <m/>
    <m/>
    <s v="柳原千亜紀"/>
    <n v="87"/>
    <s v="柳原千亜紀"/>
    <x v="1"/>
    <n v="4"/>
    <x v="4"/>
    <x v="3"/>
    <s v=""/>
    <s v=""/>
    <s v=""/>
    <n v="4"/>
    <s v=""/>
    <n v="777"/>
    <x v="17"/>
    <e v="#N/A"/>
    <e v="#N/A"/>
    <s v="Hourly"/>
    <n v="2600"/>
    <n v="0"/>
    <n v="10400"/>
    <n v="10400"/>
    <e v="#N/A"/>
    <n v="9400"/>
    <e v="#N/A"/>
    <x v="1"/>
    <e v="#N/A"/>
    <e v="#N/A"/>
    <s v=""/>
  </r>
  <r>
    <n v="125"/>
    <x v="2"/>
    <s v="Chieko"/>
    <s v="Mori"/>
    <m/>
    <s v="恵子"/>
    <s v="森千恵子"/>
    <s v="森千"/>
    <s v="🔗 Go to finance"/>
    <x v="2"/>
    <s v="private"/>
    <x v="6"/>
    <m/>
    <n v="3"/>
    <n v="14850"/>
    <n v="0"/>
    <m/>
    <m/>
    <m/>
    <s v="m.chieko0515@gmail.com"/>
    <s v="m.chieko0515@gmail.com"/>
    <m/>
    <n v="9089189131"/>
    <s v="電話番号"/>
    <m/>
    <s v="8160951_x000a_大野城市下大利固地6-301"/>
    <m/>
    <d v="2024-02-13T00:00:00"/>
    <m/>
    <m/>
    <s v="Gmail"/>
    <m/>
    <s v="8160951_x000a_大野城市下大利固地6-301"/>
    <m/>
    <s v="プら"/>
    <m/>
    <m/>
    <m/>
    <s v="森千恵子"/>
    <n v="125"/>
    <s v="森千恵子"/>
    <x v="1"/>
    <n v="3"/>
    <x v="2"/>
    <x v="2"/>
    <s v=""/>
    <s v=""/>
    <s v=""/>
    <n v="3"/>
    <s v=""/>
    <n v="489"/>
    <x v="18"/>
    <e v="#N/A"/>
    <e v="#N/A"/>
    <s v="Hourly"/>
    <n v="2600"/>
    <n v="0"/>
    <n v="7800"/>
    <n v="7800"/>
    <e v="#N/A"/>
    <n v="7050"/>
    <e v="#N/A"/>
    <x v="1"/>
    <e v="#N/A"/>
    <e v="#N/A"/>
    <s v=""/>
  </r>
  <r>
    <m/>
    <x v="1"/>
    <s v="Chizuru"/>
    <s v="Iguchi"/>
    <m/>
    <s v="千鶴"/>
    <s v="井口千鶴"/>
    <s v="井口"/>
    <s v="❌ ID introuvable"/>
    <x v="0"/>
    <m/>
    <x v="2"/>
    <m/>
    <m/>
    <m/>
    <m/>
    <m/>
    <m/>
    <m/>
    <s v="no818ta1118me@docomo.ne.jp"/>
    <s v="03oobarusea@gmail.com"/>
    <m/>
    <s v="080-8370-7161"/>
    <s v="電話番号"/>
    <m/>
    <s v="福岡市南区野多目6-6-39"/>
    <m/>
    <m/>
    <m/>
    <m/>
    <s v="Gmail"/>
    <m/>
    <s v="福岡市南区野多目6-6-39"/>
    <m/>
    <s v="グループ4回 セミプラ1回 N,大人"/>
    <m/>
    <m/>
    <m/>
    <s v="井口千鶴"/>
    <m/>
    <m/>
    <x v="0"/>
    <s v=""/>
    <x v="0"/>
    <x v="0"/>
    <s v=""/>
    <s v=""/>
    <s v=""/>
    <s v=""/>
    <s v=""/>
    <s v=""/>
    <x v="19"/>
    <s v=""/>
    <s v=""/>
    <s v=""/>
    <s v=""/>
    <n v="0"/>
    <n v="0"/>
    <n v="0"/>
    <s v=""/>
    <n v="0"/>
    <s v=""/>
    <x v="0"/>
    <s v=""/>
    <s v=""/>
    <s v=""/>
  </r>
  <r>
    <m/>
    <x v="1"/>
    <s v="Eishin"/>
    <s v="Hamada"/>
    <m/>
    <s v="瑛心"/>
    <s v="濱田瑛心"/>
    <s v="濱田"/>
    <s v="❌ ID introuvable"/>
    <x v="0"/>
    <m/>
    <x v="0"/>
    <m/>
    <m/>
    <m/>
    <m/>
    <m/>
    <m/>
    <m/>
    <s v="shobo.w.dalu.u.mayu@gmail.com"/>
    <s v="shobo.w.dalu.u.mayu@gmail.com"/>
    <m/>
    <s v="090-9593-4182"/>
    <s v="電話番号"/>
    <m/>
    <s v="〒811-1345_x000a_福岡市南区向新町1-1-10"/>
    <m/>
    <d v="2020-04-07T00:00:00"/>
    <m/>
    <m/>
    <s v="Gmail"/>
    <m/>
    <s v="〒811-1345_x000a_福岡市南区向新町1-1-10"/>
    <m/>
    <s v="小学生"/>
    <m/>
    <m/>
    <m/>
    <s v="濱田瑛心"/>
    <m/>
    <m/>
    <x v="0"/>
    <s v=""/>
    <x v="5"/>
    <x v="4"/>
    <s v=""/>
    <s v=""/>
    <s v=""/>
    <s v=""/>
    <s v=""/>
    <s v=""/>
    <x v="20"/>
    <s v=""/>
    <s v=""/>
    <s v=""/>
    <s v=""/>
    <n v="0"/>
    <n v="0"/>
    <n v="0"/>
    <s v=""/>
    <n v="0"/>
    <e v="#N/A"/>
    <x v="1"/>
    <e v="#N/A"/>
    <e v="#N/A"/>
    <s v=""/>
  </r>
  <r>
    <m/>
    <x v="1"/>
    <s v="Eisuke"/>
    <s v="Uehara"/>
    <m/>
    <s v="英介"/>
    <s v="上原英介"/>
    <s v="上原"/>
    <s v="❌ ID introuvable"/>
    <x v="0"/>
    <m/>
    <x v="2"/>
    <m/>
    <m/>
    <m/>
    <m/>
    <m/>
    <m/>
    <m/>
    <s v="viva.old.america.522@ezweb.ne.jp"/>
    <m/>
    <m/>
    <n v="9020855220"/>
    <s v="電話番号"/>
    <m/>
    <s v="〒815-0033 福岡県 福岡市南区 大橋１丁目７−１２ 森藤 第 一 ビル 6F"/>
    <m/>
    <d v="2020-10-22T00:00:00"/>
    <m/>
    <m/>
    <s v="Gmail"/>
    <m/>
    <s v="〒815-0033 福岡県 福岡市南区 大橋１丁目７−１２ 森藤 第 一 ビル 6F"/>
    <m/>
    <s v="プラ4回新,大人"/>
    <m/>
    <m/>
    <m/>
    <s v="上原英介"/>
    <m/>
    <m/>
    <x v="0"/>
    <s v=""/>
    <x v="6"/>
    <x v="4"/>
    <s v=""/>
    <s v=""/>
    <s v=""/>
    <s v=""/>
    <s v=""/>
    <s v=""/>
    <x v="21"/>
    <s v=""/>
    <s v=""/>
    <s v=""/>
    <s v=""/>
    <n v="0"/>
    <n v="0"/>
    <n v="0"/>
    <s v=""/>
    <n v="0"/>
    <e v="#N/A"/>
    <x v="1"/>
    <e v="#N/A"/>
    <e v="#N/A"/>
    <s v=""/>
  </r>
  <r>
    <n v="133"/>
    <x v="2"/>
    <s v="Eito"/>
    <s v="Suzuki"/>
    <m/>
    <s v="瑛人"/>
    <s v="鈴木瑛人"/>
    <s v="鈴木"/>
    <s v="🔗 Go to finance"/>
    <x v="1"/>
    <s v="group"/>
    <x v="7"/>
    <m/>
    <n v="4"/>
    <n v="6050"/>
    <n v="17050"/>
    <m/>
    <d v="2024-04-09T00:00:00"/>
    <m/>
    <s v="ko.mina@icloud.com"/>
    <m/>
    <m/>
    <m/>
    <s v="電話番号"/>
    <m/>
    <s v="811-1302_x000a_福岡市南区井尻2-23-8-407"/>
    <m/>
    <d v="2024-04-09T00:00:00"/>
    <m/>
    <m/>
    <s v="Gmail"/>
    <m/>
    <s v="811-1302_x000a_福岡市南区井尻2-23-8-407"/>
    <m/>
    <m/>
    <m/>
    <m/>
    <m/>
    <s v="鈴木瑛人"/>
    <m/>
    <m/>
    <x v="2"/>
    <n v="4"/>
    <x v="5"/>
    <x v="2"/>
    <s v=""/>
    <s v=""/>
    <s v=""/>
    <s v=""/>
    <s v=""/>
    <n v="433"/>
    <x v="22"/>
    <s v=""/>
    <s v=""/>
    <s v="Fixed"/>
    <n v="210000"/>
    <s v="-"/>
    <s v="----"/>
    <s v="---"/>
    <s v=""/>
    <s v=""/>
    <e v="#N/A"/>
    <x v="1"/>
    <e v="#N/A"/>
    <e v="#N/A"/>
    <s v=""/>
  </r>
  <r>
    <m/>
    <x v="1"/>
    <s v="Ema"/>
    <s v="Hideshima"/>
    <m/>
    <s v="絵茉"/>
    <s v="秀島絵茉"/>
    <s v="秀島"/>
    <s v="❌ ID introuvable"/>
    <x v="0"/>
    <m/>
    <x v="4"/>
    <m/>
    <m/>
    <m/>
    <m/>
    <m/>
    <m/>
    <m/>
    <s v="pear_pooh0412@docomo.ne.jp"/>
    <m/>
    <m/>
    <s v="090-4514-1104"/>
    <s v="電話番号"/>
    <m/>
    <s v="〒815-0033_x000a_福岡市南区大橋2-3-23-1201"/>
    <m/>
    <d v="2019-04-01T00:00:00"/>
    <m/>
    <m/>
    <s v="Gmail"/>
    <m/>
    <s v="〒815-0033_x000a_福岡市南区大橋2-3-23-1201"/>
    <m/>
    <s v="小学生"/>
    <m/>
    <m/>
    <m/>
    <s v="秀島絵茉"/>
    <m/>
    <m/>
    <x v="0"/>
    <s v=""/>
    <x v="5"/>
    <x v="5"/>
    <s v=""/>
    <s v=""/>
    <s v=""/>
    <s v=""/>
    <s v=""/>
    <s v=""/>
    <x v="23"/>
    <s v=""/>
    <s v=""/>
    <s v=""/>
    <s v=""/>
    <n v="0"/>
    <n v="0"/>
    <n v="0"/>
    <s v=""/>
    <n v="0"/>
    <e v="#N/A"/>
    <x v="1"/>
    <e v="#N/A"/>
    <e v="#N/A"/>
    <s v=""/>
  </r>
  <r>
    <m/>
    <x v="1"/>
    <s v="Emi"/>
    <s v="Fukuoka"/>
    <m/>
    <s v="江美"/>
    <s v="福岡江美"/>
    <s v="福岡"/>
    <s v="❌ ID introuvable"/>
    <x v="0"/>
    <m/>
    <x v="2"/>
    <m/>
    <m/>
    <m/>
    <m/>
    <m/>
    <m/>
    <m/>
    <m/>
    <m/>
    <m/>
    <s v="080-1770-9467"/>
    <s v="電話番号"/>
    <m/>
    <s v="福岡市南区南大橋1-21-11"/>
    <m/>
    <m/>
    <m/>
    <m/>
    <s v="Gmail"/>
    <m/>
    <s v="福岡市南区南大橋1-21-11"/>
    <m/>
    <s v="グルップ,大人"/>
    <m/>
    <m/>
    <m/>
    <s v="福岡江美"/>
    <m/>
    <m/>
    <x v="0"/>
    <s v=""/>
    <x v="0"/>
    <x v="0"/>
    <s v=""/>
    <s v=""/>
    <s v=""/>
    <s v=""/>
    <s v=""/>
    <s v=""/>
    <x v="24"/>
    <s v=""/>
    <s v=""/>
    <s v=""/>
    <s v=""/>
    <n v="0"/>
    <n v="0"/>
    <n v="0"/>
    <s v=""/>
    <n v="0"/>
    <s v=""/>
    <x v="0"/>
    <s v=""/>
    <s v=""/>
    <s v=""/>
  </r>
  <r>
    <m/>
    <x v="1"/>
    <s v="Emi"/>
    <s v="Kinoshita"/>
    <m/>
    <s v="英美"/>
    <s v="竹内英美"/>
    <s v="竹内"/>
    <s v="❌ ID introuvable"/>
    <x v="0"/>
    <m/>
    <x v="0"/>
    <m/>
    <m/>
    <m/>
    <m/>
    <m/>
    <m/>
    <m/>
    <s v="eminomail0502@icloud.com"/>
    <m/>
    <m/>
    <s v="080-1787-8416"/>
    <s v="電話番号"/>
    <m/>
    <m/>
    <m/>
    <m/>
    <m/>
    <m/>
    <s v="Gmail"/>
    <m/>
    <m/>
    <m/>
    <m/>
    <m/>
    <m/>
    <m/>
    <s v="竹内英美"/>
    <m/>
    <m/>
    <x v="0"/>
    <s v=""/>
    <x v="0"/>
    <x v="0"/>
    <s v=""/>
    <s v=""/>
    <s v=""/>
    <s v=""/>
    <s v=""/>
    <s v=""/>
    <x v="25"/>
    <s v=""/>
    <s v=""/>
    <s v=""/>
    <s v=""/>
    <n v="0"/>
    <n v="0"/>
    <n v="0"/>
    <s v=""/>
    <n v="0"/>
    <s v=""/>
    <x v="0"/>
    <s v=""/>
    <s v=""/>
    <s v=""/>
  </r>
  <r>
    <m/>
    <x v="1"/>
    <s v="Hanane"/>
    <s v="sasaki"/>
    <m/>
    <s v="木花音"/>
    <s v="佐々木花音"/>
    <s v="佐々"/>
    <s v="❌ ID introuvable"/>
    <x v="0"/>
    <m/>
    <x v="0"/>
    <m/>
    <m/>
    <m/>
    <m/>
    <m/>
    <m/>
    <m/>
    <s v="hanane.mame@icloud.com"/>
    <m/>
    <m/>
    <m/>
    <s v="電話番号"/>
    <m/>
    <s v="811-1314_x000a_福岡市南区的場1-4-30"/>
    <m/>
    <d v="2023-07-29T00:00:00"/>
    <m/>
    <m/>
    <s v="Gmail"/>
    <m/>
    <s v="811-1314_x000a_福岡市南区的場1-4-30"/>
    <m/>
    <s v="プら"/>
    <m/>
    <m/>
    <m/>
    <s v="佐々木花音"/>
    <m/>
    <m/>
    <x v="0"/>
    <s v=""/>
    <x v="7"/>
    <x v="3"/>
    <s v=""/>
    <s v=""/>
    <s v=""/>
    <s v=""/>
    <s v=""/>
    <s v=""/>
    <x v="26"/>
    <s v=""/>
    <s v=""/>
    <s v=""/>
    <s v=""/>
    <n v="0"/>
    <n v="0"/>
    <n v="0"/>
    <s v=""/>
    <n v="0"/>
    <e v="#N/A"/>
    <x v="1"/>
    <e v="#N/A"/>
    <e v="#N/A"/>
    <s v=""/>
  </r>
  <r>
    <m/>
    <x v="1"/>
    <s v="Hanari"/>
    <s v="Mochidome"/>
    <m/>
    <s v="はなり"/>
    <s v="持留はなり"/>
    <s v="持留"/>
    <s v="❌ ID introuvable"/>
    <x v="0"/>
    <m/>
    <x v="4"/>
    <m/>
    <m/>
    <m/>
    <m/>
    <m/>
    <m/>
    <m/>
    <s v="99k92st39@yahoo.co.jp"/>
    <m/>
    <m/>
    <m/>
    <s v="電話番号"/>
    <m/>
    <s v="15-0083_x000a_福岡市南区高宮３－２９－８"/>
    <m/>
    <m/>
    <m/>
    <m/>
    <s v="Gmail"/>
    <m/>
    <s v="15-0083_x000a_福岡市南区高宮３－２９－８"/>
    <m/>
    <s v="セミプラ,小学生"/>
    <m/>
    <m/>
    <m/>
    <s v="持留はなり"/>
    <m/>
    <m/>
    <x v="0"/>
    <s v=""/>
    <x v="0"/>
    <x v="0"/>
    <s v=""/>
    <s v=""/>
    <s v=""/>
    <s v=""/>
    <s v=""/>
    <s v=""/>
    <x v="27"/>
    <s v=""/>
    <s v=""/>
    <s v=""/>
    <s v=""/>
    <n v="0"/>
    <n v="0"/>
    <n v="0"/>
    <s v=""/>
    <n v="0"/>
    <s v=""/>
    <x v="0"/>
    <s v=""/>
    <s v=""/>
    <s v=""/>
  </r>
  <r>
    <m/>
    <x v="1"/>
    <s v="Hanzo"/>
    <s v="Segawa"/>
    <m/>
    <s v="半蔵"/>
    <s v="瀬川半蔵"/>
    <s v="瀬川"/>
    <s v="❌ ID introuvable"/>
    <x v="0"/>
    <m/>
    <x v="0"/>
    <m/>
    <m/>
    <m/>
    <m/>
    <m/>
    <m/>
    <m/>
    <s v="mond.yoko.s@gmail.com"/>
    <s v="mond.yoko.s@gmail.com"/>
    <m/>
    <s v="080-1531-6009"/>
    <s v="電話番号"/>
    <m/>
    <m/>
    <m/>
    <m/>
    <m/>
    <m/>
    <s v="Gmail"/>
    <m/>
    <m/>
    <m/>
    <s v="小学生"/>
    <m/>
    <m/>
    <m/>
    <s v="瀬川半蔵"/>
    <m/>
    <m/>
    <x v="0"/>
    <s v=""/>
    <x v="0"/>
    <x v="0"/>
    <s v=""/>
    <s v=""/>
    <s v=""/>
    <s v=""/>
    <s v=""/>
    <s v=""/>
    <x v="28"/>
    <s v=""/>
    <s v=""/>
    <s v=""/>
    <s v=""/>
    <n v="0"/>
    <n v="0"/>
    <n v="0"/>
    <s v=""/>
    <n v="0"/>
    <s v=""/>
    <x v="0"/>
    <s v=""/>
    <s v=""/>
    <s v=""/>
  </r>
  <r>
    <m/>
    <x v="1"/>
    <s v="Haruki"/>
    <s v="Ikemoto"/>
    <m/>
    <s v="栄稀"/>
    <s v="池元栄稀"/>
    <s v="池元"/>
    <s v="❌ ID introuvable"/>
    <x v="0"/>
    <m/>
    <x v="4"/>
    <m/>
    <m/>
    <m/>
    <m/>
    <m/>
    <m/>
    <m/>
    <s v="a.y_t.k.0419@docomo.ne.jp"/>
    <m/>
    <m/>
    <s v="080-2692-8957"/>
    <s v="電話番号"/>
    <m/>
    <s v="〒815-0033_x000a_福岡市南区大橋3-14-8-301"/>
    <m/>
    <d v="2020-04-06T00:00:00"/>
    <m/>
    <m/>
    <s v="Gmail"/>
    <m/>
    <s v="〒815-0033_x000a_福岡市南区大橋3-14-8-301"/>
    <m/>
    <s v="プら,小学生"/>
    <m/>
    <m/>
    <m/>
    <s v="池元栄稀"/>
    <m/>
    <m/>
    <x v="0"/>
    <s v=""/>
    <x v="5"/>
    <x v="4"/>
    <s v=""/>
    <s v=""/>
    <s v=""/>
    <s v=""/>
    <s v=""/>
    <s v=""/>
    <x v="29"/>
    <s v=""/>
    <s v=""/>
    <s v=""/>
    <s v=""/>
    <n v="0"/>
    <n v="0"/>
    <n v="0"/>
    <s v=""/>
    <n v="0"/>
    <e v="#N/A"/>
    <x v="1"/>
    <e v="#N/A"/>
    <e v="#N/A"/>
    <s v=""/>
  </r>
  <r>
    <m/>
    <x v="1"/>
    <s v="Haruki"/>
    <s v="Akaba"/>
    <m/>
    <s v="はるき"/>
    <s v="赤羽はるき"/>
    <s v="赤羽"/>
    <s v="❌ ID introuvable"/>
    <x v="0"/>
    <m/>
    <x v="1"/>
    <m/>
    <m/>
    <m/>
    <m/>
    <m/>
    <m/>
    <m/>
    <s v="happy.nara.0311@gmail.com"/>
    <s v="happy.nara.0311@gmail.com"/>
    <m/>
    <s v="090-1713-6778"/>
    <s v="電話番号"/>
    <m/>
    <s v="福岡南区若久5-5-803"/>
    <m/>
    <m/>
    <m/>
    <m/>
    <s v="Gmail"/>
    <m/>
    <s v="福岡南区若久5-5-803"/>
    <m/>
    <s v="幼稚園"/>
    <m/>
    <m/>
    <m/>
    <s v="赤羽はるき"/>
    <m/>
    <m/>
    <x v="0"/>
    <s v=""/>
    <x v="0"/>
    <x v="0"/>
    <s v=""/>
    <s v=""/>
    <s v=""/>
    <s v=""/>
    <s v=""/>
    <s v=""/>
    <x v="1"/>
    <s v=""/>
    <s v=""/>
    <s v=""/>
    <s v=""/>
    <n v="0"/>
    <n v="0"/>
    <n v="0"/>
    <s v=""/>
    <n v="0"/>
    <s v=""/>
    <x v="0"/>
    <s v=""/>
    <s v=""/>
    <s v=""/>
  </r>
  <r>
    <n v="30"/>
    <x v="2"/>
    <s v="Harumi"/>
    <s v="Higuchi"/>
    <m/>
    <s v="はるみ"/>
    <s v="樋口はるみ"/>
    <s v="樋口"/>
    <s v="🔗 Go to finance"/>
    <x v="2"/>
    <s v="private"/>
    <x v="6"/>
    <m/>
    <n v="3"/>
    <n v="17600"/>
    <n v="10900"/>
    <m/>
    <m/>
    <m/>
    <s v="namihigu@yahoo.co.jp"/>
    <m/>
    <m/>
    <s v="090-5745-8547"/>
    <s v="電話番号"/>
    <m/>
    <s v="筑紫野市紫2-1-12-104"/>
    <m/>
    <d v="2024-01-01T00:00:00"/>
    <m/>
    <m/>
    <s v="Gmail"/>
    <m/>
    <s v="筑紫野市紫2-1-12-104"/>
    <m/>
    <s v="プら,Adult"/>
    <m/>
    <m/>
    <m/>
    <s v="樋口はるみ"/>
    <n v="30"/>
    <s v="樋口はるみ"/>
    <x v="1"/>
    <n v="3"/>
    <x v="1"/>
    <x v="2"/>
    <s v=""/>
    <s v=""/>
    <s v=""/>
    <n v="3"/>
    <s v=""/>
    <n v="532"/>
    <x v="30"/>
    <e v="#N/A"/>
    <e v="#N/A"/>
    <s v="Hourly"/>
    <n v="2600"/>
    <n v="0"/>
    <n v="7800"/>
    <n v="7800"/>
    <e v="#N/A"/>
    <n v="9800"/>
    <e v="#N/A"/>
    <x v="1"/>
    <e v="#N/A"/>
    <e v="#N/A"/>
    <s v=""/>
  </r>
  <r>
    <m/>
    <x v="1"/>
    <s v="Hatsune"/>
    <s v="Nagai"/>
    <m/>
    <s v="初音"/>
    <s v="永井初音"/>
    <s v="永井"/>
    <s v="❌ ID introuvable"/>
    <x v="0"/>
    <m/>
    <x v="4"/>
    <m/>
    <m/>
    <m/>
    <m/>
    <m/>
    <m/>
    <m/>
    <s v="das-hause-liebesgottin@docomo.ne.jp"/>
    <s v="mokorann15@gmail.com"/>
    <m/>
    <s v="090-3010-4508"/>
    <s v="電話番号"/>
    <m/>
    <s v="〒811-1346_x000a_福岡市南区老司３丁目26－51"/>
    <m/>
    <d v="2019-06-22T00:00:00"/>
    <m/>
    <m/>
    <s v="Gmail"/>
    <m/>
    <s v="〒811-1346_x000a_福岡市南区老司３丁目26－51"/>
    <m/>
    <s v="小学生"/>
    <m/>
    <m/>
    <m/>
    <s v="永井初音"/>
    <m/>
    <m/>
    <x v="0"/>
    <s v=""/>
    <x v="3"/>
    <x v="5"/>
    <s v=""/>
    <s v=""/>
    <s v=""/>
    <s v=""/>
    <s v=""/>
    <s v=""/>
    <x v="31"/>
    <s v=""/>
    <s v=""/>
    <s v=""/>
    <s v=""/>
    <n v="0"/>
    <n v="0"/>
    <n v="0"/>
    <s v=""/>
    <n v="0"/>
    <e v="#N/A"/>
    <x v="1"/>
    <e v="#N/A"/>
    <e v="#N/A"/>
    <s v=""/>
  </r>
  <r>
    <m/>
    <x v="1"/>
    <s v="Hayato"/>
    <s v="Tsuruta"/>
    <m/>
    <s v="隼"/>
    <s v="鶴田隼"/>
    <s v="鶴田"/>
    <s v="❌ ID introuvable"/>
    <x v="0"/>
    <m/>
    <x v="2"/>
    <m/>
    <m/>
    <m/>
    <m/>
    <m/>
    <m/>
    <m/>
    <s v="hatokichi8810@gmail.com"/>
    <s v="hatokichi8810@gmail.com"/>
    <m/>
    <n v="8052626035"/>
    <s v="電話番号"/>
    <m/>
    <s v="〒815-0035_x000a_福岡市南区向野2-6-1-406"/>
    <m/>
    <m/>
    <m/>
    <m/>
    <s v="Gmail"/>
    <m/>
    <s v="〒815-0035_x000a_福岡市南区向野2-6-1-406"/>
    <m/>
    <s v="グルップ,大人"/>
    <m/>
    <m/>
    <m/>
    <s v="鶴田隼"/>
    <m/>
    <m/>
    <x v="0"/>
    <s v=""/>
    <x v="0"/>
    <x v="0"/>
    <s v=""/>
    <s v=""/>
    <s v=""/>
    <s v=""/>
    <s v=""/>
    <s v=""/>
    <x v="32"/>
    <s v=""/>
    <s v=""/>
    <s v=""/>
    <s v=""/>
    <n v="0"/>
    <n v="0"/>
    <n v="0"/>
    <s v=""/>
    <n v="0"/>
    <s v=""/>
    <x v="0"/>
    <s v=""/>
    <s v=""/>
    <s v=""/>
  </r>
  <r>
    <n v="114"/>
    <x v="1"/>
    <s v="Hikaru"/>
    <s v="Matake"/>
    <m/>
    <s v="ヒカル"/>
    <s v="眞竹ヒカル"/>
    <s v="眞竹"/>
    <s v="🔗 Go to finance"/>
    <x v="0"/>
    <m/>
    <x v="0"/>
    <m/>
    <m/>
    <m/>
    <m/>
    <m/>
    <m/>
    <m/>
    <s v="flower.ambassador@gmail.com"/>
    <s v="flower.ambassador@gmail.com"/>
    <m/>
    <n v="9043561808"/>
    <s v="電話番号"/>
    <m/>
    <s v="8150042_x000a_福岡市南区若久_x000a_6-67-7"/>
    <m/>
    <m/>
    <m/>
    <m/>
    <s v="Gmail"/>
    <m/>
    <s v="8150042_x000a_福岡市南区若久_x000a_6-67-7"/>
    <m/>
    <s v="小学生"/>
    <m/>
    <d v="2025-03-31T00:00:00"/>
    <m/>
    <s v="眞竹ヒカル"/>
    <m/>
    <m/>
    <x v="0"/>
    <s v=""/>
    <x v="0"/>
    <x v="0"/>
    <s v=""/>
    <s v=""/>
    <s v=""/>
    <s v=""/>
    <s v=""/>
    <s v=""/>
    <x v="33"/>
    <s v=""/>
    <s v=""/>
    <s v=""/>
    <s v=""/>
    <n v="0"/>
    <n v="0"/>
    <n v="0"/>
    <s v=""/>
    <n v="0"/>
    <s v=""/>
    <x v="0"/>
    <s v=""/>
    <s v=""/>
    <s v=""/>
  </r>
  <r>
    <m/>
    <x v="1"/>
    <s v="Hina"/>
    <s v="Hirata"/>
    <m/>
    <s v="妃奈"/>
    <s v="平田妃奈"/>
    <s v="平田"/>
    <s v="❌ ID introuvable"/>
    <x v="0"/>
    <m/>
    <x v="0"/>
    <m/>
    <m/>
    <m/>
    <m/>
    <m/>
    <m/>
    <m/>
    <s v="redflat41.hn@gmail.com"/>
    <s v="redflat41.hn@gmail.com"/>
    <m/>
    <s v="070-8439-9526"/>
    <s v="電話番号"/>
    <m/>
    <s v="福岡県福岡市南区老司1丁目二六-三-四-０"/>
    <m/>
    <m/>
    <m/>
    <m/>
    <s v="Gmail"/>
    <m/>
    <s v="福岡県福岡市南区老司1丁目二六-三-四-０"/>
    <m/>
    <s v="高校生"/>
    <m/>
    <m/>
    <m/>
    <s v="平田妃奈"/>
    <m/>
    <m/>
    <x v="0"/>
    <s v=""/>
    <x v="0"/>
    <x v="0"/>
    <s v=""/>
    <s v=""/>
    <s v=""/>
    <s v=""/>
    <s v=""/>
    <s v=""/>
    <x v="34"/>
    <s v=""/>
    <s v=""/>
    <s v=""/>
    <s v=""/>
    <n v="0"/>
    <n v="0"/>
    <n v="0"/>
    <s v=""/>
    <n v="0"/>
    <s v=""/>
    <x v="0"/>
    <s v=""/>
    <s v=""/>
    <s v=""/>
  </r>
  <r>
    <m/>
    <x v="1"/>
    <s v="Hina"/>
    <s v="Hirano"/>
    <m/>
    <s v="ひな"/>
    <s v="平野ひな"/>
    <s v="平野"/>
    <s v="❌ ID introuvable"/>
    <x v="0"/>
    <m/>
    <x v="0"/>
    <m/>
    <m/>
    <m/>
    <m/>
    <m/>
    <m/>
    <m/>
    <s v="r96475924@gmail.com"/>
    <s v="r96475924@gmail.com"/>
    <m/>
    <m/>
    <s v="電話番号"/>
    <m/>
    <s v="8111311_x000a_南区横手2丁目7-30-402"/>
    <m/>
    <d v="2024-07-01T00:00:00"/>
    <m/>
    <m/>
    <s v="Gmail"/>
    <m/>
    <s v="8111311_x000a_南区横手2丁目7-30-402"/>
    <m/>
    <s v="中高生"/>
    <m/>
    <m/>
    <m/>
    <s v="平野ひな"/>
    <m/>
    <m/>
    <x v="0"/>
    <s v=""/>
    <x v="7"/>
    <x v="2"/>
    <s v=""/>
    <s v=""/>
    <s v=""/>
    <s v=""/>
    <s v=""/>
    <s v=""/>
    <x v="35"/>
    <s v=""/>
    <s v=""/>
    <s v=""/>
    <s v=""/>
    <n v="0"/>
    <n v="0"/>
    <n v="0"/>
    <s v=""/>
    <n v="0"/>
    <e v="#N/A"/>
    <x v="1"/>
    <e v="#N/A"/>
    <e v="#N/A"/>
    <s v=""/>
  </r>
  <r>
    <m/>
    <x v="1"/>
    <s v="Hirao"/>
    <s v="Kinoshita"/>
    <m/>
    <s v="友菜"/>
    <s v="平尾友菜"/>
    <s v="平尾"/>
    <s v="❌ ID introuvable"/>
    <x v="0"/>
    <m/>
    <x v="0"/>
    <m/>
    <m/>
    <m/>
    <m/>
    <m/>
    <m/>
    <m/>
    <s v="yu050627ri@docomo.ne.jp"/>
    <m/>
    <m/>
    <s v="080-1791-6521"/>
    <s v="電話番号"/>
    <m/>
    <m/>
    <m/>
    <m/>
    <m/>
    <m/>
    <s v="Gmail"/>
    <m/>
    <m/>
    <m/>
    <m/>
    <m/>
    <m/>
    <m/>
    <s v="平尾友菜"/>
    <m/>
    <m/>
    <x v="0"/>
    <s v=""/>
    <x v="0"/>
    <x v="0"/>
    <s v=""/>
    <s v=""/>
    <s v=""/>
    <s v=""/>
    <s v=""/>
    <s v=""/>
    <x v="36"/>
    <s v=""/>
    <s v=""/>
    <s v=""/>
    <s v=""/>
    <n v="0"/>
    <n v="0"/>
    <n v="0"/>
    <s v=""/>
    <n v="0"/>
    <s v=""/>
    <x v="0"/>
    <s v=""/>
    <s v=""/>
    <s v=""/>
  </r>
  <r>
    <m/>
    <x v="1"/>
    <s v="Hirao"/>
    <s v="Ayaka"/>
    <m/>
    <s v="文蘭"/>
    <s v="平尾文蘭"/>
    <s v="平尾"/>
    <s v="❌ ID introuvable"/>
    <x v="0"/>
    <m/>
    <x v="2"/>
    <m/>
    <m/>
    <m/>
    <m/>
    <m/>
    <m/>
    <m/>
    <m/>
    <m/>
    <m/>
    <m/>
    <s v="電話番号"/>
    <m/>
    <s v="春日市春日原北町4-24-410"/>
    <m/>
    <m/>
    <m/>
    <m/>
    <s v="Gmail"/>
    <m/>
    <s v="春日市春日原北町4-24-410"/>
    <m/>
    <s v="プら,大人"/>
    <m/>
    <m/>
    <m/>
    <s v="平尾文蘭"/>
    <m/>
    <m/>
    <x v="0"/>
    <s v=""/>
    <x v="0"/>
    <x v="0"/>
    <s v=""/>
    <s v=""/>
    <s v=""/>
    <s v=""/>
    <s v=""/>
    <s v=""/>
    <x v="37"/>
    <s v=""/>
    <s v=""/>
    <s v=""/>
    <s v=""/>
    <n v="0"/>
    <n v="0"/>
    <n v="0"/>
    <s v=""/>
    <n v="0"/>
    <s v=""/>
    <x v="0"/>
    <s v=""/>
    <s v=""/>
    <s v=""/>
  </r>
  <r>
    <m/>
    <x v="1"/>
    <s v="Hiroko"/>
    <s v="Miyazaki"/>
    <m/>
    <s v="浩子"/>
    <s v="宮崎浩子"/>
    <s v="宮崎"/>
    <s v="❌ ID introuvable"/>
    <x v="0"/>
    <m/>
    <x v="2"/>
    <m/>
    <m/>
    <m/>
    <m/>
    <m/>
    <m/>
    <m/>
    <m/>
    <m/>
    <m/>
    <s v="090-4358-4096"/>
    <s v="電話番号"/>
    <m/>
    <s v="大野城市南が丘2-6-7"/>
    <m/>
    <m/>
    <m/>
    <m/>
    <s v="Gmail"/>
    <m/>
    <s v="大野城市南が丘2-6-7"/>
    <m/>
    <s v="プラ2回,大人"/>
    <m/>
    <m/>
    <m/>
    <s v="宮崎浩子"/>
    <m/>
    <m/>
    <x v="0"/>
    <s v=""/>
    <x v="0"/>
    <x v="0"/>
    <s v=""/>
    <s v=""/>
    <s v=""/>
    <s v=""/>
    <s v=""/>
    <s v=""/>
    <x v="38"/>
    <s v=""/>
    <s v=""/>
    <s v=""/>
    <s v=""/>
    <n v="0"/>
    <n v="0"/>
    <n v="0"/>
    <s v=""/>
    <n v="0"/>
    <s v=""/>
    <x v="0"/>
    <s v=""/>
    <s v=""/>
    <s v=""/>
  </r>
  <r>
    <m/>
    <x v="1"/>
    <s v="Hironao"/>
    <s v="Onuma"/>
    <m/>
    <s v="弘尚"/>
    <s v="小沼弘尚"/>
    <s v="小沼"/>
    <s v="❌ ID introuvable"/>
    <x v="0"/>
    <m/>
    <x v="0"/>
    <m/>
    <m/>
    <m/>
    <m/>
    <m/>
    <m/>
    <m/>
    <s v="kao.x3k@gmail.com"/>
    <s v="kao.x3k@gmail.com"/>
    <m/>
    <n v="8039421080"/>
    <s v="電話番号"/>
    <m/>
    <s v="811-1346_x000a_南区老司3-4-27-302"/>
    <m/>
    <d v="2024-07-08T00:00:00"/>
    <m/>
    <m/>
    <s v="Gmail"/>
    <m/>
    <s v="811-1346_x000a_南区老司3-4-27-302"/>
    <m/>
    <s v="セミプラ"/>
    <m/>
    <d v="2025-01-31T00:00:00"/>
    <m/>
    <s v="小沼弘尚"/>
    <m/>
    <m/>
    <x v="0"/>
    <s v=""/>
    <x v="7"/>
    <x v="2"/>
    <s v=""/>
    <s v=""/>
    <s v=""/>
    <s v=""/>
    <s v=""/>
    <s v=""/>
    <x v="39"/>
    <s v=""/>
    <s v=""/>
    <s v=""/>
    <s v=""/>
    <n v="0"/>
    <n v="0"/>
    <n v="0"/>
    <s v=""/>
    <n v="0"/>
    <e v="#N/A"/>
    <x v="1"/>
    <e v="#N/A"/>
    <e v="#N/A"/>
    <e v="#N/A"/>
  </r>
  <r>
    <m/>
    <x v="1"/>
    <s v="Hiroshi"/>
    <s v="Yamada"/>
    <m/>
    <s v="寛"/>
    <s v="山田寛"/>
    <s v="山田"/>
    <s v="❌ ID introuvable"/>
    <x v="0"/>
    <m/>
    <x v="2"/>
    <m/>
    <m/>
    <m/>
    <m/>
    <m/>
    <m/>
    <m/>
    <s v="ymd.a.h.man@gmail.com"/>
    <m/>
    <m/>
    <s v="090-3191-4441"/>
    <s v="電話番号"/>
    <m/>
    <s v="筑紫郡那珂川町方縄北2-2-11"/>
    <m/>
    <m/>
    <m/>
    <m/>
    <s v="Gmail"/>
    <m/>
    <s v="筑紫郡那珂川町方縄北2-2-11"/>
    <m/>
    <s v="プラ2回,大人"/>
    <m/>
    <m/>
    <m/>
    <s v="山田寛"/>
    <m/>
    <m/>
    <x v="0"/>
    <s v=""/>
    <x v="0"/>
    <x v="0"/>
    <s v=""/>
    <s v=""/>
    <s v=""/>
    <s v=""/>
    <s v=""/>
    <s v=""/>
    <x v="40"/>
    <s v=""/>
    <s v=""/>
    <s v=""/>
    <s v=""/>
    <n v="0"/>
    <n v="0"/>
    <n v="0"/>
    <s v=""/>
    <n v="0"/>
    <s v=""/>
    <x v="0"/>
    <s v=""/>
    <s v=""/>
    <s v=""/>
  </r>
  <r>
    <m/>
    <x v="1"/>
    <s v="Hisae"/>
    <s v="Eguchi"/>
    <m/>
    <s v="久枝"/>
    <s v="江口久枝"/>
    <s v="江口"/>
    <s v="❌ ID introuvable"/>
    <x v="0"/>
    <m/>
    <x v="2"/>
    <m/>
    <m/>
    <m/>
    <m/>
    <m/>
    <m/>
    <m/>
    <s v="poipoipoi@ezweb.ne.jp"/>
    <m/>
    <m/>
    <s v="090-8289-2450"/>
    <s v="電話番号"/>
    <m/>
    <s v="福岡市南区向野1-14-8-303"/>
    <m/>
    <m/>
    <m/>
    <m/>
    <s v="Gmail"/>
    <m/>
    <s v="福岡市南区向野1-14-8-303"/>
    <m/>
    <s v="プラ2回古い,大人"/>
    <m/>
    <m/>
    <m/>
    <s v="江口久枝"/>
    <m/>
    <m/>
    <x v="0"/>
    <s v=""/>
    <x v="0"/>
    <x v="0"/>
    <s v=""/>
    <s v=""/>
    <s v=""/>
    <s v=""/>
    <s v=""/>
    <s v=""/>
    <x v="41"/>
    <s v=""/>
    <s v=""/>
    <s v=""/>
    <s v=""/>
    <n v="0"/>
    <n v="0"/>
    <n v="0"/>
    <s v=""/>
    <n v="0"/>
    <s v=""/>
    <x v="0"/>
    <s v=""/>
    <s v=""/>
    <s v=""/>
  </r>
  <r>
    <m/>
    <x v="1"/>
    <s v="Hitomi"/>
    <s v="Abe"/>
    <m/>
    <s v="ひとみ"/>
    <s v="安部ひとみ"/>
    <s v="安部"/>
    <s v="❌ ID introuvable"/>
    <x v="0"/>
    <m/>
    <x v="4"/>
    <m/>
    <m/>
    <m/>
    <m/>
    <m/>
    <m/>
    <m/>
    <s v="seiabe1973@gmail.com"/>
    <s v="seiabe1973@gmail.com"/>
    <m/>
    <s v="090-4484-6215"/>
    <s v="電話番号"/>
    <m/>
    <s v="815-0035福岡市南区向野2-14-1森藤不動産ビル413号室"/>
    <m/>
    <d v="2021-02-09T00:00:00"/>
    <m/>
    <m/>
    <s v="Gmail"/>
    <m/>
    <s v="815-0035福岡市南区向野2-14-1森藤不動産ビル413号室"/>
    <m/>
    <s v="小学生"/>
    <m/>
    <m/>
    <m/>
    <s v="安部ひとみ"/>
    <m/>
    <m/>
    <x v="0"/>
    <s v=""/>
    <x v="2"/>
    <x v="6"/>
    <s v=""/>
    <s v=""/>
    <s v=""/>
    <s v=""/>
    <s v=""/>
    <s v=""/>
    <x v="42"/>
    <s v=""/>
    <s v=""/>
    <s v=""/>
    <s v=""/>
    <n v="0"/>
    <n v="0"/>
    <n v="0"/>
    <s v=""/>
    <n v="0"/>
    <e v="#N/A"/>
    <x v="1"/>
    <e v="#N/A"/>
    <e v="#N/A"/>
    <s v=""/>
  </r>
  <r>
    <m/>
    <x v="1"/>
    <s v="Honami"/>
    <s v="Kinoshita"/>
    <m/>
    <s v="保奈美"/>
    <s v="竹市保奈美"/>
    <s v="竹市"/>
    <s v="❌ ID introuvable"/>
    <x v="0"/>
    <m/>
    <x v="0"/>
    <m/>
    <m/>
    <m/>
    <m/>
    <m/>
    <m/>
    <m/>
    <s v="h.0205-f.0625@docomo.ne.jp"/>
    <m/>
    <m/>
    <s v="080-3187-3816"/>
    <s v="電話番号"/>
    <m/>
    <m/>
    <m/>
    <m/>
    <m/>
    <m/>
    <s v="Gmail"/>
    <m/>
    <m/>
    <m/>
    <m/>
    <m/>
    <m/>
    <m/>
    <s v="竹市保奈美"/>
    <m/>
    <m/>
    <x v="0"/>
    <s v=""/>
    <x v="0"/>
    <x v="0"/>
    <s v=""/>
    <s v=""/>
    <s v=""/>
    <s v=""/>
    <s v=""/>
    <s v=""/>
    <x v="43"/>
    <s v=""/>
    <s v=""/>
    <s v=""/>
    <s v=""/>
    <n v="0"/>
    <n v="0"/>
    <n v="0"/>
    <s v=""/>
    <n v="0"/>
    <s v=""/>
    <x v="0"/>
    <s v=""/>
    <s v=""/>
    <s v=""/>
  </r>
  <r>
    <m/>
    <x v="1"/>
    <s v="Ichie"/>
    <s v="Sano"/>
    <m/>
    <s v="一恵"/>
    <s v="佐野一恵"/>
    <s v="佐野"/>
    <s v="❌ ID introuvable"/>
    <x v="0"/>
    <m/>
    <x v="0"/>
    <m/>
    <m/>
    <m/>
    <m/>
    <m/>
    <m/>
    <m/>
    <s v="ichie7777@me.com"/>
    <m/>
    <m/>
    <n v="9025036958"/>
    <s v="電話番号"/>
    <m/>
    <s v="福岡県大野城し雑餉隈町1丁目8-11"/>
    <m/>
    <m/>
    <m/>
    <m/>
    <s v="Gmail"/>
    <m/>
    <s v="福岡県大野城し雑餉隈町1丁目8-11"/>
    <m/>
    <s v="グルップ"/>
    <m/>
    <m/>
    <m/>
    <s v="佐野一恵"/>
    <m/>
    <m/>
    <x v="0"/>
    <s v=""/>
    <x v="0"/>
    <x v="0"/>
    <s v=""/>
    <s v=""/>
    <s v=""/>
    <s v=""/>
    <s v=""/>
    <s v=""/>
    <x v="44"/>
    <s v=""/>
    <s v=""/>
    <s v=""/>
    <s v=""/>
    <n v="0"/>
    <n v="0"/>
    <n v="0"/>
    <s v=""/>
    <n v="0"/>
    <s v=""/>
    <x v="0"/>
    <s v=""/>
    <s v=""/>
    <s v=""/>
  </r>
  <r>
    <n v="114"/>
    <x v="1"/>
    <s v="Ichika"/>
    <s v="Matake"/>
    <m/>
    <s v="いちか"/>
    <s v="眞竹いちか"/>
    <s v="眞竹"/>
    <s v="🔗 Go to finance"/>
    <x v="0"/>
    <m/>
    <x v="0"/>
    <m/>
    <m/>
    <m/>
    <m/>
    <m/>
    <m/>
    <m/>
    <s v="flower.ambassador@gmail.com"/>
    <s v="flower.ambassador@gmail.com"/>
    <m/>
    <n v="9043561808"/>
    <s v="電話番号"/>
    <m/>
    <s v="8150042_x000a_福岡市南区若久_x000a_6-67-7"/>
    <m/>
    <m/>
    <m/>
    <m/>
    <s v="Gmail"/>
    <m/>
    <s v="8150042_x000a_福岡市南区若久_x000a_6-67-7"/>
    <m/>
    <s v="小学生"/>
    <m/>
    <d v="2025-03-31T00:00:00"/>
    <m/>
    <s v="眞竹いちか"/>
    <m/>
    <m/>
    <x v="0"/>
    <s v=""/>
    <x v="0"/>
    <x v="0"/>
    <s v=""/>
    <s v=""/>
    <s v=""/>
    <s v=""/>
    <s v=""/>
    <s v=""/>
    <x v="45"/>
    <s v=""/>
    <s v=""/>
    <s v=""/>
    <s v=""/>
    <n v="0"/>
    <n v="0"/>
    <n v="0"/>
    <s v=""/>
    <n v="0"/>
    <s v=""/>
    <x v="0"/>
    <s v=""/>
    <s v=""/>
    <s v=""/>
  </r>
  <r>
    <m/>
    <x v="1"/>
    <s v="Ichiro"/>
    <s v="Uchiyama"/>
    <m/>
    <s v="一郎"/>
    <s v="内山一郎"/>
    <s v="内山"/>
    <s v="❌ ID introuvable"/>
    <x v="0"/>
    <m/>
    <x v="0"/>
    <m/>
    <m/>
    <m/>
    <m/>
    <m/>
    <m/>
    <m/>
    <s v="pokemonyo130@gmail.com"/>
    <s v="pokemonyo130@gmail.com"/>
    <m/>
    <m/>
    <s v="電話番号"/>
    <m/>
    <s v="福岡市南区清水4-206-203"/>
    <m/>
    <m/>
    <m/>
    <m/>
    <s v="Gmail"/>
    <m/>
    <s v="福岡市南区清水4-206-203"/>
    <m/>
    <s v="幼稚園"/>
    <m/>
    <m/>
    <m/>
    <s v="内山一郎"/>
    <m/>
    <m/>
    <x v="0"/>
    <s v=""/>
    <x v="0"/>
    <x v="0"/>
    <s v=""/>
    <s v=""/>
    <s v=""/>
    <s v=""/>
    <s v=""/>
    <s v=""/>
    <x v="46"/>
    <s v=""/>
    <s v=""/>
    <s v=""/>
    <s v=""/>
    <n v="0"/>
    <n v="0"/>
    <n v="0"/>
    <s v=""/>
    <n v="0"/>
    <s v=""/>
    <x v="0"/>
    <s v=""/>
    <s v=""/>
    <s v=""/>
  </r>
  <r>
    <n v="113"/>
    <x v="2"/>
    <s v="Iori"/>
    <s v="Maeda"/>
    <m/>
    <s v="いおり"/>
    <s v="前田いおり"/>
    <s v="前田"/>
    <s v="🔗 Go to finance"/>
    <x v="1"/>
    <s v="group"/>
    <x v="7"/>
    <m/>
    <n v="4"/>
    <n v="6050"/>
    <m/>
    <m/>
    <d v="2023-08-01T00:00:00"/>
    <m/>
    <s v="nazuna0420_0420@yahoo.co.jp"/>
    <s v="maeaki0420@gmail.com"/>
    <m/>
    <n v="9074595366"/>
    <s v="電話番号"/>
    <m/>
    <s v="815003_x000a_福岡市南区大橋1-4-20-701"/>
    <m/>
    <d v="2024-01-01T00:00:00"/>
    <m/>
    <m/>
    <s v="Gmail"/>
    <m/>
    <s v="815003_x000a_福岡市南区大橋1-4-20-701"/>
    <m/>
    <s v="Baby"/>
    <m/>
    <m/>
    <m/>
    <s v="前田いおり"/>
    <m/>
    <m/>
    <x v="2"/>
    <n v="4"/>
    <x v="1"/>
    <x v="2"/>
    <s v=""/>
    <s v=""/>
    <s v=""/>
    <s v=""/>
    <s v=""/>
    <n v="532"/>
    <x v="47"/>
    <s v=""/>
    <s v=""/>
    <s v="Fixed"/>
    <n v="210000"/>
    <s v="-"/>
    <s v="----"/>
    <s v="---"/>
    <s v=""/>
    <s v=""/>
    <e v="#N/A"/>
    <x v="1"/>
    <e v="#N/A"/>
    <e v="#N/A"/>
    <s v=""/>
  </r>
  <r>
    <n v="49"/>
    <x v="2"/>
    <s v="Itsuki"/>
    <s v="Ono"/>
    <m/>
    <s v="樹"/>
    <s v="大野樹"/>
    <s v="大野"/>
    <s v="🔗 Go to finance"/>
    <x v="1"/>
    <s v="group"/>
    <x v="7"/>
    <m/>
    <n v="4"/>
    <n v="6600"/>
    <m/>
    <m/>
    <d v="2019-09-03T00:00:00"/>
    <m/>
    <s v="hiroshix55@hotmail.com"/>
    <m/>
    <m/>
    <s v="09071554570(父)"/>
    <s v="電話番号"/>
    <m/>
    <m/>
    <m/>
    <d v="2018-01-01T00:00:00"/>
    <m/>
    <m/>
    <s v="Gmail"/>
    <m/>
    <m/>
    <m/>
    <s v="小学生"/>
    <m/>
    <m/>
    <m/>
    <s v="大野樹"/>
    <n v="49"/>
    <s v="大野樹"/>
    <x v="2"/>
    <n v="4"/>
    <x v="1"/>
    <x v="7"/>
    <s v=""/>
    <s v=""/>
    <s v=""/>
    <s v=""/>
    <s v=""/>
    <n v="2723"/>
    <x v="48"/>
    <s v=""/>
    <s v=""/>
    <s v="Fixed"/>
    <n v="210000"/>
    <s v="-"/>
    <s v="----"/>
    <s v="---"/>
    <s v=""/>
    <s v=""/>
    <e v="#N/A"/>
    <x v="1"/>
    <e v="#N/A"/>
    <e v="#N/A"/>
    <s v=""/>
  </r>
  <r>
    <m/>
    <x v="1"/>
    <s v="Kaho"/>
    <s v="Tokieda"/>
    <m/>
    <s v="佳穂"/>
    <s v="時枝佳穂"/>
    <s v="時枝"/>
    <s v="❌ ID introuvable"/>
    <x v="0"/>
    <m/>
    <x v="2"/>
    <m/>
    <m/>
    <m/>
    <m/>
    <m/>
    <m/>
    <m/>
    <s v="kaho_1113@me.com"/>
    <m/>
    <m/>
    <s v="080-8363-4635"/>
    <s v="電話番号"/>
    <m/>
    <s v="福岡市南区井尻1-29-29-202"/>
    <m/>
    <m/>
    <m/>
    <m/>
    <s v="Gmail"/>
    <m/>
    <s v="福岡市南区井尻1-29-29-202"/>
    <m/>
    <s v="グループ2回＆プラ1回,大人"/>
    <m/>
    <m/>
    <m/>
    <s v="時枝佳穂"/>
    <m/>
    <m/>
    <x v="0"/>
    <s v=""/>
    <x v="0"/>
    <x v="0"/>
    <s v=""/>
    <s v=""/>
    <s v=""/>
    <s v=""/>
    <s v=""/>
    <s v=""/>
    <x v="49"/>
    <s v=""/>
    <s v=""/>
    <s v=""/>
    <s v=""/>
    <n v="0"/>
    <n v="0"/>
    <n v="0"/>
    <s v=""/>
    <n v="0"/>
    <s v=""/>
    <x v="0"/>
    <s v=""/>
    <s v=""/>
    <s v=""/>
  </r>
  <r>
    <m/>
    <x v="1"/>
    <s v="Kai"/>
    <s v="Toriyama"/>
    <m/>
    <s v="かい"/>
    <s v="鳥山かい"/>
    <s v="鳥山"/>
    <s v="❌ ID introuvable"/>
    <x v="0"/>
    <m/>
    <x v="0"/>
    <m/>
    <m/>
    <m/>
    <m/>
    <m/>
    <m/>
    <m/>
    <s v="slowlive_slowlove@yahoo.co.jp"/>
    <m/>
    <m/>
    <n v="9059443268"/>
    <s v="電話番号"/>
    <m/>
    <s v="8150033_x000a_福岡市南区大橋2-28-24-912"/>
    <m/>
    <m/>
    <m/>
    <m/>
    <s v="Gmail"/>
    <m/>
    <s v="8150033_x000a_福岡市南区大橋2-28-24-912"/>
    <m/>
    <s v="中高生"/>
    <m/>
    <d v="2025-02-28T00:00:00"/>
    <m/>
    <s v="鳥山かい"/>
    <m/>
    <m/>
    <x v="0"/>
    <s v=""/>
    <x v="0"/>
    <x v="0"/>
    <s v=""/>
    <s v=""/>
    <s v=""/>
    <s v=""/>
    <s v=""/>
    <s v=""/>
    <x v="50"/>
    <s v=""/>
    <s v=""/>
    <s v=""/>
    <s v=""/>
    <n v="0"/>
    <n v="0"/>
    <n v="0"/>
    <s v=""/>
    <n v="0"/>
    <s v=""/>
    <x v="0"/>
    <s v=""/>
    <s v=""/>
    <s v=""/>
  </r>
  <r>
    <m/>
    <x v="1"/>
    <s v="Kaito"/>
    <s v="Takaji"/>
    <m/>
    <s v="じ かいと髙司 海都"/>
    <s v="たかじ かいと髙司 海都"/>
    <s v="たか"/>
    <s v="❌ ID introuvable"/>
    <x v="0"/>
    <m/>
    <x v="1"/>
    <m/>
    <m/>
    <m/>
    <m/>
    <m/>
    <m/>
    <m/>
    <s v="tae05238@yahoo.co.jp"/>
    <m/>
    <m/>
    <s v="080-3967-1595"/>
    <s v="電話番号"/>
    <m/>
    <m/>
    <m/>
    <m/>
    <m/>
    <m/>
    <s v="Gmail"/>
    <m/>
    <m/>
    <m/>
    <s v="小学生,幼稚園"/>
    <m/>
    <m/>
    <m/>
    <s v="たかじ かいと髙司 海都"/>
    <m/>
    <m/>
    <x v="0"/>
    <s v=""/>
    <x v="0"/>
    <x v="0"/>
    <s v=""/>
    <s v=""/>
    <s v=""/>
    <s v=""/>
    <s v=""/>
    <s v=""/>
    <x v="51"/>
    <s v=""/>
    <s v=""/>
    <s v=""/>
    <s v=""/>
    <n v="0"/>
    <n v="0"/>
    <n v="0"/>
    <s v=""/>
    <n v="0"/>
    <s v=""/>
    <x v="0"/>
    <s v=""/>
    <s v=""/>
    <s v=""/>
  </r>
  <r>
    <m/>
    <x v="1"/>
    <s v="Kaito"/>
    <s v="Uetsuki"/>
    <m/>
    <s v="海翔"/>
    <s v="植月海翔"/>
    <s v="植月"/>
    <s v="❌ ID introuvable"/>
    <x v="0"/>
    <m/>
    <x v="5"/>
    <m/>
    <m/>
    <m/>
    <m/>
    <m/>
    <m/>
    <m/>
    <s v="junichi1216@ezweb.ne.jp"/>
    <m/>
    <m/>
    <s v="090-5739-9612"/>
    <s v="電話番号"/>
    <m/>
    <s v="福岡市南区横手1-14-14"/>
    <m/>
    <m/>
    <m/>
    <m/>
    <s v="Gmail"/>
    <m/>
    <s v="福岡市南区横手1-14-14"/>
    <m/>
    <s v="プら,高校生"/>
    <m/>
    <m/>
    <m/>
    <s v="植月海翔"/>
    <m/>
    <m/>
    <x v="0"/>
    <s v=""/>
    <x v="0"/>
    <x v="0"/>
    <s v=""/>
    <s v=""/>
    <s v=""/>
    <s v=""/>
    <s v=""/>
    <s v=""/>
    <x v="52"/>
    <s v=""/>
    <s v=""/>
    <s v=""/>
    <s v=""/>
    <n v="0"/>
    <n v="0"/>
    <n v="0"/>
    <s v=""/>
    <n v="0"/>
    <s v=""/>
    <x v="0"/>
    <s v=""/>
    <s v=""/>
    <s v=""/>
  </r>
  <r>
    <m/>
    <x v="1"/>
    <s v="Kanon"/>
    <s v="Mizukami"/>
    <m/>
    <s v="香音"/>
    <s v="水上香音"/>
    <s v="水上"/>
    <s v="❌ ID introuvable"/>
    <x v="2"/>
    <s v="private"/>
    <x v="8"/>
    <m/>
    <n v="4"/>
    <n v="19800"/>
    <m/>
    <m/>
    <m/>
    <m/>
    <s v="mi-pon.1974long-lord@au.com"/>
    <m/>
    <m/>
    <s v="092-541-6787"/>
    <s v="電話番号"/>
    <m/>
    <s v="815-0032_x000a_福岡市南区塩原4-4-15-1003"/>
    <m/>
    <d v="2021-04-15T00:00:00"/>
    <m/>
    <m/>
    <s v="Gmail"/>
    <m/>
    <s v="815-0032_x000a_福岡市南区塩原4-4-15-1003"/>
    <m/>
    <s v="セミプラ"/>
    <m/>
    <d v="2025-05-31T00:00:00"/>
    <m/>
    <s v="水上香音"/>
    <m/>
    <m/>
    <x v="1"/>
    <n v="4"/>
    <x v="5"/>
    <x v="6"/>
    <s v=""/>
    <s v=""/>
    <s v=""/>
    <n v="4"/>
    <s v=""/>
    <s v=""/>
    <x v="53"/>
    <e v="#N/A"/>
    <e v="#N/A"/>
    <s v="Hourly"/>
    <n v="2600"/>
    <n v="0"/>
    <n v="10400"/>
    <n v="10400"/>
    <e v="#N/A"/>
    <n v="9400"/>
    <e v="#N/A"/>
    <x v="1"/>
    <e v="#N/A"/>
    <e v="#N/A"/>
    <e v="#N/A"/>
  </r>
  <r>
    <m/>
    <x v="1"/>
    <s v="Kanrin"/>
    <m/>
    <m/>
    <s v="オン ティ スアン"/>
    <s v="チュオン ティ スアン"/>
    <s v="チュ"/>
    <s v="❌ ID introuvable"/>
    <x v="0"/>
    <m/>
    <x v="4"/>
    <m/>
    <m/>
    <n v="19800"/>
    <m/>
    <m/>
    <m/>
    <m/>
    <s v="pvmanh2008@gmail.com(父)"/>
    <s v="truongxuan260286@gmail.com"/>
    <m/>
    <s v="080-2236-1879(母)"/>
    <s v="電話番号"/>
    <m/>
    <s v="〒815-0035_x000a_福岡市南区向野2丁目23-8 パークサイドハイツ103"/>
    <m/>
    <d v="2020-02-01T00:00:00"/>
    <m/>
    <m/>
    <s v="Gmail"/>
    <m/>
    <s v="〒815-0035_x000a_福岡市南区向野2丁目23-8 パークサイドハイツ103"/>
    <m/>
    <s v="小学生"/>
    <m/>
    <m/>
    <m/>
    <s v="チュオン ティ スアン"/>
    <m/>
    <m/>
    <x v="0"/>
    <s v=""/>
    <x v="2"/>
    <x v="4"/>
    <s v=""/>
    <s v=""/>
    <s v=""/>
    <s v=""/>
    <s v=""/>
    <s v=""/>
    <x v="54"/>
    <s v=""/>
    <s v=""/>
    <s v=""/>
    <s v=""/>
    <n v="0"/>
    <n v="0"/>
    <n v="0"/>
    <s v=""/>
    <n v="19800"/>
    <e v="#N/A"/>
    <x v="1"/>
    <e v="#N/A"/>
    <e v="#N/A"/>
    <s v=""/>
  </r>
  <r>
    <m/>
    <x v="1"/>
    <s v="Kaori"/>
    <s v="Ban"/>
    <m/>
    <s v="織"/>
    <s v="伴香織"/>
    <s v="伴香"/>
    <s v="❌ ID introuvable"/>
    <x v="0"/>
    <m/>
    <x v="0"/>
    <m/>
    <m/>
    <m/>
    <m/>
    <m/>
    <m/>
    <m/>
    <s v="kaori.ban12@gmail.com"/>
    <m/>
    <m/>
    <s v="080-1777-0991"/>
    <s v="電話番号"/>
    <m/>
    <m/>
    <m/>
    <m/>
    <m/>
    <m/>
    <s v="Gmail"/>
    <m/>
    <m/>
    <m/>
    <m/>
    <m/>
    <m/>
    <m/>
    <s v="伴香織"/>
    <m/>
    <m/>
    <x v="0"/>
    <s v=""/>
    <x v="0"/>
    <x v="0"/>
    <s v=""/>
    <s v=""/>
    <s v=""/>
    <s v=""/>
    <s v=""/>
    <s v=""/>
    <x v="55"/>
    <s v=""/>
    <s v=""/>
    <s v=""/>
    <s v=""/>
    <n v="0"/>
    <n v="0"/>
    <n v="0"/>
    <s v=""/>
    <n v="0"/>
    <s v=""/>
    <x v="0"/>
    <s v=""/>
    <s v=""/>
    <s v=""/>
  </r>
  <r>
    <n v="127"/>
    <x v="2"/>
    <s v="Kaori"/>
    <s v="Nishiyori"/>
    <m/>
    <s v="香織"/>
    <s v="西依香織"/>
    <s v="西依"/>
    <s v="🔗 Go to finance"/>
    <x v="2"/>
    <s v="private"/>
    <x v="6"/>
    <m/>
    <n v="4"/>
    <n v="19800"/>
    <n v="0"/>
    <m/>
    <m/>
    <m/>
    <s v="k.rp.0306@gmail.com"/>
    <s v="k.rp.0306@gmail.com"/>
    <m/>
    <m/>
    <s v="電話番号"/>
    <m/>
    <s v="8150032_x000a_福岡市南区塩原3-21-37"/>
    <m/>
    <d v="2024-04-01T00:00:00"/>
    <m/>
    <m/>
    <s v="Gmail"/>
    <m/>
    <s v="8150032_x000a_福岡市南区塩原3-21-37"/>
    <m/>
    <s v="プら"/>
    <m/>
    <m/>
    <m/>
    <s v="西依香織"/>
    <n v="127"/>
    <s v="西依香織"/>
    <x v="1"/>
    <n v="4"/>
    <x v="5"/>
    <x v="2"/>
    <s v=""/>
    <s v=""/>
    <s v=""/>
    <n v="4"/>
    <s v=""/>
    <n v="441"/>
    <x v="56"/>
    <e v="#N/A"/>
    <e v="#N/A"/>
    <s v="Hourly"/>
    <n v="2600"/>
    <n v="0"/>
    <n v="10400"/>
    <n v="10400"/>
    <e v="#N/A"/>
    <n v="9400"/>
    <e v="#N/A"/>
    <x v="1"/>
    <e v="#N/A"/>
    <e v="#N/A"/>
    <s v=""/>
  </r>
  <r>
    <n v="160"/>
    <x v="2"/>
    <s v="Karen"/>
    <s v="Inoue"/>
    <m/>
    <s v="カレン "/>
    <s v="井上カレン "/>
    <s v="井上"/>
    <s v="🔗 Go to finance"/>
    <x v="3"/>
    <s v="private"/>
    <x v="8"/>
    <m/>
    <n v="4"/>
    <n v="9500"/>
    <m/>
    <m/>
    <d v="2024-10-01T00:00:00"/>
    <m/>
    <s v="letsgochan50@gmail.com"/>
    <s v="letsgochan50@gmail.com"/>
    <m/>
    <n v="9016650272"/>
    <s v="電話番号"/>
    <m/>
    <m/>
    <m/>
    <d v="2024-10-01T00:00:00"/>
    <m/>
    <m/>
    <s v="Gmail"/>
    <m/>
    <m/>
    <s v="halka0130@yahoo.co.jp is Karen mail"/>
    <s v="プら"/>
    <m/>
    <m/>
    <m/>
    <s v="井上カレン ごう さら"/>
    <m/>
    <m/>
    <x v="1"/>
    <n v="4"/>
    <x v="6"/>
    <x v="2"/>
    <s v=""/>
    <s v=""/>
    <s v=""/>
    <n v="4"/>
    <s v=""/>
    <n v="258"/>
    <x v="57"/>
    <e v="#N/A"/>
    <e v="#N/A"/>
    <s v="Hourly"/>
    <n v="3000"/>
    <n v="0"/>
    <n v="12000"/>
    <n v="12000"/>
    <e v="#N/A"/>
    <n v="-2500"/>
    <e v="#N/A"/>
    <x v="1"/>
    <e v="#N/A"/>
    <e v="#N/A"/>
    <s v=""/>
  </r>
  <r>
    <n v="160"/>
    <x v="2"/>
    <s v="Go"/>
    <s v="Inoue"/>
    <m/>
    <s v="ごう"/>
    <s v="井上 ごう"/>
    <s v="井上"/>
    <s v="🔗 Go to finance"/>
    <x v="3"/>
    <s v="private"/>
    <x v="7"/>
    <s v="Group D"/>
    <n v="4"/>
    <n v="7000"/>
    <m/>
    <m/>
    <d v="2024-10-01T00:00:00"/>
    <m/>
    <s v="letsgochan50@gmail.com"/>
    <s v="letsgochan50@gmail.com"/>
    <m/>
    <n v="9016650272"/>
    <s v="電話番号"/>
    <m/>
    <m/>
    <m/>
    <d v="2024-10-01T00:00:00"/>
    <m/>
    <m/>
    <s v="Gmail"/>
    <m/>
    <m/>
    <s v="halka0130@yahoo.co.jp is Karen mail"/>
    <s v="プら"/>
    <m/>
    <m/>
    <m/>
    <s v="井上カレン ごう さら"/>
    <m/>
    <m/>
    <x v="1"/>
    <n v="4"/>
    <x v="6"/>
    <x v="2"/>
    <s v="Group DThomas"/>
    <n v="4"/>
    <n v="1"/>
    <n v="4"/>
    <n v="4"/>
    <n v="258"/>
    <x v="58"/>
    <e v="#N/A"/>
    <e v="#N/A"/>
    <s v="Hourly"/>
    <n v="3000"/>
    <n v="12000"/>
    <n v="12000"/>
    <n v="24000"/>
    <e v="#N/A"/>
    <n v="-17000"/>
    <e v="#N/A"/>
    <x v="1"/>
    <e v="#N/A"/>
    <e v="#N/A"/>
    <s v=""/>
  </r>
  <r>
    <n v="160"/>
    <x v="2"/>
    <s v=" Sara"/>
    <s v="Inoue"/>
    <m/>
    <s v="さら"/>
    <s v="井上 さら"/>
    <s v="井上"/>
    <s v="🔗 Go to finance"/>
    <x v="3"/>
    <s v="group"/>
    <x v="9"/>
    <s v="Group A"/>
    <n v="4"/>
    <n v="20500"/>
    <m/>
    <m/>
    <d v="2024-10-01T00:00:00"/>
    <m/>
    <s v="letsgochan50@gmail.com"/>
    <s v="letsgochan50@gmail.com"/>
    <m/>
    <n v="9016650272"/>
    <s v="電話番号"/>
    <m/>
    <m/>
    <m/>
    <d v="2024-10-01T00:00:00"/>
    <m/>
    <m/>
    <s v="Gmail"/>
    <m/>
    <m/>
    <s v="halka0130@yahoo.co.jp is Karen mail"/>
    <s v="プら"/>
    <m/>
    <m/>
    <m/>
    <s v="井上カレン ごう さら"/>
    <m/>
    <m/>
    <x v="2"/>
    <n v="4"/>
    <x v="6"/>
    <x v="2"/>
    <s v="Group AThomas"/>
    <n v="4"/>
    <n v="1"/>
    <s v=""/>
    <n v="4"/>
    <n v="258"/>
    <x v="59"/>
    <e v="#N/A"/>
    <e v="#N/A"/>
    <s v="Hourly"/>
    <n v="3000"/>
    <n v="12000"/>
    <n v="0"/>
    <n v="12000"/>
    <e v="#N/A"/>
    <n v="8500"/>
    <e v="#N/A"/>
    <x v="1"/>
    <e v="#N/A"/>
    <e v="#N/A"/>
    <s v=""/>
  </r>
  <r>
    <m/>
    <x v="1"/>
    <s v="Katsuki"/>
    <s v="Murakami"/>
    <m/>
    <s v="克樹"/>
    <s v="村上克樹"/>
    <s v="村上"/>
    <s v="❌ ID introuvable"/>
    <x v="0"/>
    <m/>
    <x v="2"/>
    <m/>
    <m/>
    <m/>
    <m/>
    <m/>
    <m/>
    <m/>
    <s v="rukam-kat722.521@ezweb.ne.jp"/>
    <m/>
    <m/>
    <s v="090-6903-9458"/>
    <s v="電話番号"/>
    <m/>
    <s v="福岡市南区南大橋2-15-22-1"/>
    <m/>
    <m/>
    <m/>
    <m/>
    <s v="Gmail"/>
    <m/>
    <s v="福岡市南区南大橋2-15-22-1"/>
    <m/>
    <s v="英検プライベート,大人"/>
    <m/>
    <m/>
    <m/>
    <s v="村上克樹"/>
    <m/>
    <m/>
    <x v="0"/>
    <s v=""/>
    <x v="0"/>
    <x v="0"/>
    <s v=""/>
    <s v=""/>
    <s v=""/>
    <s v=""/>
    <s v=""/>
    <s v=""/>
    <x v="60"/>
    <s v=""/>
    <s v=""/>
    <s v=""/>
    <s v=""/>
    <n v="0"/>
    <n v="0"/>
    <n v="0"/>
    <s v=""/>
    <n v="0"/>
    <s v=""/>
    <x v="0"/>
    <s v=""/>
    <s v=""/>
    <s v=""/>
  </r>
  <r>
    <n v="124"/>
    <x v="1"/>
    <s v="Katsumi"/>
    <s v="Sugihara"/>
    <m/>
    <s v="克己"/>
    <s v="杉原克己"/>
    <s v="杉原"/>
    <s v="🔗 Go to finance"/>
    <x v="0"/>
    <m/>
    <x v="0"/>
    <m/>
    <m/>
    <m/>
    <m/>
    <m/>
    <m/>
    <m/>
    <s v="katsumisugihara540908@gmail.com"/>
    <m/>
    <m/>
    <n v="9074586973"/>
    <s v="電話番号"/>
    <m/>
    <s v="815-0032_x000a_福岡市南区塩原4-5-10 １２０６"/>
    <m/>
    <m/>
    <m/>
    <m/>
    <s v="Gmail"/>
    <m/>
    <s v="815-0032_x000a_福岡市南区塩原4-5-10 １２０６"/>
    <m/>
    <s v="プら"/>
    <m/>
    <m/>
    <m/>
    <s v="杉原克己"/>
    <n v="124"/>
    <s v="杉原克己"/>
    <x v="0"/>
    <s v=""/>
    <x v="0"/>
    <x v="0"/>
    <s v=""/>
    <s v=""/>
    <s v=""/>
    <s v=""/>
    <s v=""/>
    <s v=""/>
    <x v="61"/>
    <s v=""/>
    <s v=""/>
    <s v=""/>
    <s v=""/>
    <n v="0"/>
    <n v="0"/>
    <n v="0"/>
    <s v=""/>
    <n v="0"/>
    <s v=""/>
    <x v="0"/>
    <s v=""/>
    <s v=""/>
    <s v=""/>
  </r>
  <r>
    <m/>
    <x v="1"/>
    <s v="Katsuyo"/>
    <s v="Saitou"/>
    <m/>
    <s v="勝代"/>
    <s v="齊藤勝代"/>
    <s v="齊藤"/>
    <s v="❌ ID introuvable"/>
    <x v="0"/>
    <m/>
    <x v="2"/>
    <m/>
    <m/>
    <m/>
    <m/>
    <m/>
    <m/>
    <m/>
    <s v="hideki-saito@fuga.ocn.ne.jp"/>
    <m/>
    <m/>
    <s v="080-8387-6520"/>
    <s v="電話番号"/>
    <m/>
    <s v="福岡市筑紫が丘2-7-3"/>
    <m/>
    <d v="2019-02-01T00:00:00"/>
    <m/>
    <m/>
    <s v="Gmail"/>
    <m/>
    <s v="福岡市筑紫が丘2-7-3"/>
    <m/>
    <s v="グルップ,大人"/>
    <m/>
    <m/>
    <m/>
    <s v="齊藤勝代"/>
    <m/>
    <m/>
    <x v="0"/>
    <s v=""/>
    <x v="2"/>
    <x v="5"/>
    <s v=""/>
    <s v=""/>
    <s v=""/>
    <s v=""/>
    <s v=""/>
    <s v=""/>
    <x v="62"/>
    <s v=""/>
    <s v=""/>
    <s v=""/>
    <s v=""/>
    <n v="0"/>
    <n v="0"/>
    <n v="0"/>
    <s v=""/>
    <n v="0"/>
    <e v="#N/A"/>
    <x v="1"/>
    <e v="#N/A"/>
    <e v="#N/A"/>
    <s v=""/>
  </r>
  <r>
    <m/>
    <x v="1"/>
    <s v="Kazue"/>
    <s v="Konishi"/>
    <m/>
    <s v="和枝"/>
    <s v="小西和枝"/>
    <s v="小西"/>
    <s v="❌ ID introuvable"/>
    <x v="0"/>
    <m/>
    <x v="2"/>
    <m/>
    <m/>
    <m/>
    <m/>
    <m/>
    <m/>
    <m/>
    <s v="unhomme-de-genie2004@docomo.ne.jp"/>
    <m/>
    <m/>
    <m/>
    <s v="電話番号"/>
    <m/>
    <m/>
    <m/>
    <m/>
    <m/>
    <m/>
    <s v="Gmail"/>
    <m/>
    <m/>
    <m/>
    <s v="フランス語 プラ2回,大人"/>
    <m/>
    <m/>
    <m/>
    <s v="小西和枝"/>
    <m/>
    <m/>
    <x v="0"/>
    <s v=""/>
    <x v="0"/>
    <x v="0"/>
    <s v=""/>
    <s v=""/>
    <s v=""/>
    <s v=""/>
    <s v=""/>
    <s v=""/>
    <x v="63"/>
    <s v=""/>
    <s v=""/>
    <s v=""/>
    <s v=""/>
    <n v="0"/>
    <n v="0"/>
    <n v="0"/>
    <s v=""/>
    <n v="0"/>
    <s v=""/>
    <x v="0"/>
    <s v=""/>
    <s v=""/>
    <s v=""/>
  </r>
  <r>
    <n v="89"/>
    <x v="1"/>
    <s v="Kazuki"/>
    <s v="Fujiwara"/>
    <m/>
    <s v="かずき"/>
    <s v="藤原かずき"/>
    <s v="藤原"/>
    <s v="🔗 Go to finance"/>
    <x v="0"/>
    <m/>
    <x v="0"/>
    <m/>
    <m/>
    <m/>
    <m/>
    <m/>
    <m/>
    <m/>
    <s v="rinrinshiorin@hotmail.com"/>
    <s v="rinrinshiorin0304@gmail.com"/>
    <m/>
    <n v="9068954683"/>
    <s v="電話番号"/>
    <m/>
    <s v="福岡市南区三宅３－２１－１４－"/>
    <m/>
    <d v="2022-06-02T00:00:00"/>
    <m/>
    <m/>
    <s v="Gmail"/>
    <m/>
    <s v="福岡市南区三宅３－２１－１４－"/>
    <m/>
    <s v="小学生"/>
    <m/>
    <m/>
    <m/>
    <s v="藤原かずき"/>
    <m/>
    <m/>
    <x v="0"/>
    <s v=""/>
    <x v="3"/>
    <x v="8"/>
    <s v=""/>
    <s v=""/>
    <s v=""/>
    <s v=""/>
    <s v=""/>
    <s v=""/>
    <x v="64"/>
    <s v=""/>
    <s v=""/>
    <s v=""/>
    <s v=""/>
    <n v="0"/>
    <n v="0"/>
    <n v="0"/>
    <s v=""/>
    <n v="0"/>
    <e v="#N/A"/>
    <x v="1"/>
    <e v="#N/A"/>
    <e v="#N/A"/>
    <s v=""/>
  </r>
  <r>
    <n v="15"/>
    <x v="2"/>
    <s v="Kazuko"/>
    <s v="Kusaba"/>
    <m/>
    <s v="和子"/>
    <s v="草場和子"/>
    <s v="草場"/>
    <s v="🔗 Go to finance"/>
    <x v="4"/>
    <s v="group"/>
    <x v="6"/>
    <m/>
    <n v="2"/>
    <n v="8800"/>
    <m/>
    <m/>
    <m/>
    <m/>
    <s v="chammy1107@icloud.com"/>
    <s v="kathyfreiden@gmail.com"/>
    <m/>
    <s v="090-9658-6797"/>
    <s v="電話番号"/>
    <m/>
    <s v="筑紫郡那珂川町恵子2-4-19"/>
    <m/>
    <d v="2018-01-01T00:00:00"/>
    <m/>
    <m/>
    <s v="Gmail"/>
    <m/>
    <s v="筑紫郡那珂川町恵子2-4-19"/>
    <m/>
    <s v="グルップ,Adult"/>
    <m/>
    <m/>
    <m/>
    <s v="草場和子"/>
    <n v="15"/>
    <s v="草場和子"/>
    <x v="2"/>
    <n v="2"/>
    <x v="1"/>
    <x v="7"/>
    <s v=""/>
    <s v=""/>
    <s v=""/>
    <s v=""/>
    <s v=""/>
    <n v="2723"/>
    <x v="65"/>
    <e v="#N/A"/>
    <e v="#N/A"/>
    <s v=""/>
    <s v=""/>
    <n v="0"/>
    <n v="0"/>
    <n v="0"/>
    <e v="#N/A"/>
    <n v="8800"/>
    <e v="#N/A"/>
    <x v="1"/>
    <e v="#N/A"/>
    <e v="#N/A"/>
    <s v=""/>
  </r>
  <r>
    <m/>
    <x v="1"/>
    <s v="Keiko"/>
    <s v="Sakamoto"/>
    <m/>
    <s v="恵子"/>
    <s v="坂本恵子"/>
    <s v="坂本"/>
    <s v="❌ ID introuvable"/>
    <x v="0"/>
    <m/>
    <x v="2"/>
    <m/>
    <m/>
    <m/>
    <m/>
    <m/>
    <m/>
    <m/>
    <s v="tomy.sakamoto@nifty.com"/>
    <m/>
    <m/>
    <s v="080-8585-6481"/>
    <s v="電話番号"/>
    <m/>
    <s v="福岡市博多区板付2丁目1-31-301"/>
    <m/>
    <m/>
    <m/>
    <m/>
    <s v="Gmail"/>
    <m/>
    <s v="福岡市博多区板付2丁目1-31-301"/>
    <m/>
    <s v="グルップ２回セミプラ2回,大人"/>
    <m/>
    <m/>
    <m/>
    <s v="坂本恵子"/>
    <m/>
    <m/>
    <x v="0"/>
    <s v=""/>
    <x v="0"/>
    <x v="0"/>
    <s v=""/>
    <s v=""/>
    <s v=""/>
    <s v=""/>
    <s v=""/>
    <s v=""/>
    <x v="66"/>
    <s v=""/>
    <s v=""/>
    <s v=""/>
    <s v=""/>
    <n v="0"/>
    <n v="0"/>
    <n v="0"/>
    <s v=""/>
    <n v="0"/>
    <s v=""/>
    <x v="0"/>
    <s v=""/>
    <s v=""/>
    <s v=""/>
  </r>
  <r>
    <m/>
    <x v="1"/>
    <s v="Keishi"/>
    <s v="Ueda"/>
    <m/>
    <s v="圭志"/>
    <s v="上田圭志"/>
    <s v="上田"/>
    <s v="❌ ID introuvable"/>
    <x v="0"/>
    <m/>
    <x v="2"/>
    <m/>
    <m/>
    <m/>
    <m/>
    <m/>
    <m/>
    <m/>
    <s v="keishi333@docomo.ne.jp"/>
    <m/>
    <m/>
    <s v="090-5948-5879"/>
    <s v="電話番号"/>
    <m/>
    <s v="福岡市南区南大橋2丁目26-10"/>
    <m/>
    <m/>
    <m/>
    <m/>
    <s v="Gmail"/>
    <m/>
    <s v="福岡市南区南大橋2丁目26-10"/>
    <m/>
    <s v="グルップ,大人"/>
    <m/>
    <m/>
    <m/>
    <s v="上田圭志"/>
    <m/>
    <m/>
    <x v="0"/>
    <s v=""/>
    <x v="0"/>
    <x v="0"/>
    <s v=""/>
    <s v=""/>
    <s v=""/>
    <s v=""/>
    <s v=""/>
    <s v=""/>
    <x v="67"/>
    <s v=""/>
    <s v=""/>
    <s v=""/>
    <s v=""/>
    <n v="0"/>
    <n v="0"/>
    <n v="0"/>
    <s v=""/>
    <n v="0"/>
    <s v=""/>
    <x v="0"/>
    <s v=""/>
    <s v=""/>
    <s v=""/>
  </r>
  <r>
    <m/>
    <x v="1"/>
    <s v="Kengo"/>
    <s v="Takaji"/>
    <m/>
    <s v="じ けんご髙司 憲吾"/>
    <s v="たかじ けんご髙司 憲吾"/>
    <s v="たか"/>
    <s v="❌ ID introuvable"/>
    <x v="0"/>
    <m/>
    <x v="4"/>
    <m/>
    <m/>
    <m/>
    <m/>
    <m/>
    <m/>
    <m/>
    <s v="tae05238@yahoo.co.jp(母)"/>
    <m/>
    <m/>
    <m/>
    <s v="電話番号"/>
    <m/>
    <s v="〒815-0031_x000a_南区清水４丁目20-3-206"/>
    <m/>
    <m/>
    <m/>
    <m/>
    <s v="Gmail"/>
    <m/>
    <s v="〒815-0031_x000a_南区清水４丁目20-3-206"/>
    <m/>
    <s v="小学生"/>
    <m/>
    <m/>
    <m/>
    <s v="たかじ けんご髙司 憲吾"/>
    <m/>
    <m/>
    <x v="0"/>
    <s v=""/>
    <x v="0"/>
    <x v="0"/>
    <s v=""/>
    <s v=""/>
    <s v=""/>
    <s v=""/>
    <s v=""/>
    <s v=""/>
    <x v="68"/>
    <s v=""/>
    <s v=""/>
    <s v=""/>
    <s v=""/>
    <n v="0"/>
    <n v="0"/>
    <n v="0"/>
    <s v=""/>
    <n v="0"/>
    <s v=""/>
    <x v="0"/>
    <s v=""/>
    <s v=""/>
    <s v=""/>
  </r>
  <r>
    <n v="112"/>
    <x v="2"/>
    <s v="Kenta"/>
    <s v="Uemura"/>
    <m/>
    <s v="健太"/>
    <s v="上村健太"/>
    <s v="上村"/>
    <s v="🔗 Go to finance"/>
    <x v="3"/>
    <s v="private"/>
    <x v="6"/>
    <m/>
    <n v="4"/>
    <n v="19800"/>
    <m/>
    <m/>
    <d v="2023-08-08T00:00:00"/>
    <m/>
    <s v="uekeeeeeen@gmail.com"/>
    <s v="uekeeeeeen@gmail.com"/>
    <m/>
    <n v="9062983915"/>
    <s v="電話番号"/>
    <m/>
    <m/>
    <m/>
    <d v="2023-07-01T00:00:00"/>
    <m/>
    <m/>
    <s v="Gmail"/>
    <m/>
    <m/>
    <m/>
    <s v="プら"/>
    <m/>
    <m/>
    <m/>
    <s v="上村健太"/>
    <n v="112"/>
    <s v="上村健太"/>
    <x v="1"/>
    <n v="4"/>
    <x v="7"/>
    <x v="3"/>
    <s v=""/>
    <s v=""/>
    <s v=""/>
    <n v="4"/>
    <s v=""/>
    <n v="716"/>
    <x v="69"/>
    <e v="#N/A"/>
    <e v="#N/A"/>
    <s v="Hourly"/>
    <n v="3000"/>
    <n v="0"/>
    <n v="12000"/>
    <n v="12000"/>
    <e v="#N/A"/>
    <n v="7800"/>
    <e v="#N/A"/>
    <x v="1"/>
    <e v="#N/A"/>
    <e v="#N/A"/>
    <s v=""/>
  </r>
  <r>
    <m/>
    <x v="1"/>
    <s v="Kento"/>
    <s v="Arisawa"/>
    <m/>
    <s v="研人"/>
    <s v="在澤研人"/>
    <s v="在澤"/>
    <s v="❌ ID introuvable"/>
    <x v="0"/>
    <m/>
    <x v="0"/>
    <m/>
    <m/>
    <m/>
    <m/>
    <m/>
    <m/>
    <m/>
    <s v="nomoto-ni-anagith123@docomo.ne.jp"/>
    <s v="hideari@gmail.com"/>
    <m/>
    <s v="090-3190-2012"/>
    <s v="電話番号"/>
    <m/>
    <s v="〒815-0033_x000a_福岡市南区大橋3-15-24"/>
    <m/>
    <d v="2020-04-07T00:00:00"/>
    <m/>
    <m/>
    <s v="Gmail"/>
    <m/>
    <s v="〒815-0033_x000a_福岡市南区大橋3-15-24"/>
    <m/>
    <s v="小学生"/>
    <m/>
    <m/>
    <m/>
    <s v="在澤研人"/>
    <m/>
    <m/>
    <x v="0"/>
    <s v=""/>
    <x v="5"/>
    <x v="4"/>
    <s v=""/>
    <s v=""/>
    <s v=""/>
    <s v=""/>
    <s v=""/>
    <s v=""/>
    <x v="70"/>
    <s v=""/>
    <s v=""/>
    <s v=""/>
    <s v=""/>
    <n v="0"/>
    <n v="0"/>
    <n v="0"/>
    <s v=""/>
    <n v="0"/>
    <e v="#N/A"/>
    <x v="1"/>
    <e v="#N/A"/>
    <e v="#N/A"/>
    <s v=""/>
  </r>
  <r>
    <m/>
    <x v="1"/>
    <s v="Kenya"/>
    <s v="Sadasue"/>
    <m/>
    <s v="賢弥"/>
    <s v="貞末賢弥"/>
    <s v="貞末"/>
    <s v="❌ ID introuvable"/>
    <x v="0"/>
    <m/>
    <x v="0"/>
    <m/>
    <m/>
    <m/>
    <m/>
    <m/>
    <m/>
    <m/>
    <s v="anais.n@docomo.ne.jp"/>
    <m/>
    <m/>
    <s v="090-9599-5208"/>
    <s v="電話番号"/>
    <m/>
    <s v="815-0032_x000a_福岡市南区塩原4-5-10-1701"/>
    <m/>
    <d v="2021-04-15T00:00:00"/>
    <m/>
    <m/>
    <s v="Gmail"/>
    <m/>
    <s v="815-0032_x000a_福岡市南区塩原4-5-10-1701"/>
    <m/>
    <s v="セミプラ"/>
    <m/>
    <m/>
    <m/>
    <s v="貞末賢弥"/>
    <m/>
    <m/>
    <x v="0"/>
    <s v=""/>
    <x v="5"/>
    <x v="6"/>
    <s v=""/>
    <s v=""/>
    <s v=""/>
    <s v=""/>
    <s v=""/>
    <s v=""/>
    <x v="71"/>
    <s v=""/>
    <s v=""/>
    <s v=""/>
    <s v=""/>
    <n v="0"/>
    <n v="0"/>
    <n v="0"/>
    <s v=""/>
    <n v="0"/>
    <e v="#N/A"/>
    <x v="1"/>
    <e v="#N/A"/>
    <e v="#N/A"/>
    <s v=""/>
  </r>
  <r>
    <n v="104"/>
    <x v="2"/>
    <s v="Kiho"/>
    <s v="Baba"/>
    <m/>
    <s v="みな"/>
    <s v="馬場みな"/>
    <s v="馬場"/>
    <s v="🔗 Go to finance"/>
    <x v="1"/>
    <s v="group"/>
    <x v="7"/>
    <m/>
    <n v="4"/>
    <n v="6050"/>
    <m/>
    <m/>
    <d v="2023-04-04T00:00:00"/>
    <m/>
    <s v="bbm_3737m@yahoo.co.jp"/>
    <s v="miyu.23a@gmail.com"/>
    <m/>
    <n v="8085582012"/>
    <s v="電話番号"/>
    <m/>
    <s v="814-0142_x000a_福岡市南区片江3-19-6"/>
    <m/>
    <d v="2023-04-04T00:00:00"/>
    <m/>
    <m/>
    <s v="Gmail"/>
    <m/>
    <s v="814-0142_x000a_福岡市南区片江3-19-6"/>
    <m/>
    <s v="小学生"/>
    <m/>
    <m/>
    <m/>
    <s v="馬場みな"/>
    <m/>
    <m/>
    <x v="2"/>
    <n v="4"/>
    <x v="5"/>
    <x v="3"/>
    <s v=""/>
    <s v=""/>
    <s v=""/>
    <s v=""/>
    <s v=""/>
    <n v="804"/>
    <x v="72"/>
    <s v=""/>
    <s v=""/>
    <s v="Fixed"/>
    <n v="210000"/>
    <s v="-"/>
    <s v="----"/>
    <s v="---"/>
    <s v=""/>
    <s v=""/>
    <e v="#N/A"/>
    <x v="1"/>
    <e v="#N/A"/>
    <e v="#N/A"/>
    <s v=""/>
  </r>
  <r>
    <m/>
    <x v="1"/>
    <s v="Koji"/>
    <s v="Kinoshita"/>
    <m/>
    <s v="康二"/>
    <s v="戸田康二"/>
    <s v="戸田"/>
    <s v="❌ ID introuvable"/>
    <x v="0"/>
    <m/>
    <x v="0"/>
    <m/>
    <m/>
    <m/>
    <m/>
    <m/>
    <m/>
    <m/>
    <m/>
    <m/>
    <m/>
    <s v="090-2500-8211"/>
    <s v="電話番号"/>
    <m/>
    <m/>
    <m/>
    <m/>
    <m/>
    <m/>
    <s v="Gmail"/>
    <m/>
    <m/>
    <m/>
    <m/>
    <m/>
    <m/>
    <m/>
    <s v="戸田康二"/>
    <m/>
    <m/>
    <x v="0"/>
    <s v=""/>
    <x v="0"/>
    <x v="0"/>
    <s v=""/>
    <s v=""/>
    <s v=""/>
    <s v=""/>
    <s v=""/>
    <s v=""/>
    <x v="73"/>
    <s v=""/>
    <s v=""/>
    <s v=""/>
    <s v=""/>
    <n v="0"/>
    <n v="0"/>
    <n v="0"/>
    <s v=""/>
    <n v="0"/>
    <s v=""/>
    <x v="0"/>
    <s v=""/>
    <s v=""/>
    <s v=""/>
  </r>
  <r>
    <m/>
    <x v="1"/>
    <s v="Konomi"/>
    <s v="Tokunaga"/>
    <m/>
    <s v="好美"/>
    <s v="徳永好美"/>
    <s v="徳永"/>
    <s v="❌ ID introuvable"/>
    <x v="0"/>
    <m/>
    <x v="2"/>
    <m/>
    <m/>
    <m/>
    <m/>
    <m/>
    <m/>
    <m/>
    <s v="ksry777sakura@docomo.ne.jp"/>
    <m/>
    <m/>
    <s v="090-5726-2466"/>
    <s v="電話番号"/>
    <m/>
    <s v="福岡市博多区諸岡3丁目34-15"/>
    <m/>
    <m/>
    <m/>
    <m/>
    <s v="Gmail"/>
    <m/>
    <s v="福岡市博多区諸岡3丁目34-15"/>
    <m/>
    <s v="グルップ,大人"/>
    <m/>
    <m/>
    <m/>
    <s v="徳永好美"/>
    <m/>
    <m/>
    <x v="0"/>
    <s v=""/>
    <x v="0"/>
    <x v="0"/>
    <s v=""/>
    <s v=""/>
    <s v=""/>
    <s v=""/>
    <s v=""/>
    <s v=""/>
    <x v="74"/>
    <s v=""/>
    <s v=""/>
    <s v=""/>
    <s v=""/>
    <n v="0"/>
    <n v="0"/>
    <n v="0"/>
    <s v=""/>
    <n v="0"/>
    <s v=""/>
    <x v="0"/>
    <s v=""/>
    <s v=""/>
    <s v=""/>
  </r>
  <r>
    <m/>
    <x v="1"/>
    <s v="Korin"/>
    <s v="Tomono"/>
    <m/>
    <s v="香林"/>
    <s v="友納香林"/>
    <s v="友納"/>
    <s v="❌ ID introuvable"/>
    <x v="0"/>
    <m/>
    <x v="4"/>
    <m/>
    <m/>
    <m/>
    <m/>
    <m/>
    <m/>
    <m/>
    <s v="calling200623@yahoo.co.jp"/>
    <m/>
    <m/>
    <s v="09094953891(母)"/>
    <s v="電話番号"/>
    <m/>
    <s v="〒811-1302_x000a_福岡市南区井尻3-36"/>
    <m/>
    <m/>
    <m/>
    <m/>
    <s v="Gmail"/>
    <m/>
    <s v="〒811-1302_x000a_福岡市南区井尻3-36"/>
    <m/>
    <s v="プら,小学生"/>
    <m/>
    <m/>
    <m/>
    <s v="友納香林"/>
    <m/>
    <m/>
    <x v="0"/>
    <s v=""/>
    <x v="0"/>
    <x v="0"/>
    <s v=""/>
    <s v=""/>
    <s v=""/>
    <s v=""/>
    <s v=""/>
    <s v=""/>
    <x v="75"/>
    <s v=""/>
    <s v=""/>
    <s v=""/>
    <s v=""/>
    <n v="0"/>
    <n v="0"/>
    <n v="0"/>
    <s v=""/>
    <n v="0"/>
    <s v=""/>
    <x v="0"/>
    <s v=""/>
    <s v=""/>
    <s v=""/>
  </r>
  <r>
    <m/>
    <x v="1"/>
    <s v="Kosuke"/>
    <s v="Takada"/>
    <m/>
    <s v="浩介"/>
    <s v="高田浩介"/>
    <s v="高田"/>
    <s v="❌ ID introuvable"/>
    <x v="0"/>
    <m/>
    <x v="0"/>
    <m/>
    <m/>
    <m/>
    <m/>
    <m/>
    <m/>
    <m/>
    <s v="ryoukotakada@gmail.com"/>
    <s v="ryoukotakada@gmail.com"/>
    <m/>
    <n v="9011979644"/>
    <s v="電話番号"/>
    <m/>
    <s v="8111354_x000a_南区太平寺2-6-13"/>
    <m/>
    <d v="2024-06-07T00:00:00"/>
    <m/>
    <m/>
    <s v="Gmail"/>
    <m/>
    <s v="8111354_x000a_南区太平寺2-6-13"/>
    <m/>
    <s v="小学生"/>
    <m/>
    <m/>
    <m/>
    <s v="高田浩介"/>
    <m/>
    <m/>
    <x v="0"/>
    <s v=""/>
    <x v="3"/>
    <x v="2"/>
    <s v=""/>
    <s v=""/>
    <s v=""/>
    <s v=""/>
    <s v=""/>
    <s v=""/>
    <x v="76"/>
    <s v=""/>
    <s v=""/>
    <s v=""/>
    <s v=""/>
    <n v="0"/>
    <n v="0"/>
    <n v="0"/>
    <s v=""/>
    <n v="0"/>
    <e v="#N/A"/>
    <x v="1"/>
    <e v="#N/A"/>
    <e v="#N/A"/>
    <s v=""/>
  </r>
  <r>
    <n v="156"/>
    <x v="1"/>
    <s v="koudai"/>
    <s v="hato"/>
    <m/>
    <s v="航大"/>
    <s v="波戸航大"/>
    <s v="波戸"/>
    <s v="🔗 Go to finance"/>
    <x v="0"/>
    <m/>
    <x v="0"/>
    <m/>
    <m/>
    <m/>
    <m/>
    <m/>
    <m/>
    <m/>
    <s v="marysol.kk02@gmail.com"/>
    <m/>
    <m/>
    <n v="8017659160"/>
    <s v="電話番号"/>
    <m/>
    <m/>
    <m/>
    <m/>
    <m/>
    <m/>
    <s v="Gmail"/>
    <m/>
    <m/>
    <m/>
    <s v="セミプラ"/>
    <m/>
    <d v="2025-04-01T00:00:00"/>
    <m/>
    <s v="波戸航大"/>
    <m/>
    <m/>
    <x v="0"/>
    <s v=""/>
    <x v="0"/>
    <x v="0"/>
    <s v=""/>
    <s v=""/>
    <s v=""/>
    <s v=""/>
    <s v=""/>
    <s v=""/>
    <x v="77"/>
    <s v=""/>
    <s v=""/>
    <s v=""/>
    <s v=""/>
    <n v="0"/>
    <n v="0"/>
    <n v="0"/>
    <s v=""/>
    <n v="0"/>
    <s v=""/>
    <x v="0"/>
    <s v=""/>
    <s v=""/>
    <s v=""/>
  </r>
  <r>
    <n v="152"/>
    <x v="2"/>
    <s v="Kouki"/>
    <s v="Ushijima"/>
    <m/>
    <s v="大翔"/>
    <s v="牛島大翔"/>
    <s v="牛島"/>
    <s v="🔗 Go to finance"/>
    <x v="1"/>
    <s v="group"/>
    <x v="7"/>
    <m/>
    <m/>
    <n v="6050"/>
    <m/>
    <m/>
    <d v="2024-08-24T00:00:00"/>
    <m/>
    <s v="ewqc8516@yahoo.co.jp"/>
    <s v="haruto01550916@gmail.com"/>
    <s v="ewqc8516@yahoo.co.jp"/>
    <s v="090-2963-8503"/>
    <s v="電話番号"/>
    <m/>
    <m/>
    <m/>
    <d v="2024-06-01T00:00:00"/>
    <m/>
    <m/>
    <s v="Gmail"/>
    <m/>
    <m/>
    <m/>
    <s v="小学生"/>
    <m/>
    <m/>
    <m/>
    <s v="牛島煌稀、大翔"/>
    <m/>
    <m/>
    <x v="2"/>
    <n v="4"/>
    <x v="3"/>
    <x v="2"/>
    <s v=""/>
    <s v=""/>
    <s v=""/>
    <s v=""/>
    <s v=""/>
    <n v="380"/>
    <x v="78"/>
    <s v=""/>
    <s v=""/>
    <s v="Fixed"/>
    <n v="210000"/>
    <s v="-"/>
    <s v="----"/>
    <s v="---"/>
    <s v=""/>
    <s v=""/>
    <e v="#N/A"/>
    <x v="1"/>
    <e v="#N/A"/>
    <e v="#N/A"/>
    <s v=""/>
  </r>
  <r>
    <n v="152"/>
    <x v="2"/>
    <s v="Haruto"/>
    <s v="Ushijima"/>
    <m/>
    <s v="煌稀"/>
    <s v="牛島煌稀"/>
    <s v="牛島"/>
    <s v="🔗 Go to finance"/>
    <x v="1"/>
    <s v="group"/>
    <x v="7"/>
    <m/>
    <m/>
    <n v="6050"/>
    <m/>
    <m/>
    <d v="2024-08-24T00:00:00"/>
    <m/>
    <s v="h-h-ushi@aqr.bbiq.jp"/>
    <s v="haruto01550916@gmail.com"/>
    <s v="ewqc8516@yahoo.co.jp"/>
    <s v="090-2963-8503"/>
    <s v="電話番号"/>
    <m/>
    <m/>
    <m/>
    <d v="2024-06-01T00:00:00"/>
    <m/>
    <m/>
    <s v="Gmail"/>
    <m/>
    <m/>
    <m/>
    <s v="小学生"/>
    <m/>
    <m/>
    <m/>
    <s v="牛島煌稀、大翔"/>
    <m/>
    <m/>
    <x v="2"/>
    <n v="4"/>
    <x v="3"/>
    <x v="2"/>
    <s v=""/>
    <s v=""/>
    <s v=""/>
    <s v=""/>
    <s v=""/>
    <n v="380"/>
    <x v="79"/>
    <s v=""/>
    <s v=""/>
    <s v="Fixed"/>
    <n v="210000"/>
    <s v="-"/>
    <s v="----"/>
    <s v="---"/>
    <s v=""/>
    <s v=""/>
    <e v="#N/A"/>
    <x v="1"/>
    <e v="#N/A"/>
    <e v="#N/A"/>
    <s v=""/>
  </r>
  <r>
    <m/>
    <x v="1"/>
    <s v="Kouta"/>
    <s v="Yamaguchi"/>
    <m/>
    <s v="滉太"/>
    <s v="山口滉太"/>
    <s v="山口"/>
    <s v="❌ ID introuvable"/>
    <x v="0"/>
    <m/>
    <x v="10"/>
    <m/>
    <m/>
    <m/>
    <m/>
    <m/>
    <m/>
    <m/>
    <s v="nic193@docomo.ne.jp"/>
    <m/>
    <m/>
    <s v="050-7301-8925"/>
    <s v="電話番号"/>
    <m/>
    <s v="〒"/>
    <m/>
    <m/>
    <m/>
    <m/>
    <s v="Gmail"/>
    <m/>
    <s v="〒"/>
    <m/>
    <s v="中高生"/>
    <m/>
    <m/>
    <m/>
    <s v="山口滉太"/>
    <m/>
    <m/>
    <x v="0"/>
    <s v=""/>
    <x v="0"/>
    <x v="0"/>
    <s v=""/>
    <s v=""/>
    <s v=""/>
    <s v=""/>
    <s v=""/>
    <s v=""/>
    <x v="80"/>
    <s v=""/>
    <s v=""/>
    <s v=""/>
    <s v=""/>
    <n v="0"/>
    <n v="0"/>
    <n v="0"/>
    <s v=""/>
    <n v="0"/>
    <s v=""/>
    <x v="0"/>
    <s v=""/>
    <s v=""/>
    <s v=""/>
  </r>
  <r>
    <m/>
    <x v="1"/>
    <s v="Kumiko"/>
    <s v="Okusako"/>
    <m/>
    <s v="こ"/>
    <s v="くみこ"/>
    <s v="くみ"/>
    <s v="❌ ID introuvable"/>
    <x v="0"/>
    <m/>
    <x v="2"/>
    <m/>
    <m/>
    <m/>
    <m/>
    <m/>
    <m/>
    <m/>
    <s v="nakyu.1024@i.softbank.jp"/>
    <m/>
    <m/>
    <s v="090-5940-3702"/>
    <s v="電話番号"/>
    <m/>
    <s v="福岡市南区警弥郷1-25-9"/>
    <m/>
    <m/>
    <m/>
    <m/>
    <s v="Gmail"/>
    <m/>
    <s v="福岡市南区警弥郷1-25-9"/>
    <m/>
    <s v="セミプラ,大人"/>
    <m/>
    <m/>
    <m/>
    <s v="くみこ"/>
    <m/>
    <m/>
    <x v="0"/>
    <s v=""/>
    <x v="0"/>
    <x v="0"/>
    <s v=""/>
    <s v=""/>
    <s v=""/>
    <s v=""/>
    <s v=""/>
    <s v=""/>
    <x v="81"/>
    <s v=""/>
    <s v=""/>
    <s v=""/>
    <s v=""/>
    <n v="0"/>
    <n v="0"/>
    <n v="0"/>
    <s v=""/>
    <n v="0"/>
    <s v=""/>
    <x v="0"/>
    <s v=""/>
    <s v=""/>
    <s v=""/>
  </r>
  <r>
    <n v="2"/>
    <x v="2"/>
    <s v="Kyoko"/>
    <s v="Akama"/>
    <m/>
    <s v="恭子"/>
    <s v="赤間恭子"/>
    <s v="赤間"/>
    <s v="🔗 Go to finance"/>
    <x v="2"/>
    <s v="group"/>
    <x v="6"/>
    <s v="Group C"/>
    <n v="2"/>
    <n v="6050"/>
    <m/>
    <m/>
    <d v="2018-01-01T00:00:00"/>
    <m/>
    <m/>
    <m/>
    <m/>
    <s v="080-2774-1500"/>
    <s v="電話番号"/>
    <m/>
    <s v="福岡市南区三宅3-23-1-703"/>
    <m/>
    <d v="2018-01-01T00:00:00"/>
    <m/>
    <m/>
    <s v="Gmail"/>
    <m/>
    <s v="福岡市南区三宅3-23-1-703"/>
    <m/>
    <s v="グループ2セミ1,Adult"/>
    <m/>
    <m/>
    <m/>
    <s v="赤間恭子"/>
    <n v="2"/>
    <s v="赤間恭子"/>
    <x v="2"/>
    <n v="2"/>
    <x v="1"/>
    <x v="7"/>
    <s v="Group CNao"/>
    <n v="2"/>
    <n v="1"/>
    <s v=""/>
    <n v="2"/>
    <n v="2723"/>
    <x v="82"/>
    <e v="#N/A"/>
    <e v="#N/A"/>
    <s v="Hourly"/>
    <n v="2600"/>
    <n v="5200"/>
    <n v="0"/>
    <n v="5200"/>
    <e v="#N/A"/>
    <n v="850"/>
    <e v="#N/A"/>
    <x v="1"/>
    <e v="#N/A"/>
    <e v="#N/A"/>
    <s v=""/>
  </r>
  <r>
    <m/>
    <x v="1"/>
    <s v="Kyosuke"/>
    <s v="Saita"/>
    <m/>
    <s v="響介"/>
    <s v="斉田響介"/>
    <s v="斉田"/>
    <s v="❌ ID introuvable"/>
    <x v="0"/>
    <m/>
    <x v="5"/>
    <m/>
    <m/>
    <m/>
    <m/>
    <m/>
    <m/>
    <m/>
    <s v="makoto4369@gmail.com (父)"/>
    <s v="soccerkyy＠gmail.com"/>
    <m/>
    <s v="09084065195(響介)"/>
    <s v="電話番号"/>
    <m/>
    <s v="〒8111311_x000a_南区横手2丁目17-10-304"/>
    <m/>
    <m/>
    <m/>
    <m/>
    <s v="Gmail"/>
    <m/>
    <s v="〒8111311_x000a_南区横手2丁目17-10-304"/>
    <m/>
    <s v="高校生"/>
    <m/>
    <m/>
    <m/>
    <s v="斉田響介"/>
    <m/>
    <m/>
    <x v="0"/>
    <s v=""/>
    <x v="0"/>
    <x v="0"/>
    <s v=""/>
    <s v=""/>
    <s v=""/>
    <s v=""/>
    <s v=""/>
    <s v=""/>
    <x v="83"/>
    <s v=""/>
    <s v=""/>
    <s v=""/>
    <s v=""/>
    <n v="0"/>
    <n v="0"/>
    <n v="0"/>
    <s v=""/>
    <n v="0"/>
    <s v=""/>
    <x v="0"/>
    <s v=""/>
    <s v=""/>
    <s v=""/>
  </r>
  <r>
    <m/>
    <x v="1"/>
    <s v="Maho"/>
    <s v="Akiyama"/>
    <m/>
    <s v="真穂"/>
    <s v="秋山真穂"/>
    <s v="秋山"/>
    <s v="❌ ID introuvable"/>
    <x v="0"/>
    <m/>
    <x v="2"/>
    <m/>
    <m/>
    <m/>
    <m/>
    <m/>
    <m/>
    <m/>
    <s v="akiyama@cts-j.com"/>
    <m/>
    <m/>
    <s v="090-1879-1603"/>
    <s v="電話番号"/>
    <m/>
    <s v="福岡市南区筑紫丘1-12-1-301"/>
    <m/>
    <m/>
    <m/>
    <m/>
    <s v="Gmail"/>
    <m/>
    <s v="福岡市南区筑紫丘1-12-1-301"/>
    <m/>
    <s v="プら,大人"/>
    <m/>
    <d v="2025-03-29T00:00:00"/>
    <m/>
    <s v="秋山真穂"/>
    <m/>
    <m/>
    <x v="0"/>
    <s v=""/>
    <x v="0"/>
    <x v="0"/>
    <s v=""/>
    <s v=""/>
    <s v=""/>
    <s v=""/>
    <s v=""/>
    <s v=""/>
    <x v="84"/>
    <s v=""/>
    <s v=""/>
    <s v=""/>
    <s v=""/>
    <n v="0"/>
    <n v="0"/>
    <n v="0"/>
    <s v=""/>
    <n v="0"/>
    <s v=""/>
    <x v="0"/>
    <s v=""/>
    <s v=""/>
    <s v=""/>
  </r>
  <r>
    <m/>
    <x v="0"/>
    <s v="Maki"/>
    <s v="Yamauchi"/>
    <m/>
    <s v="真綺"/>
    <s v="山内真綺"/>
    <s v="山内"/>
    <s v="❌ ID introuvable"/>
    <x v="0"/>
    <m/>
    <x v="10"/>
    <m/>
    <m/>
    <m/>
    <m/>
    <m/>
    <m/>
    <m/>
    <s v="kumiko.koga.01.13@docomo.ne.jp"/>
    <m/>
    <m/>
    <s v="090-1088-8699"/>
    <s v="電話番号"/>
    <m/>
    <s v="〒8150036_x000a_南区筑紫丘2丁目14-4"/>
    <m/>
    <m/>
    <m/>
    <m/>
    <s v="Gmail"/>
    <m/>
    <s v="〒8150036_x000a_南区筑紫丘2丁目14-4"/>
    <m/>
    <s v="中高生"/>
    <m/>
    <m/>
    <m/>
    <s v="山内真綺"/>
    <m/>
    <m/>
    <x v="0"/>
    <s v=""/>
    <x v="0"/>
    <x v="0"/>
    <s v=""/>
    <s v=""/>
    <s v=""/>
    <s v=""/>
    <s v=""/>
    <s v=""/>
    <x v="85"/>
    <s v=""/>
    <s v=""/>
    <s v=""/>
    <s v=""/>
    <n v="0"/>
    <n v="0"/>
    <n v="0"/>
    <s v=""/>
    <n v="0"/>
    <s v=""/>
    <x v="0"/>
    <s v=""/>
    <s v=""/>
    <s v=""/>
  </r>
  <r>
    <n v="147"/>
    <x v="1"/>
    <s v="Mao"/>
    <s v="Miyazaki"/>
    <m/>
    <s v="まお"/>
    <s v="宮崎まお"/>
    <s v="宮崎"/>
    <s v="🔗 Go to finance"/>
    <x v="0"/>
    <m/>
    <x v="0"/>
    <m/>
    <m/>
    <m/>
    <m/>
    <m/>
    <m/>
    <m/>
    <s v="pekko-0624@i.softbank.jp"/>
    <m/>
    <m/>
    <n v="9098708927"/>
    <s v="電話番号"/>
    <m/>
    <s v="福岡市南区塩原4-4-15-1202"/>
    <m/>
    <d v="2024-06-19T00:00:00"/>
    <m/>
    <m/>
    <s v="Gmail"/>
    <m/>
    <s v="福岡市南区塩原4-4-15-1202"/>
    <m/>
    <s v="中高生"/>
    <m/>
    <d v="2025-03-31T00:00:00"/>
    <m/>
    <s v="宮崎まお"/>
    <n v="147"/>
    <s v="宮崎まお"/>
    <x v="0"/>
    <s v=""/>
    <x v="3"/>
    <x v="2"/>
    <s v=""/>
    <s v=""/>
    <s v=""/>
    <s v=""/>
    <s v=""/>
    <s v=""/>
    <x v="86"/>
    <s v=""/>
    <s v=""/>
    <s v=""/>
    <s v=""/>
    <n v="0"/>
    <n v="0"/>
    <n v="0"/>
    <s v=""/>
    <n v="0"/>
    <e v="#N/A"/>
    <x v="1"/>
    <e v="#N/A"/>
    <e v="#N/A"/>
    <e v="#N/A"/>
  </r>
  <r>
    <m/>
    <x v="1"/>
    <s v="Mariko"/>
    <s v="Hiroshima"/>
    <m/>
    <s v="真理子"/>
    <s v="広島真理子"/>
    <s v="広島"/>
    <s v="❌ ID introuvable"/>
    <x v="0"/>
    <m/>
    <x v="11"/>
    <m/>
    <m/>
    <m/>
    <m/>
    <m/>
    <m/>
    <m/>
    <s v="xoxo-vanderwoodsen@docomo.ne.jp"/>
    <m/>
    <m/>
    <n v="9059615590"/>
    <s v="電話番号"/>
    <m/>
    <m/>
    <m/>
    <m/>
    <m/>
    <m/>
    <s v="Gmail"/>
    <m/>
    <m/>
    <m/>
    <s v="プら,シニア"/>
    <m/>
    <m/>
    <m/>
    <s v="広島真理子"/>
    <m/>
    <m/>
    <x v="0"/>
    <s v=""/>
    <x v="0"/>
    <x v="0"/>
    <s v=""/>
    <s v=""/>
    <s v=""/>
    <s v=""/>
    <s v=""/>
    <s v=""/>
    <x v="87"/>
    <s v=""/>
    <s v=""/>
    <s v=""/>
    <s v=""/>
    <n v="0"/>
    <n v="0"/>
    <n v="0"/>
    <s v=""/>
    <n v="0"/>
    <s v=""/>
    <x v="0"/>
    <s v=""/>
    <s v=""/>
    <s v=""/>
  </r>
  <r>
    <n v="119"/>
    <x v="2"/>
    <s v="Masahiro"/>
    <s v="Nishikawa"/>
    <m/>
    <s v="将広"/>
    <s v="西川将広"/>
    <s v="西川"/>
    <s v="🔗 Go to finance"/>
    <x v="2"/>
    <s v="private"/>
    <x v="6"/>
    <m/>
    <n v="12"/>
    <n v="59400"/>
    <m/>
    <m/>
    <m/>
    <m/>
    <s v="masahirochiharu0827@gmail.com"/>
    <s v="masahirochiharu0827@gmail.com"/>
    <m/>
    <m/>
    <s v="電話番号"/>
    <m/>
    <s v="8160853_x000a_春日市泉1-124"/>
    <m/>
    <d v="2023-10-05T00:00:00"/>
    <m/>
    <m/>
    <s v="Gmail"/>
    <m/>
    <s v="8160853_x000a_春日市泉1-124"/>
    <m/>
    <s v="プら"/>
    <m/>
    <m/>
    <m/>
    <s v="西川将広"/>
    <n v="119"/>
    <s v="西川将広"/>
    <x v="1"/>
    <n v="12"/>
    <x v="6"/>
    <x v="3"/>
    <s v=""/>
    <s v=""/>
    <s v=""/>
    <n v="12"/>
    <s v=""/>
    <n v="620"/>
    <x v="88"/>
    <e v="#N/A"/>
    <e v="#N/A"/>
    <s v="Hourly"/>
    <n v="2600"/>
    <n v="0"/>
    <n v="31200"/>
    <n v="31200"/>
    <e v="#N/A"/>
    <n v="28200"/>
    <e v="#N/A"/>
    <x v="1"/>
    <e v="#N/A"/>
    <e v="#N/A"/>
    <s v=""/>
  </r>
  <r>
    <m/>
    <x v="1"/>
    <s v="Masako"/>
    <s v="Higuchi"/>
    <m/>
    <s v="雅子"/>
    <s v="樋口雅子"/>
    <s v="樋口"/>
    <s v="❌ ID introuvable"/>
    <x v="0"/>
    <m/>
    <x v="0"/>
    <m/>
    <m/>
    <m/>
    <m/>
    <m/>
    <m/>
    <m/>
    <s v="oriori402@yahoo.co.jp"/>
    <m/>
    <m/>
    <m/>
    <s v="電話番号"/>
    <m/>
    <s v="815-0033_x000a_福岡市南区大橋４丁目２５－２５－７０７"/>
    <m/>
    <m/>
    <m/>
    <m/>
    <s v="Gmail"/>
    <m/>
    <s v="815-0033_x000a_福岡市南区大橋４丁目２５－２５－７０７"/>
    <m/>
    <s v="プら"/>
    <m/>
    <d v="2025-12-31T00:00:00"/>
    <m/>
    <s v="樋口雅子"/>
    <m/>
    <m/>
    <x v="0"/>
    <s v=""/>
    <x v="0"/>
    <x v="0"/>
    <s v=""/>
    <s v=""/>
    <s v=""/>
    <s v=""/>
    <s v=""/>
    <s v=""/>
    <x v="89"/>
    <s v=""/>
    <s v=""/>
    <s v=""/>
    <s v=""/>
    <n v="0"/>
    <n v="0"/>
    <n v="0"/>
    <s v=""/>
    <n v="0"/>
    <s v=""/>
    <x v="0"/>
    <s v=""/>
    <s v=""/>
    <s v=""/>
  </r>
  <r>
    <n v="70"/>
    <x v="1"/>
    <s v="Masanori"/>
    <s v="Adachi"/>
    <m/>
    <s v="優星"/>
    <s v="安達優星"/>
    <s v="安達"/>
    <s v="🔗 Go to finance"/>
    <x v="0"/>
    <m/>
    <x v="1"/>
    <m/>
    <m/>
    <m/>
    <m/>
    <m/>
    <m/>
    <m/>
    <s v="kazuyuko0730@nifty.com"/>
    <m/>
    <m/>
    <m/>
    <s v="電話番号"/>
    <m/>
    <s v="福岡市南区6-39-9"/>
    <m/>
    <m/>
    <m/>
    <m/>
    <s v="Gmail"/>
    <m/>
    <s v="福岡市南区6-39-9"/>
    <m/>
    <s v="小学生"/>
    <m/>
    <d v="2025-02-28T00:00:00"/>
    <m/>
    <s v="安達優星"/>
    <m/>
    <m/>
    <x v="0"/>
    <s v=""/>
    <x v="0"/>
    <x v="0"/>
    <s v=""/>
    <s v=""/>
    <s v=""/>
    <s v=""/>
    <s v=""/>
    <s v=""/>
    <x v="90"/>
    <s v=""/>
    <s v=""/>
    <s v=""/>
    <s v=""/>
    <n v="0"/>
    <n v="0"/>
    <n v="0"/>
    <s v=""/>
    <n v="0"/>
    <s v=""/>
    <x v="0"/>
    <s v=""/>
    <s v=""/>
    <s v=""/>
  </r>
  <r>
    <m/>
    <x v="1"/>
    <s v="Masateru &amp; Sechiko"/>
    <s v="Yamashita"/>
    <m/>
    <s v="真輝&amp;世知子"/>
    <s v="山下真輝&amp;世知子"/>
    <s v="山下"/>
    <s v="❌ ID introuvable"/>
    <x v="0"/>
    <m/>
    <x v="2"/>
    <m/>
    <m/>
    <m/>
    <m/>
    <m/>
    <m/>
    <m/>
    <s v="uminosachi0424@gmail.com"/>
    <s v="uminosachi0424@gmail.com"/>
    <m/>
    <s v="080-4275-3109"/>
    <s v="電話番号"/>
    <m/>
    <s v="福岡市南区大楠1-18-1"/>
    <m/>
    <m/>
    <m/>
    <m/>
    <s v="Gmail"/>
    <m/>
    <s v="福岡市南区大楠1-18-1"/>
    <m/>
    <s v="セミプラ2回2回,大人"/>
    <m/>
    <m/>
    <m/>
    <s v="山下真輝&amp;世知子"/>
    <m/>
    <m/>
    <x v="0"/>
    <s v=""/>
    <x v="0"/>
    <x v="0"/>
    <s v=""/>
    <s v=""/>
    <s v=""/>
    <s v=""/>
    <s v=""/>
    <s v=""/>
    <x v="91"/>
    <s v=""/>
    <s v=""/>
    <s v=""/>
    <s v=""/>
    <n v="0"/>
    <n v="0"/>
    <n v="0"/>
    <s v=""/>
    <n v="0"/>
    <s v=""/>
    <x v="0"/>
    <s v=""/>
    <s v=""/>
    <s v=""/>
  </r>
  <r>
    <m/>
    <x v="1"/>
    <s v="Masateru"/>
    <s v="Wada"/>
    <m/>
    <s v="大輝"/>
    <s v="和田大輝"/>
    <s v="和田"/>
    <s v="❌ ID introuvable"/>
    <x v="0"/>
    <m/>
    <x v="4"/>
    <m/>
    <m/>
    <m/>
    <m/>
    <m/>
    <m/>
    <m/>
    <s v="imomichi@i.softbank.jp"/>
    <m/>
    <m/>
    <s v="090-8402-6834"/>
    <s v="電話番号"/>
    <m/>
    <s v="〒811-1344_x000a_福岡市南区三宅3-13-2-801"/>
    <m/>
    <d v="2020-04-06T00:00:00"/>
    <m/>
    <m/>
    <s v="Gmail"/>
    <m/>
    <s v="〒811-1344_x000a_福岡市南区三宅3-13-2-801"/>
    <m/>
    <s v="プら,小学生"/>
    <m/>
    <m/>
    <m/>
    <s v="和田大輝"/>
    <m/>
    <m/>
    <x v="0"/>
    <s v=""/>
    <x v="5"/>
    <x v="4"/>
    <s v=""/>
    <s v=""/>
    <s v=""/>
    <s v=""/>
    <s v=""/>
    <s v=""/>
    <x v="92"/>
    <s v=""/>
    <s v=""/>
    <s v=""/>
    <s v=""/>
    <n v="0"/>
    <n v="0"/>
    <n v="0"/>
    <s v=""/>
    <n v="0"/>
    <e v="#N/A"/>
    <x v="1"/>
    <e v="#N/A"/>
    <e v="#N/A"/>
    <s v=""/>
  </r>
  <r>
    <m/>
    <x v="1"/>
    <s v="Mayu"/>
    <s v="Saita"/>
    <m/>
    <s v="麻邑"/>
    <s v="斉田麻邑"/>
    <s v="斉田"/>
    <s v="❌ ID introuvable"/>
    <x v="0"/>
    <m/>
    <x v="0"/>
    <m/>
    <m/>
    <m/>
    <m/>
    <m/>
    <m/>
    <m/>
    <s v="hajimechan.peace07@docomo.ne.jp"/>
    <m/>
    <m/>
    <s v="080-2775-3225"/>
    <s v="電話番号"/>
    <m/>
    <m/>
    <m/>
    <m/>
    <m/>
    <m/>
    <s v="Gmail"/>
    <m/>
    <m/>
    <m/>
    <m/>
    <m/>
    <m/>
    <m/>
    <s v="斉田麻邑"/>
    <m/>
    <m/>
    <x v="0"/>
    <s v=""/>
    <x v="0"/>
    <x v="0"/>
    <s v=""/>
    <s v=""/>
    <s v=""/>
    <s v=""/>
    <s v=""/>
    <s v=""/>
    <x v="93"/>
    <s v=""/>
    <s v=""/>
    <s v=""/>
    <s v=""/>
    <n v="0"/>
    <n v="0"/>
    <n v="0"/>
    <s v=""/>
    <n v="0"/>
    <s v=""/>
    <x v="0"/>
    <s v=""/>
    <s v=""/>
    <s v=""/>
  </r>
  <r>
    <n v="129"/>
    <x v="2"/>
    <s v="Mei"/>
    <s v="Nakamura"/>
    <m/>
    <s v="メイ"/>
    <s v="中村メイ"/>
    <s v="中村"/>
    <s v="🔗 Go to finance"/>
    <x v="1"/>
    <s v="group"/>
    <x v="3"/>
    <m/>
    <m/>
    <n v="6600"/>
    <m/>
    <m/>
    <d v="2024-07-03T00:00:00"/>
    <m/>
    <s v="gkhm-62nd-fe@yahoo.co.jp"/>
    <m/>
    <m/>
    <n v="9028509461"/>
    <s v="電話番号"/>
    <m/>
    <s v="8111344_x000a_福岡市南区三宅1丁目7-36-1"/>
    <m/>
    <d v="2024-07-03T00:00:00"/>
    <m/>
    <m/>
    <s v="Gmail"/>
    <m/>
    <s v="8111344_x000a_福岡市南区三宅1丁目7-36-1"/>
    <m/>
    <s v="Baby"/>
    <m/>
    <m/>
    <m/>
    <s v="中村メイ"/>
    <m/>
    <m/>
    <x v="2"/>
    <n v="4"/>
    <x v="7"/>
    <x v="2"/>
    <s v=""/>
    <s v=""/>
    <s v=""/>
    <s v=""/>
    <s v=""/>
    <n v="348"/>
    <x v="94"/>
    <s v=""/>
    <s v=""/>
    <s v="Fixed"/>
    <n v="210000"/>
    <s v="-"/>
    <s v="----"/>
    <s v="---"/>
    <s v=""/>
    <s v=""/>
    <e v="#N/A"/>
    <x v="1"/>
    <e v="#N/A"/>
    <e v="#N/A"/>
    <s v=""/>
  </r>
  <r>
    <m/>
    <x v="1"/>
    <s v="Michiko"/>
    <s v="Kinoshita"/>
    <m/>
    <s v="道子"/>
    <s v="片岡道子"/>
    <s v="片岡"/>
    <s v="❌ ID introuvable"/>
    <x v="0"/>
    <m/>
    <x v="0"/>
    <m/>
    <m/>
    <m/>
    <m/>
    <m/>
    <m/>
    <m/>
    <m/>
    <m/>
    <m/>
    <s v="090-3986-4728"/>
    <s v="電話番号"/>
    <m/>
    <m/>
    <m/>
    <m/>
    <m/>
    <m/>
    <s v="Gmail"/>
    <m/>
    <m/>
    <m/>
    <m/>
    <m/>
    <m/>
    <m/>
    <s v="片岡道子"/>
    <m/>
    <m/>
    <x v="0"/>
    <s v=""/>
    <x v="0"/>
    <x v="0"/>
    <s v=""/>
    <s v=""/>
    <s v=""/>
    <s v=""/>
    <s v=""/>
    <s v=""/>
    <x v="95"/>
    <s v=""/>
    <s v=""/>
    <s v=""/>
    <s v=""/>
    <n v="0"/>
    <n v="0"/>
    <n v="0"/>
    <s v=""/>
    <n v="0"/>
    <s v=""/>
    <x v="0"/>
    <s v=""/>
    <s v=""/>
    <s v=""/>
  </r>
  <r>
    <m/>
    <x v="1"/>
    <s v="Miharu"/>
    <s v="Horimoto"/>
    <m/>
    <s v="みはる"/>
    <s v="堀本みはる"/>
    <s v="堀本"/>
    <s v="❌ ID introuvable"/>
    <x v="0"/>
    <m/>
    <x v="0"/>
    <m/>
    <m/>
    <m/>
    <m/>
    <m/>
    <m/>
    <m/>
    <s v="tonton0121@icloud.com"/>
    <m/>
    <m/>
    <m/>
    <s v="電話番号"/>
    <m/>
    <s v="福岡市南区長住2丁目9-6"/>
    <m/>
    <d v="2022-04-01T00:00:00"/>
    <m/>
    <m/>
    <s v="Gmail"/>
    <m/>
    <s v="福岡市南区長住2丁目9-6"/>
    <m/>
    <s v="小学生"/>
    <m/>
    <m/>
    <m/>
    <s v="堀本みはる"/>
    <m/>
    <m/>
    <x v="0"/>
    <s v=""/>
    <x v="5"/>
    <x v="8"/>
    <s v=""/>
    <s v=""/>
    <s v=""/>
    <s v=""/>
    <s v=""/>
    <s v=""/>
    <x v="96"/>
    <s v=""/>
    <s v=""/>
    <s v=""/>
    <s v=""/>
    <n v="0"/>
    <n v="0"/>
    <n v="0"/>
    <s v=""/>
    <n v="0"/>
    <e v="#N/A"/>
    <x v="1"/>
    <e v="#N/A"/>
    <e v="#N/A"/>
    <s v=""/>
  </r>
  <r>
    <m/>
    <x v="1"/>
    <s v="miho"/>
    <m/>
    <m/>
    <s v="美穂"/>
    <s v="浮田美穂"/>
    <s v="浮田"/>
    <s v="❌ ID introuvable"/>
    <x v="0"/>
    <m/>
    <x v="0"/>
    <m/>
    <m/>
    <m/>
    <m/>
    <m/>
    <m/>
    <m/>
    <s v="kjwukiuki0107@gmail.com"/>
    <s v="kjwukiuki0107@gmail.com"/>
    <m/>
    <m/>
    <s v="電話番号"/>
    <m/>
    <m/>
    <m/>
    <m/>
    <m/>
    <m/>
    <s v="Gmail"/>
    <m/>
    <m/>
    <m/>
    <s v="グルップ"/>
    <m/>
    <d v="2025-03-26T00:00:00"/>
    <m/>
    <s v="浮田美穂"/>
    <m/>
    <m/>
    <x v="0"/>
    <s v=""/>
    <x v="0"/>
    <x v="0"/>
    <s v=""/>
    <s v=""/>
    <s v=""/>
    <s v=""/>
    <s v=""/>
    <s v=""/>
    <x v="97"/>
    <s v=""/>
    <s v=""/>
    <s v=""/>
    <s v=""/>
    <n v="0"/>
    <n v="0"/>
    <n v="0"/>
    <s v=""/>
    <n v="0"/>
    <s v=""/>
    <x v="0"/>
    <s v=""/>
    <s v=""/>
    <s v=""/>
  </r>
  <r>
    <m/>
    <x v="1"/>
    <s v="miho"/>
    <m/>
    <m/>
    <s v="美穂"/>
    <s v="浮田美穂"/>
    <s v="浮田"/>
    <s v="❌ ID introuvable"/>
    <x v="0"/>
    <m/>
    <x v="0"/>
    <m/>
    <m/>
    <m/>
    <m/>
    <m/>
    <m/>
    <m/>
    <s v="kjwukiuki0107@gmail.com"/>
    <s v="kjwukiuki0107@gmail.com"/>
    <m/>
    <m/>
    <s v="電話番号"/>
    <m/>
    <m/>
    <m/>
    <m/>
    <m/>
    <m/>
    <s v="Gmail"/>
    <m/>
    <m/>
    <m/>
    <s v="グルップ"/>
    <m/>
    <m/>
    <m/>
    <s v="浮田美穂"/>
    <m/>
    <m/>
    <x v="0"/>
    <s v=""/>
    <x v="0"/>
    <x v="0"/>
    <s v=""/>
    <s v=""/>
    <s v=""/>
    <s v=""/>
    <s v=""/>
    <s v=""/>
    <x v="97"/>
    <s v=""/>
    <s v=""/>
    <s v=""/>
    <s v=""/>
    <n v="0"/>
    <n v="0"/>
    <n v="0"/>
    <s v=""/>
    <n v="0"/>
    <s v=""/>
    <x v="0"/>
    <s v=""/>
    <s v=""/>
    <s v=""/>
  </r>
  <r>
    <n v="104"/>
    <x v="2"/>
    <s v="Mina"/>
    <s v="Baba"/>
    <m/>
    <s v="みな"/>
    <s v="馬場みな"/>
    <s v="馬場"/>
    <s v="🔗 Go to finance"/>
    <x v="1"/>
    <s v="group"/>
    <x v="7"/>
    <m/>
    <m/>
    <n v="6050"/>
    <m/>
    <m/>
    <d v="2023-04-03T00:00:00"/>
    <m/>
    <s v="miyu.23a@gmail.com"/>
    <s v="miyu.23a@gmail.com"/>
    <m/>
    <n v="8085582012"/>
    <s v="電話番号"/>
    <m/>
    <s v="814-0142_x000a_福岡市南区片江3-19-6"/>
    <m/>
    <d v="2023-04-03T00:00:00"/>
    <m/>
    <m/>
    <s v="Gmail"/>
    <m/>
    <s v="814-0142_x000a_福岡市南区片江3-19-6"/>
    <m/>
    <s v="小学生"/>
    <m/>
    <m/>
    <m/>
    <s v="馬場みな"/>
    <m/>
    <m/>
    <x v="2"/>
    <n v="4"/>
    <x v="5"/>
    <x v="3"/>
    <s v=""/>
    <s v=""/>
    <s v=""/>
    <s v=""/>
    <s v=""/>
    <n v="805"/>
    <x v="98"/>
    <s v=""/>
    <s v=""/>
    <s v="Fixed"/>
    <n v="210000"/>
    <s v="-"/>
    <s v="----"/>
    <s v="---"/>
    <s v=""/>
    <s v=""/>
    <e v="#N/A"/>
    <x v="1"/>
    <e v="#N/A"/>
    <e v="#N/A"/>
    <s v=""/>
  </r>
  <r>
    <m/>
    <x v="1"/>
    <s v="Minami"/>
    <s v="Nagatomo"/>
    <m/>
    <s v="みなみ"/>
    <s v="長友みなみ"/>
    <s v="長友"/>
    <s v="❌ ID introuvable"/>
    <x v="0"/>
    <m/>
    <x v="2"/>
    <m/>
    <m/>
    <m/>
    <m/>
    <m/>
    <m/>
    <m/>
    <s v="ngtmmnm0373@docomo.ne.jp"/>
    <m/>
    <m/>
    <s v="080-8560-6950"/>
    <s v="電話番号"/>
    <m/>
    <s v="福岡市南区日佐3-33-14-103"/>
    <m/>
    <m/>
    <m/>
    <m/>
    <s v="Gmail"/>
    <m/>
    <s v="福岡市南区日佐3-33-14-103"/>
    <m/>
    <s v="プラ2回,大人"/>
    <m/>
    <m/>
    <m/>
    <s v="長友みなみ"/>
    <m/>
    <m/>
    <x v="0"/>
    <s v=""/>
    <x v="0"/>
    <x v="0"/>
    <s v=""/>
    <s v=""/>
    <s v=""/>
    <s v=""/>
    <s v=""/>
    <s v=""/>
    <x v="99"/>
    <s v=""/>
    <s v=""/>
    <s v=""/>
    <s v=""/>
    <n v="0"/>
    <n v="0"/>
    <n v="0"/>
    <s v=""/>
    <n v="0"/>
    <s v=""/>
    <x v="0"/>
    <s v=""/>
    <s v=""/>
    <s v=""/>
  </r>
  <r>
    <m/>
    <x v="1"/>
    <s v="Minato"/>
    <s v="Koshino"/>
    <m/>
    <s v="みなと"/>
    <s v="越野みなと"/>
    <s v="越野"/>
    <s v="❌ ID introuvable"/>
    <x v="0"/>
    <m/>
    <x v="1"/>
    <m/>
    <m/>
    <m/>
    <m/>
    <m/>
    <m/>
    <m/>
    <s v="kirara_216@i.softbank.jp"/>
    <m/>
    <m/>
    <n v="8039758545"/>
    <s v="電話番号"/>
    <m/>
    <s v="〒815-0031_x000a_福岡市南区清水３－１６－１６－２０１"/>
    <m/>
    <d v="2021-06-01T00:00:00"/>
    <m/>
    <m/>
    <s v="Gmail"/>
    <m/>
    <s v="〒815-0031_x000a_福岡市南区清水３－１６－１６－２０１"/>
    <m/>
    <s v="幼稚園"/>
    <m/>
    <m/>
    <m/>
    <s v="越野みなと"/>
    <m/>
    <m/>
    <x v="0"/>
    <s v=""/>
    <x v="3"/>
    <x v="6"/>
    <s v=""/>
    <s v=""/>
    <s v=""/>
    <s v=""/>
    <s v=""/>
    <s v=""/>
    <x v="100"/>
    <s v=""/>
    <s v=""/>
    <s v=""/>
    <s v=""/>
    <n v="0"/>
    <n v="0"/>
    <n v="0"/>
    <s v=""/>
    <n v="0"/>
    <e v="#N/A"/>
    <x v="1"/>
    <e v="#N/A"/>
    <e v="#N/A"/>
    <s v=""/>
  </r>
  <r>
    <m/>
    <x v="1"/>
    <s v="Mio"/>
    <s v="Miyamoto"/>
    <m/>
    <s v="みお"/>
    <s v="坂本みお"/>
    <s v="坂本"/>
    <s v="❌ ID introuvable"/>
    <x v="0"/>
    <m/>
    <x v="0"/>
    <m/>
    <m/>
    <m/>
    <m/>
    <m/>
    <m/>
    <m/>
    <s v="mio28137@icloud.com"/>
    <m/>
    <m/>
    <s v="090-5488-5673"/>
    <s v="電話番号"/>
    <m/>
    <s v="福岡市南区たが１－２－２６ フルーアたが１０２"/>
    <m/>
    <m/>
    <m/>
    <m/>
    <s v="Gmail"/>
    <m/>
    <s v="福岡市南区たが１－２－２６ フルーアたが１０２"/>
    <m/>
    <s v="プら"/>
    <m/>
    <m/>
    <m/>
    <s v="坂本みお"/>
    <m/>
    <m/>
    <x v="0"/>
    <s v=""/>
    <x v="0"/>
    <x v="0"/>
    <s v=""/>
    <s v=""/>
    <s v=""/>
    <s v=""/>
    <s v=""/>
    <s v=""/>
    <x v="101"/>
    <s v=""/>
    <s v=""/>
    <s v=""/>
    <s v=""/>
    <n v="0"/>
    <n v="0"/>
    <n v="0"/>
    <s v=""/>
    <n v="0"/>
    <s v=""/>
    <x v="0"/>
    <s v=""/>
    <s v=""/>
    <s v=""/>
  </r>
  <r>
    <n v="70"/>
    <x v="1"/>
    <s v="Mirei"/>
    <s v="Adachi"/>
    <m/>
    <s v="美鈴"/>
    <s v="安達美鈴"/>
    <s v="安達"/>
    <s v="🔗 Go to finance"/>
    <x v="0"/>
    <m/>
    <x v="4"/>
    <m/>
    <m/>
    <m/>
    <m/>
    <m/>
    <m/>
    <m/>
    <s v="kazuyuko0730@nifty.com"/>
    <m/>
    <m/>
    <s v="080-1702-3549"/>
    <s v="電話番号"/>
    <m/>
    <s v="福岡市南区6-39-9"/>
    <m/>
    <m/>
    <m/>
    <m/>
    <s v="Gmail"/>
    <m/>
    <s v="福岡市南区6-39-9"/>
    <m/>
    <s v="小学生"/>
    <m/>
    <d v="2025-02-28T00:00:00"/>
    <m/>
    <s v="安達美鈴"/>
    <m/>
    <m/>
    <x v="0"/>
    <s v=""/>
    <x v="0"/>
    <x v="0"/>
    <s v=""/>
    <s v=""/>
    <s v=""/>
    <s v=""/>
    <s v=""/>
    <s v=""/>
    <x v="102"/>
    <s v=""/>
    <s v=""/>
    <s v=""/>
    <s v=""/>
    <n v="0"/>
    <n v="0"/>
    <n v="0"/>
    <s v=""/>
    <n v="0"/>
    <s v=""/>
    <x v="0"/>
    <s v=""/>
    <s v=""/>
    <s v=""/>
  </r>
  <r>
    <m/>
    <x v="1"/>
    <s v="Misora"/>
    <s v="kuroki"/>
    <m/>
    <s v="みそら"/>
    <s v="黒木みそら"/>
    <s v="黒木"/>
    <s v="❌ ID introuvable"/>
    <x v="0"/>
    <m/>
    <x v="0"/>
    <m/>
    <m/>
    <m/>
    <m/>
    <m/>
    <m/>
    <m/>
    <s v="codomoz134@softbank.ne.jp"/>
    <m/>
    <m/>
    <m/>
    <s v="電話番号"/>
    <m/>
    <s v="福岡市博多区那珂５－７－３０アドニス那珂701"/>
    <m/>
    <d v="2023-01-04T00:00:00"/>
    <m/>
    <m/>
    <s v="Gmail"/>
    <m/>
    <s v="福岡市博多区那珂５－７－３０アドニス那珂701"/>
    <m/>
    <s v="セミプラ"/>
    <m/>
    <m/>
    <m/>
    <s v="黒木みそら"/>
    <m/>
    <m/>
    <x v="0"/>
    <s v=""/>
    <x v="1"/>
    <x v="3"/>
    <s v=""/>
    <s v=""/>
    <s v=""/>
    <s v=""/>
    <s v=""/>
    <s v=""/>
    <x v="103"/>
    <s v=""/>
    <s v=""/>
    <s v=""/>
    <s v=""/>
    <n v="0"/>
    <n v="0"/>
    <n v="0"/>
    <s v=""/>
    <n v="0"/>
    <e v="#N/A"/>
    <x v="1"/>
    <e v="#N/A"/>
    <e v="#N/A"/>
    <s v=""/>
  </r>
  <r>
    <m/>
    <x v="1"/>
    <s v="Mitsuki"/>
    <s v="Furusho"/>
    <m/>
    <s v="充希"/>
    <s v="古庄充希"/>
    <s v="古庄"/>
    <s v="❌ ID introuvable"/>
    <x v="0"/>
    <m/>
    <x v="0"/>
    <m/>
    <m/>
    <m/>
    <m/>
    <m/>
    <m/>
    <m/>
    <m/>
    <m/>
    <m/>
    <m/>
    <s v="電話番号"/>
    <m/>
    <s v="811-1344 _x000a_福岡市南区三宅"/>
    <m/>
    <m/>
    <m/>
    <m/>
    <s v="Gmail"/>
    <m/>
    <s v="811-1344 _x000a_福岡市南区三宅"/>
    <m/>
    <s v="幼稚園"/>
    <m/>
    <d v="2025-02-28T00:00:00"/>
    <m/>
    <s v="古庄充希"/>
    <m/>
    <m/>
    <x v="0"/>
    <s v=""/>
    <x v="0"/>
    <x v="0"/>
    <s v=""/>
    <s v=""/>
    <s v=""/>
    <s v=""/>
    <s v=""/>
    <s v=""/>
    <x v="104"/>
    <s v=""/>
    <s v=""/>
    <s v=""/>
    <s v=""/>
    <n v="0"/>
    <n v="0"/>
    <n v="0"/>
    <s v=""/>
    <n v="0"/>
    <s v=""/>
    <x v="0"/>
    <s v=""/>
    <s v=""/>
    <s v=""/>
  </r>
  <r>
    <m/>
    <x v="1"/>
    <s v="Mitsuki"/>
    <s v="Fujiwara"/>
    <m/>
    <s v="みつき"/>
    <s v="藤原みつき"/>
    <s v="藤原"/>
    <s v="❌ ID introuvable"/>
    <x v="0"/>
    <m/>
    <x v="0"/>
    <m/>
    <m/>
    <m/>
    <m/>
    <m/>
    <m/>
    <m/>
    <s v="rinrinshiorin@hotmail.co.jp"/>
    <s v="rinrinshiorin0304@gmail.com"/>
    <m/>
    <n v="9068954683"/>
    <s v="電話番号"/>
    <m/>
    <s v="福岡市南区三宅３－２１－１４－４６８３"/>
    <m/>
    <d v="2022-06-02T00:00:00"/>
    <m/>
    <m/>
    <s v="Gmail"/>
    <m/>
    <s v="福岡市南区三宅３－２１－１４－４６８３"/>
    <m/>
    <s v="小学生"/>
    <m/>
    <m/>
    <m/>
    <s v="藤原みつき"/>
    <m/>
    <m/>
    <x v="0"/>
    <s v=""/>
    <x v="3"/>
    <x v="8"/>
    <s v=""/>
    <s v=""/>
    <s v=""/>
    <s v=""/>
    <s v=""/>
    <s v=""/>
    <x v="105"/>
    <s v=""/>
    <s v=""/>
    <s v=""/>
    <s v=""/>
    <n v="0"/>
    <n v="0"/>
    <n v="0"/>
    <s v=""/>
    <n v="0"/>
    <e v="#N/A"/>
    <x v="1"/>
    <e v="#N/A"/>
    <e v="#N/A"/>
    <s v=""/>
  </r>
  <r>
    <n v="137"/>
    <x v="1"/>
    <s v="Mitsuki"/>
    <s v="Kuroishi"/>
    <m/>
    <s v="美月"/>
    <s v="黒岩美月"/>
    <s v="黒岩"/>
    <s v="🔗 Go to finance"/>
    <x v="0"/>
    <m/>
    <x v="0"/>
    <m/>
    <m/>
    <m/>
    <m/>
    <m/>
    <m/>
    <m/>
    <s v="accesslase@yahoo.co.jp"/>
    <s v="e22t22t25m11@gmail.com"/>
    <m/>
    <s v="090-2516-6457"/>
    <s v="電話番号"/>
    <m/>
    <s v="812-0888_x000a_福岡市南区板付7-9-33-303"/>
    <m/>
    <m/>
    <m/>
    <m/>
    <s v="Gmail"/>
    <m/>
    <s v="812-0888_x000a_福岡市南区板付7-9-33-303"/>
    <m/>
    <s v="セミプラ"/>
    <m/>
    <m/>
    <m/>
    <s v="黒岩美月"/>
    <m/>
    <m/>
    <x v="0"/>
    <s v=""/>
    <x v="0"/>
    <x v="0"/>
    <s v=""/>
    <s v=""/>
    <s v=""/>
    <s v=""/>
    <s v=""/>
    <s v=""/>
    <x v="106"/>
    <s v=""/>
    <s v=""/>
    <s v=""/>
    <s v=""/>
    <n v="0"/>
    <n v="0"/>
    <n v="0"/>
    <s v=""/>
    <n v="0"/>
    <s v=""/>
    <x v="0"/>
    <s v=""/>
    <s v=""/>
    <s v=""/>
  </r>
  <r>
    <n v="29"/>
    <x v="2"/>
    <s v="Miyuki"/>
    <s v="Hama"/>
    <m/>
    <s v="由紀"/>
    <s v="浜美由紀"/>
    <s v="浜美"/>
    <s v="🔗 Go to finance"/>
    <x v="2"/>
    <s v="private"/>
    <x v="6"/>
    <m/>
    <n v="4"/>
    <n v="17600"/>
    <n v="17600"/>
    <m/>
    <d v="2018-01-01T00:00:00"/>
    <m/>
    <s v="b-snow.h612@i.softbank.jp"/>
    <m/>
    <m/>
    <s v="090-5949-7888"/>
    <s v="電話番号"/>
    <m/>
    <s v="筑紫郡那珂川町王塚台3-65"/>
    <m/>
    <d v="2018-01-01T00:00:00"/>
    <m/>
    <m/>
    <s v="Gmail"/>
    <m/>
    <s v="筑紫郡那珂川町王塚台3-65"/>
    <m/>
    <s v="プら3回,Adult"/>
    <m/>
    <m/>
    <m/>
    <s v="浜美由紀"/>
    <n v="29"/>
    <s v="浜美由紀"/>
    <x v="1"/>
    <n v="4"/>
    <x v="1"/>
    <x v="7"/>
    <s v=""/>
    <s v=""/>
    <s v=""/>
    <n v="4"/>
    <s v=""/>
    <n v="2723"/>
    <x v="107"/>
    <e v="#N/A"/>
    <e v="#N/A"/>
    <s v="Hourly"/>
    <n v="2600"/>
    <n v="0"/>
    <n v="10400"/>
    <n v="10400"/>
    <e v="#N/A"/>
    <n v="7200"/>
    <e v="#N/A"/>
    <x v="1"/>
    <e v="#N/A"/>
    <e v="#N/A"/>
    <s v=""/>
  </r>
  <r>
    <m/>
    <x v="1"/>
    <s v="Mizuki"/>
    <s v="Futagawa"/>
    <m/>
    <s v="瑞希"/>
    <s v="二川瑞希"/>
    <s v="二川"/>
    <s v="❌ ID introuvable"/>
    <x v="0"/>
    <m/>
    <x v="0"/>
    <m/>
    <m/>
    <m/>
    <m/>
    <m/>
    <m/>
    <m/>
    <s v="mizuki.futagawa@gmail.com"/>
    <s v="mizuki.futagawa@gmail.com"/>
    <m/>
    <n v="8015389137"/>
    <s v="電話番号"/>
    <m/>
    <s v="8150033_x000a_福岡市南区大橋2-19-27-803"/>
    <m/>
    <m/>
    <m/>
    <m/>
    <s v="Gmail"/>
    <m/>
    <s v="8150033_x000a_福岡市南区大橋2-19-27-803"/>
    <m/>
    <s v="プら"/>
    <m/>
    <m/>
    <m/>
    <s v="二川瑞希"/>
    <m/>
    <m/>
    <x v="0"/>
    <s v=""/>
    <x v="0"/>
    <x v="0"/>
    <s v=""/>
    <s v=""/>
    <s v=""/>
    <s v=""/>
    <s v=""/>
    <s v=""/>
    <x v="108"/>
    <s v=""/>
    <s v=""/>
    <s v=""/>
    <s v=""/>
    <n v="0"/>
    <n v="0"/>
    <n v="0"/>
    <s v=""/>
    <n v="0"/>
    <s v=""/>
    <x v="0"/>
    <s v=""/>
    <s v=""/>
    <s v=""/>
  </r>
  <r>
    <m/>
    <x v="1"/>
    <s v="Momo ＆ Yuzu"/>
    <s v="Watanabe"/>
    <m/>
    <s v="もも &amp; ゆず"/>
    <s v="渡邉もも &amp; ゆず"/>
    <s v="渡邉"/>
    <s v="❌ ID introuvable"/>
    <x v="0"/>
    <m/>
    <x v="0"/>
    <m/>
    <m/>
    <m/>
    <m/>
    <m/>
    <m/>
    <m/>
    <s v="madopi.yms@gmail.com"/>
    <s v="madopi.yms@gmail.com"/>
    <m/>
    <n v="9028590381"/>
    <s v="電話番号"/>
    <m/>
    <s v="〒 - _x000a_福岡県福岡市南区大橋１－８－２１"/>
    <m/>
    <m/>
    <m/>
    <m/>
    <s v="Gmail"/>
    <m/>
    <s v="〒 - _x000a_福岡県福岡市南区大橋１－８－２１"/>
    <m/>
    <s v="小学生"/>
    <m/>
    <m/>
    <m/>
    <s v="渡邉もも &amp; ゆず"/>
    <m/>
    <m/>
    <x v="0"/>
    <s v=""/>
    <x v="0"/>
    <x v="0"/>
    <s v=""/>
    <s v=""/>
    <s v=""/>
    <s v=""/>
    <s v=""/>
    <s v=""/>
    <x v="109"/>
    <s v=""/>
    <s v=""/>
    <s v=""/>
    <s v=""/>
    <n v="0"/>
    <n v="0"/>
    <n v="0"/>
    <s v=""/>
    <n v="0"/>
    <s v=""/>
    <x v="0"/>
    <s v=""/>
    <s v=""/>
    <s v=""/>
  </r>
  <r>
    <m/>
    <x v="1"/>
    <s v="Momo"/>
    <s v="Watanabe"/>
    <m/>
    <s v="もも"/>
    <s v="渡邉もも"/>
    <s v="渡邉"/>
    <s v="❌ ID introuvable"/>
    <x v="0"/>
    <m/>
    <x v="1"/>
    <m/>
    <m/>
    <m/>
    <m/>
    <m/>
    <m/>
    <m/>
    <s v="madopi-mya-@i.softbank.jp"/>
    <m/>
    <m/>
    <s v="090-2859-0381"/>
    <s v="電話番号"/>
    <m/>
    <s v="815-0031_x000a_福岡市南区大橋1-8-21"/>
    <m/>
    <d v="2021-04-08T00:00:00"/>
    <m/>
    <m/>
    <s v="Gmail"/>
    <m/>
    <s v="815-0031_x000a_福岡市南区大橋1-8-21"/>
    <m/>
    <s v="小学生,幼稚園"/>
    <m/>
    <m/>
    <m/>
    <s v="渡邉もも"/>
    <m/>
    <m/>
    <x v="0"/>
    <s v=""/>
    <x v="5"/>
    <x v="6"/>
    <s v=""/>
    <s v=""/>
    <s v=""/>
    <s v=""/>
    <s v=""/>
    <s v=""/>
    <x v="110"/>
    <s v=""/>
    <s v=""/>
    <s v=""/>
    <s v=""/>
    <n v="0"/>
    <n v="0"/>
    <n v="0"/>
    <s v=""/>
    <n v="0"/>
    <e v="#N/A"/>
    <x v="1"/>
    <e v="#N/A"/>
    <e v="#N/A"/>
    <s v=""/>
  </r>
  <r>
    <n v="135"/>
    <x v="2"/>
    <s v="Momoka"/>
    <s v="Sato"/>
    <m/>
    <s v="百華"/>
    <s v="佐藤百華"/>
    <s v="佐藤"/>
    <s v="🔗 Go to finance"/>
    <x v="2"/>
    <s v="private"/>
    <x v="9"/>
    <m/>
    <n v="2"/>
    <n v="9900"/>
    <m/>
    <m/>
    <m/>
    <m/>
    <s v="mero.rabu1905@icloud.com"/>
    <s v="sweet.u.tan.sys15@gmail.com"/>
    <m/>
    <s v="090-6893-8163"/>
    <s v="電話番号"/>
    <m/>
    <s v="811-1321_x000a_福岡市南区柳瀬1-38-8"/>
    <m/>
    <d v="2024-04-01T00:00:00"/>
    <m/>
    <m/>
    <s v="Gmail"/>
    <m/>
    <s v="811-1321_x000a_福岡市南区柳瀬1-38-8"/>
    <m/>
    <s v="プら"/>
    <m/>
    <m/>
    <m/>
    <s v="佐藤百華"/>
    <m/>
    <m/>
    <x v="1"/>
    <n v="2"/>
    <x v="5"/>
    <x v="2"/>
    <s v=""/>
    <s v=""/>
    <s v=""/>
    <n v="2"/>
    <s v=""/>
    <n v="441"/>
    <x v="111"/>
    <e v="#N/A"/>
    <e v="#N/A"/>
    <s v="Hourly"/>
    <n v="2600"/>
    <n v="0"/>
    <n v="5200"/>
    <n v="5200"/>
    <e v="#N/A"/>
    <n v="4700"/>
    <e v="#N/A"/>
    <x v="1"/>
    <e v="#N/A"/>
    <e v="#N/A"/>
    <s v=""/>
  </r>
  <r>
    <n v="135"/>
    <x v="2"/>
    <s v="Momoka"/>
    <s v="Sato"/>
    <m/>
    <s v="百華"/>
    <s v="佐藤百華"/>
    <s v="佐藤"/>
    <s v="🔗 Go to finance"/>
    <x v="3"/>
    <s v="group"/>
    <x v="9"/>
    <m/>
    <n v="2"/>
    <n v="3300"/>
    <m/>
    <m/>
    <d v="2024-02-01T00:00:00"/>
    <m/>
    <s v="mero.rabu1905@icloud.com"/>
    <s v="sweet.u.tan.sys15@gmail.com"/>
    <m/>
    <s v="090-6893-8163"/>
    <s v="電話番号"/>
    <m/>
    <s v="811-1321_x000a_福岡市南区柳瀬1-38-8"/>
    <m/>
    <d v="2024-02-01T00:00:00"/>
    <m/>
    <m/>
    <s v="Gmail"/>
    <m/>
    <s v="811-1321_x000a_福岡市南区柳瀬1-38-8"/>
    <m/>
    <s v="プら"/>
    <m/>
    <m/>
    <m/>
    <s v="佐藤百華"/>
    <m/>
    <m/>
    <x v="2"/>
    <n v="2"/>
    <x v="2"/>
    <x v="2"/>
    <s v=""/>
    <s v=""/>
    <s v=""/>
    <s v=""/>
    <s v=""/>
    <n v="501"/>
    <x v="111"/>
    <e v="#N/A"/>
    <e v="#N/A"/>
    <s v="Hourly"/>
    <n v="3000"/>
    <n v="0"/>
    <n v="0"/>
    <n v="0"/>
    <e v="#N/A"/>
    <n v="3300"/>
    <e v="#N/A"/>
    <x v="1"/>
    <e v="#N/A"/>
    <e v="#N/A"/>
    <s v=""/>
  </r>
  <r>
    <n v="105"/>
    <x v="2"/>
    <s v="Momoko"/>
    <s v="Fujino"/>
    <m/>
    <s v="ももこ"/>
    <s v="藤野ももこ"/>
    <s v="藤野"/>
    <s v="🔗 Go to finance"/>
    <x v="2"/>
    <s v="private"/>
    <x v="9"/>
    <m/>
    <n v="3"/>
    <n v="14850"/>
    <n v="0"/>
    <m/>
    <m/>
    <m/>
    <s v="momoxks@gmail.com"/>
    <s v="momoxks@gmail.com"/>
    <m/>
    <m/>
    <s v="電話番号"/>
    <m/>
    <s v="8120015_x000a_福岡市博多区山王_x000a_2-11-21-503"/>
    <m/>
    <d v="2023-06-01T00:00:00"/>
    <m/>
    <m/>
    <s v="Gmail"/>
    <m/>
    <s v="8120015_x000a_福岡市博多区山王_x000a_2-11-21-503"/>
    <m/>
    <s v="プら"/>
    <m/>
    <m/>
    <m/>
    <s v="藤野ももこ"/>
    <n v="105"/>
    <s v="藤野ももこ"/>
    <x v="1"/>
    <n v="3"/>
    <x v="3"/>
    <x v="3"/>
    <s v=""/>
    <s v=""/>
    <s v=""/>
    <n v="3"/>
    <s v=""/>
    <n v="746"/>
    <x v="112"/>
    <e v="#N/A"/>
    <e v="#N/A"/>
    <s v="Hourly"/>
    <n v="2600"/>
    <n v="0"/>
    <n v="7800"/>
    <n v="7800"/>
    <e v="#N/A"/>
    <n v="7050"/>
    <e v="#N/A"/>
    <x v="1"/>
    <e v="#N/A"/>
    <e v="#N/A"/>
    <s v=""/>
  </r>
  <r>
    <n v="49"/>
    <x v="2"/>
    <s v="Nagi"/>
    <s v="Ono"/>
    <m/>
    <s v="なぎ"/>
    <s v="大野なぎ"/>
    <s v="大野"/>
    <s v="🔗 Go to finance"/>
    <x v="1"/>
    <s v="group"/>
    <x v="7"/>
    <m/>
    <m/>
    <n v="6050"/>
    <m/>
    <m/>
    <d v="2024-10-01T00:00:00"/>
    <m/>
    <s v="hiroshix55@hotmail.com"/>
    <m/>
    <m/>
    <s v="09071554570(父)"/>
    <s v="電話番号"/>
    <m/>
    <s v="トれど"/>
    <m/>
    <d v="2024-10-01T00:00:00"/>
    <m/>
    <m/>
    <s v="Gmail"/>
    <m/>
    <s v="トれど"/>
    <m/>
    <s v="小学生"/>
    <m/>
    <m/>
    <m/>
    <s v="大野なぎ"/>
    <m/>
    <m/>
    <x v="2"/>
    <n v="4"/>
    <x v="6"/>
    <x v="2"/>
    <s v=""/>
    <s v=""/>
    <s v=""/>
    <s v=""/>
    <s v=""/>
    <n v="258"/>
    <x v="113"/>
    <s v=""/>
    <s v=""/>
    <s v="Fixed"/>
    <n v="210000"/>
    <s v="-"/>
    <s v="----"/>
    <s v="---"/>
    <s v=""/>
    <s v=""/>
    <e v="#N/A"/>
    <x v="1"/>
    <e v="#N/A"/>
    <e v="#N/A"/>
    <s v=""/>
  </r>
  <r>
    <m/>
    <x v="1"/>
    <s v="Nanami"/>
    <s v="Uetsuki"/>
    <m/>
    <s v="ななみ"/>
    <s v="植月ななみ"/>
    <s v="植月"/>
    <s v="❌ ID introuvable"/>
    <x v="0"/>
    <m/>
    <x v="5"/>
    <m/>
    <m/>
    <m/>
    <m/>
    <m/>
    <m/>
    <m/>
    <m/>
    <m/>
    <m/>
    <m/>
    <s v="電話番号"/>
    <m/>
    <m/>
    <m/>
    <d v="2020-04-01T00:00:00"/>
    <m/>
    <m/>
    <s v="Gmail"/>
    <m/>
    <m/>
    <m/>
    <s v="プら,高校生"/>
    <m/>
    <m/>
    <m/>
    <s v="植月ななみ"/>
    <m/>
    <m/>
    <x v="0"/>
    <s v=""/>
    <x v="5"/>
    <x v="4"/>
    <s v=""/>
    <s v=""/>
    <s v=""/>
    <s v=""/>
    <s v=""/>
    <s v=""/>
    <x v="114"/>
    <s v=""/>
    <s v=""/>
    <s v=""/>
    <s v=""/>
    <n v="0"/>
    <n v="0"/>
    <n v="0"/>
    <s v=""/>
    <n v="0"/>
    <e v="#N/A"/>
    <x v="1"/>
    <e v="#N/A"/>
    <e v="#N/A"/>
    <s v=""/>
  </r>
  <r>
    <n v="157"/>
    <x v="2"/>
    <s v="nanase"/>
    <s v="Shingo"/>
    <m/>
    <s v="七瀬"/>
    <s v="新郷七瀬"/>
    <s v="新郷"/>
    <s v="🔗 Go to finance"/>
    <x v="1"/>
    <s v="group"/>
    <x v="7"/>
    <m/>
    <m/>
    <n v="6050"/>
    <m/>
    <m/>
    <d v="2024-09-01T00:00:00"/>
    <m/>
    <m/>
    <m/>
    <m/>
    <s v="080-2772-4960"/>
    <s v="電話番号"/>
    <m/>
    <m/>
    <m/>
    <d v="2024-06-01T00:00:00"/>
    <m/>
    <m/>
    <s v="Gmail"/>
    <m/>
    <m/>
    <m/>
    <s v="小学生"/>
    <m/>
    <m/>
    <m/>
    <s v="新郷七瀬"/>
    <m/>
    <m/>
    <x v="2"/>
    <n v="4"/>
    <x v="3"/>
    <x v="2"/>
    <s v=""/>
    <s v=""/>
    <s v=""/>
    <s v=""/>
    <s v=""/>
    <n v="380"/>
    <x v="115"/>
    <s v=""/>
    <s v=""/>
    <s v="Fixed"/>
    <n v="210000"/>
    <s v="-"/>
    <s v="----"/>
    <s v="---"/>
    <s v=""/>
    <s v=""/>
    <e v="#N/A"/>
    <x v="1"/>
    <e v="#N/A"/>
    <e v="#N/A"/>
    <s v=""/>
  </r>
  <r>
    <m/>
    <x v="1"/>
    <s v="Naoko"/>
    <s v="Shiiba"/>
    <m/>
    <s v="尚子"/>
    <s v="椎葉尚子"/>
    <s v="椎葉"/>
    <s v="❌ ID introuvable"/>
    <x v="0"/>
    <m/>
    <x v="0"/>
    <m/>
    <m/>
    <m/>
    <m/>
    <m/>
    <m/>
    <m/>
    <s v="k.kiyo-e-gur@docomo.ne.jp"/>
    <m/>
    <m/>
    <s v="090-2511-0870"/>
    <s v="電話番号"/>
    <m/>
    <m/>
    <m/>
    <m/>
    <m/>
    <m/>
    <s v="Gmail"/>
    <m/>
    <m/>
    <m/>
    <m/>
    <m/>
    <m/>
    <m/>
    <s v="椎葉尚子"/>
    <m/>
    <m/>
    <x v="0"/>
    <s v=""/>
    <x v="0"/>
    <x v="0"/>
    <s v=""/>
    <s v=""/>
    <s v=""/>
    <s v=""/>
    <s v=""/>
    <s v=""/>
    <x v="116"/>
    <s v=""/>
    <s v=""/>
    <s v=""/>
    <s v=""/>
    <n v="0"/>
    <n v="0"/>
    <n v="0"/>
    <s v=""/>
    <n v="0"/>
    <s v=""/>
    <x v="0"/>
    <s v=""/>
    <s v=""/>
    <s v=""/>
  </r>
  <r>
    <n v="22"/>
    <x v="2"/>
    <s v="Naoko"/>
    <s v="Tou"/>
    <m/>
    <s v="穂子"/>
    <s v="藤菜穂子"/>
    <s v="藤菜"/>
    <s v="🔗 Go to finance"/>
    <x v="2"/>
    <s v="private"/>
    <x v="6"/>
    <m/>
    <n v="4"/>
    <n v="17600"/>
    <m/>
    <m/>
    <m/>
    <m/>
    <s v="naoko0528tou@gmail.com"/>
    <s v="naoko0528tou@gmail.com"/>
    <m/>
    <s v="080-1727-0310"/>
    <s v="電話番号"/>
    <m/>
    <s v="福岡市博多区麦野5丁目17-12"/>
    <m/>
    <d v="2018-01-01T00:00:00"/>
    <m/>
    <m/>
    <s v="Gmail"/>
    <m/>
    <s v="福岡市博多区麦野5丁目17-12"/>
    <m/>
    <s v="プら,Adult"/>
    <m/>
    <m/>
    <m/>
    <s v="藤菜穂子"/>
    <n v="22"/>
    <s v="藤菜穂子"/>
    <x v="1"/>
    <n v="4"/>
    <x v="1"/>
    <x v="7"/>
    <s v=""/>
    <s v=""/>
    <s v=""/>
    <n v="4"/>
    <s v=""/>
    <n v="2723"/>
    <x v="117"/>
    <e v="#N/A"/>
    <e v="#N/A"/>
    <s v="Hourly"/>
    <n v="2600"/>
    <n v="0"/>
    <n v="10400"/>
    <n v="10400"/>
    <e v="#N/A"/>
    <n v="7200"/>
    <e v="#N/A"/>
    <x v="1"/>
    <e v="#N/A"/>
    <e v="#N/A"/>
    <s v=""/>
  </r>
  <r>
    <m/>
    <x v="1"/>
    <s v="Narumi"/>
    <s v="Deguchi"/>
    <m/>
    <s v="奈琉実"/>
    <s v="出口奈琉実"/>
    <s v="出口"/>
    <s v="❌ ID introuvable"/>
    <x v="0"/>
    <m/>
    <x v="5"/>
    <m/>
    <m/>
    <m/>
    <m/>
    <m/>
    <m/>
    <m/>
    <s v="dnskay_0326@yahoo.co.jp"/>
    <m/>
    <m/>
    <s v="070-7586-3326(Narumi)"/>
    <s v="電話番号"/>
    <m/>
    <m/>
    <m/>
    <m/>
    <m/>
    <m/>
    <s v="Gmail"/>
    <m/>
    <m/>
    <m/>
    <s v="高校生"/>
    <m/>
    <m/>
    <m/>
    <s v="出口奈琉実"/>
    <m/>
    <m/>
    <x v="0"/>
    <s v=""/>
    <x v="0"/>
    <x v="0"/>
    <s v=""/>
    <s v=""/>
    <s v=""/>
    <s v=""/>
    <s v=""/>
    <s v=""/>
    <x v="118"/>
    <s v=""/>
    <s v=""/>
    <s v=""/>
    <s v=""/>
    <n v="0"/>
    <n v="0"/>
    <n v="0"/>
    <s v=""/>
    <n v="0"/>
    <s v=""/>
    <x v="0"/>
    <s v=""/>
    <s v=""/>
    <s v=""/>
  </r>
  <r>
    <m/>
    <x v="1"/>
    <s v="Natsuki"/>
    <s v="Maruyama"/>
    <m/>
    <s v="渚月"/>
    <s v="丸山渚月"/>
    <s v="丸山"/>
    <s v="❌ ID introuvable"/>
    <x v="0"/>
    <m/>
    <x v="1"/>
    <m/>
    <m/>
    <m/>
    <m/>
    <m/>
    <m/>
    <m/>
    <s v="tokitan0317@docomo.ne.jp"/>
    <m/>
    <m/>
    <s v="08027791763(お母様)"/>
    <s v="電話番号"/>
    <m/>
    <s v="〒815-0033_x000a_福岡市南区大橋4丁目18-9"/>
    <m/>
    <m/>
    <m/>
    <m/>
    <s v="Gmail"/>
    <m/>
    <s v="〒815-0033_x000a_福岡市南区大橋4丁目18-9"/>
    <m/>
    <s v="セミプラ,幼稚園"/>
    <m/>
    <m/>
    <m/>
    <s v="丸山渚月"/>
    <m/>
    <m/>
    <x v="0"/>
    <s v=""/>
    <x v="0"/>
    <x v="0"/>
    <s v=""/>
    <s v=""/>
    <s v=""/>
    <s v=""/>
    <s v=""/>
    <s v=""/>
    <x v="119"/>
    <s v=""/>
    <s v=""/>
    <s v=""/>
    <s v=""/>
    <n v="0"/>
    <n v="0"/>
    <n v="0"/>
    <s v=""/>
    <n v="0"/>
    <s v=""/>
    <x v="0"/>
    <s v=""/>
    <s v=""/>
    <s v=""/>
  </r>
  <r>
    <n v="155"/>
    <x v="2"/>
    <s v="natsumi"/>
    <s v="otsubo"/>
    <m/>
    <s v="菜摘"/>
    <s v="大坪菜摘"/>
    <s v="大坪"/>
    <s v="🔗 Go to finance"/>
    <x v="3"/>
    <s v="group"/>
    <x v="6"/>
    <s v="Group B"/>
    <n v="2"/>
    <n v="9500"/>
    <m/>
    <m/>
    <d v="2024-10-01T00:00:00"/>
    <m/>
    <s v="ohbntm@gmail.com"/>
    <s v="ohbntm@gmail.com"/>
    <m/>
    <n v="8031821943"/>
    <s v="電話番号"/>
    <m/>
    <m/>
    <m/>
    <d v="2024-10-01T00:00:00"/>
    <m/>
    <m/>
    <s v="Gmail"/>
    <m/>
    <m/>
    <m/>
    <s v="セミプラ"/>
    <m/>
    <m/>
    <m/>
    <s v="大坪菜摘"/>
    <n v="155"/>
    <s v="大坪菜摘"/>
    <x v="2"/>
    <n v="2"/>
    <x v="6"/>
    <x v="2"/>
    <s v="Group BThomas"/>
    <n v="2"/>
    <n v="1"/>
    <s v=""/>
    <n v="2"/>
    <n v="258"/>
    <x v="120"/>
    <e v="#N/A"/>
    <e v="#N/A"/>
    <s v="Hourly"/>
    <n v="3000"/>
    <n v="6000"/>
    <n v="0"/>
    <n v="6000"/>
    <e v="#N/A"/>
    <n v="3500"/>
    <e v="#N/A"/>
    <x v="1"/>
    <e v="#N/A"/>
    <e v="#N/A"/>
    <s v=""/>
  </r>
  <r>
    <m/>
    <x v="1"/>
    <s v="Noa"/>
    <s v="Imamura"/>
    <m/>
    <s v="希空"/>
    <s v="今村希空"/>
    <s v="今村"/>
    <s v="❌ ID introuvable"/>
    <x v="0"/>
    <m/>
    <x v="4"/>
    <m/>
    <m/>
    <m/>
    <m/>
    <m/>
    <m/>
    <m/>
    <s v="noamama.ifam@gmail.com"/>
    <s v="noamama.ifam@gmail.com"/>
    <m/>
    <s v="09036059645(お母様)"/>
    <s v="電話番号"/>
    <m/>
    <s v="〒816-0872_x000a_春日市桜ヶ丘7-4-1-245"/>
    <m/>
    <d v="2020-02-05T00:00:00"/>
    <m/>
    <m/>
    <s v="Gmail"/>
    <m/>
    <s v="〒816-0872_x000a_春日市桜ヶ丘7-4-1-245"/>
    <m/>
    <s v="中高生"/>
    <m/>
    <m/>
    <m/>
    <s v="今村希空"/>
    <m/>
    <m/>
    <x v="0"/>
    <s v=""/>
    <x v="2"/>
    <x v="4"/>
    <s v=""/>
    <s v=""/>
    <s v=""/>
    <s v=""/>
    <s v=""/>
    <s v=""/>
    <x v="121"/>
    <s v=""/>
    <s v=""/>
    <s v=""/>
    <s v=""/>
    <n v="0"/>
    <n v="0"/>
    <n v="0"/>
    <s v=""/>
    <n v="0"/>
    <e v="#N/A"/>
    <x v="1"/>
    <e v="#N/A"/>
    <e v="#N/A"/>
    <s v=""/>
  </r>
  <r>
    <m/>
    <x v="1"/>
    <s v="Noriko"/>
    <s v="Tanaka"/>
    <m/>
    <s v="範子"/>
    <s v="田中範子"/>
    <s v="田中"/>
    <s v="❌ ID introuvable"/>
    <x v="0"/>
    <m/>
    <x v="2"/>
    <m/>
    <m/>
    <m/>
    <m/>
    <m/>
    <m/>
    <m/>
    <s v="noriko.tnk.nora@gmail.com"/>
    <s v="yuiko.tnk.hana@gmail.com"/>
    <m/>
    <m/>
    <s v="電話番号"/>
    <m/>
    <s v="〒814-0153_x000a_福岡市城南区樋井川７丁目12-11"/>
    <m/>
    <m/>
    <m/>
    <m/>
    <s v="Gmail"/>
    <m/>
    <s v="〒814-0153_x000a_福岡市城南区樋井川７丁目12-11"/>
    <m/>
    <s v="プら,大人"/>
    <m/>
    <m/>
    <m/>
    <s v="田中範子"/>
    <m/>
    <m/>
    <x v="0"/>
    <s v=""/>
    <x v="0"/>
    <x v="0"/>
    <s v=""/>
    <s v=""/>
    <s v=""/>
    <s v=""/>
    <s v=""/>
    <s v=""/>
    <x v="122"/>
    <s v=""/>
    <s v=""/>
    <s v=""/>
    <s v=""/>
    <n v="0"/>
    <n v="0"/>
    <n v="0"/>
    <s v=""/>
    <n v="0"/>
    <s v=""/>
    <x v="0"/>
    <s v=""/>
    <s v=""/>
    <s v=""/>
  </r>
  <r>
    <m/>
    <x v="1"/>
    <s v="Noriko"/>
    <s v="Kai"/>
    <m/>
    <s v="理子"/>
    <s v="甲斐理子"/>
    <s v="甲斐"/>
    <s v="❌ ID introuvable"/>
    <x v="0"/>
    <m/>
    <x v="2"/>
    <m/>
    <m/>
    <m/>
    <m/>
    <m/>
    <m/>
    <m/>
    <s v="kaikaikai3927@icloud.com"/>
    <m/>
    <m/>
    <n v="928829459"/>
    <s v="電話番号"/>
    <m/>
    <s v="819-0052_x000a_福岡市南区下山_x000a_1-6-18"/>
    <m/>
    <m/>
    <m/>
    <m/>
    <s v="Gmail"/>
    <m/>
    <s v="819-0052_x000a_福岡市南区下山_x000a_1-6-18"/>
    <m/>
    <s v="グルップ,大人"/>
    <m/>
    <m/>
    <m/>
    <s v="甲斐理子"/>
    <m/>
    <m/>
    <x v="0"/>
    <s v=""/>
    <x v="0"/>
    <x v="0"/>
    <s v=""/>
    <s v=""/>
    <s v=""/>
    <s v=""/>
    <s v=""/>
    <s v=""/>
    <x v="123"/>
    <s v=""/>
    <s v=""/>
    <s v=""/>
    <s v=""/>
    <n v="0"/>
    <n v="0"/>
    <n v="0"/>
    <s v=""/>
    <n v="0"/>
    <s v=""/>
    <x v="0"/>
    <s v=""/>
    <s v=""/>
    <s v=""/>
  </r>
  <r>
    <m/>
    <x v="0"/>
    <s v="ohbntm@gmail.com"/>
    <m/>
    <m/>
    <m/>
    <m/>
    <m/>
    <s v="❌ ID introuvable"/>
    <x v="0"/>
    <m/>
    <x v="0"/>
    <m/>
    <m/>
    <m/>
    <m/>
    <m/>
    <m/>
    <m/>
    <m/>
    <m/>
    <m/>
    <m/>
    <s v="電話番号"/>
    <m/>
    <m/>
    <m/>
    <m/>
    <m/>
    <m/>
    <s v="Gmail"/>
    <m/>
    <m/>
    <m/>
    <s v="プら"/>
    <m/>
    <m/>
    <m/>
    <m/>
    <m/>
    <m/>
    <x v="0"/>
    <s v=""/>
    <x v="0"/>
    <x v="0"/>
    <s v=""/>
    <s v=""/>
    <s v=""/>
    <s v=""/>
    <s v=""/>
    <s v=""/>
    <x v="124"/>
    <s v=""/>
    <s v=""/>
    <s v=""/>
    <s v=""/>
    <n v="0"/>
    <n v="0"/>
    <n v="0"/>
    <s v=""/>
    <n v="0"/>
    <s v=""/>
    <x v="0"/>
    <s v=""/>
    <s v=""/>
    <s v=""/>
  </r>
  <r>
    <m/>
    <x v="1"/>
    <s v="Osuke"/>
    <s v="Yoshida"/>
    <m/>
    <s v="桜介"/>
    <s v="吉田桜介"/>
    <s v="吉田"/>
    <s v="❌ ID introuvable"/>
    <x v="0"/>
    <m/>
    <x v="0"/>
    <m/>
    <m/>
    <m/>
    <m/>
    <m/>
    <m/>
    <m/>
    <s v="ry131024@yahoo.co.jp"/>
    <m/>
    <m/>
    <m/>
    <s v="電話番号"/>
    <m/>
    <s v="811-13福岡市南区三宅3-21-11-1005"/>
    <m/>
    <d v="2024-02-09T00:00:00"/>
    <m/>
    <m/>
    <s v="Gmail"/>
    <m/>
    <s v="811-13福岡市南区三宅3-21-11-1005"/>
    <m/>
    <s v="プら"/>
    <m/>
    <m/>
    <m/>
    <s v="吉田桜介"/>
    <m/>
    <m/>
    <x v="0"/>
    <s v=""/>
    <x v="2"/>
    <x v="2"/>
    <s v=""/>
    <s v=""/>
    <s v=""/>
    <s v=""/>
    <s v=""/>
    <s v=""/>
    <x v="125"/>
    <s v=""/>
    <s v=""/>
    <s v=""/>
    <s v=""/>
    <n v="0"/>
    <n v="0"/>
    <n v="0"/>
    <s v=""/>
    <n v="0"/>
    <e v="#N/A"/>
    <x v="1"/>
    <e v="#N/A"/>
    <e v="#N/A"/>
    <s v=""/>
  </r>
  <r>
    <m/>
    <x v="1"/>
    <s v="Otowa"/>
    <s v="Mochidome"/>
    <m/>
    <s v="おとわ"/>
    <s v="持留おとわ"/>
    <s v="持留"/>
    <s v="❌ ID introuvable"/>
    <x v="0"/>
    <m/>
    <x v="4"/>
    <m/>
    <m/>
    <m/>
    <m/>
    <m/>
    <m/>
    <m/>
    <s v="99k92st39@yahoo.co.jp"/>
    <m/>
    <m/>
    <m/>
    <s v="電話番号"/>
    <m/>
    <s v="815-0083_x000a_福岡市南区高宮３－２９－８"/>
    <m/>
    <d v="2023-02-01T00:00:00"/>
    <m/>
    <m/>
    <s v="Gmail"/>
    <m/>
    <s v="815-0083_x000a_福岡市南区高宮３－２９－８"/>
    <m/>
    <s v="セミプラ,小学生"/>
    <m/>
    <m/>
    <m/>
    <s v="持留おとわ"/>
    <m/>
    <m/>
    <x v="0"/>
    <s v=""/>
    <x v="2"/>
    <x v="3"/>
    <s v=""/>
    <s v=""/>
    <s v=""/>
    <s v=""/>
    <s v=""/>
    <s v=""/>
    <x v="126"/>
    <s v=""/>
    <s v=""/>
    <s v=""/>
    <s v=""/>
    <n v="0"/>
    <n v="0"/>
    <n v="0"/>
    <s v=""/>
    <n v="0"/>
    <e v="#N/A"/>
    <x v="1"/>
    <e v="#N/A"/>
    <e v="#N/A"/>
    <s v=""/>
  </r>
  <r>
    <m/>
    <x v="1"/>
    <s v="Rei"/>
    <s v="Shimotsusa"/>
    <m/>
    <s v="佐怜"/>
    <s v="下津佐怜"/>
    <s v="下津"/>
    <s v="❌ ID introuvable"/>
    <x v="0"/>
    <m/>
    <x v="1"/>
    <m/>
    <m/>
    <m/>
    <m/>
    <m/>
    <m/>
    <m/>
    <s v="obsidian.0323@gmail.com"/>
    <s v="obsidian.0323@gmail.com"/>
    <m/>
    <s v="080-3808-4644(母)"/>
    <s v="電話番号"/>
    <m/>
    <s v="w"/>
    <m/>
    <m/>
    <m/>
    <m/>
    <s v="Gmail"/>
    <m/>
    <s v="w"/>
    <m/>
    <s v="中高生"/>
    <m/>
    <m/>
    <m/>
    <s v="下津佐怜"/>
    <m/>
    <m/>
    <x v="0"/>
    <s v=""/>
    <x v="0"/>
    <x v="0"/>
    <s v=""/>
    <s v=""/>
    <s v=""/>
    <s v=""/>
    <s v=""/>
    <s v=""/>
    <x v="127"/>
    <s v=""/>
    <s v=""/>
    <s v=""/>
    <s v=""/>
    <n v="0"/>
    <n v="0"/>
    <n v="0"/>
    <s v=""/>
    <n v="0"/>
    <s v=""/>
    <x v="0"/>
    <s v=""/>
    <s v=""/>
    <s v=""/>
  </r>
  <r>
    <m/>
    <x v="1"/>
    <s v="Reiko"/>
    <s v="Iwata"/>
    <m/>
    <s v="玲子"/>
    <s v="岩田玲子"/>
    <s v="岩田"/>
    <s v="❌ ID introuvable"/>
    <x v="0"/>
    <m/>
    <x v="2"/>
    <m/>
    <m/>
    <m/>
    <m/>
    <m/>
    <m/>
    <m/>
    <s v="bluebottle-reiko@yahoo.co.jp"/>
    <m/>
    <m/>
    <s v="090-9486-5533"/>
    <s v="電話番号"/>
    <m/>
    <s v="福岡市南区多賀1-18-26-302"/>
    <m/>
    <m/>
    <m/>
    <m/>
    <s v="Gmail"/>
    <m/>
    <s v="福岡市南区多賀1-18-26-302"/>
    <m/>
    <s v="グルップ,大人"/>
    <m/>
    <m/>
    <m/>
    <s v="岩田玲子"/>
    <m/>
    <m/>
    <x v="0"/>
    <s v=""/>
    <x v="0"/>
    <x v="0"/>
    <s v=""/>
    <s v=""/>
    <s v=""/>
    <s v=""/>
    <s v=""/>
    <s v=""/>
    <x v="128"/>
    <s v=""/>
    <s v=""/>
    <s v=""/>
    <s v=""/>
    <n v="0"/>
    <n v="0"/>
    <n v="0"/>
    <s v=""/>
    <n v="0"/>
    <s v=""/>
    <x v="0"/>
    <s v=""/>
    <s v=""/>
    <s v=""/>
  </r>
  <r>
    <m/>
    <x v="1"/>
    <s v="Reina"/>
    <s v="Omori"/>
    <m/>
    <s v="麗菜"/>
    <s v="大森麗菜"/>
    <s v="大森"/>
    <s v="❌ ID introuvable"/>
    <x v="0"/>
    <m/>
    <x v="4"/>
    <m/>
    <m/>
    <m/>
    <m/>
    <m/>
    <m/>
    <m/>
    <s v="autumn@docomo.ne.jp"/>
    <m/>
    <m/>
    <s v="092-409-5330"/>
    <s v="電話番号"/>
    <m/>
    <s v="福岡市博多区美野島4-1-10-402"/>
    <m/>
    <m/>
    <m/>
    <m/>
    <s v="Gmail"/>
    <m/>
    <s v="福岡市博多区美野島4-1-10-402"/>
    <m/>
    <s v="小学生"/>
    <m/>
    <m/>
    <m/>
    <s v="大森麗菜"/>
    <m/>
    <m/>
    <x v="0"/>
    <s v=""/>
    <x v="0"/>
    <x v="0"/>
    <s v=""/>
    <s v=""/>
    <s v=""/>
    <s v=""/>
    <s v=""/>
    <s v=""/>
    <x v="129"/>
    <s v=""/>
    <s v=""/>
    <s v=""/>
    <s v=""/>
    <n v="0"/>
    <n v="0"/>
    <n v="0"/>
    <s v=""/>
    <n v="0"/>
    <s v=""/>
    <x v="0"/>
    <s v=""/>
    <s v=""/>
    <s v=""/>
  </r>
  <r>
    <m/>
    <x v="1"/>
    <s v="Ren"/>
    <s v="Ishikawa"/>
    <m/>
    <s v="レン"/>
    <s v="石川レン"/>
    <s v="石川"/>
    <s v="❌ ID introuvable"/>
    <x v="0"/>
    <m/>
    <x v="10"/>
    <m/>
    <m/>
    <m/>
    <m/>
    <m/>
    <m/>
    <m/>
    <s v="sena_ren.0321@ezweb.ne.jp"/>
    <m/>
    <m/>
    <n v="8052152973"/>
    <s v="電話番号"/>
    <m/>
    <s v="〒 811-2973_x000a_福岡市南区和田２町17－23 B202"/>
    <m/>
    <m/>
    <m/>
    <m/>
    <s v="Gmail"/>
    <m/>
    <s v="〒 811-2973_x000a_福岡市南区和田２町17－23 B202"/>
    <m/>
    <s v="中高生"/>
    <m/>
    <m/>
    <m/>
    <s v="石川レン"/>
    <m/>
    <m/>
    <x v="0"/>
    <s v=""/>
    <x v="0"/>
    <x v="0"/>
    <s v=""/>
    <s v=""/>
    <s v=""/>
    <s v=""/>
    <s v=""/>
    <s v=""/>
    <x v="130"/>
    <s v=""/>
    <s v=""/>
    <s v=""/>
    <s v=""/>
    <n v="0"/>
    <n v="0"/>
    <n v="0"/>
    <s v=""/>
    <n v="0"/>
    <s v=""/>
    <x v="0"/>
    <s v=""/>
    <s v=""/>
    <s v=""/>
  </r>
  <r>
    <n v="139"/>
    <x v="2"/>
    <s v="Rika"/>
    <s v="Yano"/>
    <m/>
    <s v="六花"/>
    <s v="矢野六花"/>
    <s v="矢野"/>
    <s v="🔗 Go to finance"/>
    <x v="1"/>
    <s v="private"/>
    <x v="3"/>
    <m/>
    <m/>
    <n v="12100"/>
    <m/>
    <m/>
    <d v="2024-07-01T00:00:00"/>
    <m/>
    <s v="mitsu619@gmail.com"/>
    <s v="mitsu619@gmail.com"/>
    <m/>
    <n v="9087655862"/>
    <s v="電話番号"/>
    <m/>
    <s v="811-2201_x000a_福岡市南区志免桜丘1-27-6"/>
    <m/>
    <d v="2024-07-01T00:00:00"/>
    <m/>
    <m/>
    <s v="Gmail"/>
    <m/>
    <s v="811-2201_x000a_福岡市南区志免桜丘1-27-6"/>
    <m/>
    <s v="セミプラ"/>
    <m/>
    <m/>
    <m/>
    <s v="矢野六花"/>
    <m/>
    <m/>
    <x v="1"/>
    <n v="4"/>
    <x v="7"/>
    <x v="2"/>
    <s v=""/>
    <s v=""/>
    <s v=""/>
    <n v="4"/>
    <s v=""/>
    <n v="350"/>
    <x v="131"/>
    <s v=""/>
    <s v=""/>
    <s v="Fixed"/>
    <n v="210000"/>
    <s v="-"/>
    <s v="----"/>
    <s v="---"/>
    <s v=""/>
    <s v=""/>
    <e v="#N/A"/>
    <x v="1"/>
    <e v="#N/A"/>
    <e v="#N/A"/>
    <s v=""/>
  </r>
  <r>
    <m/>
    <x v="1"/>
    <s v="Rikutaro"/>
    <s v="Tsutsumi"/>
    <m/>
    <s v="凛太郎"/>
    <s v="堤ろ凛太郎"/>
    <s v="堤ろ"/>
    <s v="❌ ID introuvable"/>
    <x v="0"/>
    <m/>
    <x v="0"/>
    <m/>
    <m/>
    <m/>
    <m/>
    <m/>
    <m/>
    <m/>
    <s v="sllag085@gmail.com"/>
    <s v="sllag085@gmail.com"/>
    <m/>
    <n v="9059302430"/>
    <s v="電話番号"/>
    <m/>
    <s v="811-1344_x000a_福岡南区 三宅3-22-39-803"/>
    <m/>
    <m/>
    <m/>
    <m/>
    <s v="Gmail"/>
    <m/>
    <s v="811-1344_x000a_福岡南区 三宅3-22-39-803"/>
    <m/>
    <s v="セミプラ"/>
    <m/>
    <m/>
    <m/>
    <s v="堤ろ凛太郎"/>
    <m/>
    <m/>
    <x v="0"/>
    <s v=""/>
    <x v="0"/>
    <x v="0"/>
    <s v=""/>
    <s v=""/>
    <s v=""/>
    <s v=""/>
    <s v=""/>
    <s v=""/>
    <x v="132"/>
    <s v=""/>
    <s v=""/>
    <s v=""/>
    <s v=""/>
    <n v="0"/>
    <n v="0"/>
    <n v="0"/>
    <s v=""/>
    <n v="0"/>
    <s v=""/>
    <x v="0"/>
    <s v=""/>
    <s v=""/>
    <s v=""/>
  </r>
  <r>
    <m/>
    <x v="1"/>
    <s v="Risa"/>
    <s v="Shigetome"/>
    <m/>
    <s v="とめリサ"/>
    <s v="シゲとめリサ"/>
    <s v="シゲ"/>
    <s v="❌ ID introuvable"/>
    <x v="0"/>
    <m/>
    <x v="0"/>
    <m/>
    <m/>
    <m/>
    <m/>
    <m/>
    <m/>
    <m/>
    <s v="2DS23051T@s.kyushu-u.ac.jp"/>
    <m/>
    <m/>
    <n v="8085631952"/>
    <s v="電話番号"/>
    <m/>
    <s v="815-0032_x000a_福岡市南区塩原4-1-1 竹田ビル502"/>
    <m/>
    <d v="2023-07-04T00:00:00"/>
    <m/>
    <m/>
    <s v="Gmail"/>
    <m/>
    <s v="815-0032_x000a_福岡市南区塩原4-1-1 竹田ビル502"/>
    <m/>
    <s v="プら"/>
    <m/>
    <m/>
    <m/>
    <s v="シゲとめリサ"/>
    <m/>
    <m/>
    <x v="0"/>
    <s v=""/>
    <x v="7"/>
    <x v="3"/>
    <s v=""/>
    <s v=""/>
    <s v=""/>
    <s v=""/>
    <s v=""/>
    <s v=""/>
    <x v="133"/>
    <s v=""/>
    <s v=""/>
    <s v=""/>
    <s v=""/>
    <n v="0"/>
    <n v="0"/>
    <n v="0"/>
    <s v=""/>
    <n v="0"/>
    <e v="#N/A"/>
    <x v="1"/>
    <e v="#N/A"/>
    <e v="#N/A"/>
    <s v=""/>
  </r>
  <r>
    <m/>
    <x v="2"/>
    <s v="Risa"/>
    <s v="Hayashida"/>
    <m/>
    <s v="理沙"/>
    <s v="林田理沙"/>
    <s v="林田"/>
    <s v="❌ ID introuvable"/>
    <x v="3"/>
    <s v="private"/>
    <x v="6"/>
    <m/>
    <n v="4"/>
    <n v="15600"/>
    <m/>
    <m/>
    <d v="2024-08-31T00:00:00"/>
    <d v="2025-05-31T00:00:00"/>
    <s v="h.risa1214@gmail.com"/>
    <s v="h.risa1214@gmail.com"/>
    <m/>
    <n v="9059387819"/>
    <s v="電話番号"/>
    <m/>
    <s v="福岡市南区高宮3丁目2-15-341"/>
    <m/>
    <d v="2024-08-31T00:00:00"/>
    <m/>
    <m/>
    <s v="Gmail"/>
    <m/>
    <s v="福岡市南区高宮3丁目2-15-341"/>
    <m/>
    <s v="プら3回,Adult"/>
    <m/>
    <d v="2025-05-31T00:00:00"/>
    <m/>
    <s v="林田理沙"/>
    <m/>
    <m/>
    <x v="1"/>
    <n v="4"/>
    <x v="8"/>
    <x v="2"/>
    <s v=""/>
    <s v=""/>
    <s v=""/>
    <n v="4"/>
    <s v=""/>
    <n v="273"/>
    <x v="134"/>
    <e v="#N/A"/>
    <e v="#N/A"/>
    <s v="Hourly"/>
    <n v="3000"/>
    <n v="0"/>
    <n v="12000"/>
    <n v="12000"/>
    <e v="#N/A"/>
    <n v="3600"/>
    <e v="#N/A"/>
    <x v="1"/>
    <e v="#N/A"/>
    <e v="#N/A"/>
    <e v="#N/A"/>
  </r>
  <r>
    <m/>
    <x v="1"/>
    <s v="Riya"/>
    <s v="Motomatsu"/>
    <m/>
    <s v="リイヤ"/>
    <s v="本松リイヤ"/>
    <s v="本松"/>
    <s v="❌ ID introuvable"/>
    <x v="0"/>
    <m/>
    <x v="0"/>
    <m/>
    <m/>
    <m/>
    <m/>
    <m/>
    <m/>
    <m/>
    <s v="ritsuko-marin-seiya-kiyo@i-softbank.jp"/>
    <m/>
    <m/>
    <m/>
    <s v="電話番号"/>
    <m/>
    <s v="福岡市南区三宅3丁目２５－３１－901"/>
    <m/>
    <m/>
    <m/>
    <m/>
    <s v="Gmail"/>
    <m/>
    <s v="福岡市南区三宅3丁目２５－３１－901"/>
    <m/>
    <s v="小学生"/>
    <m/>
    <m/>
    <m/>
    <s v="本松リイヤ"/>
    <m/>
    <m/>
    <x v="0"/>
    <s v=""/>
    <x v="0"/>
    <x v="0"/>
    <s v=""/>
    <s v=""/>
    <s v=""/>
    <s v=""/>
    <s v=""/>
    <s v=""/>
    <x v="135"/>
    <s v=""/>
    <s v=""/>
    <s v=""/>
    <s v=""/>
    <n v="0"/>
    <n v="0"/>
    <n v="0"/>
    <s v=""/>
    <n v="0"/>
    <s v=""/>
    <x v="0"/>
    <s v=""/>
    <s v=""/>
    <s v=""/>
  </r>
  <r>
    <m/>
    <x v="1"/>
    <s v="Rumi"/>
    <s v="Nakano"/>
    <m/>
    <s v="ルミ"/>
    <s v="中野ルミ"/>
    <s v="中野"/>
    <s v="❌ ID introuvable"/>
    <x v="0"/>
    <m/>
    <x v="2"/>
    <m/>
    <m/>
    <m/>
    <m/>
    <m/>
    <m/>
    <m/>
    <s v="zunbodesu3@i.softbank.jp"/>
    <s v="znbodesu4@gmail.com"/>
    <m/>
    <n v="8017344276"/>
    <s v="電話番号"/>
    <m/>
    <m/>
    <m/>
    <d v="2020-07-07T00:00:00"/>
    <m/>
    <m/>
    <s v="Gmail"/>
    <m/>
    <m/>
    <m/>
    <s v="プら,大人"/>
    <m/>
    <m/>
    <m/>
    <s v="中野ルミ"/>
    <m/>
    <m/>
    <x v="0"/>
    <s v=""/>
    <x v="7"/>
    <x v="4"/>
    <s v=""/>
    <s v=""/>
    <s v=""/>
    <s v=""/>
    <s v=""/>
    <s v=""/>
    <x v="136"/>
    <s v=""/>
    <s v=""/>
    <s v=""/>
    <s v=""/>
    <n v="0"/>
    <n v="0"/>
    <n v="0"/>
    <s v=""/>
    <n v="0"/>
    <e v="#N/A"/>
    <x v="1"/>
    <e v="#N/A"/>
    <e v="#N/A"/>
    <s v=""/>
  </r>
  <r>
    <m/>
    <x v="1"/>
    <s v="Ryousei"/>
    <s v="Tsutsui"/>
    <m/>
    <s v="亮晴"/>
    <s v="筒井亮晴"/>
    <s v="筒井"/>
    <s v="❌ ID introuvable"/>
    <x v="0"/>
    <m/>
    <x v="1"/>
    <m/>
    <m/>
    <m/>
    <m/>
    <m/>
    <m/>
    <m/>
    <s v="tylr2423＠docomo.ne.jp"/>
    <s v="tylr2423@gmail.com"/>
    <m/>
    <s v="090-5481-5493"/>
    <s v="電話番号"/>
    <m/>
    <s v="〒811-1201_x000a_那珂川氏片縄5-100"/>
    <m/>
    <m/>
    <m/>
    <m/>
    <s v="Gmail"/>
    <m/>
    <s v="〒811-1201_x000a_那珂川氏片縄5-100"/>
    <m/>
    <s v="中高生"/>
    <m/>
    <m/>
    <m/>
    <s v="筒井亮晴"/>
    <m/>
    <m/>
    <x v="0"/>
    <s v=""/>
    <x v="0"/>
    <x v="0"/>
    <s v=""/>
    <s v=""/>
    <s v=""/>
    <s v=""/>
    <s v=""/>
    <s v=""/>
    <x v="137"/>
    <s v=""/>
    <s v=""/>
    <s v=""/>
    <s v=""/>
    <n v="0"/>
    <n v="0"/>
    <n v="0"/>
    <s v=""/>
    <n v="0"/>
    <s v=""/>
    <x v="0"/>
    <s v=""/>
    <s v=""/>
    <s v=""/>
  </r>
  <r>
    <m/>
    <x v="1"/>
    <s v="Ryuuko"/>
    <s v="Kinoshita"/>
    <m/>
    <s v="龍子"/>
    <s v="木下龍子"/>
    <s v="木下"/>
    <s v="❌ ID introuvable"/>
    <x v="0"/>
    <m/>
    <x v="0"/>
    <m/>
    <m/>
    <m/>
    <m/>
    <m/>
    <m/>
    <m/>
    <s v="dragon24ki@docomo.ne.jp"/>
    <m/>
    <m/>
    <s v="090-6115-3885"/>
    <s v="電話番号"/>
    <m/>
    <m/>
    <m/>
    <m/>
    <m/>
    <m/>
    <s v="Gmail"/>
    <m/>
    <m/>
    <m/>
    <m/>
    <m/>
    <m/>
    <m/>
    <s v="木下龍子"/>
    <m/>
    <m/>
    <x v="0"/>
    <s v=""/>
    <x v="0"/>
    <x v="0"/>
    <s v=""/>
    <s v=""/>
    <s v=""/>
    <s v=""/>
    <s v=""/>
    <s v=""/>
    <x v="138"/>
    <s v=""/>
    <s v=""/>
    <s v=""/>
    <s v=""/>
    <n v="0"/>
    <n v="0"/>
    <n v="0"/>
    <s v=""/>
    <n v="0"/>
    <s v=""/>
    <x v="0"/>
    <s v=""/>
    <s v=""/>
    <s v=""/>
  </r>
  <r>
    <m/>
    <x v="1"/>
    <s v="Sachiko"/>
    <s v="Matsuo"/>
    <m/>
    <s v="祥子"/>
    <s v="松尾祥子"/>
    <s v="松尾"/>
    <s v="❌ ID introuvable"/>
    <x v="0"/>
    <m/>
    <x v="2"/>
    <m/>
    <m/>
    <m/>
    <m/>
    <m/>
    <m/>
    <m/>
    <m/>
    <m/>
    <m/>
    <s v="080-1215-2688"/>
    <s v="電話番号"/>
    <m/>
    <s v="小郡市津古1198-68"/>
    <m/>
    <m/>
    <m/>
    <m/>
    <s v="Gmail"/>
    <m/>
    <s v="小郡市津古1198-68"/>
    <m/>
    <s v="グルップ,大人"/>
    <m/>
    <m/>
    <m/>
    <s v="松尾祥子"/>
    <m/>
    <m/>
    <x v="0"/>
    <s v=""/>
    <x v="0"/>
    <x v="0"/>
    <s v=""/>
    <s v=""/>
    <s v=""/>
    <s v=""/>
    <s v=""/>
    <s v=""/>
    <x v="139"/>
    <s v=""/>
    <s v=""/>
    <s v=""/>
    <s v=""/>
    <n v="0"/>
    <n v="0"/>
    <n v="0"/>
    <s v=""/>
    <n v="0"/>
    <s v=""/>
    <x v="0"/>
    <s v=""/>
    <s v=""/>
    <s v=""/>
  </r>
  <r>
    <n v="153"/>
    <x v="1"/>
    <s v="saki"/>
    <s v="Koshimuta"/>
    <m/>
    <s v="越牟田"/>
    <s v="紗貴越牟田"/>
    <s v="紗貴"/>
    <s v="🔗 Go to finance"/>
    <x v="0"/>
    <m/>
    <x v="10"/>
    <m/>
    <m/>
    <m/>
    <m/>
    <m/>
    <m/>
    <m/>
    <s v="rayonetoile@icloud.com"/>
    <m/>
    <m/>
    <m/>
    <s v="電話番号"/>
    <m/>
    <m/>
    <m/>
    <m/>
    <m/>
    <m/>
    <s v="Gmail"/>
    <m/>
    <m/>
    <m/>
    <s v="プラ4回新,中学生"/>
    <m/>
    <d v="2025-03-31T00:00:00"/>
    <m/>
    <s v="紗貴越牟田"/>
    <m/>
    <m/>
    <x v="0"/>
    <s v=""/>
    <x v="0"/>
    <x v="0"/>
    <s v=""/>
    <s v=""/>
    <s v=""/>
    <s v=""/>
    <s v=""/>
    <s v=""/>
    <x v="140"/>
    <s v=""/>
    <s v=""/>
    <s v=""/>
    <s v=""/>
    <n v="0"/>
    <n v="0"/>
    <n v="0"/>
    <s v=""/>
    <n v="0"/>
    <s v=""/>
    <x v="0"/>
    <s v=""/>
    <s v=""/>
    <s v=""/>
  </r>
  <r>
    <n v="99"/>
    <x v="1"/>
    <s v="Sakura"/>
    <s v="Nishiyama"/>
    <m/>
    <s v="サクラ"/>
    <s v="西山サクラ"/>
    <s v="西山"/>
    <s v="🔗 Go to finance"/>
    <x v="0"/>
    <m/>
    <x v="0"/>
    <m/>
    <m/>
    <m/>
    <m/>
    <m/>
    <m/>
    <m/>
    <s v="sakura11300212@icloud.com"/>
    <m/>
    <m/>
    <m/>
    <s v="電話番号"/>
    <m/>
    <s v="816-0863_x000a_春日市須玖南5-16フラワーハウス102"/>
    <m/>
    <d v="2023-04-02T00:00:00"/>
    <m/>
    <m/>
    <s v="Gmail"/>
    <m/>
    <s v="816-0863_x000a_春日市須玖南5-16フラワーハウス102"/>
    <m/>
    <s v="プら"/>
    <m/>
    <m/>
    <m/>
    <s v="西山サクラ"/>
    <n v="99"/>
    <s v="西山サクラ"/>
    <x v="0"/>
    <s v=""/>
    <x v="5"/>
    <x v="3"/>
    <s v=""/>
    <s v=""/>
    <s v=""/>
    <s v=""/>
    <s v=""/>
    <s v=""/>
    <x v="141"/>
    <s v=""/>
    <s v=""/>
    <s v=""/>
    <s v=""/>
    <n v="0"/>
    <n v="0"/>
    <n v="0"/>
    <s v=""/>
    <n v="0"/>
    <e v="#N/A"/>
    <x v="1"/>
    <e v="#N/A"/>
    <e v="#N/A"/>
    <s v=""/>
  </r>
  <r>
    <m/>
    <x v="1"/>
    <s v="Sakurako"/>
    <s v="Matsuyama"/>
    <m/>
    <s v="櫻子"/>
    <s v="松山櫻子"/>
    <s v="松山"/>
    <s v="❌ ID introuvable"/>
    <x v="0"/>
    <m/>
    <x v="4"/>
    <m/>
    <m/>
    <m/>
    <m/>
    <m/>
    <m/>
    <m/>
    <s v="koyukin8003@icloud.com"/>
    <m/>
    <m/>
    <s v="090-2969-8003"/>
    <s v="電話番号"/>
    <m/>
    <s v="〒815-0038_x000a_福岡市南区大橋団地４-17-602"/>
    <m/>
    <m/>
    <m/>
    <m/>
    <s v="Gmail"/>
    <m/>
    <s v="〒815-0038_x000a_福岡市南区大橋団地４-17-602"/>
    <m/>
    <s v="小学生"/>
    <m/>
    <m/>
    <m/>
    <s v="松山櫻子"/>
    <m/>
    <m/>
    <x v="0"/>
    <s v=""/>
    <x v="0"/>
    <x v="0"/>
    <s v=""/>
    <s v=""/>
    <s v=""/>
    <s v=""/>
    <s v=""/>
    <s v=""/>
    <x v="142"/>
    <s v=""/>
    <s v=""/>
    <s v=""/>
    <s v=""/>
    <n v="0"/>
    <n v="0"/>
    <n v="0"/>
    <s v=""/>
    <n v="0"/>
    <s v=""/>
    <x v="0"/>
    <s v=""/>
    <s v=""/>
    <s v=""/>
  </r>
  <r>
    <m/>
    <x v="1"/>
    <s v="Sakutaro"/>
    <s v="Nagao"/>
    <m/>
    <s v="咲太郎"/>
    <s v="長尾咲太郎"/>
    <s v="長尾"/>
    <s v="❌ ID introuvable"/>
    <x v="0"/>
    <m/>
    <x v="0"/>
    <m/>
    <m/>
    <m/>
    <m/>
    <m/>
    <m/>
    <m/>
    <s v="nagaonoriko88@gmail.com"/>
    <s v="nagaonoriko8@gmail.com"/>
    <m/>
    <m/>
    <s v="電話番号"/>
    <m/>
    <s v="福岡市南区筑紫丘1丁目￥17-27-505"/>
    <m/>
    <m/>
    <m/>
    <m/>
    <s v="Gmail"/>
    <m/>
    <s v="福岡市南区筑紫丘1丁目￥17-27-505"/>
    <m/>
    <s v="プら"/>
    <m/>
    <m/>
    <m/>
    <s v="長尾咲太郎"/>
    <m/>
    <m/>
    <x v="0"/>
    <s v=""/>
    <x v="0"/>
    <x v="0"/>
    <s v=""/>
    <s v=""/>
    <s v=""/>
    <s v=""/>
    <s v=""/>
    <s v=""/>
    <x v="143"/>
    <s v=""/>
    <s v=""/>
    <s v=""/>
    <s v=""/>
    <n v="0"/>
    <n v="0"/>
    <n v="0"/>
    <s v=""/>
    <n v="0"/>
    <s v=""/>
    <x v="0"/>
    <s v=""/>
    <s v=""/>
    <s v=""/>
  </r>
  <r>
    <m/>
    <x v="1"/>
    <s v="Sara"/>
    <s v="Tsutsumi"/>
    <m/>
    <s v="ラ"/>
    <s v="堤サラ"/>
    <s v="堤サ"/>
    <s v="❌ ID introuvable"/>
    <x v="0"/>
    <m/>
    <x v="0"/>
    <m/>
    <m/>
    <m/>
    <m/>
    <m/>
    <m/>
    <m/>
    <s v="sllag085@gmail.com"/>
    <s v="sllag085@gmail.com"/>
    <m/>
    <n v="9059302430"/>
    <s v="電話番号"/>
    <m/>
    <s v="811-1344_x000a_福岡南区 三宅3-22-39-803"/>
    <m/>
    <m/>
    <m/>
    <m/>
    <s v="Gmail"/>
    <m/>
    <s v="811-1344_x000a_福岡南区 三宅3-22-39-803"/>
    <m/>
    <s v="セミプラ"/>
    <m/>
    <m/>
    <m/>
    <s v="堤サラ"/>
    <m/>
    <m/>
    <x v="0"/>
    <s v=""/>
    <x v="0"/>
    <x v="0"/>
    <s v=""/>
    <s v=""/>
    <s v=""/>
    <s v=""/>
    <s v=""/>
    <s v=""/>
    <x v="144"/>
    <s v=""/>
    <s v=""/>
    <s v=""/>
    <s v=""/>
    <n v="0"/>
    <n v="0"/>
    <n v="0"/>
    <s v=""/>
    <n v="0"/>
    <s v=""/>
    <x v="0"/>
    <s v=""/>
    <s v=""/>
    <s v=""/>
  </r>
  <r>
    <n v="126"/>
    <x v="2"/>
    <s v="Sara"/>
    <s v="Shiraishi"/>
    <m/>
    <s v="咲花"/>
    <s v="白石咲花"/>
    <s v="白石"/>
    <s v="🔗 Go to finance"/>
    <x v="1"/>
    <s v="gr"/>
    <x v="7"/>
    <m/>
    <m/>
    <n v="6050"/>
    <n v="17050"/>
    <m/>
    <d v="2024-04-04T00:00:00"/>
    <m/>
    <s v="shiraishi@az-solution.co.jp"/>
    <s v="suguru.ilove.dolphin@gmail.com"/>
    <m/>
    <m/>
    <s v="電話番号"/>
    <m/>
    <s v="8150035_x000a_福岡市南区向野1-15-6"/>
    <m/>
    <d v="2024-04-04T00:00:00"/>
    <m/>
    <m/>
    <s v="Gmail"/>
    <m/>
    <s v="8150035_x000a_福岡市南区向野1-15-6"/>
    <m/>
    <s v="Baby"/>
    <m/>
    <m/>
    <m/>
    <s v="白石咲花"/>
    <m/>
    <m/>
    <x v="2"/>
    <n v="4"/>
    <x v="5"/>
    <x v="2"/>
    <s v=""/>
    <s v=""/>
    <s v=""/>
    <s v=""/>
    <s v=""/>
    <n v="438"/>
    <x v="145"/>
    <s v=""/>
    <s v=""/>
    <s v="Fixed"/>
    <n v="210000"/>
    <s v="-"/>
    <s v="----"/>
    <s v="---"/>
    <s v=""/>
    <s v=""/>
    <e v="#N/A"/>
    <x v="1"/>
    <e v="#N/A"/>
    <e v="#N/A"/>
    <s v=""/>
  </r>
  <r>
    <m/>
    <x v="1"/>
    <s v="Sawa"/>
    <s v="Sunada"/>
    <m/>
    <s v="サワ"/>
    <s v="砂田サワ"/>
    <s v="砂田"/>
    <s v="❌ ID introuvable"/>
    <x v="0"/>
    <m/>
    <x v="0"/>
    <m/>
    <m/>
    <m/>
    <m/>
    <m/>
    <m/>
    <m/>
    <s v="1616kousei@gmail.com"/>
    <s v="1616kousei@gmail.com"/>
    <m/>
    <m/>
    <s v="電話番号"/>
    <m/>
    <s v="815-0033_x000a_福岡市南区大橋3丁目１６－５－３０３"/>
    <m/>
    <m/>
    <m/>
    <m/>
    <s v="Gmail"/>
    <m/>
    <s v="815-0033_x000a_福岡市南区大橋3丁目１６－５－３０３"/>
    <m/>
    <s v="中高生"/>
    <m/>
    <d v="2025-02-28T00:00:00"/>
    <m/>
    <s v="砂田サワ"/>
    <m/>
    <m/>
    <x v="0"/>
    <s v=""/>
    <x v="0"/>
    <x v="0"/>
    <s v=""/>
    <s v=""/>
    <s v=""/>
    <s v=""/>
    <s v=""/>
    <s v=""/>
    <x v="146"/>
    <s v=""/>
    <s v=""/>
    <s v=""/>
    <s v=""/>
    <n v="0"/>
    <n v="0"/>
    <n v="0"/>
    <s v=""/>
    <n v="0"/>
    <s v=""/>
    <x v="0"/>
    <s v=""/>
    <s v=""/>
    <s v=""/>
  </r>
  <r>
    <m/>
    <x v="1"/>
    <s v="Saya"/>
    <s v="Hashimoto"/>
    <m/>
    <s v="沙弥"/>
    <s v="橋本沙弥"/>
    <s v="橋本"/>
    <s v="❌ ID introuvable"/>
    <x v="0"/>
    <m/>
    <x v="5"/>
    <m/>
    <m/>
    <m/>
    <m/>
    <m/>
    <m/>
    <m/>
    <s v="deep.snow528@docomo.ne.jp"/>
    <m/>
    <m/>
    <s v="090-4582-4583"/>
    <s v="電話番号"/>
    <m/>
    <m/>
    <m/>
    <d v="2019-04-02T00:00:00"/>
    <m/>
    <m/>
    <s v="Gmail"/>
    <m/>
    <m/>
    <m/>
    <s v="高校生"/>
    <m/>
    <m/>
    <m/>
    <s v="橋本沙弥"/>
    <m/>
    <m/>
    <x v="0"/>
    <s v=""/>
    <x v="5"/>
    <x v="5"/>
    <s v=""/>
    <s v=""/>
    <s v=""/>
    <s v=""/>
    <s v=""/>
    <s v=""/>
    <x v="147"/>
    <s v=""/>
    <s v=""/>
    <s v=""/>
    <s v=""/>
    <n v="0"/>
    <n v="0"/>
    <n v="0"/>
    <s v=""/>
    <n v="0"/>
    <e v="#N/A"/>
    <x v="1"/>
    <e v="#N/A"/>
    <e v="#N/A"/>
    <s v=""/>
  </r>
  <r>
    <m/>
    <x v="1"/>
    <s v="Sayaka"/>
    <s v="Yahiro"/>
    <m/>
    <s v="紗耶香"/>
    <s v="八尋紗耶香"/>
    <s v="八尋"/>
    <s v="❌ ID introuvable"/>
    <x v="0"/>
    <m/>
    <x v="4"/>
    <m/>
    <m/>
    <m/>
    <m/>
    <m/>
    <m/>
    <m/>
    <s v="tomo86geminigogm@gmail.com"/>
    <s v="tomo86geminigogm@gmail.com"/>
    <m/>
    <s v="080-3814-9830"/>
    <s v="電話番号"/>
    <m/>
    <s v="福岡市南区大橋4-29-30-1001"/>
    <m/>
    <d v="2020-07-01T00:00:00"/>
    <m/>
    <m/>
    <s v="Gmail"/>
    <m/>
    <s v="福岡市南区大橋4-29-30-1001"/>
    <m/>
    <s v="小学生old"/>
    <m/>
    <m/>
    <m/>
    <s v="八尋紗耶香"/>
    <m/>
    <m/>
    <x v="0"/>
    <s v=""/>
    <x v="7"/>
    <x v="4"/>
    <s v=""/>
    <s v=""/>
    <s v=""/>
    <s v=""/>
    <s v=""/>
    <s v=""/>
    <x v="148"/>
    <s v=""/>
    <s v=""/>
    <s v=""/>
    <s v=""/>
    <n v="0"/>
    <n v="0"/>
    <n v="0"/>
    <s v=""/>
    <n v="0"/>
    <e v="#N/A"/>
    <x v="1"/>
    <e v="#N/A"/>
    <e v="#N/A"/>
    <s v=""/>
  </r>
  <r>
    <n v="149"/>
    <x v="2"/>
    <s v="Sayaka"/>
    <s v="Matsumoto"/>
    <m/>
    <s v="彩花"/>
    <s v="松本彩花"/>
    <s v="松本"/>
    <s v="🔗 Go to finance"/>
    <x v="1"/>
    <s v="private"/>
    <x v="6"/>
    <m/>
    <m/>
    <n v="19800"/>
    <m/>
    <m/>
    <d v="2024-04-01T00:00:00"/>
    <m/>
    <s v="xghinata1999@gmail.com"/>
    <s v="xghinata1999@gmail.com"/>
    <m/>
    <n v="8060969127"/>
    <s v="電話番号"/>
    <m/>
    <m/>
    <m/>
    <d v="2024-04-01T00:00:00"/>
    <m/>
    <m/>
    <s v="Gmail"/>
    <m/>
    <m/>
    <m/>
    <s v="プら"/>
    <m/>
    <m/>
    <m/>
    <s v="松本彩花"/>
    <n v="149"/>
    <s v="松本彩花"/>
    <x v="1"/>
    <n v="4"/>
    <x v="5"/>
    <x v="2"/>
    <s v=""/>
    <s v=""/>
    <s v=""/>
    <n v="4"/>
    <s v=""/>
    <n v="441"/>
    <x v="149"/>
    <s v=""/>
    <s v=""/>
    <s v="Fixed"/>
    <n v="210000"/>
    <s v="-"/>
    <s v="----"/>
    <s v="---"/>
    <s v=""/>
    <s v=""/>
    <e v="#N/A"/>
    <x v="1"/>
    <e v="#N/A"/>
    <e v="#N/A"/>
    <s v=""/>
  </r>
  <r>
    <n v="138"/>
    <x v="2"/>
    <s v="Sena"/>
    <s v="Nonaka"/>
    <m/>
    <s v="せな"/>
    <s v="野中せな"/>
    <s v="野中"/>
    <s v="🔗 Go to finance"/>
    <x v="1"/>
    <s v="private"/>
    <x v="9"/>
    <m/>
    <m/>
    <n v="9900"/>
    <m/>
    <m/>
    <d v="2024-04-01T00:00:00"/>
    <d v="2025-05-31T00:00:00"/>
    <s v="hsakn11@gmail.com"/>
    <s v="hsakn11@gmail.com"/>
    <m/>
    <m/>
    <s v="電話番号"/>
    <m/>
    <s v="8120888_x000a_博多区板付7-6-2"/>
    <m/>
    <d v="2024-04-01T00:00:00"/>
    <m/>
    <m/>
    <s v="Gmail"/>
    <m/>
    <s v="8120888_x000a_博多区板付7-6-2"/>
    <m/>
    <s v="プラ2回グループ2回"/>
    <m/>
    <d v="2025-05-31T00:00:00"/>
    <m/>
    <s v="野中せな"/>
    <m/>
    <m/>
    <x v="1"/>
    <n v="4"/>
    <x v="5"/>
    <x v="2"/>
    <s v=""/>
    <s v=""/>
    <s v=""/>
    <n v="4"/>
    <s v=""/>
    <n v="425"/>
    <x v="150"/>
    <s v=""/>
    <s v=""/>
    <s v="Fixed"/>
    <n v="210000"/>
    <s v="-"/>
    <s v="----"/>
    <s v="---"/>
    <s v=""/>
    <s v=""/>
    <e v="#N/A"/>
    <x v="1"/>
    <e v="#N/A"/>
    <e v="#N/A"/>
    <e v="#N/A"/>
  </r>
  <r>
    <m/>
    <x v="1"/>
    <s v="Setsuko"/>
    <s v="Udaka"/>
    <m/>
    <s v="節子"/>
    <s v="宇高節子"/>
    <s v="宇高"/>
    <s v="❌ ID introuvable"/>
    <x v="0"/>
    <m/>
    <x v="0"/>
    <m/>
    <m/>
    <m/>
    <m/>
    <m/>
    <m/>
    <m/>
    <m/>
    <m/>
    <m/>
    <n v="8086374057"/>
    <s v="電話番号"/>
    <m/>
    <s v="8150033_x000a_南区大橋1-10-9-1303"/>
    <m/>
    <d v="2024-07-04T00:00:00"/>
    <m/>
    <m/>
    <s v="Gmail"/>
    <m/>
    <s v="8150033_x000a_南区大橋1-10-9-1303"/>
    <m/>
    <s v="プラ2回"/>
    <m/>
    <m/>
    <m/>
    <s v="宇高節子"/>
    <m/>
    <m/>
    <x v="0"/>
    <s v=""/>
    <x v="7"/>
    <x v="2"/>
    <s v=""/>
    <s v=""/>
    <s v=""/>
    <s v=""/>
    <s v=""/>
    <s v=""/>
    <x v="151"/>
    <s v=""/>
    <s v=""/>
    <s v=""/>
    <s v=""/>
    <n v="0"/>
    <n v="0"/>
    <n v="0"/>
    <s v=""/>
    <n v="0"/>
    <e v="#N/A"/>
    <x v="1"/>
    <e v="#N/A"/>
    <e v="#N/A"/>
    <s v=""/>
  </r>
  <r>
    <m/>
    <x v="1"/>
    <s v="Shinya"/>
    <s v="Hirota"/>
    <m/>
    <s v="慎也"/>
    <s v="廣田慎也"/>
    <s v="廣田"/>
    <s v="❌ ID introuvable"/>
    <x v="0"/>
    <m/>
    <x v="2"/>
    <m/>
    <m/>
    <m/>
    <m/>
    <m/>
    <m/>
    <m/>
    <s v="oyayubi888@icloud.com"/>
    <m/>
    <m/>
    <n v="9074553720"/>
    <s v="電話番号"/>
    <m/>
    <s v="815-0034_x000a_福岡市南区大橋2-23-9"/>
    <m/>
    <m/>
    <m/>
    <m/>
    <s v="Gmail"/>
    <m/>
    <s v="815-0034_x000a_福岡市南区大橋2-23-9"/>
    <m/>
    <s v="プラ4回新,大人"/>
    <m/>
    <m/>
    <m/>
    <s v="廣田慎也"/>
    <m/>
    <m/>
    <x v="0"/>
    <s v=""/>
    <x v="0"/>
    <x v="0"/>
    <s v=""/>
    <s v=""/>
    <s v=""/>
    <s v=""/>
    <s v=""/>
    <s v=""/>
    <x v="152"/>
    <s v=""/>
    <s v=""/>
    <s v=""/>
    <s v=""/>
    <n v="0"/>
    <n v="0"/>
    <n v="0"/>
    <s v=""/>
    <n v="0"/>
    <s v=""/>
    <x v="0"/>
    <s v=""/>
    <s v=""/>
    <s v=""/>
  </r>
  <r>
    <m/>
    <x v="1"/>
    <s v="Shizuka"/>
    <s v="Miyamoto"/>
    <m/>
    <s v="静佳"/>
    <s v="宮本静佳"/>
    <s v="宮本"/>
    <s v="❌ ID introuvable"/>
    <x v="0"/>
    <m/>
    <x v="2"/>
    <m/>
    <m/>
    <m/>
    <m/>
    <m/>
    <m/>
    <m/>
    <s v="shizuka057050@docomo.ne.jp"/>
    <m/>
    <m/>
    <s v="090-5089-3854"/>
    <s v="電話番号"/>
    <m/>
    <s v="福岡市南区野間4-26-17"/>
    <m/>
    <m/>
    <m/>
    <m/>
    <s v="Gmail"/>
    <m/>
    <s v="福岡市南区野間4-26-17"/>
    <m/>
    <s v="グループ4回 準上級_x000a_プラ1回,大人"/>
    <m/>
    <m/>
    <m/>
    <s v="宮本静佳"/>
    <m/>
    <m/>
    <x v="0"/>
    <s v=""/>
    <x v="0"/>
    <x v="0"/>
    <s v=""/>
    <s v=""/>
    <s v=""/>
    <s v=""/>
    <s v=""/>
    <s v=""/>
    <x v="153"/>
    <s v=""/>
    <s v=""/>
    <s v=""/>
    <s v=""/>
    <n v="0"/>
    <n v="0"/>
    <n v="0"/>
    <s v=""/>
    <n v="0"/>
    <s v=""/>
    <x v="0"/>
    <s v=""/>
    <s v=""/>
    <s v=""/>
  </r>
  <r>
    <m/>
    <x v="1"/>
    <s v="Shu"/>
    <s v="Sakamoto"/>
    <m/>
    <s v="しゅう"/>
    <s v="坂本しゅう"/>
    <s v="坂本"/>
    <s v="❌ ID introuvable"/>
    <x v="0"/>
    <m/>
    <x v="0"/>
    <m/>
    <m/>
    <m/>
    <m/>
    <m/>
    <m/>
    <m/>
    <s v="1017.egaosaku@gmail.com"/>
    <s v="1017.egaosaku@gmail.com"/>
    <m/>
    <m/>
    <s v="電話番号"/>
    <m/>
    <s v="815-0033_x000a_福岡市南区大橋4-27-17-812"/>
    <m/>
    <m/>
    <m/>
    <m/>
    <s v="Gmail"/>
    <m/>
    <s v="815-0033_x000a_福岡市南区大橋4-27-17-812"/>
    <m/>
    <s v="幼稚園"/>
    <m/>
    <m/>
    <m/>
    <s v="坂本しゅう"/>
    <m/>
    <m/>
    <x v="0"/>
    <s v=""/>
    <x v="0"/>
    <x v="0"/>
    <s v=""/>
    <s v=""/>
    <s v=""/>
    <s v=""/>
    <s v=""/>
    <s v=""/>
    <x v="154"/>
    <s v=""/>
    <s v=""/>
    <s v=""/>
    <s v=""/>
    <n v="0"/>
    <n v="0"/>
    <n v="0"/>
    <s v=""/>
    <n v="0"/>
    <s v=""/>
    <x v="0"/>
    <s v=""/>
    <s v=""/>
    <s v=""/>
  </r>
  <r>
    <m/>
    <x v="1"/>
    <s v="Sosuke"/>
    <s v="Iwagami"/>
    <m/>
    <m/>
    <m/>
    <s v="宗佑"/>
    <s v="❌ ID introuvable"/>
    <x v="0"/>
    <m/>
    <x v="0"/>
    <m/>
    <m/>
    <m/>
    <m/>
    <m/>
    <m/>
    <m/>
    <s v="sosuke1194@yahoo.co.jp"/>
    <m/>
    <m/>
    <s v="090-6955-2823"/>
    <s v="電話番号"/>
    <m/>
    <s v="815-0004_x000a_福岡市南区高木2-4-4"/>
    <m/>
    <m/>
    <m/>
    <m/>
    <s v="Gmail"/>
    <m/>
    <s v="815-0004_x000a_福岡市南区高木2-4-4"/>
    <m/>
    <s v="小学生"/>
    <m/>
    <d v="2025-03-31T00:00:00"/>
    <m/>
    <m/>
    <m/>
    <m/>
    <x v="0"/>
    <s v=""/>
    <x v="0"/>
    <x v="0"/>
    <s v=""/>
    <s v=""/>
    <s v=""/>
    <s v=""/>
    <s v=""/>
    <s v=""/>
    <x v="155"/>
    <s v=""/>
    <s v=""/>
    <s v=""/>
    <s v=""/>
    <n v="0"/>
    <n v="0"/>
    <n v="0"/>
    <s v=""/>
    <n v="0"/>
    <s v=""/>
    <x v="0"/>
    <s v=""/>
    <s v=""/>
    <s v=""/>
  </r>
  <r>
    <n v="138"/>
    <x v="2"/>
    <s v="Sena"/>
    <s v="Nonaka"/>
    <m/>
    <s v="せな"/>
    <s v="野中せな"/>
    <s v="野中"/>
    <s v="🔗 Go to finance"/>
    <x v="1"/>
    <s v="group"/>
    <x v="9"/>
    <m/>
    <m/>
    <n v="3300"/>
    <m/>
    <m/>
    <d v="2024-04-01T00:00:00"/>
    <d v="2025-05-31T00:00:00"/>
    <s v="hsakn11@gmail.com"/>
    <s v="hsakn11@gmail.com"/>
    <m/>
    <m/>
    <s v="電話番号"/>
    <m/>
    <s v="8120888_x000a_博多区板付7-6-2"/>
    <m/>
    <d v="2024-04-01T00:00:00"/>
    <m/>
    <m/>
    <s v="Gmail"/>
    <m/>
    <s v="8120888_x000a_博多区板付7-6-2"/>
    <m/>
    <s v="プラ2回グループ2回"/>
    <m/>
    <d v="2025-05-31T00:00:00"/>
    <m/>
    <s v="野中せな"/>
    <m/>
    <m/>
    <x v="2"/>
    <n v="4"/>
    <x v="5"/>
    <x v="2"/>
    <s v=""/>
    <s v=""/>
    <s v=""/>
    <s v=""/>
    <s v=""/>
    <n v="425"/>
    <x v="150"/>
    <s v=""/>
    <s v=""/>
    <s v="Fixed"/>
    <n v="210000"/>
    <s v="-"/>
    <s v="----"/>
    <s v="---"/>
    <s v=""/>
    <s v=""/>
    <e v="#N/A"/>
    <x v="1"/>
    <e v="#N/A"/>
    <e v="#N/A"/>
    <e v="#N/A"/>
  </r>
  <r>
    <n v="111"/>
    <x v="1"/>
    <s v="Sosuke"/>
    <s v="Tomonou"/>
    <m/>
    <s v="壮亮"/>
    <s v="友納壮亮"/>
    <s v="友納"/>
    <s v="🔗 Go to finance"/>
    <x v="1"/>
    <s v="private"/>
    <x v="3"/>
    <m/>
    <m/>
    <n v="23100"/>
    <m/>
    <m/>
    <d v="2023-10-01T00:00:00"/>
    <d v="2025-03-31T00:00:00"/>
    <s v="hirotomo12383@yahoo.co.jp"/>
    <s v="footsoilan@gmail.com"/>
    <m/>
    <n v="8017065206"/>
    <s v="電話番号"/>
    <m/>
    <s v="811-1343_x000a_福岡市南区和田4-11-9"/>
    <m/>
    <d v="2023-10-01T00:00:00"/>
    <m/>
    <m/>
    <s v="Gmail"/>
    <m/>
    <s v="811-1343_x000a_福岡市南区和田4-11-9"/>
    <m/>
    <s v="セミプラ"/>
    <m/>
    <d v="2025-03-31T00:00:00"/>
    <m/>
    <s v="友納壮亮"/>
    <m/>
    <m/>
    <x v="1"/>
    <n v="4"/>
    <x v="6"/>
    <x v="3"/>
    <s v=""/>
    <s v=""/>
    <s v=""/>
    <n v="4"/>
    <s v=""/>
    <s v=""/>
    <x v="156"/>
    <s v=""/>
    <s v=""/>
    <s v="Fixed"/>
    <n v="210000"/>
    <s v="-"/>
    <s v="----"/>
    <s v="---"/>
    <s v=""/>
    <s v=""/>
    <e v="#N/A"/>
    <x v="1"/>
    <e v="#N/A"/>
    <e v="#N/A"/>
    <e v="#N/A"/>
  </r>
  <r>
    <n v="146"/>
    <x v="2"/>
    <s v="Sota"/>
    <s v="To"/>
    <m/>
    <s v="汰"/>
    <s v="藤颯汰"/>
    <s v="藤颯"/>
    <s v="🔗 Go to finance"/>
    <x v="2"/>
    <s v="private"/>
    <x v="9"/>
    <m/>
    <n v="4"/>
    <n v="19800"/>
    <m/>
    <m/>
    <m/>
    <m/>
    <s v="yuuko_seki@n1.noevir.co.jp"/>
    <m/>
    <m/>
    <n v="9029626992"/>
    <s v="電話番号"/>
    <m/>
    <s v="福岡県福岡市南区横手3丁目18-21-601"/>
    <m/>
    <d v="2024-05-01T00:00:00"/>
    <m/>
    <m/>
    <s v="Gmail"/>
    <m/>
    <s v="福岡県福岡市南区横手3丁目18-21-601"/>
    <m/>
    <s v="プら"/>
    <m/>
    <m/>
    <m/>
    <s v="藤颯汰"/>
    <m/>
    <m/>
    <x v="1"/>
    <n v="4"/>
    <x v="4"/>
    <x v="2"/>
    <s v=""/>
    <s v=""/>
    <s v=""/>
    <n v="4"/>
    <s v=""/>
    <n v="411"/>
    <x v="157"/>
    <e v="#N/A"/>
    <e v="#N/A"/>
    <s v="Hourly"/>
    <n v="2600"/>
    <n v="0"/>
    <n v="10400"/>
    <n v="10400"/>
    <e v="#N/A"/>
    <n v="9400"/>
    <e v="#N/A"/>
    <x v="1"/>
    <e v="#N/A"/>
    <e v="#N/A"/>
    <s v=""/>
  </r>
  <r>
    <m/>
    <x v="1"/>
    <s v="Souta"/>
    <s v="Teramatsu"/>
    <m/>
    <s v="そうた"/>
    <s v="寺松そうた"/>
    <s v="寺松"/>
    <s v="❌ ID introuvable"/>
    <x v="0"/>
    <m/>
    <x v="10"/>
    <m/>
    <m/>
    <m/>
    <m/>
    <m/>
    <m/>
    <m/>
    <s v="sou46ta@gmail.com"/>
    <s v="teramatsukumiko@gmail.com"/>
    <m/>
    <s v="090-3324-3952"/>
    <s v="電話番号"/>
    <m/>
    <s v="811-1347_x000a_福岡市南区野多目4丁目29-13"/>
    <m/>
    <d v="2021-02-01T00:00:00"/>
    <m/>
    <m/>
    <s v="Gmail"/>
    <m/>
    <s v="811-1347_x000a_福岡市南区野多目4丁目29-13"/>
    <m/>
    <s v="中高生"/>
    <m/>
    <m/>
    <m/>
    <s v="寺松そうた"/>
    <m/>
    <m/>
    <x v="0"/>
    <s v=""/>
    <x v="2"/>
    <x v="6"/>
    <s v=""/>
    <s v=""/>
    <s v=""/>
    <s v=""/>
    <s v=""/>
    <s v=""/>
    <x v="158"/>
    <s v=""/>
    <s v=""/>
    <s v=""/>
    <s v=""/>
    <n v="0"/>
    <n v="0"/>
    <n v="0"/>
    <s v=""/>
    <n v="0"/>
    <e v="#N/A"/>
    <x v="1"/>
    <e v="#N/A"/>
    <e v="#N/A"/>
    <s v=""/>
  </r>
  <r>
    <m/>
    <x v="1"/>
    <s v="Suguru"/>
    <s v="Muromoto"/>
    <m/>
    <s v="すぐる"/>
    <s v="室本すぐる"/>
    <s v="室本"/>
    <s v="❌ ID introuvable"/>
    <x v="0"/>
    <m/>
    <x v="4"/>
    <m/>
    <m/>
    <m/>
    <m/>
    <m/>
    <m/>
    <m/>
    <s v="muromotodaizen@gmail.com"/>
    <s v="muromotodaizen@gmail.com"/>
    <m/>
    <m/>
    <s v="電話番号"/>
    <m/>
    <s v="811-1343_x000a_福岡市南和田3-27-2"/>
    <m/>
    <d v="2022-07-16T00:00:00"/>
    <m/>
    <m/>
    <s v="Gmail"/>
    <m/>
    <s v="811-1343_x000a_福岡市南和田3-27-2"/>
    <m/>
    <s v="小学生"/>
    <m/>
    <m/>
    <m/>
    <s v="室本すぐる"/>
    <m/>
    <m/>
    <x v="0"/>
    <s v=""/>
    <x v="7"/>
    <x v="8"/>
    <s v=""/>
    <s v=""/>
    <s v=""/>
    <s v=""/>
    <s v=""/>
    <s v=""/>
    <x v="159"/>
    <s v=""/>
    <s v=""/>
    <s v=""/>
    <s v=""/>
    <n v="0"/>
    <n v="0"/>
    <n v="0"/>
    <s v=""/>
    <n v="0"/>
    <e v="#N/A"/>
    <x v="1"/>
    <e v="#N/A"/>
    <e v="#N/A"/>
    <s v=""/>
  </r>
  <r>
    <m/>
    <x v="1"/>
    <s v="Taisei"/>
    <s v="Sonezaki"/>
    <m/>
    <s v="崎 大晟"/>
    <s v="曽根崎 大晟"/>
    <s v="曽根"/>
    <s v="❌ ID introuvable"/>
    <x v="0"/>
    <m/>
    <x v="4"/>
    <m/>
    <m/>
    <m/>
    <m/>
    <m/>
    <m/>
    <m/>
    <s v="mahomaho._.16th.march@au.com"/>
    <s v="snysnzk@gmail.com"/>
    <m/>
    <s v="090-4347-1653(お母様)"/>
    <s v="電話番号"/>
    <m/>
    <s v="福岡市南区塩原2-9-13_x000a_MJR大橋203"/>
    <m/>
    <d v="2020-01-15T00:00:00"/>
    <m/>
    <m/>
    <s v="Gmail"/>
    <m/>
    <s v="福岡市南区塩原2-9-13_x000a_MJR大橋203"/>
    <m/>
    <s v="小学生"/>
    <m/>
    <m/>
    <m/>
    <s v="曽根崎 大晟"/>
    <m/>
    <m/>
    <x v="0"/>
    <s v=""/>
    <x v="1"/>
    <x v="4"/>
    <s v=""/>
    <s v=""/>
    <s v=""/>
    <s v=""/>
    <s v=""/>
    <s v=""/>
    <x v="160"/>
    <s v=""/>
    <s v=""/>
    <s v=""/>
    <s v=""/>
    <n v="0"/>
    <n v="0"/>
    <n v="0"/>
    <s v=""/>
    <n v="0"/>
    <e v="#N/A"/>
    <x v="1"/>
    <e v="#N/A"/>
    <e v="#N/A"/>
    <s v=""/>
  </r>
  <r>
    <n v="137"/>
    <x v="1"/>
    <s v="Taisei"/>
    <s v="Kuroiwa"/>
    <m/>
    <s v="大成"/>
    <s v="黒岩大成"/>
    <s v="黒岩"/>
    <s v="🔗 Go to finance"/>
    <x v="1"/>
    <s v="group"/>
    <x v="7"/>
    <m/>
    <m/>
    <n v="12100"/>
    <m/>
    <m/>
    <d v="2025-02-28T00:00:00"/>
    <m/>
    <s v="e22t22t25m11@gmail.com"/>
    <s v="e22t22t25m11@gmail.com"/>
    <m/>
    <s v="090-2516-6457"/>
    <s v="電話番号"/>
    <m/>
    <s v="812-0888_x000a_福岡市南区板付7-9-33-303"/>
    <m/>
    <d v="2024-03-01T00:00:00"/>
    <m/>
    <m/>
    <s v="Gmail"/>
    <m/>
    <s v="812-0888_x000a_福岡市南区板付7-9-33-303"/>
    <m/>
    <s v="セミプラ"/>
    <m/>
    <d v="2025-02-28T00:00:00"/>
    <m/>
    <s v="黒岩大成"/>
    <m/>
    <m/>
    <x v="2"/>
    <n v="4"/>
    <x v="9"/>
    <x v="2"/>
    <s v=""/>
    <s v=""/>
    <s v=""/>
    <s v=""/>
    <s v=""/>
    <s v=""/>
    <x v="161"/>
    <s v=""/>
    <s v=""/>
    <s v="Fixed"/>
    <n v="210000"/>
    <s v="-"/>
    <s v="----"/>
    <s v="---"/>
    <s v=""/>
    <s v=""/>
    <e v="#N/A"/>
    <x v="1"/>
    <e v="#N/A"/>
    <e v="#N/A"/>
    <e v="#N/A"/>
  </r>
  <r>
    <m/>
    <x v="1"/>
    <s v="Taishi"/>
    <s v="Yamawaki"/>
    <m/>
    <s v="大心"/>
    <s v="山脇大心"/>
    <s v="山脇"/>
    <s v="❌ ID introuvable"/>
    <x v="0"/>
    <m/>
    <x v="0"/>
    <m/>
    <m/>
    <m/>
    <m/>
    <m/>
    <m/>
    <m/>
    <s v="taishi9426@icoud.com"/>
    <m/>
    <m/>
    <n v="9027172239"/>
    <s v="電話番号"/>
    <m/>
    <s v="福岡市南大橋2丁目5番７"/>
    <m/>
    <d v="2022-06-01T00:00:00"/>
    <m/>
    <m/>
    <s v="Gmail"/>
    <m/>
    <s v="福岡市南大橋2丁目5番７"/>
    <m/>
    <s v="プラ2回"/>
    <m/>
    <m/>
    <m/>
    <s v="山脇大心"/>
    <m/>
    <m/>
    <x v="0"/>
    <s v=""/>
    <x v="3"/>
    <x v="8"/>
    <s v=""/>
    <s v=""/>
    <s v=""/>
    <s v=""/>
    <s v=""/>
    <s v=""/>
    <x v="162"/>
    <s v=""/>
    <s v=""/>
    <s v=""/>
    <s v=""/>
    <n v="0"/>
    <n v="0"/>
    <n v="0"/>
    <s v=""/>
    <n v="0"/>
    <e v="#N/A"/>
    <x v="1"/>
    <e v="#N/A"/>
    <e v="#N/A"/>
    <s v=""/>
  </r>
  <r>
    <n v="137"/>
    <x v="2"/>
    <s v="Taisei"/>
    <s v="Kuroiwa"/>
    <s v="Kuroiwa"/>
    <s v="大成"/>
    <s v="黒岩大成"/>
    <s v="黒岩"/>
    <s v="🔗 Go to finance"/>
    <x v="1"/>
    <s v="semi-private"/>
    <x v="7"/>
    <m/>
    <m/>
    <n v="7000"/>
    <m/>
    <m/>
    <d v="2024-03-01T00:00:00"/>
    <d v="2025-02-28T00:00:00"/>
    <s v="e22t22t25m11@gmail.com"/>
    <s v="e22t22t25m11@gmail.com"/>
    <m/>
    <s v="090-2516-6457"/>
    <s v="電話番号"/>
    <m/>
    <s v="812-0888_x000a_福岡市南区板付7-9-33-303"/>
    <m/>
    <d v="2024-03-01T00:00:00"/>
    <d v="2025-02-28T00:00:00"/>
    <m/>
    <s v="黒岩大成"/>
    <m/>
    <m/>
    <s v="group"/>
    <n v="4"/>
    <s v="Mar"/>
    <n v="2024"/>
    <s v=""/>
    <s v=""/>
    <s v=""/>
    <s v=""/>
    <x v="0"/>
    <n v="364"/>
    <x v="10"/>
    <x v="0"/>
    <s v=""/>
    <s v="Fixed"/>
    <n v="210000"/>
    <s v="-"/>
    <s v="----"/>
    <s v="---"/>
    <x v="163"/>
    <s v=""/>
    <n v="7000"/>
    <s v="Old"/>
    <s v="---"/>
    <n v="0"/>
    <d v="2025-02-28T00:00:00"/>
    <m/>
    <m/>
    <m/>
    <m/>
    <x v="2"/>
    <m/>
    <m/>
    <m/>
  </r>
  <r>
    <n v="138"/>
    <x v="2"/>
    <s v="Taisuke"/>
    <s v="Nonaka"/>
    <m/>
    <s v="泰介"/>
    <s v="野中泰介"/>
    <s v="野中"/>
    <s v="🔗 Go to finance"/>
    <x v="1"/>
    <s v="group"/>
    <x v="3"/>
    <m/>
    <m/>
    <n v="6600"/>
    <n v="17600"/>
    <m/>
    <d v="2024-05-03T00:00:00"/>
    <m/>
    <s v="hsakn11@gmail.com"/>
    <s v="hsakn11@gmail.com"/>
    <m/>
    <m/>
    <s v="電話番号"/>
    <m/>
    <s v="8120888_x000a_博多区板付7-6-2"/>
    <m/>
    <d v="2024-04-01T00:00:00"/>
    <m/>
    <m/>
    <s v="Gmail"/>
    <m/>
    <s v="8120888_x000a_博多区板付7-6-2"/>
    <m/>
    <s v="Baby"/>
    <m/>
    <m/>
    <m/>
    <s v="野中泰介"/>
    <m/>
    <m/>
    <x v="2"/>
    <n v="4"/>
    <x v="5"/>
    <x v="2"/>
    <s v=""/>
    <s v=""/>
    <s v=""/>
    <s v=""/>
    <s v=""/>
    <n v="441"/>
    <x v="164"/>
    <s v=""/>
    <s v=""/>
    <s v="Fixed"/>
    <n v="210000"/>
    <s v="-"/>
    <s v="----"/>
    <s v="---"/>
    <s v=""/>
    <s v=""/>
    <e v="#N/A"/>
    <x v="1"/>
    <e v="#N/A"/>
    <e v="#N/A"/>
    <s v=""/>
  </r>
  <r>
    <n v="140"/>
    <x v="2"/>
    <s v="Kosuke"/>
    <s v="Takada"/>
    <m/>
    <s v="耕輔"/>
    <s v="高田耕輔"/>
    <s v="高田"/>
    <s v="🔗 Go to finance"/>
    <x v="1"/>
    <s v="group"/>
    <x v="7"/>
    <m/>
    <m/>
    <n v="6050"/>
    <n v="17050"/>
    <m/>
    <d v="2024-06-01T00:00:00"/>
    <m/>
    <s v="ryoukotakada@gmail.com"/>
    <s v="ryoukotakada@gmail.com"/>
    <m/>
    <n v="9086635651"/>
    <s v="電話番号"/>
    <m/>
    <s v="8151354_x000a_南区太平寺2-16-13"/>
    <m/>
    <d v="2024-06-01T00:00:00"/>
    <m/>
    <m/>
    <s v="Gmail"/>
    <m/>
    <s v="8151354_x000a_南区太平寺2-16-13"/>
    <m/>
    <s v="小学生"/>
    <m/>
    <m/>
    <m/>
    <s v="高田耕輔"/>
    <m/>
    <m/>
    <x v="2"/>
    <n v="4"/>
    <x v="3"/>
    <x v="2"/>
    <s v=""/>
    <s v=""/>
    <s v=""/>
    <s v=""/>
    <s v=""/>
    <n v="380"/>
    <x v="76"/>
    <s v=""/>
    <s v=""/>
    <s v="Fixed"/>
    <n v="210000"/>
    <s v="-"/>
    <s v="----"/>
    <s v="---"/>
    <s v=""/>
    <s v=""/>
    <e v="#N/A"/>
    <x v="1"/>
    <e v="#N/A"/>
    <e v="#N/A"/>
    <s v=""/>
  </r>
  <r>
    <m/>
    <x v="1"/>
    <s v="Takane"/>
    <s v="Nagai"/>
    <m/>
    <s v="理音"/>
    <s v="永井理音"/>
    <s v="永井"/>
    <s v="❌ ID introuvable"/>
    <x v="0"/>
    <m/>
    <x v="4"/>
    <m/>
    <m/>
    <m/>
    <m/>
    <m/>
    <m/>
    <m/>
    <s v="das-hause-liebesgottin@docomo.ne.jp"/>
    <m/>
    <m/>
    <s v="090-3010-4508"/>
    <s v="電話番号"/>
    <m/>
    <s v="〒811-1346_x000a_福岡市南区老司３丁目26－51"/>
    <m/>
    <d v="2019-06-22T00:00:00"/>
    <m/>
    <m/>
    <s v="Gmail"/>
    <m/>
    <s v="〒811-1346_x000a_福岡市南区老司３丁目26－51"/>
    <m/>
    <s v="小学生"/>
    <m/>
    <m/>
    <m/>
    <s v="永井理音"/>
    <m/>
    <m/>
    <x v="0"/>
    <s v=""/>
    <x v="3"/>
    <x v="5"/>
    <s v=""/>
    <s v=""/>
    <s v=""/>
    <s v=""/>
    <s v=""/>
    <s v=""/>
    <x v="165"/>
    <s v=""/>
    <s v=""/>
    <s v=""/>
    <s v=""/>
    <n v="0"/>
    <n v="0"/>
    <n v="0"/>
    <s v=""/>
    <n v="0"/>
    <e v="#N/A"/>
    <x v="1"/>
    <e v="#N/A"/>
    <e v="#N/A"/>
    <s v=""/>
  </r>
  <r>
    <n v="10"/>
    <x v="2"/>
    <s v="Tomoko"/>
    <s v="Omagari"/>
    <m/>
    <s v="智子"/>
    <s v="大曲智子"/>
    <s v="大曲"/>
    <s v="🔗 Go to finance"/>
    <x v="2"/>
    <s v="private"/>
    <x v="6"/>
    <m/>
    <n v="4"/>
    <n v="17600"/>
    <n v="0"/>
    <m/>
    <m/>
    <m/>
    <m/>
    <m/>
    <m/>
    <s v="080-1723-2310"/>
    <s v="電話番号"/>
    <m/>
    <s v="筑紫野市山家2700-8"/>
    <m/>
    <d v="2018-01-01T00:00:00"/>
    <m/>
    <m/>
    <s v="Gmail"/>
    <m/>
    <s v="筑紫野市山家2700-8"/>
    <m/>
    <s v="プら,Adult"/>
    <m/>
    <m/>
    <m/>
    <s v="大曲智子"/>
    <n v="10"/>
    <s v="大曲智子"/>
    <x v="1"/>
    <n v="4"/>
    <x v="1"/>
    <x v="7"/>
    <s v=""/>
    <s v=""/>
    <s v=""/>
    <n v="4"/>
    <s v=""/>
    <n v="2723"/>
    <x v="166"/>
    <e v="#N/A"/>
    <e v="#N/A"/>
    <s v="Hourly"/>
    <n v="2600"/>
    <n v="0"/>
    <n v="10400"/>
    <n v="10400"/>
    <e v="#N/A"/>
    <n v="7200"/>
    <e v="#N/A"/>
    <x v="1"/>
    <e v="#N/A"/>
    <e v="#N/A"/>
    <s v=""/>
  </r>
  <r>
    <m/>
    <x v="1"/>
    <s v="Tomoko"/>
    <s v="Kinoshita"/>
    <m/>
    <s v="智子"/>
    <s v="後藤智子"/>
    <s v="後藤"/>
    <s v="❌ ID introuvable"/>
    <x v="0"/>
    <m/>
    <x v="0"/>
    <m/>
    <m/>
    <m/>
    <m/>
    <m/>
    <m/>
    <m/>
    <s v="tomo0482@gmail.com"/>
    <m/>
    <m/>
    <s v="090-3415-0608"/>
    <s v="電話番号"/>
    <m/>
    <m/>
    <m/>
    <m/>
    <m/>
    <m/>
    <s v="Gmail"/>
    <m/>
    <m/>
    <m/>
    <m/>
    <m/>
    <m/>
    <m/>
    <s v="後藤智子"/>
    <m/>
    <m/>
    <x v="0"/>
    <s v=""/>
    <x v="0"/>
    <x v="0"/>
    <s v=""/>
    <s v=""/>
    <s v=""/>
    <s v=""/>
    <s v=""/>
    <s v=""/>
    <x v="167"/>
    <s v=""/>
    <s v=""/>
    <s v=""/>
    <s v=""/>
    <n v="0"/>
    <n v="0"/>
    <n v="0"/>
    <s v=""/>
    <n v="0"/>
    <s v=""/>
    <x v="0"/>
    <s v=""/>
    <s v=""/>
    <s v=""/>
  </r>
  <r>
    <n v="120"/>
    <x v="2"/>
    <s v="Tomoyuki"/>
    <s v="Miyahara"/>
    <m/>
    <s v="朋之"/>
    <s v="宮原朋之"/>
    <s v="宮原"/>
    <s v="🔗 Go to finance"/>
    <x v="3"/>
    <s v="private"/>
    <x v="6"/>
    <m/>
    <n v="3"/>
    <n v="15000"/>
    <m/>
    <m/>
    <d v="2023-10-02T00:00:00"/>
    <m/>
    <s v="lastregretsjp@yahoo.co.jp"/>
    <m/>
    <m/>
    <n v="9066451205"/>
    <s v="電話番号"/>
    <m/>
    <s v="福岡市南区大橋4丁目２５－３０ ベルコール大橋50１"/>
    <m/>
    <d v="2023-10-02T00:00:00"/>
    <m/>
    <m/>
    <s v="Gmail"/>
    <m/>
    <s v="福岡市南区大橋4丁目２５－３０ ベルコール大橋50１"/>
    <m/>
    <s v="プら"/>
    <m/>
    <m/>
    <m/>
    <s v="宮原朋之"/>
    <n v="120"/>
    <s v="宮原朋之"/>
    <x v="1"/>
    <n v="3"/>
    <x v="6"/>
    <x v="3"/>
    <s v=""/>
    <s v=""/>
    <s v=""/>
    <n v="3"/>
    <s v=""/>
    <n v="623"/>
    <x v="168"/>
    <e v="#N/A"/>
    <e v="#N/A"/>
    <s v="Hourly"/>
    <n v="3000"/>
    <n v="0"/>
    <n v="9000"/>
    <n v="9000"/>
    <e v="#N/A"/>
    <n v="6000"/>
    <e v="#N/A"/>
    <x v="1"/>
    <e v="#N/A"/>
    <e v="#N/A"/>
    <s v=""/>
  </r>
  <r>
    <m/>
    <x v="1"/>
    <s v="Touru"/>
    <s v="Nakamura"/>
    <m/>
    <s v="通"/>
    <s v="中村通"/>
    <s v="中村"/>
    <s v="❌ ID introuvable"/>
    <x v="0"/>
    <m/>
    <x v="0"/>
    <m/>
    <m/>
    <m/>
    <m/>
    <m/>
    <m/>
    <m/>
    <m/>
    <m/>
    <m/>
    <s v="080-1737-2296"/>
    <s v="電話番号"/>
    <m/>
    <m/>
    <m/>
    <m/>
    <m/>
    <m/>
    <s v="Gmail"/>
    <m/>
    <m/>
    <m/>
    <m/>
    <m/>
    <m/>
    <m/>
    <s v="中村通"/>
    <m/>
    <m/>
    <x v="0"/>
    <s v=""/>
    <x v="0"/>
    <x v="0"/>
    <s v=""/>
    <s v=""/>
    <s v=""/>
    <s v=""/>
    <s v=""/>
    <s v=""/>
    <x v="169"/>
    <s v=""/>
    <s v=""/>
    <s v=""/>
    <s v=""/>
    <n v="0"/>
    <n v="0"/>
    <n v="0"/>
    <s v=""/>
    <n v="0"/>
    <s v=""/>
    <x v="0"/>
    <s v=""/>
    <s v=""/>
    <s v=""/>
  </r>
  <r>
    <m/>
    <x v="1"/>
    <s v="Uchiyama"/>
    <s v="Seicho"/>
    <m/>
    <s v="せいちょ"/>
    <s v="内山せいちょ"/>
    <s v="内山"/>
    <s v="❌ ID introuvable"/>
    <x v="0"/>
    <m/>
    <x v="1"/>
    <m/>
    <m/>
    <m/>
    <m/>
    <m/>
    <m/>
    <m/>
    <s v="pokemonyo130@gmail.com"/>
    <s v="pokemonyo130@gmail.com"/>
    <m/>
    <n v="9059355284"/>
    <s v="電話番号"/>
    <m/>
    <m/>
    <m/>
    <m/>
    <m/>
    <m/>
    <s v="Gmail"/>
    <m/>
    <m/>
    <m/>
    <s v="幼稚園"/>
    <m/>
    <m/>
    <m/>
    <s v="内山せいちょ"/>
    <m/>
    <m/>
    <x v="0"/>
    <s v=""/>
    <x v="0"/>
    <x v="0"/>
    <s v=""/>
    <s v=""/>
    <s v=""/>
    <s v=""/>
    <s v=""/>
    <s v=""/>
    <x v="170"/>
    <s v=""/>
    <s v=""/>
    <s v=""/>
    <s v=""/>
    <n v="0"/>
    <n v="0"/>
    <n v="0"/>
    <s v=""/>
    <n v="0"/>
    <s v=""/>
    <x v="0"/>
    <s v=""/>
    <s v=""/>
    <s v=""/>
  </r>
  <r>
    <n v="103"/>
    <x v="2"/>
    <s v="Uta"/>
    <s v="Takara"/>
    <m/>
    <s v="うた"/>
    <s v="寶うた"/>
    <s v="寶う"/>
    <s v="🔗 Go to finance"/>
    <x v="1"/>
    <s v="private"/>
    <x v="7"/>
    <m/>
    <m/>
    <n v="6050"/>
    <n v="46200"/>
    <s v="Unpaid of 4th, 29150 because there was no payment in march,  + 11 000"/>
    <d v="2023-04-04T00:00:00"/>
    <m/>
    <s v="kouji_takara0219@yahoo.co.jp"/>
    <s v="steptime0000@gmail.com"/>
    <m/>
    <n v="9048027828"/>
    <s v="電話番号"/>
    <m/>
    <s v="81050033_x000a_福岡市南区大橋_x000a_4-27-17 ファール大橋206"/>
    <m/>
    <d v="2023-04-04T00:00:00"/>
    <m/>
    <m/>
    <s v="Gmail"/>
    <m/>
    <s v="81050033_x000a_福岡市南区大橋_x000a_4-27-17 ファール大橋206"/>
    <m/>
    <s v="Baby"/>
    <m/>
    <m/>
    <m/>
    <s v="寶うた"/>
    <m/>
    <m/>
    <x v="1"/>
    <n v="4"/>
    <x v="5"/>
    <x v="3"/>
    <s v=""/>
    <s v=""/>
    <s v=""/>
    <n v="4"/>
    <s v=""/>
    <n v="804"/>
    <x v="171"/>
    <s v=""/>
    <s v=""/>
    <s v="Fixed"/>
    <n v="210000"/>
    <s v="-"/>
    <s v="----"/>
    <s v="---"/>
    <s v=""/>
    <s v=""/>
    <e v="#N/A"/>
    <x v="1"/>
    <e v="#N/A"/>
    <e v="#N/A"/>
    <s v=""/>
  </r>
  <r>
    <n v="134"/>
    <x v="2"/>
    <s v="Wakana"/>
    <s v="Nagae"/>
    <m/>
    <s v="わかな"/>
    <s v="永柄わかな"/>
    <s v="永柄"/>
    <s v="🔗 Go to finance"/>
    <x v="3"/>
    <s v="private"/>
    <x v="9"/>
    <m/>
    <n v="2"/>
    <n v="9900"/>
    <m/>
    <m/>
    <d v="2024-02-01T00:00:00"/>
    <m/>
    <s v="a.hayuwa.2519@gmail.com"/>
    <s v="a.hayuwa.2519@gmail.com"/>
    <m/>
    <n v="9053836589"/>
    <s v="電話番号"/>
    <m/>
    <s v="8150004_x000a_福岡市南区高木3丁目3-15"/>
    <m/>
    <d v="2024-02-01T00:00:00"/>
    <m/>
    <m/>
    <s v="Gmail"/>
    <m/>
    <s v="8150004_x000a_福岡市南区高木3丁目3-15"/>
    <m/>
    <s v="プら"/>
    <m/>
    <m/>
    <m/>
    <s v="永柄わかな"/>
    <m/>
    <m/>
    <x v="1"/>
    <n v="2"/>
    <x v="2"/>
    <x v="2"/>
    <s v=""/>
    <s v=""/>
    <s v=""/>
    <n v="2"/>
    <s v=""/>
    <n v="501"/>
    <x v="172"/>
    <e v="#N/A"/>
    <e v="#N/A"/>
    <s v="Hourly"/>
    <n v="3000"/>
    <n v="0"/>
    <n v="6000"/>
    <n v="6000"/>
    <e v="#N/A"/>
    <n v="3900"/>
    <e v="#N/A"/>
    <x v="1"/>
    <e v="#N/A"/>
    <e v="#N/A"/>
    <s v=""/>
  </r>
  <r>
    <n v="134"/>
    <x v="2"/>
    <s v="Wakana"/>
    <s v="Nagae"/>
    <m/>
    <s v="わかな"/>
    <s v="永柄わかな"/>
    <s v="永柄"/>
    <s v="🔗 Go to finance"/>
    <x v="3"/>
    <s v="group"/>
    <x v="9"/>
    <m/>
    <n v="2"/>
    <n v="3300"/>
    <m/>
    <m/>
    <d v="2024-02-01T00:00:00"/>
    <m/>
    <s v="a.hayuwa.2519@gmail.com"/>
    <s v="a.hayuwa.2519@gmail.com"/>
    <m/>
    <n v="9053836589"/>
    <s v="電話番号"/>
    <m/>
    <s v="8150004_x000a_福岡市南区高木3丁目3-15"/>
    <m/>
    <d v="2024-02-01T00:00:00"/>
    <m/>
    <m/>
    <s v="Gmail"/>
    <m/>
    <s v="8150004_x000a_福岡市南区高木3丁目3-15"/>
    <m/>
    <s v="プら"/>
    <m/>
    <m/>
    <m/>
    <s v="永柄わかな"/>
    <m/>
    <m/>
    <x v="2"/>
    <n v="2"/>
    <x v="2"/>
    <x v="2"/>
    <s v=""/>
    <s v=""/>
    <s v=""/>
    <s v=""/>
    <s v=""/>
    <n v="501"/>
    <x v="172"/>
    <e v="#N/A"/>
    <e v="#N/A"/>
    <s v="Hourly"/>
    <n v="3000"/>
    <n v="0"/>
    <n v="0"/>
    <n v="0"/>
    <e v="#N/A"/>
    <n v="3300"/>
    <e v="#N/A"/>
    <x v="1"/>
    <e v="#N/A"/>
    <e v="#N/A"/>
    <s v=""/>
  </r>
  <r>
    <m/>
    <x v="1"/>
    <s v="Wanon"/>
    <s v="Shima"/>
    <m/>
    <s v="和聖"/>
    <s v="島和聖"/>
    <s v="島"/>
    <s v="❌ ID introuvable"/>
    <x v="0"/>
    <m/>
    <x v="1"/>
    <m/>
    <m/>
    <m/>
    <m/>
    <m/>
    <m/>
    <m/>
    <s v="nk.1105.n@softbank.ne.jp"/>
    <m/>
    <m/>
    <s v="090-4775-4088"/>
    <s v="電話番号"/>
    <m/>
    <s v="〒811-1352_x000a_福岡市南区鶴田4丁目18-39-302"/>
    <m/>
    <d v="2020-02-10T00:00:00"/>
    <m/>
    <m/>
    <s v="Gmail"/>
    <m/>
    <s v="〒811-1352_x000a_福岡市南区鶴田4丁目18-39-302"/>
    <m/>
    <s v="プら"/>
    <m/>
    <m/>
    <m/>
    <s v="島和聖"/>
    <m/>
    <m/>
    <x v="0"/>
    <s v=""/>
    <x v="2"/>
    <x v="4"/>
    <s v=""/>
    <s v=""/>
    <s v=""/>
    <s v=""/>
    <s v=""/>
    <s v=""/>
    <x v="173"/>
    <s v=""/>
    <s v=""/>
    <s v=""/>
    <s v=""/>
    <n v="0"/>
    <n v="0"/>
    <n v="0"/>
    <s v=""/>
    <n v="0"/>
    <e v="#N/A"/>
    <x v="1"/>
    <e v="#N/A"/>
    <e v="#N/A"/>
    <s v=""/>
  </r>
  <r>
    <n v="159"/>
    <x v="2"/>
    <s v="Wataru"/>
    <s v="Nagamatsu"/>
    <m/>
    <s v="航"/>
    <s v="永松航"/>
    <s v="永松"/>
    <s v="🔗 Go to finance"/>
    <x v="1"/>
    <s v="private"/>
    <x v="6"/>
    <m/>
    <m/>
    <n v="33300"/>
    <m/>
    <m/>
    <d v="2025-02-03T00:00:00"/>
    <m/>
    <s v="c.nagamatsu17@gmail.com"/>
    <s v="c.nagamatsu17@gmail.com"/>
    <m/>
    <m/>
    <s v="電話番号"/>
    <m/>
    <s v="811-1346_x000a_福岡南区老司3-7-42-302"/>
    <m/>
    <d v="2025-02-03T00:00:00"/>
    <m/>
    <m/>
    <s v="Gmail"/>
    <m/>
    <s v="811-1346_x000a_福岡南区老司3-7-42-302"/>
    <m/>
    <s v="プら"/>
    <m/>
    <m/>
    <m/>
    <s v="永松航"/>
    <m/>
    <m/>
    <x v="1"/>
    <n v="4"/>
    <x v="2"/>
    <x v="1"/>
    <s v=""/>
    <s v=""/>
    <s v=""/>
    <n v="4"/>
    <s v=""/>
    <n v="133"/>
    <x v="174"/>
    <s v=""/>
    <s v=""/>
    <s v="Fixed"/>
    <n v="210000"/>
    <s v="-"/>
    <s v="----"/>
    <s v="---"/>
    <s v=""/>
    <s v=""/>
    <e v="#N/A"/>
    <x v="1"/>
    <e v="#N/A"/>
    <e v="#N/A"/>
    <s v=""/>
  </r>
  <r>
    <n v="143"/>
    <x v="2"/>
    <s v="Yasuaki"/>
    <s v="Deguchi"/>
    <m/>
    <s v="靖章"/>
    <s v="出口靖章"/>
    <s v="出口"/>
    <s v="🔗 Go to finance"/>
    <x v="1"/>
    <s v="group"/>
    <x v="7"/>
    <m/>
    <m/>
    <n v="19800"/>
    <m/>
    <m/>
    <d v="2024-07-02T00:00:00"/>
    <m/>
    <s v="thedeguchifamily@gmail.com"/>
    <s v="c.nagamatsu17@gmail.com"/>
    <m/>
    <m/>
    <s v="電話番号"/>
    <m/>
    <s v="811-1346_x000a_福岡南区老司3-7-42-302"/>
    <m/>
    <d v="2024-07-02T00:00:00"/>
    <m/>
    <m/>
    <s v="Gmail"/>
    <m/>
    <s v="8150083_x000a_南区高宮4-19-7"/>
    <m/>
    <s v="プら"/>
    <m/>
    <m/>
    <m/>
    <s v="出口靖章"/>
    <n v="143"/>
    <s v="出口靖章"/>
    <x v="2"/>
    <n v="4"/>
    <x v="7"/>
    <x v="2"/>
    <s v=""/>
    <s v=""/>
    <s v=""/>
    <s v=""/>
    <s v=""/>
    <n v="349"/>
    <x v="175"/>
    <s v=""/>
    <s v=""/>
    <s v="Fixed"/>
    <n v="210000"/>
    <s v="-"/>
    <s v="----"/>
    <s v="---"/>
    <s v=""/>
    <s v=""/>
    <e v="#N/A"/>
    <x v="1"/>
    <e v="#N/A"/>
    <e v="#N/A"/>
    <s v=""/>
  </r>
  <r>
    <m/>
    <x v="1"/>
    <s v="Yasuhisa"/>
    <s v="Adachi"/>
    <m/>
    <s v="泰尚"/>
    <s v="足立泰尚"/>
    <s v="足立"/>
    <s v="❌ ID introuvable"/>
    <x v="0"/>
    <m/>
    <x v="2"/>
    <m/>
    <m/>
    <m/>
    <m/>
    <m/>
    <m/>
    <m/>
    <s v="thedeguchifamily@gmail.com"/>
    <s v="thedeguchifamily@gmail.com"/>
    <m/>
    <m/>
    <s v="電話番号"/>
    <m/>
    <s v="8150083_x000a_南区高宮4-19-7"/>
    <m/>
    <m/>
    <m/>
    <m/>
    <s v="Gmail"/>
    <m/>
    <s v="福岡市南区横手4丁目6-14"/>
    <m/>
    <s v="プら,大人"/>
    <m/>
    <m/>
    <m/>
    <s v="足立泰尚"/>
    <m/>
    <m/>
    <x v="0"/>
    <s v=""/>
    <x v="0"/>
    <x v="0"/>
    <s v=""/>
    <s v=""/>
    <s v=""/>
    <s v=""/>
    <s v=""/>
    <s v=""/>
    <x v="176"/>
    <s v=""/>
    <s v=""/>
    <s v=""/>
    <s v=""/>
    <n v="0"/>
    <n v="0"/>
    <n v="0"/>
    <s v=""/>
    <n v="0"/>
    <s v=""/>
    <x v="0"/>
    <s v=""/>
    <s v=""/>
    <s v=""/>
  </r>
  <r>
    <n v="20"/>
    <x v="2"/>
    <s v="Yasuko"/>
    <s v="Tsutsui"/>
    <m/>
    <s v="康子"/>
    <s v="筒井康子"/>
    <s v="筒井"/>
    <s v="🔗 Go to finance"/>
    <x v="2"/>
    <s v="private"/>
    <x v="6"/>
    <m/>
    <n v="4"/>
    <n v="14800"/>
    <m/>
    <m/>
    <m/>
    <m/>
    <s v="adachiyasuhisa@softbank.ne.jp"/>
    <m/>
    <m/>
    <s v="090-8915-3662"/>
    <s v="電話番号"/>
    <m/>
    <s v="福岡市南区横手4丁目6-14"/>
    <m/>
    <d v="2018-01-01T00:00:00"/>
    <m/>
    <m/>
    <s v="Gmail"/>
    <m/>
    <s v="筑紫郡那珂川町方縄5-100"/>
    <m/>
    <s v="グルップ２回セミプラ2回,Adult"/>
    <m/>
    <m/>
    <m/>
    <s v="筒井康子"/>
    <m/>
    <m/>
    <x v="1"/>
    <n v="4"/>
    <x v="1"/>
    <x v="7"/>
    <s v=""/>
    <s v=""/>
    <s v=""/>
    <n v="4"/>
    <s v=""/>
    <n v="2723"/>
    <x v="177"/>
    <e v="#N/A"/>
    <e v="#N/A"/>
    <s v="Hourly"/>
    <n v="2600"/>
    <n v="0"/>
    <n v="10400"/>
    <n v="10400"/>
    <e v="#N/A"/>
    <n v="4400"/>
    <e v="#N/A"/>
    <x v="1"/>
    <e v="#N/A"/>
    <e v="#N/A"/>
    <s v=""/>
  </r>
  <r>
    <m/>
    <x v="1"/>
    <s v="Yoko"/>
    <s v="Uchida"/>
    <m/>
    <s v="陽子"/>
    <s v="内田陽子"/>
    <s v="内田"/>
    <s v="❌ ID introuvable"/>
    <x v="0"/>
    <m/>
    <x v="2"/>
    <m/>
    <m/>
    <m/>
    <m/>
    <m/>
    <m/>
    <m/>
    <s v="tylr2423@docomo.ne.jp"/>
    <m/>
    <m/>
    <s v="090-5481-5493"/>
    <s v="電話番号"/>
    <m/>
    <s v="筑紫郡那珂川町方縄5-100"/>
    <m/>
    <m/>
    <m/>
    <m/>
    <s v="Gmail"/>
    <m/>
    <s v="福岡市南区大橋2-10-18-301"/>
    <m/>
    <s v="プら,大人"/>
    <m/>
    <m/>
    <m/>
    <s v="内田陽子"/>
    <m/>
    <m/>
    <x v="0"/>
    <s v=""/>
    <x v="0"/>
    <x v="0"/>
    <s v=""/>
    <s v=""/>
    <s v=""/>
    <s v=""/>
    <s v=""/>
    <s v=""/>
    <x v="178"/>
    <s v=""/>
    <s v=""/>
    <s v=""/>
    <s v=""/>
    <n v="0"/>
    <n v="0"/>
    <n v="0"/>
    <s v=""/>
    <n v="0"/>
    <s v=""/>
    <x v="0"/>
    <s v=""/>
    <s v=""/>
    <s v=""/>
  </r>
  <r>
    <m/>
    <x v="1"/>
    <s v="Yoko"/>
    <s v="Segawa"/>
    <m/>
    <s v="庸子"/>
    <s v="瀬川庸子"/>
    <s v="瀬川"/>
    <s v="❌ ID introuvable"/>
    <x v="0"/>
    <m/>
    <x v="2"/>
    <m/>
    <m/>
    <m/>
    <m/>
    <m/>
    <m/>
    <m/>
    <s v="uchikenuchiyo@gmail.com"/>
    <s v="uchikenuchiyo@gmail.com"/>
    <m/>
    <s v="080-5022-2745"/>
    <s v="電話番号"/>
    <m/>
    <s v="福岡市南区大橋2-10-18-301"/>
    <m/>
    <m/>
    <m/>
    <m/>
    <s v="Gmail"/>
    <m/>
    <s v="〒811-1311_x000a_福岡市南区和田3-1-11"/>
    <m/>
    <s v="グルップ,大人"/>
    <m/>
    <m/>
    <m/>
    <s v="瀬川庸子"/>
    <m/>
    <m/>
    <x v="0"/>
    <s v=""/>
    <x v="0"/>
    <x v="0"/>
    <s v=""/>
    <s v=""/>
    <s v=""/>
    <s v=""/>
    <s v=""/>
    <s v=""/>
    <x v="179"/>
    <s v=""/>
    <s v=""/>
    <s v=""/>
    <s v=""/>
    <n v="0"/>
    <n v="0"/>
    <n v="0"/>
    <s v=""/>
    <n v="0"/>
    <s v=""/>
    <x v="0"/>
    <s v=""/>
    <s v=""/>
    <s v=""/>
  </r>
  <r>
    <n v="142"/>
    <x v="2"/>
    <s v="Yu"/>
    <s v="Nakamura"/>
    <m/>
    <s v="悠"/>
    <s v="中村悠"/>
    <s v="中村"/>
    <s v="🔗 Go to finance"/>
    <x v="1"/>
    <s v="group"/>
    <x v="3"/>
    <m/>
    <m/>
    <n v="6600"/>
    <m/>
    <m/>
    <d v="2024-09-01T00:00:00"/>
    <m/>
    <s v="dga210101@yahoo.co.jp"/>
    <s v="mond.yoko.s@gmail.com"/>
    <m/>
    <s v="080-1531-6009"/>
    <s v="電話番号"/>
    <m/>
    <s v="〒811-1311_x000a_福岡市南区和田3-1-11"/>
    <m/>
    <d v="2024-09-01T00:00:00"/>
    <m/>
    <m/>
    <s v="Gmail"/>
    <m/>
    <s v="815034_x000a_福岡市南区南」大橋2丁目１１－２３－２"/>
    <m/>
    <s v="小学生"/>
    <m/>
    <m/>
    <m/>
    <s v="中村悠"/>
    <m/>
    <m/>
    <x v="2"/>
    <n v="4"/>
    <x v="11"/>
    <x v="2"/>
    <s v=""/>
    <s v=""/>
    <s v=""/>
    <s v=""/>
    <s v=""/>
    <n v="288"/>
    <x v="180"/>
    <s v=""/>
    <s v=""/>
    <s v="Fixed"/>
    <n v="210000"/>
    <s v="-"/>
    <s v="----"/>
    <s v="---"/>
    <s v=""/>
    <s v=""/>
    <e v="#N/A"/>
    <x v="1"/>
    <e v="#N/A"/>
    <e v="#N/A"/>
    <s v=""/>
  </r>
  <r>
    <m/>
    <x v="1"/>
    <s v="Yu"/>
    <s v="Sakurai"/>
    <m/>
    <s v="ゆう"/>
    <s v="櫻井ゆう"/>
    <s v="櫻井"/>
    <s v="❌ ID introuvable"/>
    <x v="0"/>
    <m/>
    <x v="4"/>
    <m/>
    <m/>
    <m/>
    <m/>
    <m/>
    <m/>
    <m/>
    <s v="dga210101@yahoo.co.jp"/>
    <m/>
    <m/>
    <m/>
    <s v="電話番号"/>
    <m/>
    <s v="815034_x000a_福岡市南区南」大橋2丁目１１－２３－２"/>
    <m/>
    <d v="2022-07-04T00:00:00"/>
    <m/>
    <m/>
    <s v="Gmail"/>
    <m/>
    <m/>
    <m/>
    <s v="小学生"/>
    <m/>
    <m/>
    <m/>
    <s v="櫻井ゆう"/>
    <m/>
    <m/>
    <x v="0"/>
    <s v=""/>
    <x v="7"/>
    <x v="8"/>
    <s v=""/>
    <s v=""/>
    <s v=""/>
    <s v=""/>
    <s v=""/>
    <s v=""/>
    <x v="181"/>
    <s v=""/>
    <s v=""/>
    <s v=""/>
    <s v=""/>
    <n v="0"/>
    <n v="0"/>
    <n v="0"/>
    <s v=""/>
    <n v="0"/>
    <e v="#N/A"/>
    <x v="1"/>
    <e v="#N/A"/>
    <e v="#N/A"/>
    <s v=""/>
  </r>
  <r>
    <m/>
    <x v="1"/>
    <s v="Yu"/>
    <s v="Sakurai"/>
    <m/>
    <s v="ゆう"/>
    <s v="櫻井ゆう"/>
    <s v="櫻井"/>
    <s v="❌ ID introuvable"/>
    <x v="0"/>
    <m/>
    <x v="4"/>
    <m/>
    <m/>
    <m/>
    <m/>
    <m/>
    <m/>
    <m/>
    <s v="ai.24.s1214s@gmail.com"/>
    <s v="ai.24.s1214s@gmail.com"/>
    <m/>
    <m/>
    <s v="電話番号"/>
    <m/>
    <s v="福岡市南区若久1丁目15-30-203"/>
    <m/>
    <d v="2022-07-16T00:00:00"/>
    <m/>
    <m/>
    <s v="Gmail"/>
    <m/>
    <s v="福岡市南区若久1丁目15-30-203"/>
    <m/>
    <s v="小学生"/>
    <m/>
    <m/>
    <m/>
    <s v="櫻井ゆう"/>
    <m/>
    <m/>
    <x v="0"/>
    <s v=""/>
    <x v="7"/>
    <x v="8"/>
    <s v=""/>
    <s v=""/>
    <s v=""/>
    <s v=""/>
    <s v=""/>
    <s v=""/>
    <x v="181"/>
    <s v=""/>
    <s v=""/>
    <s v=""/>
    <s v=""/>
    <n v="0"/>
    <n v="0"/>
    <n v="0"/>
    <s v=""/>
    <n v="0"/>
    <e v="#N/A"/>
    <x v="1"/>
    <e v="#N/A"/>
    <e v="#N/A"/>
    <s v=""/>
  </r>
  <r>
    <m/>
    <x v="1"/>
    <s v="Yudai"/>
    <s v="Okuno"/>
    <m/>
    <s v="雄大"/>
    <s v="奥野雄大"/>
    <s v="奥野"/>
    <s v="❌ ID introuvable"/>
    <x v="0"/>
    <m/>
    <x v="2"/>
    <m/>
    <m/>
    <m/>
    <m/>
    <m/>
    <m/>
    <m/>
    <s v="44e693@gmail.com"/>
    <s v="44e693@gmail.com"/>
    <m/>
    <s v="080-5602-9401"/>
    <s v="電話番号"/>
    <m/>
    <s v="福岡市南区大橋3-25-22-2"/>
    <m/>
    <m/>
    <m/>
    <m/>
    <s v="Gmail"/>
    <m/>
    <s v="福岡市南区大橋3-25-22-2"/>
    <m/>
    <s v="グルップ"/>
    <m/>
    <m/>
    <m/>
    <s v="奥野雄大"/>
    <m/>
    <m/>
    <x v="0"/>
    <s v=""/>
    <x v="0"/>
    <x v="0"/>
    <s v=""/>
    <s v=""/>
    <s v=""/>
    <s v=""/>
    <s v=""/>
    <s v=""/>
    <x v="182"/>
    <s v=""/>
    <s v=""/>
    <s v=""/>
    <s v=""/>
    <n v="0"/>
    <n v="0"/>
    <n v="0"/>
    <s v=""/>
    <n v="0"/>
    <s v=""/>
    <x v="0"/>
    <s v=""/>
    <s v=""/>
    <s v=""/>
  </r>
  <r>
    <m/>
    <x v="1"/>
    <s v="Yui"/>
    <s v="Kusano"/>
    <m/>
    <s v="ゆい"/>
    <s v="草野ゆい"/>
    <s v="草野"/>
    <s v="❌ ID introuvable"/>
    <x v="0"/>
    <m/>
    <x v="4"/>
    <m/>
    <m/>
    <m/>
    <m/>
    <m/>
    <m/>
    <m/>
    <s v="kusano.yasuko@gmail.com"/>
    <s v="kusano.yasuko@gmail.com"/>
    <m/>
    <m/>
    <s v="電話番号"/>
    <m/>
    <s v="〒815-0032_x000a_福岡市南区塩原４－５１０－１７０１"/>
    <m/>
    <d v="2021-06-01T00:00:00"/>
    <m/>
    <m/>
    <s v="Gmail"/>
    <m/>
    <s v="〒815-0032_x000a_福岡市南区塩原４－５１０－１７０１"/>
    <m/>
    <s v="英検コース"/>
    <m/>
    <m/>
    <m/>
    <s v="草野ゆい"/>
    <m/>
    <m/>
    <x v="0"/>
    <s v=""/>
    <x v="3"/>
    <x v="6"/>
    <s v=""/>
    <s v=""/>
    <s v=""/>
    <s v=""/>
    <s v=""/>
    <s v=""/>
    <x v="183"/>
    <s v=""/>
    <s v=""/>
    <s v=""/>
    <s v=""/>
    <n v="0"/>
    <n v="0"/>
    <n v="0"/>
    <s v=""/>
    <n v="0"/>
    <e v="#N/A"/>
    <x v="1"/>
    <e v="#N/A"/>
    <e v="#N/A"/>
    <s v=""/>
  </r>
  <r>
    <m/>
    <x v="1"/>
    <s v="Yuka"/>
    <s v="Shimizu"/>
    <m/>
    <s v="優心"/>
    <s v="清水優心"/>
    <s v="清水"/>
    <s v="❌ ID introuvable"/>
    <x v="0"/>
    <m/>
    <x v="4"/>
    <m/>
    <m/>
    <m/>
    <m/>
    <m/>
    <m/>
    <m/>
    <s v="masachi7.5@docomo.ne.jp"/>
    <m/>
    <m/>
    <s v="090-1513-2744"/>
    <s v="電話番号"/>
    <m/>
    <s v="〒811-1313_x000a_福岡市南区日佐４丁目18-10-301"/>
    <m/>
    <m/>
    <m/>
    <m/>
    <s v="Gmail"/>
    <m/>
    <s v="〒811-1313_x000a_福岡市南区日佐４丁目18-10-301"/>
    <m/>
    <s v="小学生"/>
    <m/>
    <m/>
    <m/>
    <s v="清水優心"/>
    <m/>
    <m/>
    <x v="0"/>
    <s v=""/>
    <x v="0"/>
    <x v="0"/>
    <s v=""/>
    <s v=""/>
    <s v=""/>
    <s v=""/>
    <s v=""/>
    <s v=""/>
    <x v="184"/>
    <s v=""/>
    <s v=""/>
    <s v=""/>
    <s v=""/>
    <n v="0"/>
    <n v="0"/>
    <n v="0"/>
    <s v=""/>
    <n v="0"/>
    <s v=""/>
    <x v="0"/>
    <s v=""/>
    <s v=""/>
    <s v=""/>
  </r>
  <r>
    <m/>
    <x v="1"/>
    <s v="Yuka"/>
    <s v="Abe"/>
    <m/>
    <s v="優香"/>
    <s v="阿部優香"/>
    <s v="阿部"/>
    <s v="❌ ID introuvable"/>
    <x v="0"/>
    <m/>
    <x v="2"/>
    <m/>
    <m/>
    <m/>
    <m/>
    <m/>
    <m/>
    <m/>
    <s v="sieg7172@i.softbank.jp"/>
    <m/>
    <m/>
    <s v="090-9659-7172"/>
    <s v="電話番号"/>
    <m/>
    <s v="〒806-0051_x000a_北九州市八幡西区東鳴水2丁目１０－７"/>
    <m/>
    <m/>
    <m/>
    <m/>
    <s v="Gmail"/>
    <m/>
    <s v="〒806-0051_x000a_北九州市八幡西区東鳴水2丁目１０－７"/>
    <m/>
    <s v="プラ2回新,大人"/>
    <m/>
    <m/>
    <m/>
    <s v="阿部優香"/>
    <m/>
    <m/>
    <x v="0"/>
    <s v=""/>
    <x v="0"/>
    <x v="0"/>
    <s v=""/>
    <s v=""/>
    <s v=""/>
    <s v=""/>
    <s v=""/>
    <s v=""/>
    <x v="185"/>
    <s v=""/>
    <s v=""/>
    <s v=""/>
    <s v=""/>
    <n v="0"/>
    <n v="0"/>
    <n v="0"/>
    <s v=""/>
    <n v="0"/>
    <s v=""/>
    <x v="0"/>
    <s v=""/>
    <s v=""/>
    <s v=""/>
  </r>
  <r>
    <m/>
    <x v="0"/>
    <s v="Yuki"/>
    <m/>
    <m/>
    <m/>
    <m/>
    <m/>
    <s v="❌ ID introuvable"/>
    <x v="0"/>
    <m/>
    <x v="0"/>
    <m/>
    <m/>
    <m/>
    <m/>
    <m/>
    <m/>
    <m/>
    <m/>
    <m/>
    <m/>
    <m/>
    <s v="電話番号"/>
    <m/>
    <m/>
    <m/>
    <m/>
    <m/>
    <m/>
    <s v="Gmail"/>
    <m/>
    <m/>
    <m/>
    <m/>
    <m/>
    <m/>
    <m/>
    <m/>
    <m/>
    <m/>
    <x v="0"/>
    <s v=""/>
    <x v="0"/>
    <x v="0"/>
    <s v=""/>
    <s v=""/>
    <s v=""/>
    <s v=""/>
    <s v=""/>
    <s v=""/>
    <x v="186"/>
    <s v=""/>
    <s v=""/>
    <s v=""/>
    <s v=""/>
    <n v="0"/>
    <n v="0"/>
    <n v="0"/>
    <s v=""/>
    <n v="0"/>
    <s v=""/>
    <x v="0"/>
    <s v=""/>
    <s v=""/>
    <s v=""/>
  </r>
  <r>
    <m/>
    <x v="1"/>
    <s v="Yuki"/>
    <s v="Kinoshita"/>
    <m/>
    <s v="由紀"/>
    <s v="片山由紀"/>
    <s v="片山"/>
    <s v="❌ ID introuvable"/>
    <x v="0"/>
    <m/>
    <x v="0"/>
    <m/>
    <m/>
    <m/>
    <m/>
    <m/>
    <m/>
    <m/>
    <s v="m3ars24@gmail.com"/>
    <s v="m3ars24@gmail.com"/>
    <m/>
    <s v="080-1762-1203"/>
    <s v="電話番号"/>
    <m/>
    <m/>
    <m/>
    <m/>
    <m/>
    <m/>
    <s v="Gmail"/>
    <m/>
    <m/>
    <m/>
    <m/>
    <m/>
    <m/>
    <m/>
    <s v="片山由紀"/>
    <m/>
    <m/>
    <x v="0"/>
    <s v=""/>
    <x v="0"/>
    <x v="0"/>
    <s v=""/>
    <s v=""/>
    <s v=""/>
    <s v=""/>
    <s v=""/>
    <s v=""/>
    <x v="187"/>
    <s v=""/>
    <s v=""/>
    <s v=""/>
    <s v=""/>
    <n v="0"/>
    <n v="0"/>
    <n v="0"/>
    <s v=""/>
    <n v="0"/>
    <s v=""/>
    <x v="0"/>
    <s v=""/>
    <s v=""/>
    <s v=""/>
  </r>
  <r>
    <n v="141"/>
    <x v="2"/>
    <s v="Yuki"/>
    <s v="Kado"/>
    <m/>
    <s v="輝"/>
    <s v="角優輝"/>
    <s v="角優"/>
    <s v="🔗 Go to finance"/>
    <x v="2"/>
    <s v="private"/>
    <x v="8"/>
    <m/>
    <n v="4"/>
    <n v="19800"/>
    <n v="0"/>
    <m/>
    <m/>
    <m/>
    <m/>
    <m/>
    <m/>
    <n v="8017866884"/>
    <s v="電話番号"/>
    <m/>
    <s v="815-0033_x000a_福岡市南区大橋4丁目26-304"/>
    <m/>
    <d v="2024-04-01T00:00:00"/>
    <m/>
    <m/>
    <s v="Gmail"/>
    <m/>
    <s v="815-0033_x000a_福岡市南区大橋4丁目26-304"/>
    <m/>
    <s v="プら"/>
    <m/>
    <m/>
    <m/>
    <s v="角優輝"/>
    <m/>
    <m/>
    <x v="1"/>
    <n v="4"/>
    <x v="5"/>
    <x v="2"/>
    <s v=""/>
    <s v=""/>
    <s v=""/>
    <n v="4"/>
    <s v=""/>
    <n v="441"/>
    <x v="188"/>
    <e v="#N/A"/>
    <e v="#N/A"/>
    <s v="Hourly"/>
    <n v="2600"/>
    <n v="0"/>
    <n v="10400"/>
    <n v="10400"/>
    <e v="#N/A"/>
    <n v="9400"/>
    <e v="#N/A"/>
    <x v="1"/>
    <e v="#N/A"/>
    <e v="#N/A"/>
    <s v=""/>
  </r>
  <r>
    <m/>
    <x v="1"/>
    <s v="Yukiko"/>
    <s v="Shigetomi"/>
    <m/>
    <s v="由記子"/>
    <s v="重冨由記子"/>
    <s v="重冨"/>
    <s v="❌ ID introuvable"/>
    <x v="0"/>
    <m/>
    <x v="2"/>
    <m/>
    <m/>
    <m/>
    <m/>
    <m/>
    <m/>
    <m/>
    <s v="8.madeleine-paris@g-net.jpn.com"/>
    <m/>
    <m/>
    <s v="080-5245-9417"/>
    <s v="電話番号"/>
    <m/>
    <s v="久留米市花畑1-5-11-401"/>
    <m/>
    <m/>
    <m/>
    <m/>
    <s v="Gmail"/>
    <m/>
    <s v="久留米市花畑1-5-11-401"/>
    <m/>
    <s v="フランス語 プラ2回,大人"/>
    <m/>
    <m/>
    <m/>
    <s v="重冨由記子"/>
    <m/>
    <m/>
    <x v="0"/>
    <s v=""/>
    <x v="0"/>
    <x v="0"/>
    <s v=""/>
    <s v=""/>
    <s v=""/>
    <s v=""/>
    <s v=""/>
    <s v=""/>
    <x v="189"/>
    <s v=""/>
    <s v=""/>
    <s v=""/>
    <s v=""/>
    <n v="0"/>
    <n v="0"/>
    <n v="0"/>
    <s v=""/>
    <n v="0"/>
    <s v=""/>
    <x v="0"/>
    <s v=""/>
    <s v=""/>
    <s v=""/>
  </r>
  <r>
    <m/>
    <x v="1"/>
    <s v="Yukiyo"/>
    <s v="Koyama(Yamaguchi)"/>
    <m/>
    <s v="幸代(旧姓 山口)"/>
    <s v="小山幸代(旧姓 山口)"/>
    <s v="小山"/>
    <s v="❌ ID introuvable"/>
    <x v="0"/>
    <m/>
    <x v="2"/>
    <m/>
    <m/>
    <m/>
    <m/>
    <m/>
    <m/>
    <m/>
    <s v="yu73.ki25@gmail.com"/>
    <s v="yu73.ki25@gmail.com"/>
    <m/>
    <s v="090-7393-6725"/>
    <s v="電話番号"/>
    <m/>
    <s v="福岡市博多区東光寺町1丁目20-28-606_x000a__x000a_福岡市南区老司2-22-4"/>
    <m/>
    <m/>
    <m/>
    <m/>
    <s v="Gmail"/>
    <m/>
    <s v="福岡市博多区東光寺町1丁目20-28-606_x000a__x000a_福岡市南区老司2-22-4"/>
    <m/>
    <s v="プラ2回,大人"/>
    <m/>
    <m/>
    <m/>
    <s v="小山幸代(旧姓 山口)"/>
    <m/>
    <m/>
    <x v="0"/>
    <s v=""/>
    <x v="0"/>
    <x v="0"/>
    <s v=""/>
    <s v=""/>
    <s v=""/>
    <s v=""/>
    <s v=""/>
    <s v=""/>
    <x v="190"/>
    <s v=""/>
    <s v=""/>
    <s v=""/>
    <s v=""/>
    <n v="0"/>
    <n v="0"/>
    <n v="0"/>
    <s v=""/>
    <n v="0"/>
    <s v=""/>
    <x v="0"/>
    <s v=""/>
    <s v=""/>
    <s v=""/>
  </r>
  <r>
    <m/>
    <x v="1"/>
    <s v="Yuko"/>
    <s v="Iwamoto"/>
    <m/>
    <s v="侑子"/>
    <s v="岩本侑子"/>
    <s v="岩本"/>
    <s v="❌ ID introuvable"/>
    <x v="0"/>
    <m/>
    <x v="0"/>
    <m/>
    <m/>
    <m/>
    <m/>
    <m/>
    <m/>
    <m/>
    <s v="poko-peko.77@ezweb.ne.jp"/>
    <m/>
    <m/>
    <s v="080-5275-3134"/>
    <s v="電話番号"/>
    <m/>
    <m/>
    <m/>
    <m/>
    <m/>
    <m/>
    <s v="Gmail"/>
    <m/>
    <m/>
    <m/>
    <m/>
    <m/>
    <m/>
    <m/>
    <s v="岩本侑子"/>
    <m/>
    <m/>
    <x v="0"/>
    <s v=""/>
    <x v="0"/>
    <x v="0"/>
    <s v=""/>
    <s v=""/>
    <s v=""/>
    <s v=""/>
    <s v=""/>
    <s v=""/>
    <x v="191"/>
    <s v=""/>
    <s v=""/>
    <s v=""/>
    <s v=""/>
    <n v="0"/>
    <n v="0"/>
    <n v="0"/>
    <s v=""/>
    <n v="0"/>
    <s v=""/>
    <x v="0"/>
    <s v=""/>
    <s v=""/>
    <s v=""/>
  </r>
  <r>
    <m/>
    <x v="1"/>
    <s v="Yume"/>
    <s v="Nakae"/>
    <m/>
    <s v="佳恵"/>
    <s v="中江佳恵"/>
    <s v="中江"/>
    <s v="❌ ID introuvable"/>
    <x v="0"/>
    <m/>
    <x v="0"/>
    <m/>
    <m/>
    <m/>
    <m/>
    <m/>
    <m/>
    <m/>
    <s v="g.t-gngn@i.softbank.jp"/>
    <m/>
    <m/>
    <n v="8034773326"/>
    <s v="電話番号"/>
    <m/>
    <s v="812-0894_x000a_福岡市博多区諸岡1丁目9-19"/>
    <m/>
    <d v="2023-06-02T00:00:00"/>
    <m/>
    <m/>
    <s v="Gmail"/>
    <m/>
    <s v="812-0894_x000a_福岡市博多区諸岡1丁目9-19"/>
    <m/>
    <s v="セミプラ"/>
    <m/>
    <m/>
    <m/>
    <s v="中江佳恵"/>
    <m/>
    <m/>
    <x v="0"/>
    <s v=""/>
    <x v="3"/>
    <x v="3"/>
    <s v=""/>
    <s v=""/>
    <s v=""/>
    <s v=""/>
    <s v=""/>
    <s v=""/>
    <x v="192"/>
    <s v=""/>
    <s v=""/>
    <s v=""/>
    <s v=""/>
    <n v="0"/>
    <n v="0"/>
    <n v="0"/>
    <s v=""/>
    <n v="0"/>
    <e v="#N/A"/>
    <x v="1"/>
    <e v="#N/A"/>
    <e v="#N/A"/>
    <s v=""/>
  </r>
  <r>
    <n v="100"/>
    <x v="2"/>
    <s v="Yuna"/>
    <s v="Abe"/>
    <m/>
    <s v="ゆうな"/>
    <s v="安部ゆうな"/>
    <s v="安部"/>
    <s v="🔗 Go to finance"/>
    <x v="1"/>
    <s v="private"/>
    <x v="3"/>
    <m/>
    <m/>
    <n v="6050"/>
    <m/>
    <m/>
    <d v="2023-04-06T00:00:00"/>
    <m/>
    <s v="n.10vseyhxu.76@icloud.com"/>
    <m/>
    <m/>
    <n v="9043563891"/>
    <s v="電話番号"/>
    <m/>
    <s v="815-0037_x000a_福岡市南区五時町19-11-510"/>
    <m/>
    <d v="2023-04-06T00:00:00"/>
    <m/>
    <m/>
    <s v="Gmail"/>
    <m/>
    <s v="815-0037_x000a_福岡市南区五時町19-11-510"/>
    <m/>
    <s v="中高生"/>
    <m/>
    <m/>
    <m/>
    <s v="安部ゆうな"/>
    <m/>
    <m/>
    <x v="1"/>
    <n v="4"/>
    <x v="5"/>
    <x v="3"/>
    <s v=""/>
    <s v=""/>
    <s v=""/>
    <n v="4"/>
    <s v=""/>
    <n v="802"/>
    <x v="193"/>
    <s v=""/>
    <s v=""/>
    <s v="Fixed"/>
    <n v="210000"/>
    <s v="-"/>
    <s v="----"/>
    <s v="---"/>
    <s v=""/>
    <s v=""/>
    <e v="#N/A"/>
    <x v="1"/>
    <e v="#N/A"/>
    <e v="#N/A"/>
    <s v=""/>
  </r>
  <r>
    <m/>
    <x v="1"/>
    <s v="Yuna"/>
    <s v="Kubota"/>
    <m/>
    <s v="優名"/>
    <s v="窪田優名"/>
    <s v="窪田"/>
    <s v="❌ ID introuvable"/>
    <x v="0"/>
    <m/>
    <x v="2"/>
    <m/>
    <m/>
    <m/>
    <m/>
    <m/>
    <m/>
    <m/>
    <s v="ky2002426@gmail.com"/>
    <s v="ky2002426@gmail.com"/>
    <m/>
    <n v="8017441415"/>
    <s v="電話番号"/>
    <m/>
    <s v="815-0004_x000a_福岡市南区高木2丁目２１－１２－206"/>
    <m/>
    <d v="2022-06-01T00:00:00"/>
    <m/>
    <m/>
    <s v="Gmail"/>
    <m/>
    <s v="815-0004_x000a_福岡市南区高木2丁目２１－１２－206"/>
    <m/>
    <s v="プら,大人"/>
    <m/>
    <m/>
    <m/>
    <s v="窪田優名"/>
    <m/>
    <m/>
    <x v="0"/>
    <s v=""/>
    <x v="3"/>
    <x v="8"/>
    <s v=""/>
    <s v=""/>
    <s v=""/>
    <s v=""/>
    <s v=""/>
    <s v=""/>
    <x v="194"/>
    <s v=""/>
    <s v=""/>
    <s v=""/>
    <s v=""/>
    <n v="0"/>
    <n v="0"/>
    <n v="0"/>
    <s v=""/>
    <n v="0"/>
    <e v="#N/A"/>
    <x v="1"/>
    <e v="#N/A"/>
    <e v="#N/A"/>
    <s v=""/>
  </r>
  <r>
    <n v="121"/>
    <x v="2"/>
    <s v="Yuri"/>
    <s v="Matsumoto"/>
    <m/>
    <s v="悠"/>
    <s v="松本悠"/>
    <s v="松本"/>
    <s v="🔗 Go to finance"/>
    <x v="3"/>
    <s v="group"/>
    <x v="7"/>
    <s v="Group D"/>
    <n v="4"/>
    <n v="6600"/>
    <m/>
    <m/>
    <d v="2023-01-01T00:00:00"/>
    <m/>
    <s v="yu-ri.5628@docomo.ne.jp"/>
    <s v="yuri7120m@gmail.com"/>
    <m/>
    <m/>
    <s v="電話番号"/>
    <m/>
    <s v="815-0035_x000a_福岡南向野1-5-26-601"/>
    <m/>
    <d v="2023-01-01T00:00:00"/>
    <m/>
    <m/>
    <s v="Gmail"/>
    <m/>
    <s v="815-0035_x000a_福岡南向野1-5-26-601"/>
    <m/>
    <s v="小学生"/>
    <m/>
    <m/>
    <m/>
    <s v="松本悠"/>
    <m/>
    <m/>
    <x v="2"/>
    <n v="4"/>
    <x v="1"/>
    <x v="3"/>
    <s v="Group DThomas"/>
    <n v="4"/>
    <s v=""/>
    <s v=""/>
    <s v=""/>
    <n v="897"/>
    <x v="195"/>
    <e v="#N/A"/>
    <e v="#N/A"/>
    <s v="Hourly"/>
    <n v="3000"/>
    <n v="0"/>
    <n v="0"/>
    <n v="0"/>
    <e v="#N/A"/>
    <n v="6600"/>
    <e v="#N/A"/>
    <x v="1"/>
    <e v="#N/A"/>
    <e v="#N/A"/>
    <s v=""/>
  </r>
  <r>
    <m/>
    <x v="1"/>
    <s v="Yuria"/>
    <s v="Maruyama"/>
    <m/>
    <s v="佑里杏"/>
    <s v="丸山佑里杏"/>
    <s v="丸山"/>
    <s v="❌ ID introuvable"/>
    <x v="0"/>
    <m/>
    <x v="5"/>
    <m/>
    <m/>
    <m/>
    <m/>
    <m/>
    <m/>
    <m/>
    <s v="tokitan0317@docomo.ne.jp"/>
    <m/>
    <m/>
    <s v="08027791763(お母様)"/>
    <s v="電話番号"/>
    <m/>
    <s v="〒815-0033_x000a_福岡市南区大橋4丁目18-9"/>
    <m/>
    <d v="2019-07-15T00:00:00"/>
    <m/>
    <m/>
    <s v="Gmail"/>
    <m/>
    <s v="〒815-0033_x000a_福岡市南区大橋4丁目18-9"/>
    <m/>
    <s v="高校生"/>
    <m/>
    <m/>
    <m/>
    <s v="丸山佑里杏"/>
    <m/>
    <m/>
    <x v="0"/>
    <s v=""/>
    <x v="7"/>
    <x v="5"/>
    <s v=""/>
    <s v=""/>
    <s v=""/>
    <s v=""/>
    <s v=""/>
    <s v=""/>
    <x v="196"/>
    <s v=""/>
    <s v=""/>
    <s v=""/>
    <s v=""/>
    <n v="0"/>
    <n v="0"/>
    <n v="0"/>
    <s v=""/>
    <n v="0"/>
    <e v="#N/A"/>
    <x v="1"/>
    <e v="#N/A"/>
    <e v="#N/A"/>
    <s v=""/>
  </r>
  <r>
    <m/>
    <x v="1"/>
    <s v="Yushin"/>
    <s v="Sonezaki"/>
    <m/>
    <s v="崎 悠臣"/>
    <s v="曽根崎 悠臣"/>
    <s v="曽根"/>
    <s v="❌ ID introuvable"/>
    <x v="0"/>
    <m/>
    <x v="4"/>
    <m/>
    <m/>
    <m/>
    <m/>
    <m/>
    <m/>
    <m/>
    <s v="mahomaho._.16th.march@au.com"/>
    <s v="snysnzk@gmail.com"/>
    <m/>
    <s v="090-4347-1653(お母様)"/>
    <s v="電話番号"/>
    <m/>
    <s v="福岡市南区塩原2-9-13_x000a_MJR大橋203"/>
    <m/>
    <d v="2020-01-15T00:00:00"/>
    <m/>
    <m/>
    <s v="Gmail"/>
    <m/>
    <s v="福岡市南区塩原2-9-13_x000a_MJR大橋203"/>
    <m/>
    <s v="小学生"/>
    <m/>
    <m/>
    <m/>
    <s v="曽根崎 悠臣"/>
    <m/>
    <m/>
    <x v="0"/>
    <s v=""/>
    <x v="1"/>
    <x v="4"/>
    <s v=""/>
    <s v=""/>
    <s v=""/>
    <s v=""/>
    <s v=""/>
    <s v=""/>
    <x v="197"/>
    <s v=""/>
    <s v=""/>
    <s v=""/>
    <s v=""/>
    <n v="0"/>
    <n v="0"/>
    <n v="0"/>
    <s v=""/>
    <n v="0"/>
    <e v="#N/A"/>
    <x v="1"/>
    <e v="#N/A"/>
    <e v="#N/A"/>
    <s v=""/>
  </r>
  <r>
    <n v="95"/>
    <x v="2"/>
    <s v="Yuta"/>
    <s v="tomooka"/>
    <m/>
    <s v="佑太"/>
    <s v="友岡佑太"/>
    <s v="友岡"/>
    <s v="🔗 Go to finance"/>
    <x v="3"/>
    <s v="private"/>
    <x v="6"/>
    <m/>
    <n v="4"/>
    <n v="19800"/>
    <m/>
    <m/>
    <d v="2023-04-01T00:00:00"/>
    <m/>
    <s v="tomochan.tmk978@gmail.com"/>
    <m/>
    <m/>
    <n v="8029871908"/>
    <s v="電話番号"/>
    <m/>
    <s v="福岡市南区橋_x000a_原 4-17-21-604"/>
    <m/>
    <d v="2023-04-01T00:00:00"/>
    <m/>
    <m/>
    <s v="Gmail"/>
    <m/>
    <s v="福岡市南区橋_x000a_原 4-17-21-604"/>
    <m/>
    <s v="プら,Adult"/>
    <m/>
    <m/>
    <m/>
    <s v="友岡佑太"/>
    <n v="95"/>
    <s v="友岡佑太"/>
    <x v="1"/>
    <n v="4"/>
    <x v="5"/>
    <x v="3"/>
    <s v=""/>
    <s v=""/>
    <s v=""/>
    <n v="4"/>
    <s v=""/>
    <n v="807"/>
    <x v="198"/>
    <e v="#N/A"/>
    <e v="#N/A"/>
    <s v="Hourly"/>
    <n v="3000"/>
    <n v="0"/>
    <n v="12000"/>
    <n v="12000"/>
    <e v="#N/A"/>
    <n v="7800"/>
    <e v="#N/A"/>
    <x v="1"/>
    <e v="#N/A"/>
    <e v="#N/A"/>
    <s v=""/>
  </r>
  <r>
    <m/>
    <x v="1"/>
    <s v="Yuta"/>
    <s v="Watanabe"/>
    <m/>
    <s v="ゆうた"/>
    <s v="渡邉ゆうた"/>
    <s v="渡邉"/>
    <s v="❌ ID introuvable"/>
    <x v="0"/>
    <m/>
    <x v="0"/>
    <m/>
    <m/>
    <m/>
    <m/>
    <m/>
    <m/>
    <m/>
    <s v="yottsu.1002@icloud.com"/>
    <m/>
    <m/>
    <m/>
    <s v="電話番号"/>
    <m/>
    <s v="8120893_x000a_福福岡市博多区那珂５－７－３０アドニス那珂２０１"/>
    <m/>
    <d v="2023-01-09T00:00:00"/>
    <m/>
    <m/>
    <s v="Gmail"/>
    <m/>
    <s v="8120893_x000a_福福岡市博多区那珂５－７－３０アドニス那珂２０１"/>
    <m/>
    <s v="セミプラ"/>
    <m/>
    <m/>
    <m/>
    <s v="渡邉ゆうた"/>
    <m/>
    <m/>
    <x v="0"/>
    <s v=""/>
    <x v="1"/>
    <x v="3"/>
    <s v=""/>
    <s v=""/>
    <s v=""/>
    <s v=""/>
    <s v=""/>
    <s v=""/>
    <x v="199"/>
    <s v=""/>
    <s v=""/>
    <s v=""/>
    <s v=""/>
    <n v="0"/>
    <n v="0"/>
    <n v="0"/>
    <s v=""/>
    <n v="0"/>
    <e v="#N/A"/>
    <x v="1"/>
    <e v="#N/A"/>
    <e v="#N/A"/>
    <s v=""/>
  </r>
  <r>
    <m/>
    <x v="1"/>
    <s v="Yuta"/>
    <s v="Tou"/>
    <m/>
    <s v="多"/>
    <s v="藤優多"/>
    <s v="藤優"/>
    <s v="❌ ID introuvable"/>
    <x v="0"/>
    <m/>
    <x v="10"/>
    <m/>
    <m/>
    <m/>
    <m/>
    <m/>
    <m/>
    <m/>
    <s v="akemi.0422@ezweb.ne.jp"/>
    <m/>
    <m/>
    <s v="090-7466-0782(母)"/>
    <s v="電話番号"/>
    <m/>
    <s v="春日市昇町3-36-A101"/>
    <m/>
    <m/>
    <m/>
    <m/>
    <s v="Gmail"/>
    <m/>
    <s v="春日市昇町3-36-A101"/>
    <m/>
    <s v="中高生"/>
    <m/>
    <m/>
    <m/>
    <s v="藤優多"/>
    <m/>
    <m/>
    <x v="0"/>
    <s v=""/>
    <x v="0"/>
    <x v="0"/>
    <s v=""/>
    <s v=""/>
    <s v=""/>
    <s v=""/>
    <s v=""/>
    <s v=""/>
    <x v="200"/>
    <s v=""/>
    <s v=""/>
    <s v=""/>
    <s v=""/>
    <n v="0"/>
    <n v="0"/>
    <n v="0"/>
    <s v=""/>
    <n v="0"/>
    <s v=""/>
    <x v="0"/>
    <s v=""/>
    <s v=""/>
    <s v=""/>
  </r>
  <r>
    <m/>
    <x v="1"/>
    <s v="Yuto"/>
    <s v="Kinoshita"/>
    <m/>
    <s v="勇人"/>
    <s v="北村勇人"/>
    <s v="北村"/>
    <s v="❌ ID introuvable"/>
    <x v="0"/>
    <m/>
    <x v="0"/>
    <m/>
    <m/>
    <m/>
    <m/>
    <m/>
    <m/>
    <m/>
    <s v="yuto0620-k2000@ezweb.ne.jp"/>
    <m/>
    <m/>
    <m/>
    <s v="電話番号"/>
    <m/>
    <m/>
    <m/>
    <m/>
    <m/>
    <m/>
    <s v="Gmail"/>
    <m/>
    <m/>
    <m/>
    <m/>
    <m/>
    <m/>
    <m/>
    <s v="北村勇人"/>
    <m/>
    <m/>
    <x v="0"/>
    <s v=""/>
    <x v="0"/>
    <x v="0"/>
    <s v=""/>
    <s v=""/>
    <s v=""/>
    <s v=""/>
    <s v=""/>
    <s v=""/>
    <x v="201"/>
    <s v=""/>
    <s v=""/>
    <s v=""/>
    <s v=""/>
    <n v="0"/>
    <n v="0"/>
    <n v="0"/>
    <s v=""/>
    <n v="0"/>
    <s v=""/>
    <x v="0"/>
    <s v=""/>
    <s v=""/>
    <s v=""/>
  </r>
  <r>
    <m/>
    <x v="1"/>
    <s v="Yuzu"/>
    <s v="Watanabe"/>
    <m/>
    <s v="ゆず"/>
    <s v="渡邉ゆず"/>
    <s v="渡邉"/>
    <s v="❌ ID introuvable"/>
    <x v="0"/>
    <m/>
    <x v="1"/>
    <m/>
    <m/>
    <m/>
    <m/>
    <m/>
    <m/>
    <m/>
    <s v="madopi-mya-@i.softbank.jp"/>
    <m/>
    <m/>
    <s v="090-2859-0381"/>
    <s v="電話番号"/>
    <m/>
    <s v="15-0031_x000a_福岡市南区大橋1-8-21"/>
    <m/>
    <d v="2021-04-08T00:00:00"/>
    <m/>
    <m/>
    <s v="Gmail"/>
    <m/>
    <s v="15-0031_x000a_福岡市南区大橋1-8-21"/>
    <m/>
    <s v="小学生"/>
    <m/>
    <m/>
    <m/>
    <s v="渡邉ゆず"/>
    <m/>
    <m/>
    <x v="0"/>
    <s v=""/>
    <x v="5"/>
    <x v="6"/>
    <s v=""/>
    <s v=""/>
    <s v=""/>
    <s v=""/>
    <s v=""/>
    <s v=""/>
    <x v="202"/>
    <s v=""/>
    <s v=""/>
    <s v=""/>
    <s v=""/>
    <n v="0"/>
    <n v="0"/>
    <n v="0"/>
    <s v=""/>
    <n v="0"/>
    <e v="#N/A"/>
    <x v="1"/>
    <e v="#N/A"/>
    <e v="#N/A"/>
    <s v=""/>
  </r>
  <r>
    <m/>
    <x v="1"/>
    <s v="Yuzuki"/>
    <s v="Segawa"/>
    <m/>
    <s v="悠月"/>
    <s v="瀬川悠月"/>
    <s v="瀬川"/>
    <s v="❌ ID introuvable"/>
    <x v="0"/>
    <m/>
    <x v="0"/>
    <m/>
    <m/>
    <m/>
    <m/>
    <m/>
    <m/>
    <m/>
    <s v="mond.yoko.s@gmail.com"/>
    <s v="mond.yoko.s@gmail.com"/>
    <m/>
    <s v="080-1531-6009"/>
    <s v="電話番号"/>
    <m/>
    <m/>
    <m/>
    <m/>
    <m/>
    <m/>
    <s v="Gmail"/>
    <m/>
    <m/>
    <m/>
    <s v="小学生"/>
    <m/>
    <m/>
    <m/>
    <s v="瀬川悠月"/>
    <m/>
    <m/>
    <x v="0"/>
    <s v=""/>
    <x v="0"/>
    <x v="0"/>
    <s v=""/>
    <s v=""/>
    <s v=""/>
    <s v=""/>
    <s v=""/>
    <s v=""/>
    <x v="203"/>
    <s v=""/>
    <s v=""/>
    <s v=""/>
    <s v=""/>
    <n v="0"/>
    <n v="0"/>
    <n v="0"/>
    <s v=""/>
    <n v="0"/>
    <s v=""/>
    <x v="0"/>
    <s v=""/>
    <s v=""/>
    <s v=""/>
  </r>
  <r>
    <m/>
    <x v="1"/>
    <s v="Yuzuna"/>
    <s v="Baba"/>
    <m/>
    <s v="ユズナ"/>
    <s v="馬場ユズナ"/>
    <s v="馬場"/>
    <s v="❌ ID introuvable"/>
    <x v="0"/>
    <m/>
    <x v="0"/>
    <m/>
    <m/>
    <m/>
    <m/>
    <m/>
    <m/>
    <m/>
    <s v="yuzuna.72.yuzuna@icloud.com"/>
    <m/>
    <m/>
    <n v="8085705979"/>
    <s v="電話番号"/>
    <m/>
    <s v="81608611_x000a_春日市岡本4-47-1"/>
    <m/>
    <d v="2024-06-22T00:00:00"/>
    <m/>
    <m/>
    <s v="Gmail"/>
    <m/>
    <s v="81608611_x000a_春日市岡本4-47-1"/>
    <m/>
    <s v="プら"/>
    <m/>
    <m/>
    <m/>
    <s v="馬場ユズナ"/>
    <m/>
    <m/>
    <x v="0"/>
    <s v=""/>
    <x v="3"/>
    <x v="2"/>
    <s v=""/>
    <s v=""/>
    <s v=""/>
    <s v=""/>
    <s v=""/>
    <s v=""/>
    <x v="15"/>
    <s v=""/>
    <s v=""/>
    <s v=""/>
    <s v=""/>
    <n v="0"/>
    <n v="0"/>
    <n v="0"/>
    <s v=""/>
    <n v="0"/>
    <e v="#N/A"/>
    <x v="1"/>
    <e v="#N/A"/>
    <e v="#N/A"/>
    <s v=""/>
  </r>
  <r>
    <m/>
    <x v="1"/>
    <s v="マタケいちか"/>
    <m/>
    <m/>
    <m/>
    <m/>
    <m/>
    <s v="❌ ID introuvable"/>
    <x v="0"/>
    <m/>
    <x v="0"/>
    <m/>
    <m/>
    <m/>
    <m/>
    <m/>
    <m/>
    <m/>
    <m/>
    <m/>
    <m/>
    <m/>
    <s v="電話番号"/>
    <m/>
    <m/>
    <m/>
    <m/>
    <m/>
    <m/>
    <s v="Gmail"/>
    <m/>
    <m/>
    <m/>
    <m/>
    <m/>
    <m/>
    <m/>
    <m/>
    <m/>
    <m/>
    <x v="0"/>
    <s v=""/>
    <x v="0"/>
    <x v="0"/>
    <s v=""/>
    <s v=""/>
    <s v=""/>
    <s v=""/>
    <s v=""/>
    <s v=""/>
    <x v="204"/>
    <s v=""/>
    <s v=""/>
    <s v=""/>
    <s v=""/>
    <n v="0"/>
    <n v="0"/>
    <n v="0"/>
    <s v=""/>
    <n v="0"/>
    <s v=""/>
    <x v="0"/>
    <s v=""/>
    <s v=""/>
    <s v=""/>
  </r>
  <r>
    <m/>
    <x v="1"/>
    <s v="Yasuko"/>
    <s v="Kamo"/>
    <m/>
    <s v="恵子"/>
    <s v="加茂恵子"/>
    <s v="加茂"/>
    <s v="❌ ID introuvable"/>
    <x v="0"/>
    <m/>
    <x v="2"/>
    <m/>
    <m/>
    <m/>
    <m/>
    <m/>
    <m/>
    <m/>
    <s v="mitsukeimouse8686@i.softbank.ne.jp"/>
    <m/>
    <m/>
    <s v="090-9498-5787"/>
    <s v="電話番号"/>
    <m/>
    <s v="福岡市南区大橋3-5-40-402"/>
    <m/>
    <m/>
    <m/>
    <m/>
    <s v="Gmail"/>
    <m/>
    <s v="福岡市南区大橋3-5-40-402"/>
    <m/>
    <s v="セミプラ2回プら1回,大人"/>
    <m/>
    <m/>
    <m/>
    <s v="加茂恵子"/>
    <m/>
    <m/>
    <x v="0"/>
    <s v=""/>
    <x v="0"/>
    <x v="0"/>
    <s v=""/>
    <s v=""/>
    <s v=""/>
    <s v=""/>
    <s v=""/>
    <s v=""/>
    <x v="205"/>
    <s v=""/>
    <s v=""/>
    <s v=""/>
    <s v=""/>
    <n v="0"/>
    <n v="0"/>
    <n v="0"/>
    <s v=""/>
    <n v="0"/>
    <s v=""/>
    <x v="0"/>
    <s v=""/>
    <s v=""/>
    <s v=""/>
  </r>
  <r>
    <m/>
    <x v="1"/>
    <s v="Haruka"/>
    <s v="Tamura"/>
    <m/>
    <s v="春佳"/>
    <s v="田村春佳"/>
    <s v="田村"/>
    <s v="❌ ID introuvable"/>
    <x v="0"/>
    <m/>
    <x v="0"/>
    <m/>
    <m/>
    <m/>
    <m/>
    <m/>
    <m/>
    <m/>
    <s v="al2ne1yui@icloud.com_x000a_d.com"/>
    <m/>
    <m/>
    <n v="8033080335"/>
    <s v="電話番号"/>
    <m/>
    <s v="811-1302_x000a_福岡市南区井尻2丁目12-23"/>
    <m/>
    <m/>
    <m/>
    <m/>
    <s v="Gmail"/>
    <m/>
    <s v="811-1302_x000a_福岡市南区井尻2丁目12-23"/>
    <m/>
    <s v="プラ2回グループ2回"/>
    <m/>
    <m/>
    <m/>
    <s v="田村春佳"/>
    <m/>
    <m/>
    <x v="0"/>
    <s v=""/>
    <x v="0"/>
    <x v="0"/>
    <s v=""/>
    <s v=""/>
    <s v=""/>
    <s v=""/>
    <s v=""/>
    <s v=""/>
    <x v="206"/>
    <s v=""/>
    <s v=""/>
    <s v=""/>
    <s v=""/>
    <n v="0"/>
    <n v="0"/>
    <n v="0"/>
    <s v=""/>
    <n v="0"/>
    <s v=""/>
    <x v="0"/>
    <s v=""/>
    <s v=""/>
    <s v=""/>
  </r>
  <r>
    <m/>
    <x v="2"/>
    <s v="Kanon"/>
    <s v="Takeda"/>
    <m/>
    <s v="花音"/>
    <s v="武田花音"/>
    <s v="武田"/>
    <s v="❌ ID introuvable"/>
    <x v="3"/>
    <s v="group"/>
    <x v="9"/>
    <s v="Group A"/>
    <n v="4"/>
    <n v="9500"/>
    <m/>
    <m/>
    <d v="2025-02-06T00:00:00"/>
    <m/>
    <s v="kurufumichibi@gmail.com"/>
    <s v="kurufumichibi@gmail.com"/>
    <m/>
    <s v="090-4014-6469"/>
    <s v="電話番号"/>
    <m/>
    <m/>
    <m/>
    <d v="2025-01-01T00:00:00"/>
    <m/>
    <m/>
    <s v="Gmail"/>
    <m/>
    <m/>
    <m/>
    <m/>
    <m/>
    <m/>
    <m/>
    <s v="武田花音"/>
    <m/>
    <m/>
    <x v="2"/>
    <n v="4"/>
    <x v="1"/>
    <x v="1"/>
    <s v="Group AThomas"/>
    <n v="4"/>
    <s v=""/>
    <s v=""/>
    <s v=""/>
    <n v="166"/>
    <x v="207"/>
    <e v="#N/A"/>
    <e v="#N/A"/>
    <s v="Hourly"/>
    <n v="3000"/>
    <n v="0"/>
    <n v="0"/>
    <n v="0"/>
    <e v="#N/A"/>
    <n v="9500"/>
    <e v="#N/A"/>
    <x v="1"/>
    <e v="#N/A"/>
    <e v="#N/A"/>
    <s v=""/>
  </r>
  <r>
    <n v="151"/>
    <x v="2"/>
    <s v="Yasuko"/>
    <s v="Matono"/>
    <m/>
    <m/>
    <m/>
    <s v="的野"/>
    <s v="🔗 Go to finance"/>
    <x v="1"/>
    <s v="private"/>
    <x v="6"/>
    <m/>
    <m/>
    <n v="19800"/>
    <m/>
    <m/>
    <d v="2024-04-01T00:00:00"/>
    <m/>
    <m/>
    <m/>
    <m/>
    <m/>
    <s v="電話番号"/>
    <m/>
    <m/>
    <m/>
    <d v="2024-04-01T00:00:00"/>
    <m/>
    <m/>
    <s v="Gmail"/>
    <m/>
    <m/>
    <m/>
    <m/>
    <m/>
    <m/>
    <m/>
    <m/>
    <m/>
    <m/>
    <x v="1"/>
    <n v="4"/>
    <x v="5"/>
    <x v="2"/>
    <s v=""/>
    <s v=""/>
    <s v=""/>
    <n v="4"/>
    <s v=""/>
    <n v="441"/>
    <x v="208"/>
    <s v=""/>
    <s v=""/>
    <s v="Fixed"/>
    <n v="210000"/>
    <s v="-"/>
    <s v="----"/>
    <s v="---"/>
    <s v=""/>
    <s v=""/>
    <e v="#N/A"/>
    <x v="1"/>
    <e v="#N/A"/>
    <e v="#N/A"/>
    <s v=""/>
  </r>
  <r>
    <n v="9999"/>
    <x v="0"/>
    <m/>
    <m/>
    <m/>
    <m/>
    <s v="マラバルピエール"/>
    <s v="マラバル"/>
    <s v="🔗 Go to finance"/>
    <x v="0"/>
    <m/>
    <x v="0"/>
    <m/>
    <m/>
    <n v="6600"/>
    <m/>
    <m/>
    <m/>
    <m/>
    <s v="iampeterlazer@gmail.com"/>
    <m/>
    <m/>
    <m/>
    <s v="電話番号"/>
    <m/>
    <m/>
    <m/>
    <m/>
    <m/>
    <m/>
    <s v="Gmail"/>
    <m/>
    <m/>
    <m/>
    <m/>
    <m/>
    <m/>
    <m/>
    <m/>
    <m/>
    <m/>
    <x v="0"/>
    <s v=""/>
    <x v="0"/>
    <x v="0"/>
    <s v=""/>
    <s v=""/>
    <s v=""/>
    <s v=""/>
    <s v=""/>
    <s v=""/>
    <x v="0"/>
    <s v=""/>
    <s v=""/>
    <s v=""/>
    <s v=""/>
    <n v="0"/>
    <n v="0"/>
    <n v="0"/>
    <s v=""/>
    <n v="6600"/>
    <s v=""/>
    <x v="0"/>
    <s v=""/>
    <s v=""/>
    <s v=""/>
  </r>
  <r>
    <n v="162"/>
    <x v="2"/>
    <s v="Akinari"/>
    <s v="Yamashita"/>
    <m/>
    <s v="あきなり"/>
    <s v="山下あきなり"/>
    <s v="山下"/>
    <s v="🔗 Go to finance"/>
    <x v="1"/>
    <s v="private"/>
    <x v="3"/>
    <m/>
    <m/>
    <n v="6600"/>
    <m/>
    <m/>
    <d v="2025-05-03T00:00:00"/>
    <m/>
    <s v="yama-izumi@ymail.ne.jp"/>
    <m/>
    <m/>
    <s v="080-1915-5305"/>
    <s v="電話番号"/>
    <s v="080-1915-5305"/>
    <s v="〒815-0033_x000a_福岡市南区大橋3丁目3-21-1101"/>
    <m/>
    <d v="2025-05-03T00:00:00"/>
    <m/>
    <m/>
    <s v="Gmail"/>
    <m/>
    <s v="〒815-0033_x000a_福岡市南区大橋3丁目3-21-1101"/>
    <m/>
    <s v="グループ"/>
    <m/>
    <m/>
    <m/>
    <m/>
    <m/>
    <m/>
    <x v="1"/>
    <n v="4"/>
    <x v="4"/>
    <x v="1"/>
    <s v=""/>
    <s v=""/>
    <s v=""/>
    <n v="4"/>
    <s v=""/>
    <n v="44"/>
    <x v="209"/>
    <s v=""/>
    <s v=""/>
    <s v="Fixed"/>
    <n v="210000"/>
    <s v="-"/>
    <s v="----"/>
    <s v="---"/>
    <s v=""/>
    <s v=""/>
    <e v="#N/A"/>
    <x v="1"/>
    <e v="#N/A"/>
    <e v="#N/A"/>
    <s v=""/>
  </r>
  <r>
    <n v="163"/>
    <x v="2"/>
    <s v="Shimugi"/>
    <s v="Kawahara"/>
    <m/>
    <s v="紬 "/>
    <s v="河原紬 "/>
    <s v="河原"/>
    <s v="🔗 Go to finance"/>
    <x v="1"/>
    <s v="private"/>
    <x v="3"/>
    <m/>
    <m/>
    <n v="6600"/>
    <n v="13200"/>
    <s v="May was unpaid"/>
    <d v="2025-04-07T00:00:00"/>
    <m/>
    <s v="prunus_mume2@yahoo.co.jp"/>
    <m/>
    <m/>
    <m/>
    <s v="電話番号"/>
    <s v="080-1282-0596"/>
    <s v="〒811-1344_x000a_福岡市南区三宅1丁目15-1-2"/>
    <m/>
    <d v="2025-04-07T00:00:00"/>
    <m/>
    <m/>
    <s v="Gmail"/>
    <m/>
    <s v="〒811-1344_x000a_福岡市南区三宅1丁目15-1-2"/>
    <m/>
    <s v="グループ"/>
    <m/>
    <m/>
    <m/>
    <m/>
    <m/>
    <m/>
    <x v="1"/>
    <n v="4"/>
    <x v="5"/>
    <x v="1"/>
    <s v=""/>
    <s v=""/>
    <s v=""/>
    <n v="4"/>
    <s v=""/>
    <n v="70"/>
    <x v="210"/>
    <s v=""/>
    <s v=""/>
    <s v="Fixed"/>
    <n v="210000"/>
    <s v="-"/>
    <s v="----"/>
    <s v="---"/>
    <s v=""/>
    <s v=""/>
    <e v="#N/A"/>
    <x v="1"/>
    <e v="#N/A"/>
    <e v="#N/A"/>
    <s v=""/>
  </r>
  <r>
    <n v="164"/>
    <x v="2"/>
    <s v="Homare"/>
    <s v="Araki"/>
    <m/>
    <s v="穂希"/>
    <s v="荒木 理恵子"/>
    <s v="荒木"/>
    <s v="🔗 Go to finance"/>
    <x v="3"/>
    <s v="private"/>
    <x v="9"/>
    <m/>
    <n v="4"/>
    <n v="19800"/>
    <m/>
    <m/>
    <d v="2025-04-03T00:00:00"/>
    <m/>
    <s v="riekorange1123@icloud.com"/>
    <m/>
    <m/>
    <s v="090-5925-3382"/>
    <s v="電話番号"/>
    <m/>
    <s v="〒816-0831 福岡県 春日市 大谷"/>
    <m/>
    <d v="2025-05-09T00:00:00"/>
    <m/>
    <m/>
    <s v="Gmail"/>
    <m/>
    <s v="〒816-0831 福岡県 春日市 大谷"/>
    <m/>
    <s v="プら"/>
    <m/>
    <m/>
    <m/>
    <m/>
    <m/>
    <m/>
    <x v="1"/>
    <n v="4"/>
    <x v="4"/>
    <x v="1"/>
    <s v=""/>
    <s v=""/>
    <s v=""/>
    <n v="4"/>
    <s v=""/>
    <n v="38"/>
    <x v="211"/>
    <e v="#N/A"/>
    <e v="#N/A"/>
    <s v="Hourly"/>
    <n v="3000"/>
    <n v="0"/>
    <n v="12000"/>
    <n v="12000"/>
    <e v="#N/A"/>
    <n v="7800"/>
    <e v="#N/A"/>
    <x v="1"/>
    <e v="#N/A"/>
    <e v="#N/A"/>
    <s v=""/>
  </r>
  <r>
    <n v="165"/>
    <x v="2"/>
    <s v="Akinari"/>
    <s v="Shimoda"/>
    <m/>
    <s v="あきなり"/>
    <s v="下田雅子"/>
    <s v="下田"/>
    <s v="🔗 Go to finance"/>
    <x v="1"/>
    <s v="group"/>
    <x v="3"/>
    <m/>
    <m/>
    <n v="6600"/>
    <m/>
    <m/>
    <d v="2025-04-03T00:00:00"/>
    <m/>
    <s v="mako543366@gmail.com"/>
    <s v="mako543366@gmail.com"/>
    <m/>
    <s v="080-1915-5305"/>
    <s v="電話番号"/>
    <s v="080-1915-5305"/>
    <s v="〒815-0833福岡県福岡大橋3-31-22-1101"/>
    <m/>
    <d v="2025-04-03T00:00:00"/>
    <m/>
    <m/>
    <s v="Gmail"/>
    <m/>
    <s v="〒815-0833福岡県福岡大橋3-31-22-1101"/>
    <m/>
    <s v="グループ"/>
    <m/>
    <m/>
    <m/>
    <m/>
    <m/>
    <m/>
    <x v="2"/>
    <n v="4"/>
    <x v="5"/>
    <x v="1"/>
    <s v=""/>
    <s v=""/>
    <s v=""/>
    <s v=""/>
    <s v=""/>
    <n v="74"/>
    <x v="212"/>
    <s v=""/>
    <s v=""/>
    <s v="Fixed"/>
    <n v="210000"/>
    <s v="-"/>
    <s v="----"/>
    <s v="---"/>
    <s v=""/>
    <s v=""/>
    <e v="#N/A"/>
    <x v="1"/>
    <e v="#N/A"/>
    <e v="#N/A"/>
    <s v=""/>
  </r>
  <r>
    <n v="166"/>
    <x v="2"/>
    <s v="Fumina"/>
    <s v="Atobe"/>
    <m/>
    <s v="ふみな "/>
    <s v="跡部ふみな"/>
    <s v="跡部 "/>
    <s v="🔗 Go to finance"/>
    <x v="3"/>
    <s v="group"/>
    <x v="7"/>
    <s v="Group D"/>
    <n v="4"/>
    <n v="7000"/>
    <m/>
    <m/>
    <d v="2025-03-07T00:00:00"/>
    <m/>
    <s v="machabebe@yahoo.co.jp"/>
    <m/>
    <m/>
    <s v="090-7756-7948"/>
    <s v="電話番号"/>
    <m/>
    <s v="815-0035_x000a_福岡市向野1丁目11-17-702"/>
    <m/>
    <d v="2025-03-07T00:00:00"/>
    <m/>
    <m/>
    <s v="Gmail"/>
    <m/>
    <s v="815-0035_x000a_福岡市向野1丁目11-17-702"/>
    <m/>
    <s v="グループ"/>
    <m/>
    <m/>
    <m/>
    <s v="ふみな跡部"/>
    <m/>
    <m/>
    <x v="2"/>
    <n v="4"/>
    <x v="9"/>
    <x v="1"/>
    <s v="Group DThomas"/>
    <n v="4"/>
    <s v=""/>
    <s v=""/>
    <s v=""/>
    <n v="101"/>
    <x v="213"/>
    <e v="#N/A"/>
    <e v="#N/A"/>
    <s v="Hourly"/>
    <n v="3000"/>
    <n v="0"/>
    <n v="0"/>
    <n v="0"/>
    <e v="#N/A"/>
    <n v="7000"/>
    <e v="#N/A"/>
    <x v="1"/>
    <e v="#N/A"/>
    <e v="#N/A"/>
    <s v=""/>
  </r>
  <r>
    <n v="167"/>
    <x v="2"/>
    <s v="Rin"/>
    <s v="Korematsu"/>
    <m/>
    <s v="凛"/>
    <s v="是松凛"/>
    <s v="是松"/>
    <s v="🔗 Go to finance"/>
    <x v="1"/>
    <s v="group"/>
    <x v="7"/>
    <m/>
    <m/>
    <n v="7000"/>
    <m/>
    <m/>
    <d v="2025-04-21T00:00:00"/>
    <m/>
    <s v="sawa.looksupto.u@icloud.com"/>
    <m/>
    <m/>
    <m/>
    <s v="電話番号"/>
    <s v="090-7399-0026"/>
    <s v="815-0035_x000a_福岡市大橋1-22-16-304"/>
    <m/>
    <d v="2025-04-21T00:00:00"/>
    <m/>
    <m/>
    <s v="Gmail"/>
    <m/>
    <s v="815-0035_x000a_福岡市大橋1-22-16-304"/>
    <m/>
    <s v="グループ"/>
    <m/>
    <m/>
    <m/>
    <m/>
    <m/>
    <m/>
    <x v="2"/>
    <n v="4"/>
    <x v="5"/>
    <x v="1"/>
    <s v=""/>
    <s v=""/>
    <s v=""/>
    <s v=""/>
    <s v=""/>
    <n v="56"/>
    <x v="214"/>
    <s v=""/>
    <s v=""/>
    <s v="Fixed"/>
    <n v="210000"/>
    <s v="-"/>
    <s v="----"/>
    <s v="---"/>
    <s v=""/>
    <s v=""/>
    <e v="#N/A"/>
    <x v="1"/>
    <e v="#N/A"/>
    <e v="#N/A"/>
    <s v=""/>
  </r>
  <r>
    <n v="168"/>
    <x v="2"/>
    <s v="Ayaha"/>
    <s v="Morishita"/>
    <m/>
    <s v="あやは"/>
    <s v="森下あやは"/>
    <s v="森下"/>
    <s v="🔗 Go to finance"/>
    <x v="1"/>
    <s v="group"/>
    <x v="7"/>
    <m/>
    <n v="4"/>
    <n v="7000"/>
    <m/>
    <m/>
    <d v="2025-04-26T00:00:00"/>
    <m/>
    <s v="aiko.mrta014@gmail.com"/>
    <s v="aiko.mrta014@gmail.com"/>
    <m/>
    <s v="090-6880-5672"/>
    <s v="電話番号"/>
    <m/>
    <s v="〒811-1344_x000a_福岡市南区三宅2丁目31-14"/>
    <m/>
    <d v="2025-04-26T00:00:00"/>
    <m/>
    <m/>
    <s v="Gmail"/>
    <m/>
    <s v="〒811-1344_x000a_福岡市南区三宅2丁目31-14"/>
    <m/>
    <s v="グループ"/>
    <m/>
    <m/>
    <m/>
    <m/>
    <m/>
    <m/>
    <x v="2"/>
    <n v="4"/>
    <x v="5"/>
    <x v="1"/>
    <s v=""/>
    <s v=""/>
    <s v=""/>
    <s v=""/>
    <s v=""/>
    <n v="51"/>
    <x v="215"/>
    <s v=""/>
    <s v=""/>
    <s v="Fixed"/>
    <n v="210000"/>
    <s v="-"/>
    <s v="----"/>
    <s v="---"/>
    <s v=""/>
    <s v=""/>
    <e v="#N/A"/>
    <x v="1"/>
    <e v="#N/A"/>
    <e v="#N/A"/>
    <s v=""/>
  </r>
  <r>
    <n v="169"/>
    <x v="2"/>
    <s v="Haru"/>
    <s v="Yanouchi"/>
    <m/>
    <s v="はる"/>
    <s v="野内 はる"/>
    <s v="野内 "/>
    <s v="🔗 Go to finance"/>
    <x v="1"/>
    <s v="group"/>
    <x v="7"/>
    <m/>
    <n v="4"/>
    <n v="7000"/>
    <m/>
    <m/>
    <d v="2025-04-26T00:00:00"/>
    <m/>
    <m/>
    <s v="shu.kanouchi@gmail.com"/>
    <m/>
    <s v="090-7460-6571"/>
    <s v="電話番号"/>
    <m/>
    <s v="〒815-0004_x000a_福岡市南区大橋2丁目14-7-202"/>
    <m/>
    <d v="2025-04-26T00:00:00"/>
    <m/>
    <m/>
    <s v="Gmail"/>
    <m/>
    <s v="〒815-0004_x000a_福岡市南区大橋2丁目14-7-202"/>
    <m/>
    <s v="グループ"/>
    <m/>
    <m/>
    <m/>
    <m/>
    <m/>
    <m/>
    <x v="2"/>
    <n v="4"/>
    <x v="5"/>
    <x v="1"/>
    <s v=""/>
    <s v=""/>
    <s v=""/>
    <s v=""/>
    <s v=""/>
    <n v="51"/>
    <x v="216"/>
    <s v=""/>
    <s v=""/>
    <s v="Fixed"/>
    <n v="210000"/>
    <s v="-"/>
    <s v="----"/>
    <s v="---"/>
    <s v=""/>
    <s v=""/>
    <e v="#N/A"/>
    <x v="1"/>
    <e v="#N/A"/>
    <e v="#N/A"/>
    <s v=""/>
  </r>
  <r>
    <n v="170"/>
    <x v="2"/>
    <s v="Kaede"/>
    <s v="Watanabe"/>
    <m/>
    <s v="楓"/>
    <s v="渡辺 楓"/>
    <s v="渡辺"/>
    <s v="🔗 Go to finance"/>
    <x v="1"/>
    <s v="group"/>
    <x v="7"/>
    <m/>
    <n v="4"/>
    <n v="7000"/>
    <m/>
    <m/>
    <d v="2025-05-01T00:00:00"/>
    <m/>
    <s v="cakwtnb31@gmail.com"/>
    <s v="cakwtnb31@gmail.com"/>
    <m/>
    <m/>
    <m/>
    <m/>
    <m/>
    <m/>
    <m/>
    <m/>
    <m/>
    <m/>
    <m/>
    <m/>
    <m/>
    <m/>
    <m/>
    <m/>
    <m/>
    <m/>
    <m/>
    <m/>
    <x v="2"/>
    <n v="4"/>
    <x v="0"/>
    <x v="0"/>
    <s v=""/>
    <s v=""/>
    <s v=""/>
    <s v=""/>
    <s v=""/>
    <n v="45824"/>
    <x v="217"/>
    <s v=""/>
    <s v=""/>
    <s v="Fixed"/>
    <n v="210000"/>
    <s v="-"/>
    <s v="----"/>
    <s v="---"/>
    <s v=""/>
    <s v=""/>
    <s v=""/>
    <x v="0"/>
    <s v=""/>
    <s v=""/>
    <s v=""/>
  </r>
  <r>
    <n v="171"/>
    <x v="2"/>
    <s v="Yuna"/>
    <s v="Inoue"/>
    <m/>
    <s v="結菜"/>
    <s v="井上 結菜"/>
    <s v="井上"/>
    <s v="🔗 Go to finance"/>
    <x v="1"/>
    <s v="group"/>
    <x v="7"/>
    <m/>
    <n v="4"/>
    <n v="7000"/>
    <m/>
    <m/>
    <d v="2025-05-01T00:00:00"/>
    <m/>
    <s v="halka0130@yahoo.co.jp"/>
    <m/>
    <m/>
    <m/>
    <m/>
    <m/>
    <m/>
    <m/>
    <m/>
    <m/>
    <m/>
    <m/>
    <m/>
    <m/>
    <m/>
    <m/>
    <m/>
    <m/>
    <m/>
    <m/>
    <m/>
    <m/>
    <x v="2"/>
    <n v="4"/>
    <x v="0"/>
    <x v="0"/>
    <s v=""/>
    <s v=""/>
    <s v=""/>
    <s v=""/>
    <s v=""/>
    <n v="45824"/>
    <x v="218"/>
    <s v=""/>
    <s v=""/>
    <s v="Fixed"/>
    <n v="210000"/>
    <s v="-"/>
    <s v="----"/>
    <s v="---"/>
    <s v=""/>
    <s v=""/>
    <s v=""/>
    <x v="0"/>
    <s v=""/>
    <s v=""/>
    <s v=""/>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3000000}" name="Total Sign-ups."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rowHeaderCaption="Month">
  <location ref="BE4:BF5" firstHeaderRow="1" firstDataRow="1" firstDataCol="1"/>
  <pivotFields count="67">
    <pivotField showAll="0"/>
    <pivotField dataField="1"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axis="axisRow" showAll="0">
      <items count="14">
        <item h="1" x="1"/>
        <item h="1" x="2"/>
        <item h="1" x="9"/>
        <item h="1" x="5"/>
        <item x="4"/>
        <item h="1" x="3"/>
        <item h="1" x="7"/>
        <item h="1" x="11"/>
        <item h="1" x="6"/>
        <item h="1" x="0"/>
        <item h="1" m="1" x="12"/>
        <item h="1" x="8"/>
        <item h="1" x="1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43"/>
  </rowFields>
  <rowItems count="1">
    <i>
      <x v="4"/>
    </i>
  </rowItems>
  <colItems count="1">
    <i/>
  </colItems>
  <dataFields count="1">
    <dataField name="Sign-ups" fld="1"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500-000004000000}" name="Sales &amp; profit by Lesson Type"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chartFormat="4" rowHeaderCaption="Lesson Type">
  <location ref="AP4:AR7" firstHeaderRow="0" firstDataRow="1" firstDataCol="1"/>
  <pivotFields count="67">
    <pivotField showAll="0"/>
    <pivotField showAll="0">
      <items count="4">
        <item h="1" x="1"/>
        <item x="2"/>
        <item h="1" x="0"/>
        <item t="default"/>
      </items>
    </pivotField>
    <pivotField showAll="0"/>
    <pivotField showAll="0"/>
    <pivotField showAll="0"/>
    <pivotField showAll="0"/>
    <pivotField showAll="0"/>
    <pivotField showAll="0"/>
    <pivotField showAll="0"/>
    <pivotField axis="axisRow"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4">
        <item sd="0" x="0"/>
        <item sd="0" x="2"/>
        <item sd="0" x="1"/>
        <item t="default"/>
      </items>
    </pivotField>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dragToRow="0" dragToCol="0" dragToPage="0" showAll="0" defaultSubtotal="0"/>
  </pivotFields>
  <rowFields count="2">
    <field x="41"/>
    <field x="9"/>
  </rowFields>
  <rowItems count="3">
    <i>
      <x/>
    </i>
    <i>
      <x v="1"/>
    </i>
    <i>
      <x v="2"/>
    </i>
  </rowItems>
  <colFields count="1">
    <field x="-2"/>
  </colFields>
  <colItems count="2">
    <i>
      <x/>
    </i>
    <i i="1">
      <x v="1"/>
    </i>
  </colItems>
  <dataFields count="2">
    <dataField name="Sum of For Amount" fld="61" baseField="39" baseItem="0"/>
    <dataField name="Sum of Salary without Alex" fld="52" baseField="39" baseItem="1"/>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500-000001000000}" name="Quiting Students per Selected month" cacheId="0" applyNumberFormats="0" applyBorderFormats="0" applyFontFormats="0" applyPatternFormats="0" applyAlignmentFormats="0" applyWidthHeightFormats="1" dataCaption="Values" updatedVersion="8" minRefreshableVersion="3" useAutoFormatting="1" rowGrandTotals="0" colGrandTotals="0" itemPrintTitles="1" createdVersion="7" indent="0" outline="1" outlineData="1" multipleFieldFilters="0" rowHeaderCaption="Month">
  <location ref="N4:Q6" firstHeaderRow="1" firstDataRow="2" firstDataCol="1"/>
  <pivotFields count="67">
    <pivotField showAll="0"/>
    <pivotField multipleItemSelectionAllowed="1"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axis="axisCol"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Items count="1">
    <i/>
  </rowItems>
  <colFields count="1">
    <field x="41"/>
  </colFields>
  <colItems count="3">
    <i>
      <x/>
    </i>
    <i>
      <x v="1"/>
    </i>
    <i>
      <x v="2"/>
    </i>
  </colItems>
  <dataFields count="1">
    <dataField name="Count of Stop" fld="36"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500-000007000000}" name="Number of Active Students" cacheId="0" applyNumberFormats="0" applyBorderFormats="0" applyFontFormats="0" applyPatternFormats="0" applyAlignmentFormats="0" applyWidthHeightFormats="1" dataCaption="Values" updatedVersion="8" minRefreshableVersion="3" useAutoFormatting="1" rowGrandTotals="0" colGrandTotals="0" itemPrintTitles="1" createdVersion="7" indent="0" outline="1" outlineData="1" multipleFieldFilters="0" rowHeaderCaption="Status">
  <location ref="B4:E6" firstHeaderRow="1" firstDataRow="2" firstDataCol="1"/>
  <pivotFields count="67">
    <pivotField showAll="0"/>
    <pivotField axis="axisRow" dataField="1"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7">
        <item x="0"/>
        <item m="1" x="5"/>
        <item m="1" x="4"/>
        <item m="1" x="3"/>
        <item x="1"/>
        <item x="2"/>
        <item t="default"/>
      </items>
    </pivotField>
    <pivotField showAll="0"/>
    <pivotField showAll="0"/>
    <pivotField showAll="0"/>
    <pivotField dragToRow="0" dragToCol="0" dragToPage="0" showAll="0" defaultSubtotal="0"/>
  </pivotFields>
  <rowFields count="1">
    <field x="1"/>
  </rowFields>
  <rowItems count="1">
    <i>
      <x v="1"/>
    </i>
  </rowItems>
  <colFields count="1">
    <field x="62"/>
  </colFields>
  <colItems count="3">
    <i>
      <x/>
    </i>
    <i>
      <x v="4"/>
    </i>
    <i>
      <x v="5"/>
    </i>
  </colItems>
  <dataFields count="1">
    <dataField name="Count of Active" fld="1"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500-000009000000}" name="Student classification by money spent."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chartFormat="4" rowHeaderCaption="Student Classification">
  <location ref="BX3:BZ7" firstHeaderRow="0" firstDataRow="1" firstDataCol="1"/>
  <pivotFields count="67">
    <pivotField showAll="0"/>
    <pivotField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axis="axisRow" showAll="0">
      <items count="13">
        <item x="6"/>
        <item x="3"/>
        <item x="7"/>
        <item x="8"/>
        <item x="9"/>
        <item h="1" x="11"/>
        <item h="1" x="10"/>
        <item h="1" x="2"/>
        <item h="1" x="4"/>
        <item h="1" x="1"/>
        <item h="1" x="5"/>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11"/>
  </rowFields>
  <rowItems count="4">
    <i>
      <x/>
    </i>
    <i>
      <x v="1"/>
    </i>
    <i>
      <x v="2"/>
    </i>
    <i>
      <x v="4"/>
    </i>
  </rowItems>
  <colFields count="1">
    <field x="-2"/>
  </colFields>
  <colItems count="2">
    <i>
      <x/>
    </i>
    <i i="1">
      <x v="1"/>
    </i>
  </colItems>
  <dataFields count="2">
    <dataField name="Salary" fld="52" baseField="10" baseItem="3"/>
    <dataField name="Sales" fld="53" baseField="1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500-000005000000}" name="Monthly Chart" cacheId="0" applyNumberFormats="0" applyBorderFormats="0" applyFontFormats="0" applyPatternFormats="0" applyAlignmentFormats="0" applyWidthHeightFormats="1" dataCaption="Values" updatedVersion="8" minRefreshableVersion="3" useAutoFormatting="1" rowGrandTotals="0" itemPrintTitles="1" createdVersion="7" indent="0" compact="0" compactData="0" multipleFieldFilters="0">
  <location ref="CU2:CX16" firstHeaderRow="0" firstDataRow="1" firstDataCol="2"/>
  <pivotFields count="67">
    <pivotField compact="0" outline="0" showAll="0"/>
    <pivotField compact="0" outline="0" showAll="0">
      <items count="4">
        <item h="1" x="1"/>
        <item x="2"/>
        <item h="1"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6">
        <item x="1"/>
        <item h="1" x="4"/>
        <item h="1" x="2"/>
        <item h="1" x="3"/>
        <item h="1"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4">
        <item x="0"/>
        <item x="2"/>
        <item x="1"/>
        <item t="default"/>
      </items>
    </pivotField>
    <pivotField compact="0" outline="0" showAll="0"/>
    <pivotField axis="axisRow" compact="0" outline="0" showAll="0">
      <items count="14">
        <item x="1"/>
        <item x="2"/>
        <item x="9"/>
        <item x="5"/>
        <item x="4"/>
        <item x="3"/>
        <item x="7"/>
        <item x="11"/>
        <item x="6"/>
        <item x="0"/>
        <item m="1" x="12"/>
        <item x="8"/>
        <item x="10"/>
        <item t="default"/>
      </items>
    </pivotField>
    <pivotField axis="axisRow" compact="0" outline="0" showAll="0" defaultSubtotal="0">
      <items count="9">
        <item x="7"/>
        <item x="5"/>
        <item x="4"/>
        <item x="6"/>
        <item x="8"/>
        <item x="3"/>
        <item x="2"/>
        <item x="1"/>
        <item x="0"/>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 compact="0" outline="0" showAll="0"/>
    <pivotField dataField="1" compact="0" outline="0" showAll="0"/>
    <pivotField compact="0" outline="0" showAll="0"/>
    <pivotField compact="0" outline="0" showAll="0"/>
    <pivotField compact="0" outline="0" dragToRow="0" dragToCol="0" dragToPage="0" showAll="0" defaultSubtotal="0"/>
  </pivotFields>
  <rowFields count="2">
    <field x="44"/>
    <field x="43"/>
  </rowFields>
  <rowItems count="14">
    <i>
      <x/>
      <x/>
    </i>
    <i>
      <x v="5"/>
      <x v="3"/>
    </i>
    <i>
      <x v="6"/>
      <x/>
    </i>
    <i r="1">
      <x v="3"/>
    </i>
    <i r="1">
      <x v="5"/>
    </i>
    <i r="1">
      <x v="6"/>
    </i>
    <i r="1">
      <x v="7"/>
    </i>
    <i r="1">
      <x v="8"/>
    </i>
    <i>
      <x v="7"/>
      <x/>
    </i>
    <i r="1">
      <x v="1"/>
    </i>
    <i r="1">
      <x v="3"/>
    </i>
    <i r="1">
      <x v="4"/>
    </i>
    <i>
      <x v="8"/>
      <x v="9"/>
    </i>
    <i r="1">
      <x v="12"/>
    </i>
  </rowItems>
  <colFields count="1">
    <field x="-2"/>
  </colFields>
  <colItems count="2">
    <i>
      <x/>
    </i>
    <i i="1">
      <x v="1"/>
    </i>
  </colItems>
  <dataFields count="2">
    <dataField name="Sales" fld="61" baseField="43" baseItem="0"/>
    <dataField name="Salary" fld="63" baseField="43"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500-000008000000}" name="• Number of students per lesson type." cacheId="0" applyNumberFormats="0" applyBorderFormats="0" applyFontFormats="0" applyPatternFormats="0" applyAlignmentFormats="0" applyWidthHeightFormats="1" dataCaption="Values" updatedVersion="8" minRefreshableVersion="3" useAutoFormatting="1" rowGrandTotals="0" colGrandTotals="0" itemPrintTitles="1" createdVersion="7" indent="0" outline="1" outlineData="1" multipleFieldFilters="0" rowHeaderCaption="Lesson Type">
  <location ref="AY4:BB8" firstHeaderRow="1" firstDataRow="2" firstDataCol="1"/>
  <pivotFields count="67">
    <pivotField showAll="0"/>
    <pivotField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dataField="1" showAll="0">
      <items count="7">
        <item x="0"/>
        <item m="1" x="5"/>
        <item m="1" x="4"/>
        <item m="1" x="3"/>
        <item x="1"/>
        <item x="2"/>
        <item t="default"/>
      </items>
    </pivotField>
    <pivotField showAll="0"/>
    <pivotField showAll="0"/>
    <pivotField showAll="0"/>
    <pivotField dragToRow="0" dragToCol="0" dragToPage="0" showAll="0" defaultSubtotal="0"/>
  </pivotFields>
  <rowFields count="1">
    <field x="41"/>
  </rowFields>
  <rowItems count="3">
    <i>
      <x/>
    </i>
    <i>
      <x v="1"/>
    </i>
    <i>
      <x v="2"/>
    </i>
  </rowItems>
  <colFields count="1">
    <field x="62"/>
  </colFields>
  <colItems count="3">
    <i>
      <x/>
    </i>
    <i>
      <x v="4"/>
    </i>
    <i>
      <x v="5"/>
    </i>
  </colItems>
  <dataFields count="1">
    <dataField name="Count of For Count" fld="62"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500-000002000000}" name="New students per Selected month"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rowHeaderCaption="Month">
  <location ref="H4:J21" firstHeaderRow="1" firstDataRow="1" firstDataCol="0"/>
  <pivotFields count="67">
    <pivotField showAll="0"/>
    <pivotField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items count="14">
        <item h="1" x="1"/>
        <item h="1" x="2"/>
        <item h="1" x="9"/>
        <item h="1" x="5"/>
        <item x="4"/>
        <item h="1" x="3"/>
        <item h="1" x="7"/>
        <item h="1" x="8"/>
        <item h="1" x="11"/>
        <item h="1" x="6"/>
        <item h="1" x="0"/>
        <item h="1" m="1" x="12"/>
        <item h="1" x="1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 Lessons per student breakdown."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rowHeaderCaption="Student">
  <location ref="CF3:CG36" firstHeaderRow="1" firstDataRow="1" firstDataCol="1" rowPageCount="1" colPageCount="1"/>
  <pivotFields count="67">
    <pivotField showAll="0"/>
    <pivotField axis="axisPage" multipleItemSelectionAllowed="1"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pivotField showAll="0"/>
    <pivotField showAll="0"/>
    <pivotField showAll="0"/>
    <pivotField showAll="0"/>
    <pivotField showAll="0"/>
    <pivotField showAll="0"/>
    <pivotField showAll="0"/>
    <pivotField axis="axisRow" showAll="0" sortType="descending">
      <items count="221">
        <item x="0"/>
        <item x="59"/>
        <item x="2"/>
        <item x="209"/>
        <item x="3"/>
        <item x="4"/>
        <item x="5"/>
        <item x="6"/>
        <item m="1" x="219"/>
        <item x="7"/>
        <item x="8"/>
        <item x="9"/>
        <item x="10"/>
        <item x="215"/>
        <item x="12"/>
        <item x="11"/>
        <item x="13"/>
        <item x="14"/>
        <item x="16"/>
        <item x="17"/>
        <item x="18"/>
        <item x="19"/>
        <item x="20"/>
        <item x="21"/>
        <item x="22"/>
        <item x="23"/>
        <item x="24"/>
        <item x="25"/>
        <item x="213"/>
        <item x="58"/>
        <item x="26"/>
        <item x="27"/>
        <item x="28"/>
        <item x="216"/>
        <item x="206"/>
        <item x="1"/>
        <item x="29"/>
        <item x="30"/>
        <item x="79"/>
        <item x="31"/>
        <item x="32"/>
        <item x="33"/>
        <item x="35"/>
        <item x="34"/>
        <item x="37"/>
        <item x="36"/>
        <item x="38"/>
        <item x="39"/>
        <item x="40"/>
        <item x="41"/>
        <item x="42"/>
        <item x="211"/>
        <item x="43"/>
        <item x="44"/>
        <item x="45"/>
        <item x="46"/>
        <item x="47"/>
        <item x="48"/>
        <item x="49"/>
        <item x="50"/>
        <item x="51"/>
        <item x="52"/>
        <item x="53"/>
        <item x="207"/>
        <item x="54"/>
        <item x="55"/>
        <item x="56"/>
        <item x="57"/>
        <item x="60"/>
        <item x="61"/>
        <item x="62"/>
        <item x="63"/>
        <item x="64"/>
        <item x="65"/>
        <item x="66"/>
        <item x="67"/>
        <item x="68"/>
        <item x="69"/>
        <item x="70"/>
        <item x="71"/>
        <item x="72"/>
        <item x="73"/>
        <item x="74"/>
        <item x="75"/>
        <item x="76"/>
        <item x="77"/>
        <item x="78"/>
        <item x="80"/>
        <item x="81"/>
        <item x="82"/>
        <item x="83"/>
        <item x="84"/>
        <item x="85"/>
        <item x="86"/>
        <item x="87"/>
        <item x="88"/>
        <item x="89"/>
        <item x="90"/>
        <item x="91"/>
        <item x="92"/>
        <item x="93"/>
        <item x="94"/>
        <item x="95"/>
        <item x="96"/>
        <item x="97"/>
        <item x="98"/>
        <item x="99"/>
        <item x="100"/>
        <item x="101"/>
        <item x="102"/>
        <item x="103"/>
        <item x="105"/>
        <item x="104"/>
        <item x="106"/>
        <item x="107"/>
        <item x="108"/>
        <item x="109"/>
        <item x="110"/>
        <item x="111"/>
        <item x="112"/>
        <item x="113"/>
        <item x="114"/>
        <item x="115"/>
        <item x="116"/>
        <item x="117"/>
        <item x="118"/>
        <item x="119"/>
        <item x="120"/>
        <item x="121"/>
        <item x="123"/>
        <item x="122"/>
        <item x="124"/>
        <item x="125"/>
        <item x="126"/>
        <item x="127"/>
        <item x="128"/>
        <item x="129"/>
        <item x="130"/>
        <item x="131"/>
        <item x="132"/>
        <item x="214"/>
        <item x="134"/>
        <item x="133"/>
        <item x="135"/>
        <item x="136"/>
        <item x="137"/>
        <item x="138"/>
        <item x="139"/>
        <item x="140"/>
        <item x="141"/>
        <item x="142"/>
        <item x="143"/>
        <item x="145"/>
        <item x="144"/>
        <item x="146"/>
        <item x="147"/>
        <item x="149"/>
        <item x="148"/>
        <item x="150"/>
        <item x="151"/>
        <item x="210"/>
        <item x="152"/>
        <item x="153"/>
        <item x="154"/>
        <item x="155"/>
        <item x="156"/>
        <item x="157"/>
        <item x="158"/>
        <item x="159"/>
        <item x="161"/>
        <item x="160"/>
        <item x="162"/>
        <item x="164"/>
        <item x="165"/>
        <item x="167"/>
        <item x="166"/>
        <item x="168"/>
        <item x="169"/>
        <item x="170"/>
        <item x="171"/>
        <item x="172"/>
        <item x="173"/>
        <item x="174"/>
        <item x="175"/>
        <item x="176"/>
        <item x="205"/>
        <item x="208"/>
        <item x="177"/>
        <item x="179"/>
        <item x="178"/>
        <item x="180"/>
        <item x="181"/>
        <item x="182"/>
        <item x="183"/>
        <item x="185"/>
        <item x="184"/>
        <item x="186"/>
        <item x="188"/>
        <item x="187"/>
        <item x="189"/>
        <item x="190"/>
        <item x="191"/>
        <item x="192"/>
        <item x="193"/>
        <item x="194"/>
        <item x="195"/>
        <item x="196"/>
        <item x="197"/>
        <item x="198"/>
        <item x="200"/>
        <item x="199"/>
        <item x="201"/>
        <item x="202"/>
        <item x="203"/>
        <item x="15"/>
        <item x="204"/>
        <item x="163"/>
        <item x="212"/>
        <item x="217"/>
        <item x="218"/>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dragToRow="0" dragToCol="0" dragToPage="0" showAll="0" defaultSubtotal="0"/>
  </pivotFields>
  <rowFields count="1">
    <field x="51"/>
  </rowFields>
  <rowItems count="33">
    <i>
      <x v="218"/>
    </i>
    <i>
      <x v="216"/>
    </i>
    <i>
      <x v="219"/>
    </i>
    <i>
      <x v="152"/>
    </i>
    <i>
      <x v="186"/>
    </i>
    <i>
      <x v="172"/>
    </i>
    <i>
      <x v="24"/>
    </i>
    <i>
      <x v="217"/>
    </i>
    <i>
      <x v="33"/>
    </i>
    <i>
      <x v="158"/>
    </i>
    <i>
      <x v="38"/>
    </i>
    <i>
      <x v="182"/>
    </i>
    <i>
      <x v="56"/>
    </i>
    <i>
      <x v="203"/>
    </i>
    <i>
      <x v="57"/>
    </i>
    <i>
      <x v="140"/>
    </i>
    <i>
      <x v="80"/>
    </i>
    <i>
      <x v="156"/>
    </i>
    <i>
      <x v="84"/>
    </i>
    <i>
      <x v="160"/>
    </i>
    <i>
      <x v="86"/>
    </i>
    <i>
      <x v="179"/>
    </i>
    <i>
      <x v="101"/>
    </i>
    <i>
      <x v="183"/>
    </i>
    <i>
      <x v="105"/>
    </i>
    <i>
      <x v="190"/>
    </i>
    <i>
      <x v="120"/>
    </i>
    <i>
      <x v="7"/>
    </i>
    <i>
      <x v="6"/>
    </i>
    <i>
      <x v="13"/>
    </i>
    <i>
      <x v="3"/>
    </i>
    <i>
      <x v="122"/>
    </i>
    <i>
      <x v="138"/>
    </i>
  </rowItems>
  <colItems count="1">
    <i/>
  </colItems>
  <pageFields count="1">
    <pageField fld="1" hier="-1"/>
  </pageFields>
  <dataFields count="1">
    <dataField name="Sum of For Frequency" fld="64" baseField="49" baseItem="18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0000000-0007-0000-0500-000006000000}" name="Sales &amp; profit per teacher "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rowHeaderCaption="Teacher">
  <location ref="AC4:AE5" firstHeaderRow="0" firstDataRow="1" firstDataCol="1"/>
  <pivotFields count="67">
    <pivotField showAll="0"/>
    <pivotField showAll="0">
      <items count="4">
        <item h="1" x="1"/>
        <item x="2"/>
        <item h="1" x="0"/>
        <item t="default"/>
      </items>
    </pivotField>
    <pivotField showAll="0"/>
    <pivotField showAll="0"/>
    <pivotField showAll="0"/>
    <pivotField showAll="0"/>
    <pivotField showAll="0"/>
    <pivotField showAll="0"/>
    <pivotField showAll="0"/>
    <pivotField axis="axisRow"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dataField="1" showAll="0"/>
    <pivotField showAll="0"/>
    <pivotField showAll="0"/>
    <pivotField dragToRow="0" dragToCol="0" dragToPage="0" showAll="0" defaultSubtotal="0"/>
  </pivotFields>
  <rowFields count="1">
    <field x="9"/>
  </rowFields>
  <rowItems count="1">
    <i>
      <x/>
    </i>
  </rowItems>
  <colFields count="1">
    <field x="-2"/>
  </colFields>
  <colItems count="2">
    <i>
      <x/>
    </i>
    <i i="1">
      <x v="1"/>
    </i>
  </colItems>
  <dataFields count="2">
    <dataField name="Sum of For Salary" fld="63" baseField="8" baseItem="0"/>
    <dataField name="Sum of For Amount" fld="61" baseField="8"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0000000-0007-0000-0700-00000B000000}" name="PivotTable1" cacheId="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rowHeaderCaption="Teacher" colHeaderCaption="Months">
  <location ref="B5:D10" firstHeaderRow="1" firstDataRow="2" firstDataCol="1"/>
  <pivotFields count="67">
    <pivotField showAll="0"/>
    <pivotField showAll="0"/>
    <pivotField showAll="0"/>
    <pivotField showAll="0"/>
    <pivotField showAll="0"/>
    <pivotField showAll="0"/>
    <pivotField showAll="0"/>
    <pivotField showAll="0"/>
    <pivotField showAll="0"/>
    <pivotField axis="axisRow" showAll="0">
      <items count="6">
        <item x="1"/>
        <item h="1" x="4"/>
        <item x="2"/>
        <item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14">
        <item h="1" x="1"/>
        <item h="1" x="2"/>
        <item h="1" x="9"/>
        <item h="1" x="5"/>
        <item x="4"/>
        <item h="1" x="3"/>
        <item h="1" x="7"/>
        <item h="1" x="11"/>
        <item h="1" x="6"/>
        <item h="1" x="0"/>
        <item h="1" m="1" x="12"/>
        <item h="1" x="8"/>
        <item h="1" x="1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dragToRow="0" dragToCol="0" dragToPage="0" showAll="0" defaultSubtotal="0"/>
  </pivotFields>
  <rowFields count="1">
    <field x="9"/>
  </rowFields>
  <rowItems count="4">
    <i>
      <x/>
    </i>
    <i>
      <x v="2"/>
    </i>
    <i>
      <x v="3"/>
    </i>
    <i t="grand">
      <x/>
    </i>
  </rowItems>
  <colFields count="1">
    <field x="43"/>
  </colFields>
  <colItems count="2">
    <i>
      <x v="4"/>
    </i>
    <i t="grand">
      <x/>
    </i>
  </colItems>
  <dataFields count="1">
    <dataField name="Sum of Total Salary" fld="58" baseField="8" baseItem="0"/>
  </dataFields>
  <formats count="10">
    <format dxfId="9">
      <pivotArea type="all" dataOnly="0" outline="0" fieldPosition="0"/>
    </format>
    <format dxfId="8">
      <pivotArea outline="0" collapsedLevelsAreSubtotals="1" fieldPosition="0"/>
    </format>
    <format dxfId="7">
      <pivotArea type="origin" dataOnly="0" labelOnly="1" outline="0" fieldPosition="0"/>
    </format>
    <format dxfId="6">
      <pivotArea field="43" type="button" dataOnly="0" labelOnly="1" outline="0" axis="axisCol" fieldPosition="0"/>
    </format>
    <format dxfId="5">
      <pivotArea type="topRight" dataOnly="0" labelOnly="1" outline="0" fieldPosition="0"/>
    </format>
    <format dxfId="4">
      <pivotArea field="9" type="button" dataOnly="0" labelOnly="1" outline="0" axis="axisRow" fieldPosition="0"/>
    </format>
    <format dxfId="3">
      <pivotArea dataOnly="0" labelOnly="1" fieldPosition="0">
        <references count="1">
          <reference field="9" count="0"/>
        </references>
      </pivotArea>
    </format>
    <format dxfId="2">
      <pivotArea dataOnly="0" labelOnly="1" grandRow="1" outline="0" fieldPosition="0"/>
    </format>
    <format dxfId="1">
      <pivotArea dataOnly="0" labelOnly="1" fieldPosition="0">
        <references count="1">
          <reference field="43" count="9">
            <x v="0"/>
            <x v="1"/>
            <x v="2"/>
            <x v="3"/>
            <x v="4"/>
            <x v="5"/>
            <x v="6"/>
            <x v="7"/>
            <x v="8"/>
          </reference>
        </references>
      </pivotArea>
    </format>
    <format dxfId="0">
      <pivotArea dataOnly="0" labelOnly="1" grandCol="1" outline="0" fieldPosition="0"/>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0000000-0007-0000-0700-00000A000000}" name="PivotTable2" cacheId="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rowHeaderCaption="Teacher" colHeaderCaption="Months">
  <location ref="O5:Q10" firstHeaderRow="1" firstDataRow="2" firstDataCol="1"/>
  <pivotFields count="67">
    <pivotField showAll="0"/>
    <pivotField showAll="0"/>
    <pivotField showAll="0"/>
    <pivotField showAll="0"/>
    <pivotField showAll="0"/>
    <pivotField showAll="0"/>
    <pivotField showAll="0"/>
    <pivotField showAll="0"/>
    <pivotField showAll="0"/>
    <pivotField axis="axisRow" showAll="0">
      <items count="6">
        <item x="1"/>
        <item h="1" x="4"/>
        <item x="2"/>
        <item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14">
        <item h="1" x="1"/>
        <item h="1" x="2"/>
        <item h="1" x="9"/>
        <item h="1" x="5"/>
        <item x="4"/>
        <item h="1" x="3"/>
        <item h="1" x="7"/>
        <item h="1" x="11"/>
        <item h="1" x="6"/>
        <item h="1" x="0"/>
        <item h="1" m="1" x="12"/>
        <item h="1" x="8"/>
        <item h="1" x="1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dragToRow="0" dragToCol="0" dragToPage="0" showAll="0" defaultSubtotal="0"/>
  </pivotFields>
  <rowFields count="1">
    <field x="9"/>
  </rowFields>
  <rowItems count="4">
    <i>
      <x/>
    </i>
    <i>
      <x v="2"/>
    </i>
    <i>
      <x v="3"/>
    </i>
    <i t="grand">
      <x/>
    </i>
  </rowItems>
  <colFields count="1">
    <field x="43"/>
  </colFields>
  <colItems count="2">
    <i>
      <x v="4"/>
    </i>
    <i t="grand">
      <x/>
    </i>
  </colItems>
  <dataFields count="1">
    <dataField name="Sum of Profit" fld="60" baseField="0" baseItem="0"/>
  </dataFields>
  <formats count="1">
    <format dxfId="10">
      <pivotArea type="all" dataOnly="0" outline="0" fieldPosition="0"/>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BP235" totalsRowShown="0" headerRowDxfId="49" headerRowBorderDxfId="48" tableBorderDxfId="47">
  <autoFilter ref="A1:BP235" xr:uid="{00000000-0009-0000-0100-000001000000}"/>
  <tableColumns count="68">
    <tableColumn id="1" xr3:uid="{00000000-0010-0000-0000-000001000000}" name="CustomerID"/>
    <tableColumn id="2" xr3:uid="{00000000-0010-0000-0000-000002000000}" name="Active"/>
    <tableColumn id="3" xr3:uid="{00000000-0010-0000-0000-000003000000}" name="t"/>
    <tableColumn id="4" xr3:uid="{00000000-0010-0000-0000-000004000000}" name="Last Name"/>
    <tableColumn id="5" xr3:uid="{00000000-0010-0000-0000-000005000000}" name="Name Suffix"/>
    <tableColumn id="6" xr3:uid="{00000000-0010-0000-0000-000006000000}" name="Phonetic First Name"/>
    <tableColumn id="7" xr3:uid="{00000000-0010-0000-0000-000007000000}" name="NameJp"/>
    <tableColumn id="8" xr3:uid="{00000000-0010-0000-0000-000008000000}" name="Phonetic Last Name"/>
    <tableColumn id="69" xr3:uid="{00000000-0010-0000-0000-000045000000}" name="Link To finance" dataDxfId="46">
      <calculatedColumnFormula>IFERROR(HYPERLINK("#Finance!B" &amp; MATCH(A2, 'F 2025'!A:A, 0), "🔗 Go to finance"), "❌ ID introuvable")</calculatedColumnFormula>
    </tableColumn>
    <tableColumn id="9" xr3:uid="{00000000-0010-0000-0000-000009000000}" name="Teacher"/>
    <tableColumn id="10" xr3:uid="{00000000-0010-0000-0000-00000A000000}" name="lesson type"/>
    <tableColumn id="11" xr3:uid="{00000000-0010-0000-0000-00000B000000}" name="Age"/>
    <tableColumn id="12" xr3:uid="{00000000-0010-0000-0000-00000C000000}" name="Group Name"/>
    <tableColumn id="13" xr3:uid="{00000000-0010-0000-0000-00000D000000}" name="Frequency"/>
    <tableColumn id="14" xr3:uid="{00000000-0010-0000-0000-00000E000000}" name="Fee"/>
    <tableColumn id="17" xr3:uid="{04C3D9F6-B962-44F9-8B04-82A0F0C5D561}" name="Review asked"/>
    <tableColumn id="15" xr3:uid="{FAC93856-222D-43B3-B475-779BA9BA2620}" name="Review left"/>
    <tableColumn id="26" xr3:uid="{00000000-0010-0000-0000-00001A000000}" name="RICO Next fee"/>
    <tableColumn id="68" xr3:uid="{00000000-0010-0000-0000-000044000000}" name="Detail next fee"/>
    <tableColumn id="67" xr3:uid="{00000000-0010-0000-0000-000043000000}" name="Joining "/>
    <tableColumn id="63" xr3:uid="{00000000-0010-0000-0000-00003F000000}" name="Column2"/>
    <tableColumn id="16" xr3:uid="{00000000-0010-0000-0000-000010000000}" name="Mail"/>
    <tableColumn id="18" xr3:uid="{00000000-0010-0000-0000-000012000000}" name="Gmail2"/>
    <tableColumn id="19" xr3:uid="{00000000-0010-0000-0000-000013000000}" name="Homework mail"/>
    <tableColumn id="21" xr3:uid="{00000000-0010-0000-0000-000015000000}" name="携帯"/>
    <tableColumn id="22" xr3:uid="{00000000-0010-0000-0000-000016000000}" name="Phone 2 - label"/>
    <tableColumn id="23" xr3:uid="{00000000-0010-0000-0000-000017000000}" name="Phone 2 - label2"/>
    <tableColumn id="24" xr3:uid="{00000000-0010-0000-0000-000018000000}" name="Address 1 - Street" dataDxfId="45"/>
    <tableColumn id="25" xr3:uid="{00000000-0010-0000-0000-000019000000}" name="Birthday"/>
    <tableColumn id="27" xr3:uid="{00000000-0010-0000-0000-00001B000000}" name="Joining Date" dataDxfId="44"/>
    <tableColumn id="28" xr3:uid="{00000000-0010-0000-0000-00001C000000}" name="Relation 1 - Label"/>
    <tableColumn id="29" xr3:uid="{00000000-0010-0000-0000-00001D000000}" name="Relation 1 - Value"/>
    <tableColumn id="30" xr3:uid="{00000000-0010-0000-0000-00001E000000}" name="Website 1 - Label"/>
    <tableColumn id="31" xr3:uid="{00000000-0010-0000-0000-00001F000000}" name="Website 1 - Value"/>
    <tableColumn id="32" xr3:uid="{00000000-0010-0000-0000-000020000000}" name="Notes" dataDxfId="43"/>
    <tableColumn id="33" xr3:uid="{00000000-0010-0000-0000-000021000000}" name="Notes 2"/>
    <tableColumn id="34" xr3:uid="{00000000-0010-0000-0000-000022000000}" name="Labels"/>
    <tableColumn id="35" xr3:uid="{00000000-0010-0000-0000-000023000000}" name="Start Date"/>
    <tableColumn id="36" xr3:uid="{00000000-0010-0000-0000-000024000000}" name="Stop" dataDxfId="42"/>
    <tableColumn id="66" xr3:uid="{00000000-0010-0000-0000-000042000000}" name="Column1" dataDxfId="41"/>
    <tableColumn id="37" xr3:uid="{00000000-0010-0000-0000-000025000000}" name="Name"/>
    <tableColumn id="38" xr3:uid="{00000000-0010-0000-0000-000026000000}" name="CustomerID3"/>
    <tableColumn id="39" xr3:uid="{00000000-0010-0000-0000-000027000000}" name="Full_Name"/>
    <tableColumn id="40" xr3:uid="{00000000-0010-0000-0000-000028000000}" name="Clean Lesson Type" dataDxfId="40"/>
    <tableColumn id="41" xr3:uid="{00000000-0010-0000-0000-000029000000}" name="Clean Frequency" dataDxfId="39"/>
    <tableColumn id="42" xr3:uid="{00000000-0010-0000-0000-00002A000000}" name="Month" dataDxfId="38"/>
    <tableColumn id="43" xr3:uid="{00000000-0010-0000-0000-00002B000000}" name="Year" dataDxfId="37"/>
    <tableColumn id="44" xr3:uid="{00000000-0010-0000-0000-00002C000000}" name="Helper" dataDxfId="36"/>
    <tableColumn id="47" xr3:uid="{00000000-0010-0000-0000-00002F000000}" name="Group Frequency" dataDxfId="35"/>
    <tableColumn id="45" xr3:uid="{00000000-0010-0000-0000-00002D000000}" name="First Occurrence" dataDxfId="34"/>
    <tableColumn id="57" xr3:uid="{00000000-0010-0000-0000-000039000000}" name="Final PrivateFrequency" dataDxfId="33"/>
    <tableColumn id="51" xr3:uid="{00000000-0010-0000-0000-000033000000}" name="Final Group Frequency2" dataDxfId="32"/>
    <tableColumn id="46" xr3:uid="{00000000-0010-0000-0000-00002E000000}" name="Duration" dataDxfId="31"/>
    <tableColumn id="48" xr3:uid="{00000000-0010-0000-0000-000030000000}" name="Customer name" dataDxfId="30"/>
    <tableColumn id="58" xr3:uid="{00000000-0010-0000-0000-00003A000000}" name="Salary without Alex" dataDxfId="29"/>
    <tableColumn id="61" xr3:uid="{00000000-0010-0000-0000-00003D000000}" name="Fee without Alex" dataDxfId="28"/>
    <tableColumn id="49" xr3:uid="{00000000-0010-0000-0000-000031000000}" name="Pay Type" dataDxfId="27"/>
    <tableColumn id="50" xr3:uid="{00000000-0010-0000-0000-000032000000}" name="Salary / Hourly Rate" dataDxfId="26"/>
    <tableColumn id="52" xr3:uid="{00000000-0010-0000-0000-000034000000}" name="Group Salary" dataDxfId="25"/>
    <tableColumn id="53" xr3:uid="{00000000-0010-0000-0000-000035000000}" name="Private Salary" dataDxfId="24"/>
    <tableColumn id="54" xr3:uid="{00000000-0010-0000-0000-000036000000}" name="Total Salary" dataDxfId="23"/>
    <tableColumn id="64" xr3:uid="{00000000-0010-0000-0000-000040000000}" name="Money Spend" dataDxfId="22"/>
    <tableColumn id="55" xr3:uid="{00000000-0010-0000-0000-000037000000}" name="Profit" dataDxfId="21"/>
    <tableColumn id="59" xr3:uid="{00000000-0010-0000-0000-00003B000000}" name="For Amount" dataDxfId="20"/>
    <tableColumn id="65" xr3:uid="{00000000-0010-0000-0000-000041000000}" name="For Count" dataDxfId="19"/>
    <tableColumn id="56" xr3:uid="{00000000-0010-0000-0000-000038000000}" name="For Salary" dataDxfId="18"/>
    <tableColumn id="60" xr3:uid="{00000000-0010-0000-0000-00003C000000}" name="For Frequency" dataDxfId="17"/>
    <tableColumn id="62" xr3:uid="{00000000-0010-0000-0000-00003E000000}" name="For End Date" dataDxfId="16">
      <calculatedColumnFormula>IF(Table1[[#This Row],[Stop]]="","",(IF(Table1[[#This Row],[Joining Date]]="","",IF(Table1[[#This Row],[Joining Date]]&lt;='KPI+Pivot'!$CP$1,Table1[[#This Row],[Stop]],""))))</calculatedColumnFormula>
    </tableColumn>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A1:Z101" totalsRowShown="0" headerRowDxfId="15">
  <autoFilter ref="A1:Z101" xr:uid="{00000000-0009-0000-0100-000002000000}"/>
  <tableColumns count="26">
    <tableColumn id="1" xr3:uid="{00000000-0010-0000-0100-000001000000}" name="Column1"/>
    <tableColumn id="2" xr3:uid="{00000000-0010-0000-0100-000002000000}" name="Name"/>
    <tableColumn id="25" xr3:uid="{8ABD71A9-6175-48CA-938E-EECBC562AC4C}" name="furigana"/>
    <tableColumn id="26" xr3:uid="{3C2E3B2C-3422-4D61-9FAD-028B9732E764}" name="PC"/>
    <tableColumn id="24" xr3:uid="{F208F131-2C07-43B6-AE92-0A44FED39910}" name="Joined"/>
    <tableColumn id="3" xr3:uid="{00000000-0010-0000-0100-000003000000}" name="mail"/>
    <tableColumn id="4" xr3:uid="{00000000-0010-0000-0100-000004000000}" name="phone" dataDxfId="14"/>
    <tableColumn id="5" xr3:uid="{00000000-0010-0000-0100-000005000000}" name="how they reached out" dataDxfId="13"/>
    <tableColumn id="6" xr3:uid="{00000000-0010-0000-0100-000006000000}" name="day of taiken"/>
    <tableColumn id="7" xr3:uid="{00000000-0010-0000-0100-000007000000}" name="Time of Taiken" dataDxfId="12"/>
    <tableColumn id="8" xr3:uid="{00000000-0010-0000-0100-000008000000}" name="name of student 1"/>
    <tableColumn id="9" xr3:uid="{00000000-0010-0000-0100-000009000000}" name="name of student 2"/>
    <tableColumn id="10" xr3:uid="{00000000-0010-0000-0100-00000A000000}" name="Age group S1"/>
    <tableColumn id="11" xr3:uid="{00000000-0010-0000-0100-00000B000000}" name="Level S1"/>
    <tableColumn id="22" xr3:uid="{00000000-0010-0000-0100-000016000000}" name="コース"/>
    <tableColumn id="12" xr3:uid="{00000000-0010-0000-0100-00000C000000}" name="Level s2"/>
    <tableColumn id="13" xr3:uid="{00000000-0010-0000-0100-00000D000000}" name="Request"/>
    <tableColumn id="14" xr3:uid="{00000000-0010-0000-0100-00000E000000}" name="How they know Bee"/>
    <tableColumn id="15" xr3:uid="{00000000-0010-0000-0100-00000F000000}" name="Type of lesson"/>
    <tableColumn id="16" xr3:uid="{00000000-0010-0000-0100-000010000000}" name="notes"/>
    <tableColumn id="17" xr3:uid="{00000000-0010-0000-0100-000011000000}" name="Teacher"/>
    <tableColumn id="18" xr3:uid="{00000000-0010-0000-0100-000012000000}" name="Joined2"/>
    <tableColumn id="23" xr3:uid="{00000000-0010-0000-0100-000017000000}" name="refusal date"/>
    <tableColumn id="19" xr3:uid="{00000000-0010-0000-0100-000013000000}" name="FP"/>
    <tableColumn id="20" xr3:uid="{00000000-0010-0000-0100-000014000000}" name="Date received"/>
    <tableColumn id="21" xr3:uid="{00000000-0010-0000-0100-000015000000}" name="adress"/>
  </tableColumns>
  <tableStyleInfo name="TableStyleMedium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17" Type="http://schemas.openxmlformats.org/officeDocument/2006/relationships/ctrlProp" Target="../ctrlProps/ctrlProp74.xml"/><Relationship Id="rId21" Type="http://schemas.openxmlformats.org/officeDocument/2006/relationships/hyperlink" Target="mailto:hikaru2741@gmail.com" TargetMode="External"/><Relationship Id="rId63" Type="http://schemas.openxmlformats.org/officeDocument/2006/relationships/ctrlProp" Target="../ctrlProps/ctrlProp20.xml"/><Relationship Id="rId159" Type="http://schemas.openxmlformats.org/officeDocument/2006/relationships/ctrlProp" Target="../ctrlProps/ctrlProp116.xml"/><Relationship Id="rId170" Type="http://schemas.openxmlformats.org/officeDocument/2006/relationships/ctrlProp" Target="../ctrlProps/ctrlProp127.xml"/><Relationship Id="rId226" Type="http://schemas.openxmlformats.org/officeDocument/2006/relationships/ctrlProp" Target="../ctrlProps/ctrlProp183.xml"/><Relationship Id="rId268" Type="http://schemas.openxmlformats.org/officeDocument/2006/relationships/ctrlProp" Target="../ctrlProps/ctrlProp225.xml"/><Relationship Id="rId11" Type="http://schemas.openxmlformats.org/officeDocument/2006/relationships/hyperlink" Target="mailto:riekorange1123@icloud.com" TargetMode="External"/><Relationship Id="rId32" Type="http://schemas.openxmlformats.org/officeDocument/2006/relationships/hyperlink" Target="mailto:yasuko5221@yahoo.co.jp" TargetMode="External"/><Relationship Id="rId53" Type="http://schemas.openxmlformats.org/officeDocument/2006/relationships/ctrlProp" Target="../ctrlProps/ctrlProp10.xml"/><Relationship Id="rId74" Type="http://schemas.openxmlformats.org/officeDocument/2006/relationships/ctrlProp" Target="../ctrlProps/ctrlProp31.xml"/><Relationship Id="rId128" Type="http://schemas.openxmlformats.org/officeDocument/2006/relationships/ctrlProp" Target="../ctrlProps/ctrlProp85.xml"/><Relationship Id="rId149" Type="http://schemas.openxmlformats.org/officeDocument/2006/relationships/ctrlProp" Target="../ctrlProps/ctrlProp106.xml"/><Relationship Id="rId5" Type="http://schemas.openxmlformats.org/officeDocument/2006/relationships/hyperlink" Target="mailto:sweet.u.tan.sys15@gmail.com" TargetMode="External"/><Relationship Id="rId95" Type="http://schemas.openxmlformats.org/officeDocument/2006/relationships/ctrlProp" Target="../ctrlProps/ctrlProp52.xml"/><Relationship Id="rId160" Type="http://schemas.openxmlformats.org/officeDocument/2006/relationships/ctrlProp" Target="../ctrlProps/ctrlProp117.xml"/><Relationship Id="rId181" Type="http://schemas.openxmlformats.org/officeDocument/2006/relationships/ctrlProp" Target="../ctrlProps/ctrlProp138.xml"/><Relationship Id="rId216" Type="http://schemas.openxmlformats.org/officeDocument/2006/relationships/ctrlProp" Target="../ctrlProps/ctrlProp173.xml"/><Relationship Id="rId237" Type="http://schemas.openxmlformats.org/officeDocument/2006/relationships/ctrlProp" Target="../ctrlProps/ctrlProp194.xml"/><Relationship Id="rId258" Type="http://schemas.openxmlformats.org/officeDocument/2006/relationships/ctrlProp" Target="../ctrlProps/ctrlProp215.xml"/><Relationship Id="rId22" Type="http://schemas.openxmlformats.org/officeDocument/2006/relationships/hyperlink" Target="mailto:t0nn0e_0905@yahoo.co.jp" TargetMode="External"/><Relationship Id="rId43" Type="http://schemas.openxmlformats.org/officeDocument/2006/relationships/vmlDrawing" Target="../drawings/vmlDrawing1.vml"/><Relationship Id="rId64" Type="http://schemas.openxmlformats.org/officeDocument/2006/relationships/ctrlProp" Target="../ctrlProps/ctrlProp21.xml"/><Relationship Id="rId118" Type="http://schemas.openxmlformats.org/officeDocument/2006/relationships/ctrlProp" Target="../ctrlProps/ctrlProp75.xml"/><Relationship Id="rId139" Type="http://schemas.openxmlformats.org/officeDocument/2006/relationships/ctrlProp" Target="../ctrlProps/ctrlProp96.xml"/><Relationship Id="rId85" Type="http://schemas.openxmlformats.org/officeDocument/2006/relationships/ctrlProp" Target="../ctrlProps/ctrlProp42.xml"/><Relationship Id="rId150" Type="http://schemas.openxmlformats.org/officeDocument/2006/relationships/ctrlProp" Target="../ctrlProps/ctrlProp107.xml"/><Relationship Id="rId171" Type="http://schemas.openxmlformats.org/officeDocument/2006/relationships/ctrlProp" Target="../ctrlProps/ctrlProp128.xml"/><Relationship Id="rId192" Type="http://schemas.openxmlformats.org/officeDocument/2006/relationships/ctrlProp" Target="../ctrlProps/ctrlProp149.xml"/><Relationship Id="rId206" Type="http://schemas.openxmlformats.org/officeDocument/2006/relationships/ctrlProp" Target="../ctrlProps/ctrlProp163.xml"/><Relationship Id="rId227" Type="http://schemas.openxmlformats.org/officeDocument/2006/relationships/ctrlProp" Target="../ctrlProps/ctrlProp184.xml"/><Relationship Id="rId248" Type="http://schemas.openxmlformats.org/officeDocument/2006/relationships/ctrlProp" Target="../ctrlProps/ctrlProp205.xml"/><Relationship Id="rId269" Type="http://schemas.openxmlformats.org/officeDocument/2006/relationships/table" Target="../tables/table1.xml"/><Relationship Id="rId12" Type="http://schemas.openxmlformats.org/officeDocument/2006/relationships/hyperlink" Target="mailto:mako543366@gmail.com" TargetMode="External"/><Relationship Id="rId33" Type="http://schemas.openxmlformats.org/officeDocument/2006/relationships/hyperlink" Target="mailto:m.haruta0219@gmail.com" TargetMode="External"/><Relationship Id="rId108" Type="http://schemas.openxmlformats.org/officeDocument/2006/relationships/ctrlProp" Target="../ctrlProps/ctrlProp65.xml"/><Relationship Id="rId129" Type="http://schemas.openxmlformats.org/officeDocument/2006/relationships/ctrlProp" Target="../ctrlProps/ctrlProp86.xml"/><Relationship Id="rId54" Type="http://schemas.openxmlformats.org/officeDocument/2006/relationships/ctrlProp" Target="../ctrlProps/ctrlProp11.xml"/><Relationship Id="rId75" Type="http://schemas.openxmlformats.org/officeDocument/2006/relationships/ctrlProp" Target="../ctrlProps/ctrlProp32.xml"/><Relationship Id="rId96" Type="http://schemas.openxmlformats.org/officeDocument/2006/relationships/ctrlProp" Target="../ctrlProps/ctrlProp53.xml"/><Relationship Id="rId140" Type="http://schemas.openxmlformats.org/officeDocument/2006/relationships/ctrlProp" Target="../ctrlProps/ctrlProp97.xml"/><Relationship Id="rId161" Type="http://schemas.openxmlformats.org/officeDocument/2006/relationships/ctrlProp" Target="../ctrlProps/ctrlProp118.xml"/><Relationship Id="rId182" Type="http://schemas.openxmlformats.org/officeDocument/2006/relationships/ctrlProp" Target="../ctrlProps/ctrlProp139.xml"/><Relationship Id="rId217" Type="http://schemas.openxmlformats.org/officeDocument/2006/relationships/ctrlProp" Target="../ctrlProps/ctrlProp174.xml"/><Relationship Id="rId6" Type="http://schemas.openxmlformats.org/officeDocument/2006/relationships/hyperlink" Target="mailto:thedeguchifamily@gmail.com" TargetMode="External"/><Relationship Id="rId238" Type="http://schemas.openxmlformats.org/officeDocument/2006/relationships/ctrlProp" Target="../ctrlProps/ctrlProp195.xml"/><Relationship Id="rId259" Type="http://schemas.openxmlformats.org/officeDocument/2006/relationships/ctrlProp" Target="../ctrlProps/ctrlProp216.xml"/><Relationship Id="rId23" Type="http://schemas.openxmlformats.org/officeDocument/2006/relationships/hyperlink" Target="mailto:hatsumi0911.la@gmail.com" TargetMode="External"/><Relationship Id="rId119" Type="http://schemas.openxmlformats.org/officeDocument/2006/relationships/ctrlProp" Target="../ctrlProps/ctrlProp76.xml"/><Relationship Id="rId44" Type="http://schemas.openxmlformats.org/officeDocument/2006/relationships/ctrlProp" Target="../ctrlProps/ctrlProp1.xml"/><Relationship Id="rId65" Type="http://schemas.openxmlformats.org/officeDocument/2006/relationships/ctrlProp" Target="../ctrlProps/ctrlProp22.xml"/><Relationship Id="rId86" Type="http://schemas.openxmlformats.org/officeDocument/2006/relationships/ctrlProp" Target="../ctrlProps/ctrlProp43.xml"/><Relationship Id="rId130" Type="http://schemas.openxmlformats.org/officeDocument/2006/relationships/ctrlProp" Target="../ctrlProps/ctrlProp87.xml"/><Relationship Id="rId151" Type="http://schemas.openxmlformats.org/officeDocument/2006/relationships/ctrlProp" Target="../ctrlProps/ctrlProp108.xml"/><Relationship Id="rId172" Type="http://schemas.openxmlformats.org/officeDocument/2006/relationships/ctrlProp" Target="../ctrlProps/ctrlProp129.xml"/><Relationship Id="rId193" Type="http://schemas.openxmlformats.org/officeDocument/2006/relationships/ctrlProp" Target="../ctrlProps/ctrlProp150.xml"/><Relationship Id="rId207" Type="http://schemas.openxmlformats.org/officeDocument/2006/relationships/ctrlProp" Target="../ctrlProps/ctrlProp164.xml"/><Relationship Id="rId228" Type="http://schemas.openxmlformats.org/officeDocument/2006/relationships/ctrlProp" Target="../ctrlProps/ctrlProp185.xml"/><Relationship Id="rId249" Type="http://schemas.openxmlformats.org/officeDocument/2006/relationships/ctrlProp" Target="../ctrlProps/ctrlProp206.xml"/><Relationship Id="rId13" Type="http://schemas.openxmlformats.org/officeDocument/2006/relationships/hyperlink" Target="mailto:mako543366@gmail.com" TargetMode="External"/><Relationship Id="rId109" Type="http://schemas.openxmlformats.org/officeDocument/2006/relationships/ctrlProp" Target="../ctrlProps/ctrlProp66.xml"/><Relationship Id="rId260" Type="http://schemas.openxmlformats.org/officeDocument/2006/relationships/ctrlProp" Target="../ctrlProps/ctrlProp217.xml"/><Relationship Id="rId34" Type="http://schemas.openxmlformats.org/officeDocument/2006/relationships/hyperlink" Target="mailto:dbjsk073@yahoo.co.jp" TargetMode="External"/><Relationship Id="rId55" Type="http://schemas.openxmlformats.org/officeDocument/2006/relationships/ctrlProp" Target="../ctrlProps/ctrlProp12.xml"/><Relationship Id="rId76" Type="http://schemas.openxmlformats.org/officeDocument/2006/relationships/ctrlProp" Target="../ctrlProps/ctrlProp33.xml"/><Relationship Id="rId97" Type="http://schemas.openxmlformats.org/officeDocument/2006/relationships/ctrlProp" Target="../ctrlProps/ctrlProp54.xml"/><Relationship Id="rId120" Type="http://schemas.openxmlformats.org/officeDocument/2006/relationships/ctrlProp" Target="../ctrlProps/ctrlProp77.xml"/><Relationship Id="rId141" Type="http://schemas.openxmlformats.org/officeDocument/2006/relationships/ctrlProp" Target="../ctrlProps/ctrlProp98.xml"/><Relationship Id="rId7" Type="http://schemas.openxmlformats.org/officeDocument/2006/relationships/hyperlink" Target="mailto:dga210101@yahoo.co.jp" TargetMode="External"/><Relationship Id="rId162" Type="http://schemas.openxmlformats.org/officeDocument/2006/relationships/ctrlProp" Target="../ctrlProps/ctrlProp119.xml"/><Relationship Id="rId183" Type="http://schemas.openxmlformats.org/officeDocument/2006/relationships/ctrlProp" Target="../ctrlProps/ctrlProp140.xml"/><Relationship Id="rId218" Type="http://schemas.openxmlformats.org/officeDocument/2006/relationships/ctrlProp" Target="../ctrlProps/ctrlProp175.xml"/><Relationship Id="rId239" Type="http://schemas.openxmlformats.org/officeDocument/2006/relationships/ctrlProp" Target="../ctrlProps/ctrlProp196.xml"/><Relationship Id="rId250" Type="http://schemas.openxmlformats.org/officeDocument/2006/relationships/ctrlProp" Target="../ctrlProps/ctrlProp207.xml"/><Relationship Id="rId24" Type="http://schemas.openxmlformats.org/officeDocument/2006/relationships/hyperlink" Target="mailto:hatsumi0911.la@gmail.com" TargetMode="External"/><Relationship Id="rId45" Type="http://schemas.openxmlformats.org/officeDocument/2006/relationships/ctrlProp" Target="../ctrlProps/ctrlProp2.xml"/><Relationship Id="rId66" Type="http://schemas.openxmlformats.org/officeDocument/2006/relationships/ctrlProp" Target="../ctrlProps/ctrlProp23.xml"/><Relationship Id="rId87" Type="http://schemas.openxmlformats.org/officeDocument/2006/relationships/ctrlProp" Target="../ctrlProps/ctrlProp44.xml"/><Relationship Id="rId110" Type="http://schemas.openxmlformats.org/officeDocument/2006/relationships/ctrlProp" Target="../ctrlProps/ctrlProp67.xml"/><Relationship Id="rId131" Type="http://schemas.openxmlformats.org/officeDocument/2006/relationships/ctrlProp" Target="../ctrlProps/ctrlProp88.xml"/><Relationship Id="rId152" Type="http://schemas.openxmlformats.org/officeDocument/2006/relationships/ctrlProp" Target="../ctrlProps/ctrlProp109.xml"/><Relationship Id="rId173" Type="http://schemas.openxmlformats.org/officeDocument/2006/relationships/ctrlProp" Target="../ctrlProps/ctrlProp130.xml"/><Relationship Id="rId194" Type="http://schemas.openxmlformats.org/officeDocument/2006/relationships/ctrlProp" Target="../ctrlProps/ctrlProp151.xml"/><Relationship Id="rId208" Type="http://schemas.openxmlformats.org/officeDocument/2006/relationships/ctrlProp" Target="../ctrlProps/ctrlProp165.xml"/><Relationship Id="rId229" Type="http://schemas.openxmlformats.org/officeDocument/2006/relationships/ctrlProp" Target="../ctrlProps/ctrlProp186.xml"/><Relationship Id="rId240" Type="http://schemas.openxmlformats.org/officeDocument/2006/relationships/ctrlProp" Target="../ctrlProps/ctrlProp197.xml"/><Relationship Id="rId261" Type="http://schemas.openxmlformats.org/officeDocument/2006/relationships/ctrlProp" Target="../ctrlProps/ctrlProp218.xml"/><Relationship Id="rId14" Type="http://schemas.openxmlformats.org/officeDocument/2006/relationships/hyperlink" Target="mailto:sawa.looksupto.u@icloud.com" TargetMode="External"/><Relationship Id="rId35" Type="http://schemas.openxmlformats.org/officeDocument/2006/relationships/hyperlink" Target="mailto:ryoukotakada@gmail.com" TargetMode="External"/><Relationship Id="rId56" Type="http://schemas.openxmlformats.org/officeDocument/2006/relationships/ctrlProp" Target="../ctrlProps/ctrlProp13.xml"/><Relationship Id="rId77" Type="http://schemas.openxmlformats.org/officeDocument/2006/relationships/ctrlProp" Target="../ctrlProps/ctrlProp34.xml"/><Relationship Id="rId100" Type="http://schemas.openxmlformats.org/officeDocument/2006/relationships/ctrlProp" Target="../ctrlProps/ctrlProp57.xml"/><Relationship Id="rId8" Type="http://schemas.openxmlformats.org/officeDocument/2006/relationships/hyperlink" Target="mailto:iampeterlazer@gmail.com" TargetMode="External"/><Relationship Id="rId98" Type="http://schemas.openxmlformats.org/officeDocument/2006/relationships/ctrlProp" Target="../ctrlProps/ctrlProp55.xml"/><Relationship Id="rId121" Type="http://schemas.openxmlformats.org/officeDocument/2006/relationships/ctrlProp" Target="../ctrlProps/ctrlProp78.xml"/><Relationship Id="rId142" Type="http://schemas.openxmlformats.org/officeDocument/2006/relationships/ctrlProp" Target="../ctrlProps/ctrlProp99.xml"/><Relationship Id="rId163" Type="http://schemas.openxmlformats.org/officeDocument/2006/relationships/ctrlProp" Target="../ctrlProps/ctrlProp120.xml"/><Relationship Id="rId184" Type="http://schemas.openxmlformats.org/officeDocument/2006/relationships/ctrlProp" Target="../ctrlProps/ctrlProp141.xml"/><Relationship Id="rId219" Type="http://schemas.openxmlformats.org/officeDocument/2006/relationships/ctrlProp" Target="../ctrlProps/ctrlProp176.xml"/><Relationship Id="rId230" Type="http://schemas.openxmlformats.org/officeDocument/2006/relationships/ctrlProp" Target="../ctrlProps/ctrlProp187.xml"/><Relationship Id="rId251" Type="http://schemas.openxmlformats.org/officeDocument/2006/relationships/ctrlProp" Target="../ctrlProps/ctrlProp208.xml"/><Relationship Id="rId25" Type="http://schemas.openxmlformats.org/officeDocument/2006/relationships/hyperlink" Target="mailto:rinrinshiorin@hotmail.com" TargetMode="External"/><Relationship Id="rId46" Type="http://schemas.openxmlformats.org/officeDocument/2006/relationships/ctrlProp" Target="../ctrlProps/ctrlProp3.xml"/><Relationship Id="rId67" Type="http://schemas.openxmlformats.org/officeDocument/2006/relationships/ctrlProp" Target="../ctrlProps/ctrlProp24.xml"/><Relationship Id="rId88" Type="http://schemas.openxmlformats.org/officeDocument/2006/relationships/ctrlProp" Target="../ctrlProps/ctrlProp45.xml"/><Relationship Id="rId111" Type="http://schemas.openxmlformats.org/officeDocument/2006/relationships/ctrlProp" Target="../ctrlProps/ctrlProp68.xml"/><Relationship Id="rId132" Type="http://schemas.openxmlformats.org/officeDocument/2006/relationships/ctrlProp" Target="../ctrlProps/ctrlProp89.xml"/><Relationship Id="rId153" Type="http://schemas.openxmlformats.org/officeDocument/2006/relationships/ctrlProp" Target="../ctrlProps/ctrlProp110.xml"/><Relationship Id="rId174" Type="http://schemas.openxmlformats.org/officeDocument/2006/relationships/ctrlProp" Target="../ctrlProps/ctrlProp131.xml"/><Relationship Id="rId195" Type="http://schemas.openxmlformats.org/officeDocument/2006/relationships/ctrlProp" Target="../ctrlProps/ctrlProp152.xml"/><Relationship Id="rId209" Type="http://schemas.openxmlformats.org/officeDocument/2006/relationships/ctrlProp" Target="../ctrlProps/ctrlProp166.xml"/><Relationship Id="rId220" Type="http://schemas.openxmlformats.org/officeDocument/2006/relationships/ctrlProp" Target="../ctrlProps/ctrlProp177.xml"/><Relationship Id="rId241" Type="http://schemas.openxmlformats.org/officeDocument/2006/relationships/ctrlProp" Target="../ctrlProps/ctrlProp198.xml"/><Relationship Id="rId15" Type="http://schemas.openxmlformats.org/officeDocument/2006/relationships/hyperlink" Target="mailto:aiko.mrta014@gmail.com" TargetMode="External"/><Relationship Id="rId36" Type="http://schemas.openxmlformats.org/officeDocument/2006/relationships/hyperlink" Target="mailto:a.yamakawa0626@gmail.com" TargetMode="External"/><Relationship Id="rId57" Type="http://schemas.openxmlformats.org/officeDocument/2006/relationships/ctrlProp" Target="../ctrlProps/ctrlProp14.xml"/><Relationship Id="rId262" Type="http://schemas.openxmlformats.org/officeDocument/2006/relationships/ctrlProp" Target="../ctrlProps/ctrlProp219.xml"/><Relationship Id="rId78" Type="http://schemas.openxmlformats.org/officeDocument/2006/relationships/ctrlProp" Target="../ctrlProps/ctrlProp35.xml"/><Relationship Id="rId99" Type="http://schemas.openxmlformats.org/officeDocument/2006/relationships/ctrlProp" Target="../ctrlProps/ctrlProp56.xml"/><Relationship Id="rId101" Type="http://schemas.openxmlformats.org/officeDocument/2006/relationships/ctrlProp" Target="../ctrlProps/ctrlProp58.xml"/><Relationship Id="rId122" Type="http://schemas.openxmlformats.org/officeDocument/2006/relationships/ctrlProp" Target="../ctrlProps/ctrlProp79.xml"/><Relationship Id="rId143" Type="http://schemas.openxmlformats.org/officeDocument/2006/relationships/ctrlProp" Target="../ctrlProps/ctrlProp100.xml"/><Relationship Id="rId164" Type="http://schemas.openxmlformats.org/officeDocument/2006/relationships/ctrlProp" Target="../ctrlProps/ctrlProp121.xml"/><Relationship Id="rId185" Type="http://schemas.openxmlformats.org/officeDocument/2006/relationships/ctrlProp" Target="../ctrlProps/ctrlProp142.xml"/><Relationship Id="rId9" Type="http://schemas.openxmlformats.org/officeDocument/2006/relationships/hyperlink" Target="mailto:yama-izumi@ymail.ne.jp" TargetMode="External"/><Relationship Id="rId210" Type="http://schemas.openxmlformats.org/officeDocument/2006/relationships/ctrlProp" Target="../ctrlProps/ctrlProp167.xml"/><Relationship Id="rId26" Type="http://schemas.openxmlformats.org/officeDocument/2006/relationships/hyperlink" Target="mailto:hikaru2741@gmail.com" TargetMode="External"/><Relationship Id="rId231" Type="http://schemas.openxmlformats.org/officeDocument/2006/relationships/ctrlProp" Target="../ctrlProps/ctrlProp188.xml"/><Relationship Id="rId252" Type="http://schemas.openxmlformats.org/officeDocument/2006/relationships/ctrlProp" Target="../ctrlProps/ctrlProp209.xml"/><Relationship Id="rId47" Type="http://schemas.openxmlformats.org/officeDocument/2006/relationships/ctrlProp" Target="../ctrlProps/ctrlProp4.xml"/><Relationship Id="rId68" Type="http://schemas.openxmlformats.org/officeDocument/2006/relationships/ctrlProp" Target="../ctrlProps/ctrlProp25.xml"/><Relationship Id="rId89" Type="http://schemas.openxmlformats.org/officeDocument/2006/relationships/ctrlProp" Target="../ctrlProps/ctrlProp46.xml"/><Relationship Id="rId112" Type="http://schemas.openxmlformats.org/officeDocument/2006/relationships/ctrlProp" Target="../ctrlProps/ctrlProp69.xml"/><Relationship Id="rId133" Type="http://schemas.openxmlformats.org/officeDocument/2006/relationships/ctrlProp" Target="../ctrlProps/ctrlProp90.xml"/><Relationship Id="rId154" Type="http://schemas.openxmlformats.org/officeDocument/2006/relationships/ctrlProp" Target="../ctrlProps/ctrlProp111.xml"/><Relationship Id="rId175" Type="http://schemas.openxmlformats.org/officeDocument/2006/relationships/ctrlProp" Target="../ctrlProps/ctrlProp132.xml"/><Relationship Id="rId196" Type="http://schemas.openxmlformats.org/officeDocument/2006/relationships/ctrlProp" Target="../ctrlProps/ctrlProp153.xml"/><Relationship Id="rId200" Type="http://schemas.openxmlformats.org/officeDocument/2006/relationships/ctrlProp" Target="../ctrlProps/ctrlProp157.xml"/><Relationship Id="rId16" Type="http://schemas.openxmlformats.org/officeDocument/2006/relationships/hyperlink" Target="mailto:aiko.mrta014@gmail.com" TargetMode="External"/><Relationship Id="rId221" Type="http://schemas.openxmlformats.org/officeDocument/2006/relationships/ctrlProp" Target="../ctrlProps/ctrlProp178.xml"/><Relationship Id="rId242" Type="http://schemas.openxmlformats.org/officeDocument/2006/relationships/ctrlProp" Target="../ctrlProps/ctrlProp199.xml"/><Relationship Id="rId263" Type="http://schemas.openxmlformats.org/officeDocument/2006/relationships/ctrlProp" Target="../ctrlProps/ctrlProp220.xml"/><Relationship Id="rId37" Type="http://schemas.openxmlformats.org/officeDocument/2006/relationships/hyperlink" Target="mailto:jolly.12241027@docomo.ne.jp" TargetMode="External"/><Relationship Id="rId58" Type="http://schemas.openxmlformats.org/officeDocument/2006/relationships/ctrlProp" Target="../ctrlProps/ctrlProp15.xml"/><Relationship Id="rId79" Type="http://schemas.openxmlformats.org/officeDocument/2006/relationships/ctrlProp" Target="../ctrlProps/ctrlProp36.xml"/><Relationship Id="rId102" Type="http://schemas.openxmlformats.org/officeDocument/2006/relationships/ctrlProp" Target="../ctrlProps/ctrlProp59.xml"/><Relationship Id="rId123" Type="http://schemas.openxmlformats.org/officeDocument/2006/relationships/ctrlProp" Target="../ctrlProps/ctrlProp80.xml"/><Relationship Id="rId144" Type="http://schemas.openxmlformats.org/officeDocument/2006/relationships/ctrlProp" Target="../ctrlProps/ctrlProp101.xml"/><Relationship Id="rId90" Type="http://schemas.openxmlformats.org/officeDocument/2006/relationships/ctrlProp" Target="../ctrlProps/ctrlProp47.xml"/><Relationship Id="rId165" Type="http://schemas.openxmlformats.org/officeDocument/2006/relationships/ctrlProp" Target="../ctrlProps/ctrlProp122.xml"/><Relationship Id="rId186" Type="http://schemas.openxmlformats.org/officeDocument/2006/relationships/ctrlProp" Target="../ctrlProps/ctrlProp143.xml"/><Relationship Id="rId211" Type="http://schemas.openxmlformats.org/officeDocument/2006/relationships/ctrlProp" Target="../ctrlProps/ctrlProp168.xml"/><Relationship Id="rId232" Type="http://schemas.openxmlformats.org/officeDocument/2006/relationships/ctrlProp" Target="../ctrlProps/ctrlProp189.xml"/><Relationship Id="rId253" Type="http://schemas.openxmlformats.org/officeDocument/2006/relationships/ctrlProp" Target="../ctrlProps/ctrlProp210.xml"/><Relationship Id="rId27" Type="http://schemas.openxmlformats.org/officeDocument/2006/relationships/hyperlink" Target="mailto:chocolate05250701@icloud.com" TargetMode="External"/><Relationship Id="rId48" Type="http://schemas.openxmlformats.org/officeDocument/2006/relationships/ctrlProp" Target="../ctrlProps/ctrlProp5.xml"/><Relationship Id="rId69" Type="http://schemas.openxmlformats.org/officeDocument/2006/relationships/ctrlProp" Target="../ctrlProps/ctrlProp26.xml"/><Relationship Id="rId113" Type="http://schemas.openxmlformats.org/officeDocument/2006/relationships/ctrlProp" Target="../ctrlProps/ctrlProp70.xml"/><Relationship Id="rId134" Type="http://schemas.openxmlformats.org/officeDocument/2006/relationships/ctrlProp" Target="../ctrlProps/ctrlProp91.xml"/><Relationship Id="rId80" Type="http://schemas.openxmlformats.org/officeDocument/2006/relationships/ctrlProp" Target="../ctrlProps/ctrlProp37.xml"/><Relationship Id="rId155" Type="http://schemas.openxmlformats.org/officeDocument/2006/relationships/ctrlProp" Target="../ctrlProps/ctrlProp112.xml"/><Relationship Id="rId176" Type="http://schemas.openxmlformats.org/officeDocument/2006/relationships/ctrlProp" Target="../ctrlProps/ctrlProp133.xml"/><Relationship Id="rId197" Type="http://schemas.openxmlformats.org/officeDocument/2006/relationships/ctrlProp" Target="../ctrlProps/ctrlProp154.xml"/><Relationship Id="rId201" Type="http://schemas.openxmlformats.org/officeDocument/2006/relationships/ctrlProp" Target="../ctrlProps/ctrlProp158.xml"/><Relationship Id="rId222" Type="http://schemas.openxmlformats.org/officeDocument/2006/relationships/ctrlProp" Target="../ctrlProps/ctrlProp179.xml"/><Relationship Id="rId243" Type="http://schemas.openxmlformats.org/officeDocument/2006/relationships/ctrlProp" Target="../ctrlProps/ctrlProp200.xml"/><Relationship Id="rId264" Type="http://schemas.openxmlformats.org/officeDocument/2006/relationships/ctrlProp" Target="../ctrlProps/ctrlProp221.xml"/><Relationship Id="rId17" Type="http://schemas.openxmlformats.org/officeDocument/2006/relationships/hyperlink" Target="mailto:cakwtnb31@gmail.com" TargetMode="External"/><Relationship Id="rId38" Type="http://schemas.openxmlformats.org/officeDocument/2006/relationships/hyperlink" Target="mailto:taka-chan.0-2-0-9@docomo.ne.jp" TargetMode="External"/><Relationship Id="rId59" Type="http://schemas.openxmlformats.org/officeDocument/2006/relationships/ctrlProp" Target="../ctrlProps/ctrlProp16.xml"/><Relationship Id="rId103" Type="http://schemas.openxmlformats.org/officeDocument/2006/relationships/ctrlProp" Target="../ctrlProps/ctrlProp60.xml"/><Relationship Id="rId124" Type="http://schemas.openxmlformats.org/officeDocument/2006/relationships/ctrlProp" Target="../ctrlProps/ctrlProp81.xml"/><Relationship Id="rId70" Type="http://schemas.openxmlformats.org/officeDocument/2006/relationships/ctrlProp" Target="../ctrlProps/ctrlProp27.xml"/><Relationship Id="rId91" Type="http://schemas.openxmlformats.org/officeDocument/2006/relationships/ctrlProp" Target="../ctrlProps/ctrlProp48.xml"/><Relationship Id="rId145" Type="http://schemas.openxmlformats.org/officeDocument/2006/relationships/ctrlProp" Target="../ctrlProps/ctrlProp102.xml"/><Relationship Id="rId166" Type="http://schemas.openxmlformats.org/officeDocument/2006/relationships/ctrlProp" Target="../ctrlProps/ctrlProp123.xml"/><Relationship Id="rId187" Type="http://schemas.openxmlformats.org/officeDocument/2006/relationships/ctrlProp" Target="../ctrlProps/ctrlProp144.xml"/><Relationship Id="rId1" Type="http://schemas.openxmlformats.org/officeDocument/2006/relationships/hyperlink" Target="mailto:halka0130@yahoo.co.jp%20is%20Karen%20mail" TargetMode="External"/><Relationship Id="rId212" Type="http://schemas.openxmlformats.org/officeDocument/2006/relationships/ctrlProp" Target="../ctrlProps/ctrlProp169.xml"/><Relationship Id="rId233" Type="http://schemas.openxmlformats.org/officeDocument/2006/relationships/ctrlProp" Target="../ctrlProps/ctrlProp190.xml"/><Relationship Id="rId254" Type="http://schemas.openxmlformats.org/officeDocument/2006/relationships/ctrlProp" Target="../ctrlProps/ctrlProp211.xml"/><Relationship Id="rId28" Type="http://schemas.openxmlformats.org/officeDocument/2006/relationships/hyperlink" Target="mailto:atm20170823@outlook.jp" TargetMode="External"/><Relationship Id="rId49" Type="http://schemas.openxmlformats.org/officeDocument/2006/relationships/ctrlProp" Target="../ctrlProps/ctrlProp6.xml"/><Relationship Id="rId114" Type="http://schemas.openxmlformats.org/officeDocument/2006/relationships/ctrlProp" Target="../ctrlProps/ctrlProp71.xml"/><Relationship Id="rId60" Type="http://schemas.openxmlformats.org/officeDocument/2006/relationships/ctrlProp" Target="../ctrlProps/ctrlProp17.xml"/><Relationship Id="rId81" Type="http://schemas.openxmlformats.org/officeDocument/2006/relationships/ctrlProp" Target="../ctrlProps/ctrlProp38.xml"/><Relationship Id="rId135" Type="http://schemas.openxmlformats.org/officeDocument/2006/relationships/ctrlProp" Target="../ctrlProps/ctrlProp92.xml"/><Relationship Id="rId156" Type="http://schemas.openxmlformats.org/officeDocument/2006/relationships/ctrlProp" Target="../ctrlProps/ctrlProp113.xml"/><Relationship Id="rId177" Type="http://schemas.openxmlformats.org/officeDocument/2006/relationships/ctrlProp" Target="../ctrlProps/ctrlProp134.xml"/><Relationship Id="rId198" Type="http://schemas.openxmlformats.org/officeDocument/2006/relationships/ctrlProp" Target="../ctrlProps/ctrlProp155.xml"/><Relationship Id="rId202" Type="http://schemas.openxmlformats.org/officeDocument/2006/relationships/ctrlProp" Target="../ctrlProps/ctrlProp159.xml"/><Relationship Id="rId223" Type="http://schemas.openxmlformats.org/officeDocument/2006/relationships/ctrlProp" Target="../ctrlProps/ctrlProp180.xml"/><Relationship Id="rId244" Type="http://schemas.openxmlformats.org/officeDocument/2006/relationships/ctrlProp" Target="../ctrlProps/ctrlProp201.xml"/><Relationship Id="rId18" Type="http://schemas.openxmlformats.org/officeDocument/2006/relationships/hyperlink" Target="mailto:cakwtnb31@gmail.com" TargetMode="External"/><Relationship Id="rId39" Type="http://schemas.openxmlformats.org/officeDocument/2006/relationships/hyperlink" Target="mailto:risa.i.1983.0808@gmail.com" TargetMode="External"/><Relationship Id="rId265" Type="http://schemas.openxmlformats.org/officeDocument/2006/relationships/ctrlProp" Target="../ctrlProps/ctrlProp222.xml"/><Relationship Id="rId50" Type="http://schemas.openxmlformats.org/officeDocument/2006/relationships/ctrlProp" Target="../ctrlProps/ctrlProp7.xml"/><Relationship Id="rId104" Type="http://schemas.openxmlformats.org/officeDocument/2006/relationships/ctrlProp" Target="../ctrlProps/ctrlProp61.xml"/><Relationship Id="rId125" Type="http://schemas.openxmlformats.org/officeDocument/2006/relationships/ctrlProp" Target="../ctrlProps/ctrlProp82.xml"/><Relationship Id="rId146" Type="http://schemas.openxmlformats.org/officeDocument/2006/relationships/ctrlProp" Target="../ctrlProps/ctrlProp103.xml"/><Relationship Id="rId167" Type="http://schemas.openxmlformats.org/officeDocument/2006/relationships/ctrlProp" Target="../ctrlProps/ctrlProp124.xml"/><Relationship Id="rId188" Type="http://schemas.openxmlformats.org/officeDocument/2006/relationships/ctrlProp" Target="../ctrlProps/ctrlProp145.xml"/><Relationship Id="rId71" Type="http://schemas.openxmlformats.org/officeDocument/2006/relationships/ctrlProp" Target="../ctrlProps/ctrlProp28.xml"/><Relationship Id="rId92" Type="http://schemas.openxmlformats.org/officeDocument/2006/relationships/ctrlProp" Target="../ctrlProps/ctrlProp49.xml"/><Relationship Id="rId213" Type="http://schemas.openxmlformats.org/officeDocument/2006/relationships/ctrlProp" Target="../ctrlProps/ctrlProp170.xml"/><Relationship Id="rId234" Type="http://schemas.openxmlformats.org/officeDocument/2006/relationships/ctrlProp" Target="../ctrlProps/ctrlProp191.xml"/><Relationship Id="rId2" Type="http://schemas.openxmlformats.org/officeDocument/2006/relationships/hyperlink" Target="mailto:halka0130@yahoo.co.jp%20is%20Karen%20mail" TargetMode="External"/><Relationship Id="rId29" Type="http://schemas.openxmlformats.org/officeDocument/2006/relationships/hyperlink" Target="mailto:tomo_amenimomakezu@yahoo.co.jp" TargetMode="External"/><Relationship Id="rId255" Type="http://schemas.openxmlformats.org/officeDocument/2006/relationships/ctrlProp" Target="../ctrlProps/ctrlProp212.xml"/><Relationship Id="rId40" Type="http://schemas.openxmlformats.org/officeDocument/2006/relationships/hyperlink" Target="mailto:kagochan.s15@gmail.com" TargetMode="External"/><Relationship Id="rId115" Type="http://schemas.openxmlformats.org/officeDocument/2006/relationships/ctrlProp" Target="../ctrlProps/ctrlProp72.xml"/><Relationship Id="rId136" Type="http://schemas.openxmlformats.org/officeDocument/2006/relationships/ctrlProp" Target="../ctrlProps/ctrlProp93.xml"/><Relationship Id="rId157" Type="http://schemas.openxmlformats.org/officeDocument/2006/relationships/ctrlProp" Target="../ctrlProps/ctrlProp114.xml"/><Relationship Id="rId178" Type="http://schemas.openxmlformats.org/officeDocument/2006/relationships/ctrlProp" Target="../ctrlProps/ctrlProp135.xml"/><Relationship Id="rId61" Type="http://schemas.openxmlformats.org/officeDocument/2006/relationships/ctrlProp" Target="../ctrlProps/ctrlProp18.xml"/><Relationship Id="rId82" Type="http://schemas.openxmlformats.org/officeDocument/2006/relationships/ctrlProp" Target="../ctrlProps/ctrlProp39.xml"/><Relationship Id="rId199" Type="http://schemas.openxmlformats.org/officeDocument/2006/relationships/ctrlProp" Target="../ctrlProps/ctrlProp156.xml"/><Relationship Id="rId203" Type="http://schemas.openxmlformats.org/officeDocument/2006/relationships/ctrlProp" Target="../ctrlProps/ctrlProp160.xml"/><Relationship Id="rId19" Type="http://schemas.openxmlformats.org/officeDocument/2006/relationships/hyperlink" Target="mailto:halka0130@yahoo.co.jp" TargetMode="External"/><Relationship Id="rId224" Type="http://schemas.openxmlformats.org/officeDocument/2006/relationships/ctrlProp" Target="../ctrlProps/ctrlProp181.xml"/><Relationship Id="rId245" Type="http://schemas.openxmlformats.org/officeDocument/2006/relationships/ctrlProp" Target="../ctrlProps/ctrlProp202.xml"/><Relationship Id="rId266" Type="http://schemas.openxmlformats.org/officeDocument/2006/relationships/ctrlProp" Target="../ctrlProps/ctrlProp223.xml"/><Relationship Id="rId30" Type="http://schemas.openxmlformats.org/officeDocument/2006/relationships/hyperlink" Target="mailto:harusalmon0122@gmail.com" TargetMode="External"/><Relationship Id="rId105" Type="http://schemas.openxmlformats.org/officeDocument/2006/relationships/ctrlProp" Target="../ctrlProps/ctrlProp62.xml"/><Relationship Id="rId126" Type="http://schemas.openxmlformats.org/officeDocument/2006/relationships/ctrlProp" Target="../ctrlProps/ctrlProp83.xml"/><Relationship Id="rId147" Type="http://schemas.openxmlformats.org/officeDocument/2006/relationships/ctrlProp" Target="../ctrlProps/ctrlProp104.xml"/><Relationship Id="rId168" Type="http://schemas.openxmlformats.org/officeDocument/2006/relationships/ctrlProp" Target="../ctrlProps/ctrlProp125.xml"/><Relationship Id="rId51" Type="http://schemas.openxmlformats.org/officeDocument/2006/relationships/ctrlProp" Target="../ctrlProps/ctrlProp8.xml"/><Relationship Id="rId72" Type="http://schemas.openxmlformats.org/officeDocument/2006/relationships/ctrlProp" Target="../ctrlProps/ctrlProp29.xml"/><Relationship Id="rId93" Type="http://schemas.openxmlformats.org/officeDocument/2006/relationships/ctrlProp" Target="../ctrlProps/ctrlProp50.xml"/><Relationship Id="rId189" Type="http://schemas.openxmlformats.org/officeDocument/2006/relationships/ctrlProp" Target="../ctrlProps/ctrlProp146.xml"/><Relationship Id="rId3" Type="http://schemas.openxmlformats.org/officeDocument/2006/relationships/hyperlink" Target="mailto:halka0130@yahoo.co.jp%20is%20Karen%20mail" TargetMode="External"/><Relationship Id="rId214" Type="http://schemas.openxmlformats.org/officeDocument/2006/relationships/ctrlProp" Target="../ctrlProps/ctrlProp171.xml"/><Relationship Id="rId235" Type="http://schemas.openxmlformats.org/officeDocument/2006/relationships/ctrlProp" Target="../ctrlProps/ctrlProp192.xml"/><Relationship Id="rId256" Type="http://schemas.openxmlformats.org/officeDocument/2006/relationships/ctrlProp" Target="../ctrlProps/ctrlProp213.xml"/><Relationship Id="rId116" Type="http://schemas.openxmlformats.org/officeDocument/2006/relationships/ctrlProp" Target="../ctrlProps/ctrlProp73.xml"/><Relationship Id="rId137" Type="http://schemas.openxmlformats.org/officeDocument/2006/relationships/ctrlProp" Target="../ctrlProps/ctrlProp94.xml"/><Relationship Id="rId158" Type="http://schemas.openxmlformats.org/officeDocument/2006/relationships/ctrlProp" Target="../ctrlProps/ctrlProp115.xml"/><Relationship Id="rId20" Type="http://schemas.openxmlformats.org/officeDocument/2006/relationships/hyperlink" Target="mailto:yasunorinozomi@yahoo.co.jp" TargetMode="External"/><Relationship Id="rId41" Type="http://schemas.openxmlformats.org/officeDocument/2006/relationships/printerSettings" Target="../printerSettings/printerSettings1.bin"/><Relationship Id="rId62" Type="http://schemas.openxmlformats.org/officeDocument/2006/relationships/ctrlProp" Target="../ctrlProps/ctrlProp19.xml"/><Relationship Id="rId83" Type="http://schemas.openxmlformats.org/officeDocument/2006/relationships/ctrlProp" Target="../ctrlProps/ctrlProp40.xml"/><Relationship Id="rId179" Type="http://schemas.openxmlformats.org/officeDocument/2006/relationships/ctrlProp" Target="../ctrlProps/ctrlProp136.xml"/><Relationship Id="rId190" Type="http://schemas.openxmlformats.org/officeDocument/2006/relationships/ctrlProp" Target="../ctrlProps/ctrlProp147.xml"/><Relationship Id="rId204" Type="http://schemas.openxmlformats.org/officeDocument/2006/relationships/ctrlProp" Target="../ctrlProps/ctrlProp161.xml"/><Relationship Id="rId225" Type="http://schemas.openxmlformats.org/officeDocument/2006/relationships/ctrlProp" Target="../ctrlProps/ctrlProp182.xml"/><Relationship Id="rId246" Type="http://schemas.openxmlformats.org/officeDocument/2006/relationships/ctrlProp" Target="../ctrlProps/ctrlProp203.xml"/><Relationship Id="rId267" Type="http://schemas.openxmlformats.org/officeDocument/2006/relationships/ctrlProp" Target="../ctrlProps/ctrlProp224.xml"/><Relationship Id="rId106" Type="http://schemas.openxmlformats.org/officeDocument/2006/relationships/ctrlProp" Target="../ctrlProps/ctrlProp63.xml"/><Relationship Id="rId127" Type="http://schemas.openxmlformats.org/officeDocument/2006/relationships/ctrlProp" Target="../ctrlProps/ctrlProp84.xml"/><Relationship Id="rId10" Type="http://schemas.openxmlformats.org/officeDocument/2006/relationships/hyperlink" Target="mailto:prunus_mume2@yahoo.co.jp" TargetMode="External"/><Relationship Id="rId31" Type="http://schemas.openxmlformats.org/officeDocument/2006/relationships/hyperlink" Target="mailto:hideari@gmail.com" TargetMode="External"/><Relationship Id="rId52" Type="http://schemas.openxmlformats.org/officeDocument/2006/relationships/ctrlProp" Target="../ctrlProps/ctrlProp9.xml"/><Relationship Id="rId73" Type="http://schemas.openxmlformats.org/officeDocument/2006/relationships/ctrlProp" Target="../ctrlProps/ctrlProp30.xml"/><Relationship Id="rId94" Type="http://schemas.openxmlformats.org/officeDocument/2006/relationships/ctrlProp" Target="../ctrlProps/ctrlProp51.xml"/><Relationship Id="rId148" Type="http://schemas.openxmlformats.org/officeDocument/2006/relationships/ctrlProp" Target="../ctrlProps/ctrlProp105.xml"/><Relationship Id="rId169" Type="http://schemas.openxmlformats.org/officeDocument/2006/relationships/ctrlProp" Target="../ctrlProps/ctrlProp126.xml"/><Relationship Id="rId4" Type="http://schemas.openxmlformats.org/officeDocument/2006/relationships/hyperlink" Target="mailto:sweet.u.tan.sys15@gmail.com" TargetMode="External"/><Relationship Id="rId180" Type="http://schemas.openxmlformats.org/officeDocument/2006/relationships/ctrlProp" Target="../ctrlProps/ctrlProp137.xml"/><Relationship Id="rId215" Type="http://schemas.openxmlformats.org/officeDocument/2006/relationships/ctrlProp" Target="../ctrlProps/ctrlProp172.xml"/><Relationship Id="rId236" Type="http://schemas.openxmlformats.org/officeDocument/2006/relationships/ctrlProp" Target="../ctrlProps/ctrlProp193.xml"/><Relationship Id="rId257" Type="http://schemas.openxmlformats.org/officeDocument/2006/relationships/ctrlProp" Target="../ctrlProps/ctrlProp214.xml"/><Relationship Id="rId42" Type="http://schemas.openxmlformats.org/officeDocument/2006/relationships/drawing" Target="../drawings/drawing1.xml"/><Relationship Id="rId84" Type="http://schemas.openxmlformats.org/officeDocument/2006/relationships/ctrlProp" Target="../ctrlProps/ctrlProp41.xml"/><Relationship Id="rId138" Type="http://schemas.openxmlformats.org/officeDocument/2006/relationships/ctrlProp" Target="../ctrlProps/ctrlProp95.xml"/><Relationship Id="rId191" Type="http://schemas.openxmlformats.org/officeDocument/2006/relationships/ctrlProp" Target="../ctrlProps/ctrlProp148.xml"/><Relationship Id="rId205" Type="http://schemas.openxmlformats.org/officeDocument/2006/relationships/ctrlProp" Target="../ctrlProps/ctrlProp162.xml"/><Relationship Id="rId247" Type="http://schemas.openxmlformats.org/officeDocument/2006/relationships/ctrlProp" Target="../ctrlProps/ctrlProp204.xml"/><Relationship Id="rId107" Type="http://schemas.openxmlformats.org/officeDocument/2006/relationships/ctrlProp" Target="../ctrlProps/ctrlProp64.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26.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trlProp" Target="../ctrlProps/ctrlProp228.xml"/><Relationship Id="rId4" Type="http://schemas.openxmlformats.org/officeDocument/2006/relationships/ctrlProp" Target="../ctrlProps/ctrlProp227.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234.xml"/><Relationship Id="rId13" Type="http://schemas.openxmlformats.org/officeDocument/2006/relationships/ctrlProp" Target="../ctrlProps/ctrlProp239.xml"/><Relationship Id="rId3" Type="http://schemas.openxmlformats.org/officeDocument/2006/relationships/ctrlProp" Target="../ctrlProps/ctrlProp229.xml"/><Relationship Id="rId7" Type="http://schemas.openxmlformats.org/officeDocument/2006/relationships/ctrlProp" Target="../ctrlProps/ctrlProp233.xml"/><Relationship Id="rId12" Type="http://schemas.openxmlformats.org/officeDocument/2006/relationships/ctrlProp" Target="../ctrlProps/ctrlProp238.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232.xml"/><Relationship Id="rId11" Type="http://schemas.openxmlformats.org/officeDocument/2006/relationships/ctrlProp" Target="../ctrlProps/ctrlProp237.xml"/><Relationship Id="rId5" Type="http://schemas.openxmlformats.org/officeDocument/2006/relationships/ctrlProp" Target="../ctrlProps/ctrlProp231.xml"/><Relationship Id="rId10" Type="http://schemas.openxmlformats.org/officeDocument/2006/relationships/ctrlProp" Target="../ctrlProps/ctrlProp236.xml"/><Relationship Id="rId4" Type="http://schemas.openxmlformats.org/officeDocument/2006/relationships/ctrlProp" Target="../ctrlProps/ctrlProp230.xml"/><Relationship Id="rId9" Type="http://schemas.openxmlformats.org/officeDocument/2006/relationships/ctrlProp" Target="../ctrlProps/ctrlProp235.xml"/><Relationship Id="rId14" Type="http://schemas.openxmlformats.org/officeDocument/2006/relationships/ctrlProp" Target="../ctrlProps/ctrlProp240.xml"/></Relationships>
</file>

<file path=xl/worksheets/_rels/sheet6.xml.rels><?xml version="1.0" encoding="UTF-8" standalone="yes"?>
<Relationships xmlns="http://schemas.openxmlformats.org/package/2006/relationships"><Relationship Id="rId13" Type="http://schemas.openxmlformats.org/officeDocument/2006/relationships/hyperlink" Target="mailto:shimamoko178@yahoo.co.jp" TargetMode="External"/><Relationship Id="rId18" Type="http://schemas.openxmlformats.org/officeDocument/2006/relationships/hyperlink" Target="mailto:mako543366@gmail.com" TargetMode="External"/><Relationship Id="rId26" Type="http://schemas.openxmlformats.org/officeDocument/2006/relationships/hyperlink" Target="mailto:meguya_h@yahoo.co.jp" TargetMode="External"/><Relationship Id="rId39" Type="http://schemas.openxmlformats.org/officeDocument/2006/relationships/hyperlink" Target="mailto:kanyacoo@gmail.com" TargetMode="External"/><Relationship Id="rId21" Type="http://schemas.openxmlformats.org/officeDocument/2006/relationships/hyperlink" Target="mailto:mu25fukuhime@gmail.com" TargetMode="External"/><Relationship Id="rId34" Type="http://schemas.openxmlformats.org/officeDocument/2006/relationships/hyperlink" Target="mailto:iwataryoko0118@gmail.com" TargetMode="External"/><Relationship Id="rId42" Type="http://schemas.openxmlformats.org/officeDocument/2006/relationships/hyperlink" Target="mailto:chry0607@yahoo.co.jp" TargetMode="External"/><Relationship Id="rId47" Type="http://schemas.openxmlformats.org/officeDocument/2006/relationships/hyperlink" Target="mailto:yuinakae0113@gmail.com" TargetMode="External"/><Relationship Id="rId50" Type="http://schemas.openxmlformats.org/officeDocument/2006/relationships/hyperlink" Target="mailto:natsuki9244@yahoo.co.jp" TargetMode="External"/><Relationship Id="rId7" Type="http://schemas.openxmlformats.org/officeDocument/2006/relationships/hyperlink" Target="mailto:haruki2741@gmail.com" TargetMode="External"/><Relationship Id="rId2" Type="http://schemas.openxmlformats.org/officeDocument/2006/relationships/hyperlink" Target="mailto:halka0130@yahoo.co.jp" TargetMode="External"/><Relationship Id="rId16" Type="http://schemas.openxmlformats.org/officeDocument/2006/relationships/hyperlink" Target="mailto:sawa.looksupto.u@icloud.com" TargetMode="External"/><Relationship Id="rId29" Type="http://schemas.openxmlformats.org/officeDocument/2006/relationships/hyperlink" Target="mailto:a-yan727@icloud.com" TargetMode="External"/><Relationship Id="rId11" Type="http://schemas.openxmlformats.org/officeDocument/2006/relationships/hyperlink" Target="mailto:prunus_mume2@yahoo.co.jp" TargetMode="External"/><Relationship Id="rId24" Type="http://schemas.openxmlformats.org/officeDocument/2006/relationships/hyperlink" Target="mailto:t0nn0e_0905@yahoo.co.jp" TargetMode="External"/><Relationship Id="rId32" Type="http://schemas.openxmlformats.org/officeDocument/2006/relationships/hyperlink" Target="mailto:hhaaapr210950@gmail.com" TargetMode="External"/><Relationship Id="rId37" Type="http://schemas.openxmlformats.org/officeDocument/2006/relationships/hyperlink" Target="mailto:risa.i.1983.0808@gmail.com" TargetMode="External"/><Relationship Id="rId40" Type="http://schemas.openxmlformats.org/officeDocument/2006/relationships/hyperlink" Target="mailto:yorozuyurika@gmail.com" TargetMode="External"/><Relationship Id="rId45" Type="http://schemas.openxmlformats.org/officeDocument/2006/relationships/hyperlink" Target="mailto:satobe0424@gmail.com%3e" TargetMode="External"/><Relationship Id="rId53" Type="http://schemas.openxmlformats.org/officeDocument/2006/relationships/drawing" Target="../drawings/drawing4.xml"/><Relationship Id="rId5" Type="http://schemas.openxmlformats.org/officeDocument/2006/relationships/hyperlink" Target="mailto:shiina.19880615@gmail.com" TargetMode="External"/><Relationship Id="rId10" Type="http://schemas.openxmlformats.org/officeDocument/2006/relationships/hyperlink" Target="mailto:atonemasami@gmail.com" TargetMode="External"/><Relationship Id="rId19" Type="http://schemas.openxmlformats.org/officeDocument/2006/relationships/hyperlink" Target="mailto:shu.kanouchi@icloud.com" TargetMode="External"/><Relationship Id="rId31" Type="http://schemas.openxmlformats.org/officeDocument/2006/relationships/hyperlink" Target="mailto:m.haruta0219@gmail.com" TargetMode="External"/><Relationship Id="rId44" Type="http://schemas.openxmlformats.org/officeDocument/2006/relationships/hyperlink" Target="mailto:oruuv05671@yahoo.co.jp" TargetMode="External"/><Relationship Id="rId52" Type="http://schemas.openxmlformats.org/officeDocument/2006/relationships/hyperlink" Target="mailto:tomtomary@yahoo.co.jp" TargetMode="External"/><Relationship Id="rId4" Type="http://schemas.openxmlformats.org/officeDocument/2006/relationships/hyperlink" Target="mailto:hatsumi0911.la@gmail.com" TargetMode="External"/><Relationship Id="rId9" Type="http://schemas.openxmlformats.org/officeDocument/2006/relationships/hyperlink" Target="mailto:yorozoyurika@gmail.com" TargetMode="External"/><Relationship Id="rId14" Type="http://schemas.openxmlformats.org/officeDocument/2006/relationships/hyperlink" Target="mailto:riekorange1123@icloud.com" TargetMode="External"/><Relationship Id="rId22" Type="http://schemas.openxmlformats.org/officeDocument/2006/relationships/hyperlink" Target="mailto:monamame@outlook.jp" TargetMode="External"/><Relationship Id="rId27" Type="http://schemas.openxmlformats.org/officeDocument/2006/relationships/hyperlink" Target="mailto:chiery0723@gmail.com" TargetMode="External"/><Relationship Id="rId30" Type="http://schemas.openxmlformats.org/officeDocument/2006/relationships/hyperlink" Target="mailto:rdmctueg@ezweb.ne.jp" TargetMode="External"/><Relationship Id="rId35" Type="http://schemas.openxmlformats.org/officeDocument/2006/relationships/hyperlink" Target="mailto:jolly.12241027@docomo.ne.jp" TargetMode="External"/><Relationship Id="rId43" Type="http://schemas.openxmlformats.org/officeDocument/2006/relationships/hyperlink" Target="mailto:ayanone203@gmail.com" TargetMode="External"/><Relationship Id="rId48" Type="http://schemas.openxmlformats.org/officeDocument/2006/relationships/hyperlink" Target="mailto:omarupio3104@gmail.com" TargetMode="External"/><Relationship Id="rId8" Type="http://schemas.openxmlformats.org/officeDocument/2006/relationships/hyperlink" Target="mailto:machabebe@yahoo" TargetMode="External"/><Relationship Id="rId51" Type="http://schemas.openxmlformats.org/officeDocument/2006/relationships/hyperlink" Target="mailto:kiwajj0814@icloud.com" TargetMode="External"/><Relationship Id="rId3" Type="http://schemas.openxmlformats.org/officeDocument/2006/relationships/hyperlink" Target="mailto:yukino.540lll@gmail.com" TargetMode="External"/><Relationship Id="rId12" Type="http://schemas.openxmlformats.org/officeDocument/2006/relationships/hyperlink" Target="mailto:yama-izumi@ymail.ne.jp" TargetMode="External"/><Relationship Id="rId17" Type="http://schemas.openxmlformats.org/officeDocument/2006/relationships/hyperlink" Target="mailto:himchani5@gmail.com" TargetMode="External"/><Relationship Id="rId25" Type="http://schemas.openxmlformats.org/officeDocument/2006/relationships/hyperlink" Target="mailto:s7w5w88x@gmail.com" TargetMode="External"/><Relationship Id="rId33" Type="http://schemas.openxmlformats.org/officeDocument/2006/relationships/hyperlink" Target="mailto:yasuko5221@yahoo.co.jp" TargetMode="External"/><Relationship Id="rId38" Type="http://schemas.openxmlformats.org/officeDocument/2006/relationships/hyperlink" Target="mailto:tncoco33@gmail.com" TargetMode="External"/><Relationship Id="rId46" Type="http://schemas.openxmlformats.org/officeDocument/2006/relationships/hyperlink" Target="mailto:sayo320193@gmail.com" TargetMode="External"/><Relationship Id="rId20" Type="http://schemas.openxmlformats.org/officeDocument/2006/relationships/hyperlink" Target="mailto:aiko.mrta014@gmail.com" TargetMode="External"/><Relationship Id="rId41" Type="http://schemas.openxmlformats.org/officeDocument/2006/relationships/hyperlink" Target="mailto:laestrellarosa@docomo.ne.jp" TargetMode="External"/><Relationship Id="rId54" Type="http://schemas.openxmlformats.org/officeDocument/2006/relationships/table" Target="../tables/table2.xml"/><Relationship Id="rId1" Type="http://schemas.openxmlformats.org/officeDocument/2006/relationships/hyperlink" Target="mailto:cakwtnb31@gmail.com" TargetMode="External"/><Relationship Id="rId6" Type="http://schemas.openxmlformats.org/officeDocument/2006/relationships/hyperlink" Target="mailto:haruro021@gmail.com" TargetMode="External"/><Relationship Id="rId15" Type="http://schemas.openxmlformats.org/officeDocument/2006/relationships/hyperlink" Target="mailto:riekorange1123@icloud.com" TargetMode="External"/><Relationship Id="rId23" Type="http://schemas.openxmlformats.org/officeDocument/2006/relationships/hyperlink" Target="mailto:yasunorinozomi@yahoo.co.jp" TargetMode="External"/><Relationship Id="rId28" Type="http://schemas.openxmlformats.org/officeDocument/2006/relationships/hyperlink" Target="mailto:chocolate05250701@icloud.com" TargetMode="External"/><Relationship Id="rId36" Type="http://schemas.openxmlformats.org/officeDocument/2006/relationships/hyperlink" Target="mailto:us0904si@yahoo.co.jp" TargetMode="External"/><Relationship Id="rId49" Type="http://schemas.openxmlformats.org/officeDocument/2006/relationships/hyperlink" Target="mailto:kagochan.s15@gmail.com" TargetMode="External"/></Relationships>
</file>

<file path=xl/worksheets/_rels/sheet8.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2" Type="http://schemas.openxmlformats.org/officeDocument/2006/relationships/pivotTable" Target="../pivotTables/pivotTable12.xml"/><Relationship Id="rId1" Type="http://schemas.openxmlformats.org/officeDocument/2006/relationships/pivotTable" Target="../pivotTables/pivotTable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S260"/>
  <sheetViews>
    <sheetView zoomScale="115" zoomScaleNormal="115" workbookViewId="0">
      <pane ySplit="2" topLeftCell="A225" activePane="bottomLeft" state="frozen"/>
      <selection pane="bottomLeft" activeCell="B232" sqref="B232"/>
    </sheetView>
  </sheetViews>
  <sheetFormatPr defaultRowHeight="18" customHeight="1"/>
  <cols>
    <col min="1" max="1" width="16" customWidth="1"/>
    <col min="2" max="2" width="16.3984375" customWidth="1"/>
    <col min="3" max="3" width="11.86328125" customWidth="1"/>
    <col min="4" max="4" width="18.1328125" customWidth="1"/>
    <col min="5" max="5" width="18.3984375" customWidth="1"/>
    <col min="6" max="6" width="16.86328125" hidden="1" customWidth="1"/>
    <col min="7" max="7" width="8" customWidth="1"/>
    <col min="8" max="8" width="7" customWidth="1"/>
    <col min="9" max="9" width="5.59765625" customWidth="1"/>
    <col min="10" max="10" width="24.73046875" customWidth="1"/>
    <col min="11" max="11" width="13.1328125" bestFit="1" customWidth="1"/>
    <col min="12" max="12" width="16.1328125" customWidth="1"/>
    <col min="13" max="13" width="10.86328125" customWidth="1"/>
    <col min="14" max="14" width="17.3984375" customWidth="1"/>
    <col min="15" max="17" width="15.3984375" customWidth="1"/>
    <col min="18" max="19" width="20.86328125" customWidth="1"/>
    <col min="20" max="20" width="38.265625" customWidth="1"/>
    <col min="21" max="22" width="20.86328125" customWidth="1"/>
    <col min="23" max="23" width="14.3984375" customWidth="1"/>
    <col min="24" max="24" width="5.86328125" customWidth="1"/>
    <col min="25" max="25" width="45.3984375" customWidth="1"/>
    <col min="26" max="26" width="14.1328125" customWidth="1"/>
    <col min="27" max="27" width="14.265625" customWidth="1"/>
    <col min="28" max="28" width="28.3984375" customWidth="1"/>
    <col min="29" max="29" width="17.73046875" customWidth="1"/>
    <col min="30" max="30" width="18.265625" customWidth="1"/>
    <col min="31" max="31" width="24" style="130" customWidth="1"/>
    <col min="32" max="32" width="21.73046875" hidden="1" customWidth="1"/>
    <col min="33" max="33" width="21.86328125" hidden="1" customWidth="1"/>
    <col min="34" max="34" width="21.59765625" hidden="1" customWidth="1"/>
    <col min="35" max="35" width="21.86328125" hidden="1" customWidth="1"/>
    <col min="36" max="36" width="65.86328125" hidden="1" customWidth="1"/>
    <col min="37" max="37" width="33.265625" hidden="1" customWidth="1"/>
    <col min="38" max="38" width="18.1328125" customWidth="1"/>
    <col min="39" max="39" width="19.265625" customWidth="1"/>
    <col min="40" max="41" width="18.73046875" style="38" customWidth="1"/>
    <col min="42" max="42" width="23.1328125" customWidth="1"/>
    <col min="43" max="43" width="17.3984375" customWidth="1"/>
    <col min="44" max="44" width="15.59765625" customWidth="1"/>
    <col min="45" max="45" width="22.265625" customWidth="1"/>
    <col min="46" max="46" width="20.86328125" customWidth="1"/>
    <col min="47" max="47" width="12.1328125" customWidth="1"/>
    <col min="48" max="48" width="11.3984375" customWidth="1"/>
    <col min="49" max="50" width="20.59765625" customWidth="1"/>
    <col min="51" max="51" width="15.86328125" customWidth="1"/>
    <col min="52" max="52" width="21" customWidth="1"/>
    <col min="53" max="53" width="21.59765625" customWidth="1"/>
    <col min="54" max="54" width="15.59765625" customWidth="1"/>
    <col min="55" max="57" width="20.1328125" customWidth="1"/>
    <col min="58" max="58" width="17.73046875" customWidth="1"/>
    <col min="59" max="59" width="19.86328125" customWidth="1"/>
    <col min="60" max="60" width="18.265625" customWidth="1"/>
    <col min="61" max="61" width="19.86328125" customWidth="1"/>
    <col min="62" max="63" width="19.3984375" customWidth="1"/>
    <col min="64" max="64" width="16.265625" customWidth="1"/>
    <col min="65" max="65" width="14.3984375" customWidth="1"/>
    <col min="66" max="66" width="16.1328125" customWidth="1"/>
    <col min="67" max="67" width="14.86328125" customWidth="1"/>
    <col min="68" max="68" width="18" customWidth="1"/>
    <col min="69" max="69" width="15.73046875" style="38" customWidth="1"/>
    <col min="70" max="70" width="13.265625" customWidth="1"/>
  </cols>
  <sheetData>
    <row r="1" spans="1:71" ht="30.75" customHeight="1">
      <c r="A1" s="119" t="s">
        <v>0</v>
      </c>
      <c r="B1" s="119" t="s">
        <v>1</v>
      </c>
      <c r="C1" s="126" t="s">
        <v>2</v>
      </c>
      <c r="D1" s="126" t="s">
        <v>3</v>
      </c>
      <c r="E1" s="119" t="s">
        <v>4</v>
      </c>
      <c r="F1" s="119" t="s">
        <v>5</v>
      </c>
      <c r="G1" s="119" t="s">
        <v>6</v>
      </c>
      <c r="H1" s="119" t="s">
        <v>7</v>
      </c>
      <c r="I1" s="119" t="s">
        <v>8</v>
      </c>
      <c r="J1" s="126" t="s">
        <v>9</v>
      </c>
      <c r="K1" s="126" t="s">
        <v>10</v>
      </c>
      <c r="L1" s="126" t="s">
        <v>11</v>
      </c>
      <c r="M1" s="126" t="s">
        <v>12</v>
      </c>
      <c r="N1" s="126" t="s">
        <v>13</v>
      </c>
      <c r="O1" s="132" t="s">
        <v>14</v>
      </c>
      <c r="P1" s="132" t="s">
        <v>2028</v>
      </c>
      <c r="Q1" s="132" t="s">
        <v>2029</v>
      </c>
      <c r="R1" s="132" t="s">
        <v>15</v>
      </c>
      <c r="S1" s="132" t="s">
        <v>16</v>
      </c>
      <c r="T1" s="132" t="s">
        <v>17</v>
      </c>
      <c r="U1" s="132" t="s">
        <v>18</v>
      </c>
      <c r="V1" s="119" t="s">
        <v>19</v>
      </c>
      <c r="W1" s="119" t="s">
        <v>20</v>
      </c>
      <c r="X1" s="120" t="s">
        <v>21</v>
      </c>
      <c r="Y1" t="s">
        <v>22</v>
      </c>
      <c r="Z1" s="119" t="s">
        <v>23</v>
      </c>
      <c r="AA1" s="119" t="s">
        <v>24</v>
      </c>
      <c r="AB1" s="119" t="s">
        <v>25</v>
      </c>
      <c r="AC1" s="119" t="s">
        <v>26</v>
      </c>
      <c r="AD1" s="133" t="s">
        <v>27</v>
      </c>
      <c r="AE1" s="119" t="s">
        <v>28</v>
      </c>
      <c r="AF1" s="119" t="s">
        <v>29</v>
      </c>
      <c r="AG1" s="119" t="s">
        <v>30</v>
      </c>
      <c r="AH1" s="119" t="s">
        <v>31</v>
      </c>
      <c r="AI1" s="119" t="s">
        <v>32</v>
      </c>
      <c r="AJ1" s="119" t="s">
        <v>33</v>
      </c>
      <c r="AK1" s="119" t="s">
        <v>34</v>
      </c>
      <c r="AL1" s="119" t="s">
        <v>35</v>
      </c>
      <c r="AM1" s="131" t="s">
        <v>36</v>
      </c>
      <c r="AN1" s="131" t="s">
        <v>37</v>
      </c>
      <c r="AO1" s="119" t="s">
        <v>38</v>
      </c>
      <c r="AP1" s="119" t="s">
        <v>39</v>
      </c>
      <c r="AQ1" s="119" t="s">
        <v>40</v>
      </c>
      <c r="AR1" s="96" t="s">
        <v>41</v>
      </c>
      <c r="AS1" s="96" t="s">
        <v>42</v>
      </c>
      <c r="AT1" s="96" t="s">
        <v>43</v>
      </c>
      <c r="AU1" s="96" t="s">
        <v>44</v>
      </c>
      <c r="AV1" s="96" t="s">
        <v>45</v>
      </c>
      <c r="AW1" s="96" t="s">
        <v>46</v>
      </c>
      <c r="AX1" s="96" t="s">
        <v>47</v>
      </c>
      <c r="AY1" s="96" t="s">
        <v>48</v>
      </c>
      <c r="AZ1" s="96" t="s">
        <v>49</v>
      </c>
      <c r="BA1" s="96" t="s">
        <v>50</v>
      </c>
      <c r="BB1" s="96" t="s">
        <v>51</v>
      </c>
      <c r="BC1" s="96" t="s">
        <v>52</v>
      </c>
      <c r="BD1" s="96" t="s">
        <v>53</v>
      </c>
      <c r="BE1" s="96" t="s">
        <v>54</v>
      </c>
      <c r="BF1" s="96" t="s">
        <v>55</v>
      </c>
      <c r="BG1" s="96" t="s">
        <v>56</v>
      </c>
      <c r="BH1" s="96" t="s">
        <v>57</v>
      </c>
      <c r="BI1" s="96" t="s">
        <v>58</v>
      </c>
      <c r="BJ1" s="96" t="s">
        <v>59</v>
      </c>
      <c r="BK1" s="96" t="s">
        <v>60</v>
      </c>
      <c r="BL1" s="134" t="s">
        <v>61</v>
      </c>
      <c r="BM1" s="134" t="s">
        <v>62</v>
      </c>
      <c r="BN1" s="134" t="s">
        <v>63</v>
      </c>
      <c r="BO1" s="134" t="s">
        <v>64</v>
      </c>
      <c r="BP1" s="134" t="s">
        <v>65</v>
      </c>
      <c r="BS1" s="138" t="e">
        <f>SUM(BM:BM)</f>
        <v>#N/A</v>
      </c>
    </row>
    <row r="2" spans="1:71" ht="36" customHeight="1">
      <c r="A2" s="153"/>
      <c r="B2" s="153"/>
      <c r="C2" s="180"/>
      <c r="D2" s="180"/>
      <c r="E2" s="153"/>
      <c r="F2" s="153"/>
      <c r="G2" s="153"/>
      <c r="H2" s="153"/>
      <c r="I2" s="185" t="str">
        <f>IFERROR(HYPERLINK("#Finance!B" &amp; MATCH(A2, 'F 2025'!A:A, 0), "🔗 Go to finance"), "❌ ID introuvable")</f>
        <v>❌ ID introuvable</v>
      </c>
      <c r="J2" s="180"/>
      <c r="K2" s="180"/>
      <c r="L2" s="180"/>
      <c r="M2" s="180"/>
      <c r="N2" s="180"/>
      <c r="O2" s="181"/>
      <c r="P2" s="181"/>
      <c r="Q2" s="181"/>
      <c r="R2" s="181"/>
      <c r="S2" s="181"/>
      <c r="T2" s="181"/>
      <c r="U2" s="181"/>
      <c r="V2" s="185"/>
      <c r="W2" s="182"/>
      <c r="X2" s="182"/>
      <c r="Y2" s="153"/>
      <c r="Z2" s="153"/>
      <c r="AA2" s="153"/>
      <c r="AB2" s="186"/>
      <c r="AC2" s="153"/>
      <c r="AD2" s="183"/>
      <c r="AE2" s="153"/>
      <c r="AF2" s="153"/>
      <c r="AG2" s="153"/>
      <c r="AH2" s="153"/>
      <c r="AI2" s="186"/>
      <c r="AJ2" s="153"/>
      <c r="AK2" s="153"/>
      <c r="AL2" s="153"/>
      <c r="AM2" s="187"/>
      <c r="AN2" s="184"/>
      <c r="AO2" s="153"/>
      <c r="AP2" s="153"/>
      <c r="AQ2" s="153"/>
      <c r="AR2" s="188" t="str">
        <f t="shared" ref="AR2:AR33" si="0">IF(OR(ISNUMBER(SEARCH("private",K2)), ISNUMBER(SEARCH("プら",K2)), ISNUMBER(SEARCH("プら,大人",K2)), ISNUMBER(SEARCH("セミプラ",K2))), "private", IF(OR(ISNUMBER(SEARCH("group",K2)), ISNUMBER(SEARCH("グループ",K2)), ISNUMBER(SEARCH("gr",K2))), "group", ""))</f>
        <v/>
      </c>
      <c r="AS2" s="188" t="str">
        <f t="shared" ref="AS2:AS33" si="1">IF(J2&lt;&gt;"", IF(N2="", 4, N2), "")</f>
        <v/>
      </c>
      <c r="AT2" s="188" t="str">
        <f>IF(Table1[[#This Row],[Joining Date]]="", "", TEXT(Table1[[#This Row],[Joining Date]], "mmm"))</f>
        <v/>
      </c>
      <c r="AU2" s="188" t="str">
        <f>IF(Table1[[#This Row],[Joining Date]]="", "", YEAR(Table1[[#This Row],[Joining Date]]))</f>
        <v/>
      </c>
      <c r="AV2" s="188" t="str">
        <f>IF(Table1[[#This Row],[Group Name]]="","", M2 &amp; Table1[[#This Row],[Teacher]])</f>
        <v/>
      </c>
      <c r="AW2" s="188" t="str">
        <f>IF(Table1[[#This Row],[Helper]]="","",IF(_xlfn.MAXIFS(AT:AT,AW:AW,Table1[[#This Row],[Helper]])=Table1[[#This Row],[Clean Frequency]],_xlfn.MAXIFS(AT:AT,AW:AW,Table1[[#This Row],[Helper]]),""))</f>
        <v/>
      </c>
      <c r="AX2" s="188" t="str">
        <f ca="1">IF(AND(AW2=_xlfn.MAXIFS(AX:AX, AW:AW, AV2), COUNTIFS(AV$2:AV2, AV2, AW$2:AW2, AW2)=1), 1, "")</f>
        <v/>
      </c>
      <c r="AY2" s="188" t="str">
        <f>IF(Table1[[#This Row],[lesson type]]="private",Table1[[#This Row],[Clean Frequency]],"")</f>
        <v/>
      </c>
      <c r="AZ2" s="188" t="str">
        <f ca="1">IF(Table1[[#This Row],[First Occurrence]]=1,Table1[[#This Row],[Group Frequency]],"")</f>
        <v/>
      </c>
      <c r="BA2" s="188" t="str">
        <f ca="1">IF(B2="Y", IF(Table1[[#This Row],[Stop]]="", TODAY() - Table1[[#This Row],[Joining Date]], Table1[[#This Row],[Stop]] - Table1[[#This Row],[Joining Date]]), "")</f>
        <v/>
      </c>
      <c r="BB2" s="188" t="str">
        <f>_xlfn.CONCAT(Table1[[#This Row],[t]]," ",Table1[[#This Row],[Last Name]])</f>
        <v xml:space="preserve"> </v>
      </c>
      <c r="BC2" s="188" t="str">
        <f>IF(OR(Table1[[#This Row],[Teacher]]="Alex",Table1[[#This Row],[Teacher]]=""), "", Table1[[#This Row],[For Salary]])</f>
        <v/>
      </c>
      <c r="BD2" s="188" t="str">
        <f>IF(OR(Table1[[#This Row],[Teacher]]="Alex",Table1[[#This Row],[Teacher]]=""), "", Table1[[#This Row],[For Amount]])</f>
        <v/>
      </c>
      <c r="BE2" s="188" t="str">
        <f>IFERROR(IF(VLOOKUP(Table1[[#This Row],[Teacher]],'Teachers Salaries'!A:C,2,FALSE)="","",VLOOKUP(Table1[[#This Row],[Teacher]],'Teachers Salaries'!A:C,2,FALSE)),"")</f>
        <v/>
      </c>
      <c r="BF2" s="188" t="str">
        <f>IFERROR(IF(VLOOKUP(Table1[[#This Row],[Teacher]],'Teachers Salaries'!A:C,3,FALSE)="","",VLOOKUP(Table1[[#This Row],[Teacher]],'Teachers Salaries'!A:C,3,FALSE)),"")</f>
        <v/>
      </c>
      <c r="BG2" s="188">
        <f ca="1">IFERROR(IF(Table1[[#This Row],[Pay Type]]="Fixed","-",Table1[[#This Row],[Final Group Frequency2]]*Table1[[#This Row],[Salary / Hourly Rate]]),0)</f>
        <v>0</v>
      </c>
      <c r="BH2" s="188">
        <f>IFERROR(IF(Table1[[#This Row],[Pay Type]]="Fixed","----",Table1[[#This Row],[Salary / Hourly Rate]]*Table1[[#This Row],[Final PrivateFrequency]]),0)</f>
        <v>0</v>
      </c>
      <c r="BI2" s="188">
        <f ca="1">IF(Table1[[#This Row],[Pay Type]]="Fixed","---",Table1[[#This Row],[Group Salary]]+Table1[[#This Row],[Private Salary]])</f>
        <v>0</v>
      </c>
      <c r="BJ2" s="188" t="str">
        <f>IF(OR(J2="Alex", J2=""),"", Table1[[#This Row],[For Amount]])</f>
        <v/>
      </c>
      <c r="BK2" s="188">
        <f ca="1">IFERROR(Table1[[#This Row],[Fee]]-Table1[[#This Row],[Total Salary]],"")</f>
        <v>0</v>
      </c>
      <c r="BL2" s="189" t="str">
        <f>IF(Table1[[#This Row],[Joining Date]]="","",IF(Table1[[#This Row],[Joining Date]]&lt;='KPI+Pivot'!$CP$1,Table1[[#This Row],[Fee]],""))</f>
        <v/>
      </c>
      <c r="BM2" s="18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 s="189" t="str">
        <f>IF(Table1[[#This Row],[Joining Date]]="","",IF(Table1[[#This Row],[Joining Date]]&lt;='KPI+Pivot'!$CP$1,Table1[[#This Row],[Total Salary]],""))</f>
        <v/>
      </c>
      <c r="BO2" s="189" t="str">
        <f>IF(Table1[[#This Row],[Joining Date]]="","",IF(Table1[[#This Row],[Joining Date]]&lt;='KPI+Pivot'!$CP$1,Table1[[#This Row],[Frequency]],""))</f>
        <v/>
      </c>
      <c r="BP2" s="190" t="str">
        <f>IF(Table1[[#This Row],[Stop]]="","",(IF(Table1[[#This Row],[Joining Date]]="","",IF(Table1[[#This Row],[Joining Date]]&lt;='KPI+Pivot'!$CP$1,Table1[[#This Row],[Stop]],""))))</f>
        <v/>
      </c>
      <c r="BS2" s="138"/>
    </row>
    <row r="3" spans="1:71" ht="22.9" customHeight="1">
      <c r="B3" t="s">
        <v>66</v>
      </c>
      <c r="C3" t="s">
        <v>67</v>
      </c>
      <c r="D3" t="s">
        <v>68</v>
      </c>
      <c r="F3" t="s">
        <v>69</v>
      </c>
      <c r="G3" t="s">
        <v>70</v>
      </c>
      <c r="H3" t="s">
        <v>71</v>
      </c>
      <c r="I3" t="str">
        <f>IFERROR(HYPERLINK("#Finance!B" &amp; MATCH(A3, 'F 2025'!A:A, 0), "🔗 Go to finance"), "❌ ID introuvable")</f>
        <v>❌ ID introuvable</v>
      </c>
      <c r="L3" t="s">
        <v>72</v>
      </c>
      <c r="V3" t="s">
        <v>73</v>
      </c>
      <c r="W3" t="s">
        <v>73</v>
      </c>
      <c r="Y3" t="s">
        <v>74</v>
      </c>
      <c r="Z3" t="s">
        <v>75</v>
      </c>
      <c r="AD3" s="130"/>
      <c r="AE3"/>
      <c r="AG3" t="s">
        <v>76</v>
      </c>
      <c r="AK3" t="s">
        <v>72</v>
      </c>
      <c r="AM3" s="38"/>
      <c r="AO3" t="s">
        <v>70</v>
      </c>
      <c r="AR3" t="str">
        <f t="shared" si="0"/>
        <v/>
      </c>
      <c r="AS3" t="str">
        <f t="shared" si="1"/>
        <v/>
      </c>
      <c r="AT3" t="str">
        <f>IF(Table1[[#This Row],[Joining Date]]="", "", TEXT(Table1[[#This Row],[Joining Date]], "mmm"))</f>
        <v/>
      </c>
      <c r="AU3" t="str">
        <f>IF(Table1[[#This Row],[Joining Date]]="", "", YEAR(Table1[[#This Row],[Joining Date]]))</f>
        <v/>
      </c>
      <c r="AV3" t="str">
        <f>IF(Table1[[#This Row],[Group Name]]="","", M3 &amp; Table1[[#This Row],[Teacher]])</f>
        <v/>
      </c>
      <c r="AW3" t="str">
        <f>IF(Table1[[#This Row],[Helper]]="","",IF(_xlfn.MAXIFS(AT:AT,AW:AW,Table1[[#This Row],[Helper]])=Table1[[#This Row],[Clean Frequency]],_xlfn.MAXIFS(AT:AT,AW:AW,Table1[[#This Row],[Helper]]),""))</f>
        <v/>
      </c>
      <c r="AX3" t="str">
        <f ca="1">IF(AND(AW3=_xlfn.MAXIFS(AX:AX, AW:AW, AV3), COUNTIFS(AV$3:AV3, AV3, AW$3:AW3, AW3)=1), 1, "")</f>
        <v/>
      </c>
      <c r="AY3" t="str">
        <f>IF(Table1[[#This Row],[lesson type]]="private",Table1[[#This Row],[Clean Frequency]],"")</f>
        <v/>
      </c>
      <c r="AZ3" t="str">
        <f ca="1">IF(Table1[[#This Row],[First Occurrence]]=1,Table1[[#This Row],[Group Frequency]],"")</f>
        <v/>
      </c>
      <c r="BA3" t="str">
        <f ca="1">IF(B3="Y", IF(Table1[[#This Row],[Stop]]="", TODAY() - Table1[[#This Row],[Joining Date]], Table1[[#This Row],[Stop]] - Table1[[#This Row],[Joining Date]]), "")</f>
        <v/>
      </c>
      <c r="BB3" t="str">
        <f>_xlfn.CONCAT(Table1[[#This Row],[t]]," ",Table1[[#This Row],[Last Name]])</f>
        <v>Haruki Akaba</v>
      </c>
      <c r="BC3" t="str">
        <f>IF(OR(Table1[[#This Row],[Teacher]]="Alex",Table1[[#This Row],[Teacher]]=""), "", Table1[[#This Row],[For Salary]])</f>
        <v/>
      </c>
      <c r="BD3" t="str">
        <f>IF(OR(Table1[[#This Row],[Teacher]]="Alex",Table1[[#This Row],[Teacher]]=""), "", Table1[[#This Row],[For Amount]])</f>
        <v/>
      </c>
      <c r="BE3" t="str">
        <f>IFERROR(IF(VLOOKUP(Table1[[#This Row],[Teacher]],'Teachers Salaries'!A:C,2,FALSE)="","",VLOOKUP(Table1[[#This Row],[Teacher]],'Teachers Salaries'!A:C,2,FALSE)),"")</f>
        <v/>
      </c>
      <c r="BF3" t="str">
        <f>IFERROR(IF(VLOOKUP(Table1[[#This Row],[Teacher]],'Teachers Salaries'!A:C,3,FALSE)="","",VLOOKUP(Table1[[#This Row],[Teacher]],'Teachers Salaries'!A:C,3,FALSE)),"")</f>
        <v/>
      </c>
      <c r="BG3">
        <f ca="1">IFERROR(IF(Table1[[#This Row],[Pay Type]]="Fixed","-",Table1[[#This Row],[Final Group Frequency2]]*Table1[[#This Row],[Salary / Hourly Rate]]),0)</f>
        <v>0</v>
      </c>
      <c r="BH3">
        <f>IFERROR(IF(Table1[[#This Row],[Pay Type]]="Fixed","----",Table1[[#This Row],[Salary / Hourly Rate]]*Table1[[#This Row],[Final PrivateFrequency]]),0)</f>
        <v>0</v>
      </c>
      <c r="BI3">
        <f ca="1">IF(Table1[[#This Row],[Pay Type]]="Fixed","---",Table1[[#This Row],[Group Salary]]+Table1[[#This Row],[Private Salary]])</f>
        <v>0</v>
      </c>
      <c r="BJ3" t="str">
        <f>IF(OR(J3="Alex", J3=""),"", Table1[[#This Row],[For Amount]])</f>
        <v/>
      </c>
      <c r="BK3">
        <f ca="1">IFERROR(Table1[[#This Row],[Fee]]-Table1[[#This Row],[Total Salary]],"")</f>
        <v>0</v>
      </c>
      <c r="BL3" t="str">
        <f>IF(Table1[[#This Row],[Joining Date]]="","",IF(Table1[[#This Row],[Joining Date]]&lt;='KPI+Pivot'!$CP$1,Table1[[#This Row],[Fee]],""))</f>
        <v/>
      </c>
      <c r="BM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 t="str">
        <f>IF(Table1[[#This Row],[Joining Date]]="","",IF(Table1[[#This Row],[Joining Date]]&lt;='KPI+Pivot'!$CP$1,Table1[[#This Row],[Total Salary]],""))</f>
        <v/>
      </c>
      <c r="BO3" t="str">
        <f>IF(Table1[[#This Row],[Joining Date]]="","",IF(Table1[[#This Row],[Joining Date]]&lt;='KPI+Pivot'!$CP$1,Table1[[#This Row],[Frequency]],""))</f>
        <v/>
      </c>
      <c r="BP3" s="38" t="str">
        <f>IF(Table1[[#This Row],[Stop]]="","",(IF(Table1[[#This Row],[Joining Date]]="","",IF(Table1[[#This Row],[Joining Date]]&lt;='KPI+Pivot'!$CP$1,Table1[[#This Row],[Stop]],""))))</f>
        <v/>
      </c>
    </row>
    <row r="4" spans="1:71" ht="22.9" customHeight="1">
      <c r="B4" t="s">
        <v>66</v>
      </c>
      <c r="C4" t="s">
        <v>77</v>
      </c>
      <c r="D4" t="s">
        <v>78</v>
      </c>
      <c r="F4" t="s">
        <v>79</v>
      </c>
      <c r="G4" t="s">
        <v>80</v>
      </c>
      <c r="H4" t="s">
        <v>81</v>
      </c>
      <c r="I4" t="str">
        <f>IFERROR(HYPERLINK("#Finance!B" &amp; MATCH(A4, 'F 2025'!A:A, 0), "🔗 Go to finance"), "❌ ID introuvable")</f>
        <v>❌ ID introuvable</v>
      </c>
      <c r="V4" t="s">
        <v>82</v>
      </c>
      <c r="Z4" t="s">
        <v>75</v>
      </c>
      <c r="AB4" t="s">
        <v>83</v>
      </c>
      <c r="AD4" s="130"/>
      <c r="AE4"/>
      <c r="AG4" t="s">
        <v>76</v>
      </c>
      <c r="AI4" t="s">
        <v>83</v>
      </c>
      <c r="AK4" t="s">
        <v>84</v>
      </c>
      <c r="AM4" s="38"/>
      <c r="AO4" t="s">
        <v>80</v>
      </c>
      <c r="AR4" t="str">
        <f t="shared" si="0"/>
        <v/>
      </c>
      <c r="AS4" t="str">
        <f t="shared" si="1"/>
        <v/>
      </c>
      <c r="AT4" t="str">
        <f>IF(Table1[[#This Row],[Joining Date]]="", "", TEXT(Table1[[#This Row],[Joining Date]], "mmm"))</f>
        <v/>
      </c>
      <c r="AU4" t="str">
        <f>IF(Table1[[#This Row],[Joining Date]]="", "", YEAR(Table1[[#This Row],[Joining Date]]))</f>
        <v/>
      </c>
      <c r="AV4" t="str">
        <f>IF(Table1[[#This Row],[Group Name]]="","", M4 &amp; Table1[[#This Row],[Teacher]])</f>
        <v/>
      </c>
      <c r="AW4" t="str">
        <f>IF(Table1[[#This Row],[Helper]]="","",IF(_xlfn.MAXIFS(AT:AT,AW:AW,Table1[[#This Row],[Helper]])=Table1[[#This Row],[Clean Frequency]],_xlfn.MAXIFS(AT:AT,AW:AW,Table1[[#This Row],[Helper]]),""))</f>
        <v/>
      </c>
      <c r="AX4" t="str">
        <f ca="1">IF(AND(AW4=_xlfn.MAXIFS(AX:AX, AW:AW, AV4), COUNTIFS(AV$3:AV4, AV4, AW$3:AW4, AW4)=1), 1, "")</f>
        <v/>
      </c>
      <c r="AY4" t="str">
        <f>IF(Table1[[#This Row],[lesson type]]="private",Table1[[#This Row],[Clean Frequency]],"")</f>
        <v/>
      </c>
      <c r="AZ4" t="str">
        <f ca="1">IF(Table1[[#This Row],[First Occurrence]]=1,Table1[[#This Row],[Group Frequency]],"")</f>
        <v/>
      </c>
      <c r="BA4" t="str">
        <f ca="1">IF(B4="Y", IF(Table1[[#This Row],[Stop]]="", TODAY() - Table1[[#This Row],[Joining Date]], Table1[[#This Row],[Stop]] - Table1[[#This Row],[Joining Date]]), "")</f>
        <v/>
      </c>
      <c r="BB4" t="str">
        <f>_xlfn.CONCAT(Table1[[#This Row],[t]]," ",Table1[[#This Row],[Last Name]])</f>
        <v>Akiko Tominaga</v>
      </c>
      <c r="BC4" t="str">
        <f>IF(OR(Table1[[#This Row],[Teacher]]="Alex",Table1[[#This Row],[Teacher]]=""), "", Table1[[#This Row],[For Salary]])</f>
        <v/>
      </c>
      <c r="BD4" t="str">
        <f>IF(OR(Table1[[#This Row],[Teacher]]="Alex",Table1[[#This Row],[Teacher]]=""), "", Table1[[#This Row],[For Amount]])</f>
        <v/>
      </c>
      <c r="BE4" t="str">
        <f>IFERROR(IF(VLOOKUP(Table1[[#This Row],[Teacher]],'Teachers Salaries'!A:C,2,FALSE)="","",VLOOKUP(Table1[[#This Row],[Teacher]],'Teachers Salaries'!A:C,2,FALSE)),"")</f>
        <v/>
      </c>
      <c r="BF4" t="str">
        <f>IFERROR(IF(VLOOKUP(Table1[[#This Row],[Teacher]],'Teachers Salaries'!A:C,3,FALSE)="","",VLOOKUP(Table1[[#This Row],[Teacher]],'Teachers Salaries'!A:C,3,FALSE)),"")</f>
        <v/>
      </c>
      <c r="BG4">
        <f ca="1">IFERROR(IF(Table1[[#This Row],[Pay Type]]="Fixed","-",Table1[[#This Row],[Final Group Frequency2]]*Table1[[#This Row],[Salary / Hourly Rate]]),0)</f>
        <v>0</v>
      </c>
      <c r="BH4">
        <f>IFERROR(IF(Table1[[#This Row],[Pay Type]]="Fixed","----",Table1[[#This Row],[Salary / Hourly Rate]]*Table1[[#This Row],[Final PrivateFrequency]]),0)</f>
        <v>0</v>
      </c>
      <c r="BI4">
        <f ca="1">IF(Table1[[#This Row],[Pay Type]]="Fixed","---",Table1[[#This Row],[Group Salary]]+Table1[[#This Row],[Private Salary]])</f>
        <v>0</v>
      </c>
      <c r="BJ4" t="str">
        <f>IF(OR(J4="Alex", J4=""),"", Table1[[#This Row],[For Amount]])</f>
        <v/>
      </c>
      <c r="BK4">
        <f ca="1">IFERROR(Table1[[#This Row],[Fee]]-Table1[[#This Row],[Total Salary]],"")</f>
        <v>0</v>
      </c>
      <c r="BL4" t="str">
        <f>IF(Table1[[#This Row],[Joining Date]]="","",IF(Table1[[#This Row],[Joining Date]]&lt;='KPI+Pivot'!$CP$1,Table1[[#This Row],[Fee]],""))</f>
        <v/>
      </c>
      <c r="BM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 t="str">
        <f>IF(Table1[[#This Row],[Joining Date]]="","",IF(Table1[[#This Row],[Joining Date]]&lt;='KPI+Pivot'!$CP$1,Table1[[#This Row],[Total Salary]],""))</f>
        <v/>
      </c>
      <c r="BO4" t="str">
        <f>IF(Table1[[#This Row],[Joining Date]]="","",IF(Table1[[#This Row],[Joining Date]]&lt;='KPI+Pivot'!$CP$1,Table1[[#This Row],[Frequency]],""))</f>
        <v/>
      </c>
      <c r="BP4" s="38" t="str">
        <f>IF(Table1[[#This Row],[Stop]]="","",(IF(Table1[[#This Row],[Joining Date]]="","",IF(Table1[[#This Row],[Joining Date]]&lt;='KPI+Pivot'!$CP$1,Table1[[#This Row],[Stop]],""))))</f>
        <v/>
      </c>
    </row>
    <row r="5" spans="1:71" ht="22.9" customHeight="1">
      <c r="B5" t="s">
        <v>66</v>
      </c>
      <c r="C5" t="s">
        <v>85</v>
      </c>
      <c r="D5" t="s">
        <v>86</v>
      </c>
      <c r="F5" t="s">
        <v>87</v>
      </c>
      <c r="G5" t="s">
        <v>88</v>
      </c>
      <c r="H5" t="s">
        <v>89</v>
      </c>
      <c r="I5" t="str">
        <f>IFERROR(HYPERLINK("#Finance!B" &amp; MATCH(A5, 'F 2025'!A:A, 0), "🔗 Go to finance"), "❌ ID introuvable")</f>
        <v>❌ ID introuvable</v>
      </c>
      <c r="L5" t="s">
        <v>90</v>
      </c>
      <c r="V5" t="s">
        <v>91</v>
      </c>
      <c r="Y5" t="s">
        <v>92</v>
      </c>
      <c r="Z5" t="s">
        <v>75</v>
      </c>
      <c r="AB5" t="s">
        <v>93</v>
      </c>
      <c r="AD5" s="130"/>
      <c r="AE5"/>
      <c r="AG5" t="s">
        <v>76</v>
      </c>
      <c r="AI5" t="s">
        <v>93</v>
      </c>
      <c r="AK5" t="s">
        <v>94</v>
      </c>
      <c r="AM5" s="38"/>
      <c r="AO5" t="s">
        <v>88</v>
      </c>
      <c r="AR5" t="str">
        <f t="shared" si="0"/>
        <v/>
      </c>
      <c r="AS5" t="str">
        <f t="shared" si="1"/>
        <v/>
      </c>
      <c r="AT5" t="str">
        <f>IF(Table1[[#This Row],[Joining Date]]="", "", TEXT(Table1[[#This Row],[Joining Date]], "mmm"))</f>
        <v/>
      </c>
      <c r="AU5" t="str">
        <f>IF(Table1[[#This Row],[Joining Date]]="", "", YEAR(Table1[[#This Row],[Joining Date]]))</f>
        <v/>
      </c>
      <c r="AV5" t="str">
        <f>IF(Table1[[#This Row],[Group Name]]="","", M5 &amp; Table1[[#This Row],[Teacher]])</f>
        <v/>
      </c>
      <c r="AW5" t="str">
        <f>IF(Table1[[#This Row],[Helper]]="","",IF(_xlfn.MAXIFS(AT:AT,AW:AW,Table1[[#This Row],[Helper]])=Table1[[#This Row],[Clean Frequency]],_xlfn.MAXIFS(AT:AT,AW:AW,Table1[[#This Row],[Helper]]),""))</f>
        <v/>
      </c>
      <c r="AX5" t="str">
        <f ca="1">IF(AND(AW5=_xlfn.MAXIFS(AX:AX, AW:AW, AV5), COUNTIFS(AV$3:AV5, AV5, AW$3:AW5, AW5)=1), 1, "")</f>
        <v/>
      </c>
      <c r="AY5" t="str">
        <f>IF(Table1[[#This Row],[lesson type]]="private",Table1[[#This Row],[Clean Frequency]],"")</f>
        <v/>
      </c>
      <c r="AZ5" t="str">
        <f ca="1">IF(Table1[[#This Row],[First Occurrence]]=1,Table1[[#This Row],[Group Frequency]],"")</f>
        <v/>
      </c>
      <c r="BA5" t="str">
        <f ca="1">IF(B5="Y", IF(Table1[[#This Row],[Stop]]="", TODAY() - Table1[[#This Row],[Joining Date]], Table1[[#This Row],[Stop]] - Table1[[#This Row],[Joining Date]]), "")</f>
        <v/>
      </c>
      <c r="BB5" t="str">
        <f>_xlfn.CONCAT(Table1[[#This Row],[t]]," ",Table1[[#This Row],[Last Name]])</f>
        <v>Akitoshi Ikeguchi</v>
      </c>
      <c r="BC5" t="str">
        <f>IF(OR(Table1[[#This Row],[Teacher]]="Alex",Table1[[#This Row],[Teacher]]=""), "", Table1[[#This Row],[For Salary]])</f>
        <v/>
      </c>
      <c r="BD5" t="str">
        <f>IF(OR(Table1[[#This Row],[Teacher]]="Alex",Table1[[#This Row],[Teacher]]=""), "", Table1[[#This Row],[For Amount]])</f>
        <v/>
      </c>
      <c r="BE5" t="str">
        <f>IFERROR(IF(VLOOKUP(Table1[[#This Row],[Teacher]],'Teachers Salaries'!A:C,2,FALSE)="","",VLOOKUP(Table1[[#This Row],[Teacher]],'Teachers Salaries'!A:C,2,FALSE)),"")</f>
        <v/>
      </c>
      <c r="BF5" t="str">
        <f>IFERROR(IF(VLOOKUP(Table1[[#This Row],[Teacher]],'Teachers Salaries'!A:C,3,FALSE)="","",VLOOKUP(Table1[[#This Row],[Teacher]],'Teachers Salaries'!A:C,3,FALSE)),"")</f>
        <v/>
      </c>
      <c r="BG5">
        <f ca="1">IFERROR(IF(Table1[[#This Row],[Pay Type]]="Fixed","-",Table1[[#This Row],[Final Group Frequency2]]*Table1[[#This Row],[Salary / Hourly Rate]]),0)</f>
        <v>0</v>
      </c>
      <c r="BH5">
        <f>IFERROR(IF(Table1[[#This Row],[Pay Type]]="Fixed","----",Table1[[#This Row],[Salary / Hourly Rate]]*Table1[[#This Row],[Final PrivateFrequency]]),0)</f>
        <v>0</v>
      </c>
      <c r="BI5">
        <f ca="1">IF(Table1[[#This Row],[Pay Type]]="Fixed","---",Table1[[#This Row],[Group Salary]]+Table1[[#This Row],[Private Salary]])</f>
        <v>0</v>
      </c>
      <c r="BJ5" t="str">
        <f>IF(OR(J5="Alex", J5=""),"", Table1[[#This Row],[For Amount]])</f>
        <v/>
      </c>
      <c r="BK5">
        <f ca="1">IFERROR(Table1[[#This Row],[Fee]]-Table1[[#This Row],[Total Salary]],"")</f>
        <v>0</v>
      </c>
      <c r="BL5" t="str">
        <f>IF(Table1[[#This Row],[Joining Date]]="","",IF(Table1[[#This Row],[Joining Date]]&lt;='KPI+Pivot'!$CP$1,Table1[[#This Row],[Fee]],""))</f>
        <v/>
      </c>
      <c r="BM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 t="str">
        <f>IF(Table1[[#This Row],[Joining Date]]="","",IF(Table1[[#This Row],[Joining Date]]&lt;='KPI+Pivot'!$CP$1,Table1[[#This Row],[Total Salary]],""))</f>
        <v/>
      </c>
      <c r="BO5" t="str">
        <f>IF(Table1[[#This Row],[Joining Date]]="","",IF(Table1[[#This Row],[Joining Date]]&lt;='KPI+Pivot'!$CP$1,Table1[[#This Row],[Frequency]],""))</f>
        <v/>
      </c>
      <c r="BP5" s="38" t="str">
        <f>IF(Table1[[#This Row],[Stop]]="","",(IF(Table1[[#This Row],[Joining Date]]="","",IF(Table1[[#This Row],[Joining Date]]&lt;='KPI+Pivot'!$CP$1,Table1[[#This Row],[Stop]],""))))</f>
        <v/>
      </c>
    </row>
    <row r="6" spans="1:71" ht="22.9" customHeight="1">
      <c r="B6" t="s">
        <v>66</v>
      </c>
      <c r="C6" t="s">
        <v>95</v>
      </c>
      <c r="D6" t="s">
        <v>96</v>
      </c>
      <c r="F6" t="s">
        <v>97</v>
      </c>
      <c r="G6" t="s">
        <v>98</v>
      </c>
      <c r="H6" t="s">
        <v>99</v>
      </c>
      <c r="I6" t="str">
        <f>IFERROR(HYPERLINK("#Finance!B" &amp; MATCH(A6, 'F 2025'!A:A, 0), "🔗 Go to finance"), "❌ ID introuvable")</f>
        <v>❌ ID introuvable</v>
      </c>
      <c r="V6" t="s">
        <v>100</v>
      </c>
      <c r="Z6" t="s">
        <v>75</v>
      </c>
      <c r="AB6" t="s">
        <v>101</v>
      </c>
      <c r="AD6" s="130"/>
      <c r="AE6"/>
      <c r="AG6" t="s">
        <v>76</v>
      </c>
      <c r="AI6" t="s">
        <v>101</v>
      </c>
      <c r="AK6" t="s">
        <v>102</v>
      </c>
      <c r="AM6" s="38"/>
      <c r="AO6" t="s">
        <v>98</v>
      </c>
      <c r="AR6" t="str">
        <f t="shared" si="0"/>
        <v/>
      </c>
      <c r="AS6" t="str">
        <f t="shared" si="1"/>
        <v/>
      </c>
      <c r="AT6" t="str">
        <f>IF(Table1[[#This Row],[Joining Date]]="", "", TEXT(Table1[[#This Row],[Joining Date]], "mmm"))</f>
        <v/>
      </c>
      <c r="AU6" t="str">
        <f>IF(Table1[[#This Row],[Joining Date]]="", "", YEAR(Table1[[#This Row],[Joining Date]]))</f>
        <v/>
      </c>
      <c r="AV6" t="str">
        <f>IF(Table1[[#This Row],[Group Name]]="","", M6 &amp; Table1[[#This Row],[Teacher]])</f>
        <v/>
      </c>
      <c r="AW6" t="str">
        <f>IF(Table1[[#This Row],[Helper]]="","",IF(_xlfn.MAXIFS(AT:AT,AW:AW,Table1[[#This Row],[Helper]])=Table1[[#This Row],[Clean Frequency]],_xlfn.MAXIFS(AT:AT,AW:AW,Table1[[#This Row],[Helper]]),""))</f>
        <v/>
      </c>
      <c r="AX6" t="str">
        <f ca="1">IF(AND(AW6=_xlfn.MAXIFS(AX:AX, AW:AW, AV6), COUNTIFS(AV$3:AV6, AV6, AW$3:AW6, AW6)=1), 1, "")</f>
        <v/>
      </c>
      <c r="AY6" t="str">
        <f>IF(Table1[[#This Row],[lesson type]]="private",Table1[[#This Row],[Clean Frequency]],"")</f>
        <v/>
      </c>
      <c r="AZ6" t="str">
        <f ca="1">IF(Table1[[#This Row],[First Occurrence]]=1,Table1[[#This Row],[Group Frequency]],"")</f>
        <v/>
      </c>
      <c r="BA6" t="str">
        <f ca="1">IF(B6="Y", IF(Table1[[#This Row],[Stop]]="", TODAY() - Table1[[#This Row],[Joining Date]], Table1[[#This Row],[Stop]] - Table1[[#This Row],[Joining Date]]), "")</f>
        <v/>
      </c>
      <c r="BB6" t="str">
        <f>_xlfn.CONCAT(Table1[[#This Row],[t]]," ",Table1[[#This Row],[Last Name]])</f>
        <v>Anna Shirozumi</v>
      </c>
      <c r="BC6" t="str">
        <f>IF(OR(Table1[[#This Row],[Teacher]]="Alex",Table1[[#This Row],[Teacher]]=""), "", Table1[[#This Row],[For Salary]])</f>
        <v/>
      </c>
      <c r="BD6" t="str">
        <f>IF(OR(Table1[[#This Row],[Teacher]]="Alex",Table1[[#This Row],[Teacher]]=""), "", Table1[[#This Row],[For Amount]])</f>
        <v/>
      </c>
      <c r="BE6" t="str">
        <f>IFERROR(IF(VLOOKUP(Table1[[#This Row],[Teacher]],'Teachers Salaries'!A:C,2,FALSE)="","",VLOOKUP(Table1[[#This Row],[Teacher]],'Teachers Salaries'!A:C,2,FALSE)),"")</f>
        <v/>
      </c>
      <c r="BF6" t="str">
        <f>IFERROR(IF(VLOOKUP(Table1[[#This Row],[Teacher]],'Teachers Salaries'!A:C,3,FALSE)="","",VLOOKUP(Table1[[#This Row],[Teacher]],'Teachers Salaries'!A:C,3,FALSE)),"")</f>
        <v/>
      </c>
      <c r="BG6">
        <f ca="1">IFERROR(IF(Table1[[#This Row],[Pay Type]]="Fixed","-",Table1[[#This Row],[Final Group Frequency2]]*Table1[[#This Row],[Salary / Hourly Rate]]),0)</f>
        <v>0</v>
      </c>
      <c r="BH6">
        <f>IFERROR(IF(Table1[[#This Row],[Pay Type]]="Fixed","----",Table1[[#This Row],[Salary / Hourly Rate]]*Table1[[#This Row],[Final PrivateFrequency]]),0)</f>
        <v>0</v>
      </c>
      <c r="BI6">
        <f ca="1">IF(Table1[[#This Row],[Pay Type]]="Fixed","---",Table1[[#This Row],[Group Salary]]+Table1[[#This Row],[Private Salary]])</f>
        <v>0</v>
      </c>
      <c r="BJ6" t="str">
        <f>IF(OR(J6="Alex", J6=""),"", Table1[[#This Row],[For Amount]])</f>
        <v/>
      </c>
      <c r="BK6">
        <f ca="1">IFERROR(Table1[[#This Row],[Fee]]-Table1[[#This Row],[Total Salary]],"")</f>
        <v>0</v>
      </c>
      <c r="BL6" t="str">
        <f>IF(Table1[[#This Row],[Joining Date]]="","",IF(Table1[[#This Row],[Joining Date]]&lt;='KPI+Pivot'!$CP$1,Table1[[#This Row],[Fee]],""))</f>
        <v/>
      </c>
      <c r="BM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6" t="str">
        <f>IF(Table1[[#This Row],[Joining Date]]="","",IF(Table1[[#This Row],[Joining Date]]&lt;='KPI+Pivot'!$CP$1,Table1[[#This Row],[Total Salary]],""))</f>
        <v/>
      </c>
      <c r="BO6" t="str">
        <f>IF(Table1[[#This Row],[Joining Date]]="","",IF(Table1[[#This Row],[Joining Date]]&lt;='KPI+Pivot'!$CP$1,Table1[[#This Row],[Frequency]],""))</f>
        <v/>
      </c>
      <c r="BP6" s="38" t="str">
        <f>IF(Table1[[#This Row],[Stop]]="","",(IF(Table1[[#This Row],[Joining Date]]="","",IF(Table1[[#This Row],[Joining Date]]&lt;='KPI+Pivot'!$CP$1,Table1[[#This Row],[Stop]],""))))</f>
        <v/>
      </c>
    </row>
    <row r="7" spans="1:71" ht="18" customHeight="1">
      <c r="A7">
        <v>158</v>
      </c>
      <c r="B7" t="s">
        <v>66</v>
      </c>
      <c r="C7" t="s">
        <v>104</v>
      </c>
      <c r="D7" t="s">
        <v>105</v>
      </c>
      <c r="F7" t="s">
        <v>106</v>
      </c>
      <c r="G7" t="s">
        <v>107</v>
      </c>
      <c r="H7" t="s">
        <v>108</v>
      </c>
      <c r="I7" t="str">
        <f>IFERROR(HYPERLINK("#Finance!B" &amp; MATCH(A7, 'F 2025'!A:A, 0), "🔗 Go to finance"), "❌ ID introuvable")</f>
        <v>❌ ID introuvable</v>
      </c>
      <c r="J7" t="s">
        <v>109</v>
      </c>
      <c r="K7" t="s">
        <v>110</v>
      </c>
      <c r="L7" t="s">
        <v>111</v>
      </c>
      <c r="N7">
        <v>4</v>
      </c>
      <c r="O7">
        <v>6600</v>
      </c>
      <c r="T7" s="130">
        <v>45661</v>
      </c>
      <c r="V7" t="s">
        <v>112</v>
      </c>
      <c r="Z7" t="s">
        <v>75</v>
      </c>
      <c r="AB7" t="s">
        <v>113</v>
      </c>
      <c r="AD7" s="130">
        <v>45661</v>
      </c>
      <c r="AE7"/>
      <c r="AG7" t="s">
        <v>76</v>
      </c>
      <c r="AI7" t="s">
        <v>113</v>
      </c>
      <c r="AK7" t="s">
        <v>111</v>
      </c>
      <c r="AM7" s="38"/>
      <c r="AO7" t="s">
        <v>107</v>
      </c>
      <c r="AR7" t="str">
        <f t="shared" si="0"/>
        <v>private</v>
      </c>
      <c r="AS7">
        <f t="shared" si="1"/>
        <v>4</v>
      </c>
      <c r="AT7" t="str">
        <f>IF(Table1[[#This Row],[Joining Date]]="", "", TEXT(Table1[[#This Row],[Joining Date]], "mmm"))</f>
        <v>Jan</v>
      </c>
      <c r="AU7">
        <f>IF(Table1[[#This Row],[Joining Date]]="", "", YEAR(Table1[[#This Row],[Joining Date]]))</f>
        <v>2025</v>
      </c>
      <c r="AV7" t="str">
        <f>IF(Table1[[#This Row],[Group Name]]="","", M7 &amp; Table1[[#This Row],[Teacher]])</f>
        <v/>
      </c>
      <c r="AW7" t="str">
        <f>IF(Table1[[#This Row],[Helper]]="","",IF(_xlfn.MAXIFS(AT:AT,AW:AW,Table1[[#This Row],[Helper]])=Table1[[#This Row],[Clean Frequency]],_xlfn.MAXIFS(AT:AT,AW:AW,Table1[[#This Row],[Helper]]),""))</f>
        <v/>
      </c>
      <c r="AX7" t="str">
        <f ca="1">IF(AND(AW7=_xlfn.MAXIFS(AX:AX, AW:AW, AV7), COUNTIFS(AV$3:AV7, AV7, AW$3:AW7, AW7)=1), 1, "")</f>
        <v/>
      </c>
      <c r="AY7">
        <f>IF(Table1[[#This Row],[lesson type]]="private",Table1[[#This Row],[Clean Frequency]],"")</f>
        <v>4</v>
      </c>
      <c r="AZ7" t="str">
        <f ca="1">IF(Table1[[#This Row],[First Occurrence]]=1,Table1[[#This Row],[Group Frequency]],"")</f>
        <v/>
      </c>
      <c r="BA7" t="str">
        <f ca="1">IF(B7="Y", IF(Table1[[#This Row],[Stop]]="", TODAY() - Table1[[#This Row],[Joining Date]], Table1[[#This Row],[Stop]] - Table1[[#This Row],[Joining Date]]), "")</f>
        <v/>
      </c>
      <c r="BB7" t="str">
        <f>_xlfn.CONCAT(Table1[[#This Row],[t]]," ",Table1[[#This Row],[Last Name]])</f>
        <v>Ao Hirabaru</v>
      </c>
      <c r="BC7" t="str">
        <f>IF(OR(Table1[[#This Row],[Teacher]]="Alex",Table1[[#This Row],[Teacher]]=""), "", Table1[[#This Row],[For Salary]])</f>
        <v/>
      </c>
      <c r="BD7" t="str">
        <f>IF(OR(Table1[[#This Row],[Teacher]]="Alex",Table1[[#This Row],[Teacher]]=""), "", Table1[[#This Row],[For Amount]])</f>
        <v/>
      </c>
      <c r="BE7" t="str">
        <f>IFERROR(IF(VLOOKUP(Table1[[#This Row],[Teacher]],'Teachers Salaries'!A:C,2,FALSE)="","",VLOOKUP(Table1[[#This Row],[Teacher]],'Teachers Salaries'!A:C,2,FALSE)),"")</f>
        <v>Fixed</v>
      </c>
      <c r="BF7">
        <f>IFERROR(IF(VLOOKUP(Table1[[#This Row],[Teacher]],'Teachers Salaries'!A:C,3,FALSE)="","",VLOOKUP(Table1[[#This Row],[Teacher]],'Teachers Salaries'!A:C,3,FALSE)),"")</f>
        <v>210000</v>
      </c>
      <c r="BG7" t="str">
        <f>IFERROR(IF(Table1[[#This Row],[Pay Type]]="Fixed","-",Table1[[#This Row],[Final Group Frequency2]]*Table1[[#This Row],[Salary / Hourly Rate]]),0)</f>
        <v>-</v>
      </c>
      <c r="BH7" t="str">
        <f>IFERROR(IF(Table1[[#This Row],[Pay Type]]="Fixed","----",Table1[[#This Row],[Salary / Hourly Rate]]*Table1[[#This Row],[Final PrivateFrequency]]),0)</f>
        <v>----</v>
      </c>
      <c r="BI7" t="str">
        <f>IF(Table1[[#This Row],[Pay Type]]="Fixed","---",Table1[[#This Row],[Group Salary]]+Table1[[#This Row],[Private Salary]])</f>
        <v>---</v>
      </c>
      <c r="BJ7" t="str">
        <f>IF(OR(J7="Alex", J7=""),"", Table1[[#This Row],[For Amount]])</f>
        <v/>
      </c>
      <c r="BK7" t="str">
        <f>IFERROR(Table1[[#This Row],[Fee]]-Table1[[#This Row],[Total Salary]],"")</f>
        <v/>
      </c>
      <c r="BL7" t="e">
        <f>IF(Table1[[#This Row],[Joining Date]]="","",IF(Table1[[#This Row],[Joining Date]]&lt;='KPI+Pivot'!$CP$1,Table1[[#This Row],[Fee]],""))</f>
        <v>#N/A</v>
      </c>
      <c r="BM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 t="e">
        <f>IF(Table1[[#This Row],[Joining Date]]="","",IF(Table1[[#This Row],[Joining Date]]&lt;='KPI+Pivot'!$CP$1,Table1[[#This Row],[Total Salary]],""))</f>
        <v>#N/A</v>
      </c>
      <c r="BO7" t="e">
        <f>IF(Table1[[#This Row],[Joining Date]]="","",IF(Table1[[#This Row],[Joining Date]]&lt;='KPI+Pivot'!$CP$1,Table1[[#This Row],[Frequency]],""))</f>
        <v>#N/A</v>
      </c>
      <c r="BP7" s="38" t="str">
        <f>IF(Table1[[#This Row],[Stop]]="","",(IF(Table1[[#This Row],[Joining Date]]="","",IF(Table1[[#This Row],[Joining Date]]&lt;='KPI+Pivot'!$CP$1,Table1[[#This Row],[Stop]],""))))</f>
        <v/>
      </c>
    </row>
    <row r="8" spans="1:71" ht="18" customHeight="1">
      <c r="A8">
        <v>161</v>
      </c>
      <c r="B8" t="s">
        <v>103</v>
      </c>
      <c r="C8" t="s">
        <v>104</v>
      </c>
      <c r="D8" t="s">
        <v>114</v>
      </c>
      <c r="F8" t="s">
        <v>106</v>
      </c>
      <c r="G8" t="s">
        <v>115</v>
      </c>
      <c r="H8" t="s">
        <v>116</v>
      </c>
      <c r="I8" t="str">
        <f>IFERROR(HYPERLINK("#Finance!B" &amp; MATCH(A8, 'F 2025'!A:A, 0), "🔗 Go to finance"), "❌ ID introuvable")</f>
        <v>🔗 Go to finance</v>
      </c>
      <c r="J8" t="s">
        <v>109</v>
      </c>
      <c r="K8" t="s">
        <v>117</v>
      </c>
      <c r="L8" t="s">
        <v>111</v>
      </c>
      <c r="N8">
        <v>4</v>
      </c>
      <c r="O8">
        <v>6600</v>
      </c>
      <c r="T8" s="130">
        <v>45694</v>
      </c>
      <c r="V8" s="13" t="s">
        <v>1670</v>
      </c>
      <c r="W8" s="13" t="s">
        <v>1670</v>
      </c>
      <c r="Y8" t="s">
        <v>2166</v>
      </c>
      <c r="Z8" t="s">
        <v>75</v>
      </c>
      <c r="AD8" s="130">
        <v>45694</v>
      </c>
      <c r="AE8"/>
      <c r="AG8" t="s">
        <v>76</v>
      </c>
      <c r="AK8" t="s">
        <v>111</v>
      </c>
      <c r="AM8" s="38"/>
      <c r="AO8" t="s">
        <v>115</v>
      </c>
      <c r="AR8" t="str">
        <f t="shared" si="0"/>
        <v>group</v>
      </c>
      <c r="AS8">
        <f t="shared" si="1"/>
        <v>4</v>
      </c>
      <c r="AT8" t="str">
        <f>IF(Table1[[#This Row],[Joining Date]]="", "", TEXT(Table1[[#This Row],[Joining Date]], "mmm"))</f>
        <v>Feb</v>
      </c>
      <c r="AU8">
        <f>IF(Table1[[#This Row],[Joining Date]]="", "", YEAR(Table1[[#This Row],[Joining Date]]))</f>
        <v>2025</v>
      </c>
      <c r="AV8" t="str">
        <f>IF(Table1[[#This Row],[Group Name]]="","", M8 &amp; Table1[[#This Row],[Teacher]])</f>
        <v/>
      </c>
      <c r="AW8" t="str">
        <f>IF(Table1[[#This Row],[Helper]]="","",IF(_xlfn.MAXIFS(AT:AT,AW:AW,Table1[[#This Row],[Helper]])=Table1[[#This Row],[Clean Frequency]],_xlfn.MAXIFS(AT:AT,AW:AW,Table1[[#This Row],[Helper]]),""))</f>
        <v/>
      </c>
      <c r="AX8" t="str">
        <f ca="1">IF(AND(AW8=_xlfn.MAXIFS(AX:AX, AW:AW, AV8), COUNTIFS(AV$3:AV8, AV8, AW$3:AW8, AW8)=1), 1, "")</f>
        <v/>
      </c>
      <c r="AY8" t="str">
        <f>IF(Table1[[#This Row],[lesson type]]="private",Table1[[#This Row],[Clean Frequency]],"")</f>
        <v/>
      </c>
      <c r="AZ8" t="str">
        <f ca="1">IF(Table1[[#This Row],[First Occurrence]]=1,Table1[[#This Row],[Group Frequency]],"")</f>
        <v/>
      </c>
      <c r="BA8">
        <f ca="1">IF(B8="Y", IF(Table1[[#This Row],[Stop]]="", TODAY() - Table1[[#This Row],[Joining Date]], Table1[[#This Row],[Stop]] - Table1[[#This Row],[Joining Date]]), "")</f>
        <v>483</v>
      </c>
      <c r="BB8" t="str">
        <f>_xlfn.CONCAT(Table1[[#This Row],[t]]," ",Table1[[#This Row],[Last Name]])</f>
        <v>Ao Tsukiji</v>
      </c>
      <c r="BC8" t="str">
        <f>IF(OR(Table1[[#This Row],[Teacher]]="Alex",Table1[[#This Row],[Teacher]]=""), "", Table1[[#This Row],[For Salary]])</f>
        <v/>
      </c>
      <c r="BD8" t="str">
        <f>IF(OR(Table1[[#This Row],[Teacher]]="Alex",Table1[[#This Row],[Teacher]]=""), "", Table1[[#This Row],[For Amount]])</f>
        <v/>
      </c>
      <c r="BE8" t="str">
        <f>IFERROR(IF(VLOOKUP(Table1[[#This Row],[Teacher]],'Teachers Salaries'!A:C,2,FALSE)="","",VLOOKUP(Table1[[#This Row],[Teacher]],'Teachers Salaries'!A:C,2,FALSE)),"")</f>
        <v>Fixed</v>
      </c>
      <c r="BF8">
        <f>IFERROR(IF(VLOOKUP(Table1[[#This Row],[Teacher]],'Teachers Salaries'!A:C,3,FALSE)="","",VLOOKUP(Table1[[#This Row],[Teacher]],'Teachers Salaries'!A:C,3,FALSE)),"")</f>
        <v>210000</v>
      </c>
      <c r="BG8" t="str">
        <f>IFERROR(IF(Table1[[#This Row],[Pay Type]]="Fixed","-",Table1[[#This Row],[Final Group Frequency2]]*Table1[[#This Row],[Salary / Hourly Rate]]),0)</f>
        <v>-</v>
      </c>
      <c r="BH8" t="str">
        <f>IFERROR(IF(Table1[[#This Row],[Pay Type]]="Fixed","----",Table1[[#This Row],[Salary / Hourly Rate]]*Table1[[#This Row],[Final PrivateFrequency]]),0)</f>
        <v>----</v>
      </c>
      <c r="BI8" t="str">
        <f>IF(Table1[[#This Row],[Pay Type]]="Fixed","---",Table1[[#This Row],[Group Salary]]+Table1[[#This Row],[Private Salary]])</f>
        <v>---</v>
      </c>
      <c r="BJ8" t="str">
        <f>IF(OR(J8="Alex", J8=""),"", Table1[[#This Row],[For Amount]])</f>
        <v/>
      </c>
      <c r="BK8" t="str">
        <f>IFERROR(Table1[[#This Row],[Fee]]-Table1[[#This Row],[Total Salary]],"")</f>
        <v/>
      </c>
      <c r="BL8" t="e">
        <f>IF(Table1[[#This Row],[Joining Date]]="","",IF(Table1[[#This Row],[Joining Date]]&lt;='KPI+Pivot'!$CP$1,Table1[[#This Row],[Fee]],""))</f>
        <v>#N/A</v>
      </c>
      <c r="BM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8" t="e">
        <f>IF(Table1[[#This Row],[Joining Date]]="","",IF(Table1[[#This Row],[Joining Date]]&lt;='KPI+Pivot'!$CP$1,Table1[[#This Row],[Total Salary]],""))</f>
        <v>#N/A</v>
      </c>
      <c r="BO8" t="e">
        <f>IF(Table1[[#This Row],[Joining Date]]="","",IF(Table1[[#This Row],[Joining Date]]&lt;='KPI+Pivot'!$CP$1,Table1[[#This Row],[Frequency]],""))</f>
        <v>#N/A</v>
      </c>
      <c r="BP8" s="38" t="str">
        <f>IF(Table1[[#This Row],[Stop]]="","",(IF(Table1[[#This Row],[Joining Date]]="","",IF(Table1[[#This Row],[Joining Date]]&lt;='KPI+Pivot'!$CP$1,Table1[[#This Row],[Stop]],""))))</f>
        <v/>
      </c>
      <c r="BS8" s="145"/>
    </row>
    <row r="9" spans="1:71" ht="22.9" customHeight="1">
      <c r="B9" t="s">
        <v>66</v>
      </c>
      <c r="C9" t="s">
        <v>118</v>
      </c>
      <c r="D9" t="s">
        <v>119</v>
      </c>
      <c r="F9" t="s">
        <v>120</v>
      </c>
      <c r="G9" t="s">
        <v>121</v>
      </c>
      <c r="H9" t="s">
        <v>122</v>
      </c>
      <c r="I9" t="str">
        <f>IFERROR(HYPERLINK("#Finance!B" &amp; MATCH(A9, 'F 2025'!A:A, 0), "🔗 Go to finance"), "❌ ID introuvable")</f>
        <v>❌ ID introuvable</v>
      </c>
      <c r="L9" t="s">
        <v>102</v>
      </c>
      <c r="V9" t="s">
        <v>123</v>
      </c>
      <c r="Y9" t="s">
        <v>124</v>
      </c>
      <c r="Z9" t="s">
        <v>75</v>
      </c>
      <c r="AB9" t="s">
        <v>125</v>
      </c>
      <c r="AD9" s="130"/>
      <c r="AE9"/>
      <c r="AG9" t="s">
        <v>76</v>
      </c>
      <c r="AI9" t="s">
        <v>125</v>
      </c>
      <c r="AK9" t="s">
        <v>126</v>
      </c>
      <c r="AM9" s="38"/>
      <c r="AO9" t="s">
        <v>121</v>
      </c>
      <c r="AR9" t="str">
        <f t="shared" si="0"/>
        <v/>
      </c>
      <c r="AS9" t="str">
        <f t="shared" si="1"/>
        <v/>
      </c>
      <c r="AT9" t="str">
        <f>IF(Table1[[#This Row],[Joining Date]]="", "", TEXT(Table1[[#This Row],[Joining Date]], "mmm"))</f>
        <v/>
      </c>
      <c r="AU9" t="str">
        <f>IF(Table1[[#This Row],[Joining Date]]="", "", YEAR(Table1[[#This Row],[Joining Date]]))</f>
        <v/>
      </c>
      <c r="AV9" t="str">
        <f>IF(Table1[[#This Row],[Group Name]]="","", M9 &amp; Table1[[#This Row],[Teacher]])</f>
        <v/>
      </c>
      <c r="AW9" t="str">
        <f>IF(Table1[[#This Row],[Helper]]="","",IF(_xlfn.MAXIFS(AT:AT,AW:AW,Table1[[#This Row],[Helper]])=Table1[[#This Row],[Clean Frequency]],_xlfn.MAXIFS(AT:AT,AW:AW,Table1[[#This Row],[Helper]]),""))</f>
        <v/>
      </c>
      <c r="AX9" t="str">
        <f ca="1">IF(AND(AW9=_xlfn.MAXIFS(AX:AX, AW:AW, AV9), COUNTIFS(AV$3:AV9, AV9, AW$3:AW9, AW9)=1), 1, "")</f>
        <v/>
      </c>
      <c r="AY9" t="str">
        <f>IF(Table1[[#This Row],[lesson type]]="private",Table1[[#This Row],[Clean Frequency]],"")</f>
        <v/>
      </c>
      <c r="AZ9" t="str">
        <f ca="1">IF(Table1[[#This Row],[First Occurrence]]=1,Table1[[#This Row],[Group Frequency]],"")</f>
        <v/>
      </c>
      <c r="BA9" t="str">
        <f ca="1">IF(B9="Y", IF(Table1[[#This Row],[Stop]]="", TODAY() - Table1[[#This Row],[Joining Date]], Table1[[#This Row],[Stop]] - Table1[[#This Row],[Joining Date]]), "")</f>
        <v/>
      </c>
      <c r="BB9" t="str">
        <f>_xlfn.CONCAT(Table1[[#This Row],[t]]," ",Table1[[#This Row],[Last Name]])</f>
        <v>Asuka Maruyama</v>
      </c>
      <c r="BC9" t="str">
        <f>IF(OR(Table1[[#This Row],[Teacher]]="Alex",Table1[[#This Row],[Teacher]]=""), "", Table1[[#This Row],[For Salary]])</f>
        <v/>
      </c>
      <c r="BD9" t="str">
        <f>IF(OR(Table1[[#This Row],[Teacher]]="Alex",Table1[[#This Row],[Teacher]]=""), "", Table1[[#This Row],[For Amount]])</f>
        <v/>
      </c>
      <c r="BE9" t="str">
        <f>IFERROR(IF(VLOOKUP(Table1[[#This Row],[Teacher]],'Teachers Salaries'!A:C,2,FALSE)="","",VLOOKUP(Table1[[#This Row],[Teacher]],'Teachers Salaries'!A:C,2,FALSE)),"")</f>
        <v/>
      </c>
      <c r="BF9" t="str">
        <f>IFERROR(IF(VLOOKUP(Table1[[#This Row],[Teacher]],'Teachers Salaries'!A:C,3,FALSE)="","",VLOOKUP(Table1[[#This Row],[Teacher]],'Teachers Salaries'!A:C,3,FALSE)),"")</f>
        <v/>
      </c>
      <c r="BG9">
        <f ca="1">IFERROR(IF(Table1[[#This Row],[Pay Type]]="Fixed","-",Table1[[#This Row],[Final Group Frequency2]]*Table1[[#This Row],[Salary / Hourly Rate]]),0)</f>
        <v>0</v>
      </c>
      <c r="BH9">
        <f>IFERROR(IF(Table1[[#This Row],[Pay Type]]="Fixed","----",Table1[[#This Row],[Salary / Hourly Rate]]*Table1[[#This Row],[Final PrivateFrequency]]),0)</f>
        <v>0</v>
      </c>
      <c r="BI9">
        <f ca="1">IF(Table1[[#This Row],[Pay Type]]="Fixed","---",Table1[[#This Row],[Group Salary]]+Table1[[#This Row],[Private Salary]])</f>
        <v>0</v>
      </c>
      <c r="BJ9" t="str">
        <f>IF(OR(J9="Alex", J9=""),"", Table1[[#This Row],[For Amount]])</f>
        <v/>
      </c>
      <c r="BK9">
        <f ca="1">IFERROR(Table1[[#This Row],[Fee]]-Table1[[#This Row],[Total Salary]],"")</f>
        <v>0</v>
      </c>
      <c r="BL9" t="str">
        <f>IF(Table1[[#This Row],[Joining Date]]="","",IF(Table1[[#This Row],[Joining Date]]&lt;='KPI+Pivot'!$CP$1,Table1[[#This Row],[Fee]],""))</f>
        <v/>
      </c>
      <c r="BM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 t="str">
        <f>IF(Table1[[#This Row],[Joining Date]]="","",IF(Table1[[#This Row],[Joining Date]]&lt;='KPI+Pivot'!$CP$1,Table1[[#This Row],[Total Salary]],""))</f>
        <v/>
      </c>
      <c r="BO9" t="str">
        <f>IF(Table1[[#This Row],[Joining Date]]="","",IF(Table1[[#This Row],[Joining Date]]&lt;='KPI+Pivot'!$CP$1,Table1[[#This Row],[Frequency]],""))</f>
        <v/>
      </c>
      <c r="BP9" s="38" t="str">
        <f>IF(Table1[[#This Row],[Stop]]="","",(IF(Table1[[#This Row],[Joining Date]]="","",IF(Table1[[#This Row],[Joining Date]]&lt;='KPI+Pivot'!$CP$1,Table1[[#This Row],[Stop]],""))))</f>
        <v/>
      </c>
    </row>
    <row r="10" spans="1:71" ht="22.9" customHeight="1">
      <c r="B10" t="s">
        <v>66</v>
      </c>
      <c r="C10" t="s">
        <v>127</v>
      </c>
      <c r="D10" t="s">
        <v>128</v>
      </c>
      <c r="F10" t="s">
        <v>129</v>
      </c>
      <c r="G10" t="s">
        <v>130</v>
      </c>
      <c r="H10" t="s">
        <v>131</v>
      </c>
      <c r="I10" t="str">
        <f>IFERROR(HYPERLINK("#Finance!B" &amp; MATCH(A10, 'F 2025'!A:A, 0), "🔗 Go to finance"), "❌ ID introuvable")</f>
        <v>❌ ID introuvable</v>
      </c>
      <c r="L10" t="s">
        <v>132</v>
      </c>
      <c r="Z10" t="s">
        <v>75</v>
      </c>
      <c r="AB10" t="s">
        <v>133</v>
      </c>
      <c r="AD10" s="130"/>
      <c r="AE10"/>
      <c r="AG10" t="s">
        <v>76</v>
      </c>
      <c r="AI10" t="s">
        <v>133</v>
      </c>
      <c r="AK10" t="s">
        <v>132</v>
      </c>
      <c r="AM10" s="38"/>
      <c r="AO10" t="s">
        <v>130</v>
      </c>
      <c r="AR10" t="str">
        <f t="shared" si="0"/>
        <v/>
      </c>
      <c r="AS10" t="str">
        <f t="shared" si="1"/>
        <v/>
      </c>
      <c r="AT10" t="str">
        <f>IF(Table1[[#This Row],[Joining Date]]="", "", TEXT(Table1[[#This Row],[Joining Date]], "mmm"))</f>
        <v/>
      </c>
      <c r="AU10" t="str">
        <f>IF(Table1[[#This Row],[Joining Date]]="", "", YEAR(Table1[[#This Row],[Joining Date]]))</f>
        <v/>
      </c>
      <c r="AV10" t="str">
        <f>IF(Table1[[#This Row],[Group Name]]="","", M10 &amp; Table1[[#This Row],[Teacher]])</f>
        <v/>
      </c>
      <c r="AW10" t="str">
        <f>IF(Table1[[#This Row],[Helper]]="","",IF(_xlfn.MAXIFS(AT:AT,AW:AW,Table1[[#This Row],[Helper]])=Table1[[#This Row],[Clean Frequency]],_xlfn.MAXIFS(AT:AT,AW:AW,Table1[[#This Row],[Helper]]),""))</f>
        <v/>
      </c>
      <c r="AX10" t="str">
        <f ca="1">IF(AND(AW10=_xlfn.MAXIFS(AX:AX, AW:AW, AV10), COUNTIFS(AV$3:AV10, AV10, AW$3:AW10, AW10)=1), 1, "")</f>
        <v/>
      </c>
      <c r="AY10" t="str">
        <f>IF(Table1[[#This Row],[lesson type]]="private",Table1[[#This Row],[Clean Frequency]],"")</f>
        <v/>
      </c>
      <c r="AZ10" t="str">
        <f ca="1">IF(Table1[[#This Row],[First Occurrence]]=1,Table1[[#This Row],[Group Frequency]],"")</f>
        <v/>
      </c>
      <c r="BA10" t="str">
        <f ca="1">IF(B10="Y", IF(Table1[[#This Row],[Stop]]="", TODAY() - Table1[[#This Row],[Joining Date]], Table1[[#This Row],[Stop]] - Table1[[#This Row],[Joining Date]]), "")</f>
        <v/>
      </c>
      <c r="BB10" t="str">
        <f>_xlfn.CONCAT(Table1[[#This Row],[t]]," ",Table1[[#This Row],[Last Name]])</f>
        <v>Atsuko Koi</v>
      </c>
      <c r="BC10" t="str">
        <f>IF(OR(Table1[[#This Row],[Teacher]]="Alex",Table1[[#This Row],[Teacher]]=""), "", Table1[[#This Row],[For Salary]])</f>
        <v/>
      </c>
      <c r="BD10" t="str">
        <f>IF(OR(Table1[[#This Row],[Teacher]]="Alex",Table1[[#This Row],[Teacher]]=""), "", Table1[[#This Row],[For Amount]])</f>
        <v/>
      </c>
      <c r="BE10" t="str">
        <f>IFERROR(IF(VLOOKUP(Table1[[#This Row],[Teacher]],'Teachers Salaries'!A:C,2,FALSE)="","",VLOOKUP(Table1[[#This Row],[Teacher]],'Teachers Salaries'!A:C,2,FALSE)),"")</f>
        <v/>
      </c>
      <c r="BF10" t="str">
        <f>IFERROR(IF(VLOOKUP(Table1[[#This Row],[Teacher]],'Teachers Salaries'!A:C,3,FALSE)="","",VLOOKUP(Table1[[#This Row],[Teacher]],'Teachers Salaries'!A:C,3,FALSE)),"")</f>
        <v/>
      </c>
      <c r="BG10">
        <f ca="1">IFERROR(IF(Table1[[#This Row],[Pay Type]]="Fixed","-",Table1[[#This Row],[Final Group Frequency2]]*Table1[[#This Row],[Salary / Hourly Rate]]),0)</f>
        <v>0</v>
      </c>
      <c r="BH10">
        <f>IFERROR(IF(Table1[[#This Row],[Pay Type]]="Fixed","----",Table1[[#This Row],[Salary / Hourly Rate]]*Table1[[#This Row],[Final PrivateFrequency]]),0)</f>
        <v>0</v>
      </c>
      <c r="BI10">
        <f ca="1">IF(Table1[[#This Row],[Pay Type]]="Fixed","---",Table1[[#This Row],[Group Salary]]+Table1[[#This Row],[Private Salary]])</f>
        <v>0</v>
      </c>
      <c r="BJ10" t="str">
        <f>IF(OR(J10="Alex", J10=""),"", Table1[[#This Row],[For Amount]])</f>
        <v/>
      </c>
      <c r="BK10">
        <f ca="1">IFERROR(Table1[[#This Row],[Fee]]-Table1[[#This Row],[Total Salary]],"")</f>
        <v>0</v>
      </c>
      <c r="BL10" t="str">
        <f>IF(Table1[[#This Row],[Joining Date]]="","",IF(Table1[[#This Row],[Joining Date]]&lt;='KPI+Pivot'!$CP$1,Table1[[#This Row],[Fee]],""))</f>
        <v/>
      </c>
      <c r="BM1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 t="str">
        <f>IF(Table1[[#This Row],[Joining Date]]="","",IF(Table1[[#This Row],[Joining Date]]&lt;='KPI+Pivot'!$CP$1,Table1[[#This Row],[Total Salary]],""))</f>
        <v/>
      </c>
      <c r="BO10" t="str">
        <f>IF(Table1[[#This Row],[Joining Date]]="","",IF(Table1[[#This Row],[Joining Date]]&lt;='KPI+Pivot'!$CP$1,Table1[[#This Row],[Frequency]],""))</f>
        <v/>
      </c>
      <c r="BP10" s="38" t="str">
        <f>IF(Table1[[#This Row],[Stop]]="","",(IF(Table1[[#This Row],[Joining Date]]="","",IF(Table1[[#This Row],[Joining Date]]&lt;='KPI+Pivot'!$CP$1,Table1[[#This Row],[Stop]],""))))</f>
        <v/>
      </c>
    </row>
    <row r="11" spans="1:71" ht="22.9" customHeight="1">
      <c r="B11" t="s">
        <v>66</v>
      </c>
      <c r="C11" t="s">
        <v>127</v>
      </c>
      <c r="D11" t="s">
        <v>134</v>
      </c>
      <c r="F11" t="s">
        <v>135</v>
      </c>
      <c r="G11" t="s">
        <v>136</v>
      </c>
      <c r="H11" t="s">
        <v>137</v>
      </c>
      <c r="I11" t="str">
        <f>IFERROR(HYPERLINK("#Finance!B" &amp; MATCH(A11, 'F 2025'!A:A, 0), "🔗 Go to finance"), "❌ ID introuvable")</f>
        <v>❌ ID introuvable</v>
      </c>
      <c r="L11" t="s">
        <v>90</v>
      </c>
      <c r="V11" t="s">
        <v>138</v>
      </c>
      <c r="Y11" t="s">
        <v>139</v>
      </c>
      <c r="Z11" t="s">
        <v>75</v>
      </c>
      <c r="AB11" t="s">
        <v>140</v>
      </c>
      <c r="AD11" s="130"/>
      <c r="AE11"/>
      <c r="AG11" t="s">
        <v>76</v>
      </c>
      <c r="AI11" t="s">
        <v>140</v>
      </c>
      <c r="AK11" t="s">
        <v>141</v>
      </c>
      <c r="AM11" s="38"/>
      <c r="AO11" t="s">
        <v>136</v>
      </c>
      <c r="AR11" t="str">
        <f t="shared" si="0"/>
        <v/>
      </c>
      <c r="AS11" t="str">
        <f t="shared" si="1"/>
        <v/>
      </c>
      <c r="AT11" t="str">
        <f>IF(Table1[[#This Row],[Joining Date]]="", "", TEXT(Table1[[#This Row],[Joining Date]], "mmm"))</f>
        <v/>
      </c>
      <c r="AU11" t="str">
        <f>IF(Table1[[#This Row],[Joining Date]]="", "", YEAR(Table1[[#This Row],[Joining Date]]))</f>
        <v/>
      </c>
      <c r="AV11" t="str">
        <f>IF(Table1[[#This Row],[Group Name]]="","", M11 &amp; Table1[[#This Row],[Teacher]])</f>
        <v/>
      </c>
      <c r="AW11" t="str">
        <f>IF(Table1[[#This Row],[Helper]]="","",IF(_xlfn.MAXIFS(AT:AT,AW:AW,Table1[[#This Row],[Helper]])=Table1[[#This Row],[Clean Frequency]],_xlfn.MAXIFS(AT:AT,AW:AW,Table1[[#This Row],[Helper]]),""))</f>
        <v/>
      </c>
      <c r="AX11" t="str">
        <f ca="1">IF(AND(AW11=_xlfn.MAXIFS(AX:AX, AW:AW, AV11), COUNTIFS(AV$3:AV11, AV11, AW$3:AW11, AW11)=1), 1, "")</f>
        <v/>
      </c>
      <c r="AY11" t="str">
        <f>IF(Table1[[#This Row],[lesson type]]="private",Table1[[#This Row],[Clean Frequency]],"")</f>
        <v/>
      </c>
      <c r="AZ11" t="str">
        <f ca="1">IF(Table1[[#This Row],[First Occurrence]]=1,Table1[[#This Row],[Group Frequency]],"")</f>
        <v/>
      </c>
      <c r="BA11" t="str">
        <f ca="1">IF(B11="Y", IF(Table1[[#This Row],[Stop]]="", TODAY() - Table1[[#This Row],[Joining Date]], Table1[[#This Row],[Stop]] - Table1[[#This Row],[Joining Date]]), "")</f>
        <v/>
      </c>
      <c r="BB11" t="str">
        <f>_xlfn.CONCAT(Table1[[#This Row],[t]]," ",Table1[[#This Row],[Last Name]])</f>
        <v>Atsuko Nishiyama</v>
      </c>
      <c r="BC11" t="str">
        <f>IF(OR(Table1[[#This Row],[Teacher]]="Alex",Table1[[#This Row],[Teacher]]=""), "", Table1[[#This Row],[For Salary]])</f>
        <v/>
      </c>
      <c r="BD11" t="str">
        <f>IF(OR(Table1[[#This Row],[Teacher]]="Alex",Table1[[#This Row],[Teacher]]=""), "", Table1[[#This Row],[For Amount]])</f>
        <v/>
      </c>
      <c r="BE11" t="str">
        <f>IFERROR(IF(VLOOKUP(Table1[[#This Row],[Teacher]],'Teachers Salaries'!A:C,2,FALSE)="","",VLOOKUP(Table1[[#This Row],[Teacher]],'Teachers Salaries'!A:C,2,FALSE)),"")</f>
        <v/>
      </c>
      <c r="BF11" t="str">
        <f>IFERROR(IF(VLOOKUP(Table1[[#This Row],[Teacher]],'Teachers Salaries'!A:C,3,FALSE)="","",VLOOKUP(Table1[[#This Row],[Teacher]],'Teachers Salaries'!A:C,3,FALSE)),"")</f>
        <v/>
      </c>
      <c r="BG11">
        <f ca="1">IFERROR(IF(Table1[[#This Row],[Pay Type]]="Fixed","-",Table1[[#This Row],[Final Group Frequency2]]*Table1[[#This Row],[Salary / Hourly Rate]]),0)</f>
        <v>0</v>
      </c>
      <c r="BH11">
        <f>IFERROR(IF(Table1[[#This Row],[Pay Type]]="Fixed","----",Table1[[#This Row],[Salary / Hourly Rate]]*Table1[[#This Row],[Final PrivateFrequency]]),0)</f>
        <v>0</v>
      </c>
      <c r="BI11">
        <f ca="1">IF(Table1[[#This Row],[Pay Type]]="Fixed","---",Table1[[#This Row],[Group Salary]]+Table1[[#This Row],[Private Salary]])</f>
        <v>0</v>
      </c>
      <c r="BJ11" t="str">
        <f>IF(OR(J11="Alex", J11=""),"", Table1[[#This Row],[For Amount]])</f>
        <v/>
      </c>
      <c r="BK11">
        <f ca="1">IFERROR(Table1[[#This Row],[Fee]]-Table1[[#This Row],[Total Salary]],"")</f>
        <v>0</v>
      </c>
      <c r="BL11" t="str">
        <f>IF(Table1[[#This Row],[Joining Date]]="","",IF(Table1[[#This Row],[Joining Date]]&lt;='KPI+Pivot'!$CP$1,Table1[[#This Row],[Fee]],""))</f>
        <v/>
      </c>
      <c r="BM1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1" t="str">
        <f>IF(Table1[[#This Row],[Joining Date]]="","",IF(Table1[[#This Row],[Joining Date]]&lt;='KPI+Pivot'!$CP$1,Table1[[#This Row],[Total Salary]],""))</f>
        <v/>
      </c>
      <c r="BO11" t="str">
        <f>IF(Table1[[#This Row],[Joining Date]]="","",IF(Table1[[#This Row],[Joining Date]]&lt;='KPI+Pivot'!$CP$1,Table1[[#This Row],[Frequency]],""))</f>
        <v/>
      </c>
      <c r="BP11" s="38" t="str">
        <f>IF(Table1[[#This Row],[Stop]]="","",(IF(Table1[[#This Row],[Joining Date]]="","",IF(Table1[[#This Row],[Joining Date]]&lt;='KPI+Pivot'!$CP$1,Table1[[#This Row],[Stop]],""))))</f>
        <v/>
      </c>
    </row>
    <row r="12" spans="1:71" ht="22.9" customHeight="1">
      <c r="A12">
        <v>101</v>
      </c>
      <c r="B12" t="s">
        <v>66</v>
      </c>
      <c r="C12" t="s">
        <v>142</v>
      </c>
      <c r="D12" t="s">
        <v>143</v>
      </c>
      <c r="F12" t="s">
        <v>144</v>
      </c>
      <c r="G12" t="s">
        <v>145</v>
      </c>
      <c r="H12" t="s">
        <v>146</v>
      </c>
      <c r="I12" t="str">
        <f>IFERROR(HYPERLINK("#Finance!B" &amp; MATCH(A12, 'F 2025'!A:A, 0), "🔗 Go to finance"), "❌ ID introuvable")</f>
        <v>❌ ID introuvable</v>
      </c>
      <c r="L12" t="s">
        <v>90</v>
      </c>
      <c r="O12">
        <v>19800</v>
      </c>
      <c r="Z12" t="s">
        <v>75</v>
      </c>
      <c r="AB12" t="s">
        <v>147</v>
      </c>
      <c r="AD12" s="130"/>
      <c r="AE12"/>
      <c r="AG12" t="s">
        <v>76</v>
      </c>
      <c r="AI12" t="s">
        <v>147</v>
      </c>
      <c r="AK12" t="s">
        <v>148</v>
      </c>
      <c r="AM12" s="38">
        <v>45770</v>
      </c>
      <c r="AO12" t="s">
        <v>145</v>
      </c>
      <c r="AR12" t="str">
        <f t="shared" si="0"/>
        <v/>
      </c>
      <c r="AS12" t="str">
        <f t="shared" si="1"/>
        <v/>
      </c>
      <c r="AT12" t="str">
        <f>IF(Table1[[#This Row],[Joining Date]]="", "", TEXT(Table1[[#This Row],[Joining Date]], "mmm"))</f>
        <v/>
      </c>
      <c r="AU12" t="str">
        <f>IF(Table1[[#This Row],[Joining Date]]="", "", YEAR(Table1[[#This Row],[Joining Date]]))</f>
        <v/>
      </c>
      <c r="AV12" t="str">
        <f>IF(Table1[[#This Row],[Group Name]]="","", M12 &amp; Table1[[#This Row],[Teacher]])</f>
        <v/>
      </c>
      <c r="AW12" t="str">
        <f>IF(Table1[[#This Row],[Helper]]="","",IF(_xlfn.MAXIFS(AT:AT,AW:AW,Table1[[#This Row],[Helper]])=Table1[[#This Row],[Clean Frequency]],_xlfn.MAXIFS(AT:AT,AW:AW,Table1[[#This Row],[Helper]]),""))</f>
        <v/>
      </c>
      <c r="AX12" t="str">
        <f ca="1">IF(AND(AW12=_xlfn.MAXIFS(AX:AX, AW:AW, AV12), COUNTIFS(AV$3:AV12, AV12, AW$3:AW12, AW12)=1), 1, "")</f>
        <v/>
      </c>
      <c r="AY12" t="str">
        <f>IF(Table1[[#This Row],[lesson type]]="private",Table1[[#This Row],[Clean Frequency]],"")</f>
        <v/>
      </c>
      <c r="AZ12" t="str">
        <f ca="1">IF(Table1[[#This Row],[First Occurrence]]=1,Table1[[#This Row],[Group Frequency]],"")</f>
        <v/>
      </c>
      <c r="BA12" t="str">
        <f ca="1">IF(B12="Y", IF(Table1[[#This Row],[Stop]]="", TODAY() - Table1[[#This Row],[Joining Date]], Table1[[#This Row],[Stop]] - Table1[[#This Row],[Joining Date]]), "")</f>
        <v/>
      </c>
      <c r="BB12" t="str">
        <f>_xlfn.CONCAT(Table1[[#This Row],[t]]," ",Table1[[#This Row],[Last Name]])</f>
        <v>Aya Yamamoto</v>
      </c>
      <c r="BC12" t="str">
        <f>IF(OR(Table1[[#This Row],[Teacher]]="Alex",Table1[[#This Row],[Teacher]]=""), "", Table1[[#This Row],[For Salary]])</f>
        <v/>
      </c>
      <c r="BD12" t="str">
        <f>IF(OR(Table1[[#This Row],[Teacher]]="Alex",Table1[[#This Row],[Teacher]]=""), "", Table1[[#This Row],[For Amount]])</f>
        <v/>
      </c>
      <c r="BE12" t="str">
        <f>IFERROR(IF(VLOOKUP(Table1[[#This Row],[Teacher]],'Teachers Salaries'!A:C,2,FALSE)="","",VLOOKUP(Table1[[#This Row],[Teacher]],'Teachers Salaries'!A:C,2,FALSE)),"")</f>
        <v/>
      </c>
      <c r="BF12" t="str">
        <f>IFERROR(IF(VLOOKUP(Table1[[#This Row],[Teacher]],'Teachers Salaries'!A:C,3,FALSE)="","",VLOOKUP(Table1[[#This Row],[Teacher]],'Teachers Salaries'!A:C,3,FALSE)),"")</f>
        <v/>
      </c>
      <c r="BG12">
        <f ca="1">IFERROR(IF(Table1[[#This Row],[Pay Type]]="Fixed","-",Table1[[#This Row],[Final Group Frequency2]]*Table1[[#This Row],[Salary / Hourly Rate]]),0)</f>
        <v>0</v>
      </c>
      <c r="BH12">
        <f>IFERROR(IF(Table1[[#This Row],[Pay Type]]="Fixed","----",Table1[[#This Row],[Salary / Hourly Rate]]*Table1[[#This Row],[Final PrivateFrequency]]),0)</f>
        <v>0</v>
      </c>
      <c r="BI12">
        <f ca="1">IF(Table1[[#This Row],[Pay Type]]="Fixed","---",Table1[[#This Row],[Group Salary]]+Table1[[#This Row],[Private Salary]])</f>
        <v>0</v>
      </c>
      <c r="BJ12" t="str">
        <f>IF(OR(J12="Alex", J12=""),"", Table1[[#This Row],[For Amount]])</f>
        <v/>
      </c>
      <c r="BK12">
        <f ca="1">IFERROR(Table1[[#This Row],[Fee]]-Table1[[#This Row],[Total Salary]],"")</f>
        <v>19800</v>
      </c>
      <c r="BL12" t="str">
        <f>IF(Table1[[#This Row],[Joining Date]]="","",IF(Table1[[#This Row],[Joining Date]]&lt;='KPI+Pivot'!$CP$1,Table1[[#This Row],[Fee]],""))</f>
        <v/>
      </c>
      <c r="BM1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 t="str">
        <f>IF(Table1[[#This Row],[Joining Date]]="","",IF(Table1[[#This Row],[Joining Date]]&lt;='KPI+Pivot'!$CP$1,Table1[[#This Row],[Total Salary]],""))</f>
        <v/>
      </c>
      <c r="BO12" t="str">
        <f>IF(Table1[[#This Row],[Joining Date]]="","",IF(Table1[[#This Row],[Joining Date]]&lt;='KPI+Pivot'!$CP$1,Table1[[#This Row],[Frequency]],""))</f>
        <v/>
      </c>
      <c r="BP12" s="38" t="str">
        <f>IF(Table1[[#This Row],[Stop]]="","",(IF(Table1[[#This Row],[Joining Date]]="","",IF(Table1[[#This Row],[Joining Date]]&lt;='KPI+Pivot'!$CP$1,Table1[[#This Row],[Stop]],""))))</f>
        <v/>
      </c>
    </row>
    <row r="13" spans="1:71" ht="22.9" customHeight="1">
      <c r="B13" t="s">
        <v>66</v>
      </c>
      <c r="C13" t="s">
        <v>149</v>
      </c>
      <c r="D13" t="s">
        <v>150</v>
      </c>
      <c r="F13" t="s">
        <v>151</v>
      </c>
      <c r="G13" t="s">
        <v>152</v>
      </c>
      <c r="H13" t="s">
        <v>153</v>
      </c>
      <c r="I13" t="str">
        <f>IFERROR(HYPERLINK("#Finance!B" &amp; MATCH(A13, 'F 2025'!A:A, 0), "🔗 Go to finance"), "❌ ID introuvable")</f>
        <v>❌ ID introuvable</v>
      </c>
      <c r="L13" t="s">
        <v>132</v>
      </c>
      <c r="Y13" t="s">
        <v>154</v>
      </c>
      <c r="Z13" t="s">
        <v>75</v>
      </c>
      <c r="AB13" t="s">
        <v>155</v>
      </c>
      <c r="AD13" s="130"/>
      <c r="AE13"/>
      <c r="AG13" t="s">
        <v>76</v>
      </c>
      <c r="AI13" t="s">
        <v>155</v>
      </c>
      <c r="AK13" t="s">
        <v>156</v>
      </c>
      <c r="AM13" s="38"/>
      <c r="AO13" t="s">
        <v>152</v>
      </c>
      <c r="AR13" t="str">
        <f t="shared" si="0"/>
        <v/>
      </c>
      <c r="AS13" t="str">
        <f t="shared" si="1"/>
        <v/>
      </c>
      <c r="AT13" t="str">
        <f>IF(Table1[[#This Row],[Joining Date]]="", "", TEXT(Table1[[#This Row],[Joining Date]], "mmm"))</f>
        <v/>
      </c>
      <c r="AU13" t="str">
        <f>IF(Table1[[#This Row],[Joining Date]]="", "", YEAR(Table1[[#This Row],[Joining Date]]))</f>
        <v/>
      </c>
      <c r="AV13" t="str">
        <f>IF(Table1[[#This Row],[Group Name]]="","", M13 &amp; Table1[[#This Row],[Teacher]])</f>
        <v/>
      </c>
      <c r="AW13" t="str">
        <f>IF(Table1[[#This Row],[Helper]]="","",IF(_xlfn.MAXIFS(AT:AT,AW:AW,Table1[[#This Row],[Helper]])=Table1[[#This Row],[Clean Frequency]],_xlfn.MAXIFS(AT:AT,AW:AW,Table1[[#This Row],[Helper]]),""))</f>
        <v/>
      </c>
      <c r="AX13" t="str">
        <f ca="1">IF(AND(AW13=_xlfn.MAXIFS(AX:AX, AW:AW, AV13), COUNTIFS(AV$3:AV13, AV13, AW$3:AW13, AW13)=1), 1, "")</f>
        <v/>
      </c>
      <c r="AY13" t="str">
        <f>IF(Table1[[#This Row],[lesson type]]="private",Table1[[#This Row],[Clean Frequency]],"")</f>
        <v/>
      </c>
      <c r="AZ13" t="str">
        <f ca="1">IF(Table1[[#This Row],[First Occurrence]]=1,Table1[[#This Row],[Group Frequency]],"")</f>
        <v/>
      </c>
      <c r="BA13" t="str">
        <f ca="1">IF(B13="Y", IF(Table1[[#This Row],[Stop]]="", TODAY() - Table1[[#This Row],[Joining Date]], Table1[[#This Row],[Stop]] - Table1[[#This Row],[Joining Date]]), "")</f>
        <v/>
      </c>
      <c r="BB13" t="str">
        <f>_xlfn.CONCAT(Table1[[#This Row],[t]]," ",Table1[[#This Row],[Last Name]])</f>
        <v>Ayaka Nagatani</v>
      </c>
      <c r="BC13" t="str">
        <f>IF(OR(Table1[[#This Row],[Teacher]]="Alex",Table1[[#This Row],[Teacher]]=""), "", Table1[[#This Row],[For Salary]])</f>
        <v/>
      </c>
      <c r="BD13" t="str">
        <f>IF(OR(Table1[[#This Row],[Teacher]]="Alex",Table1[[#This Row],[Teacher]]=""), "", Table1[[#This Row],[For Amount]])</f>
        <v/>
      </c>
      <c r="BE13" t="str">
        <f>IFERROR(IF(VLOOKUP(Table1[[#This Row],[Teacher]],'Teachers Salaries'!A:C,2,FALSE)="","",VLOOKUP(Table1[[#This Row],[Teacher]],'Teachers Salaries'!A:C,2,FALSE)),"")</f>
        <v/>
      </c>
      <c r="BF13" t="str">
        <f>IFERROR(IF(VLOOKUP(Table1[[#This Row],[Teacher]],'Teachers Salaries'!A:C,3,FALSE)="","",VLOOKUP(Table1[[#This Row],[Teacher]],'Teachers Salaries'!A:C,3,FALSE)),"")</f>
        <v/>
      </c>
      <c r="BG13">
        <f ca="1">IFERROR(IF(Table1[[#This Row],[Pay Type]]="Fixed","-",Table1[[#This Row],[Final Group Frequency2]]*Table1[[#This Row],[Salary / Hourly Rate]]),0)</f>
        <v>0</v>
      </c>
      <c r="BH13">
        <f>IFERROR(IF(Table1[[#This Row],[Pay Type]]="Fixed","----",Table1[[#This Row],[Salary / Hourly Rate]]*Table1[[#This Row],[Final PrivateFrequency]]),0)</f>
        <v>0</v>
      </c>
      <c r="BI13">
        <f ca="1">IF(Table1[[#This Row],[Pay Type]]="Fixed","---",Table1[[#This Row],[Group Salary]]+Table1[[#This Row],[Private Salary]])</f>
        <v>0</v>
      </c>
      <c r="BJ13" t="str">
        <f>IF(OR(J13="Alex", J13=""),"", Table1[[#This Row],[For Amount]])</f>
        <v/>
      </c>
      <c r="BK13">
        <f ca="1">IFERROR(Table1[[#This Row],[Fee]]-Table1[[#This Row],[Total Salary]],"")</f>
        <v>0</v>
      </c>
      <c r="BL13" t="str">
        <f>IF(Table1[[#This Row],[Joining Date]]="","",IF(Table1[[#This Row],[Joining Date]]&lt;='KPI+Pivot'!$CP$1,Table1[[#This Row],[Fee]],""))</f>
        <v/>
      </c>
      <c r="BM1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 t="str">
        <f>IF(Table1[[#This Row],[Joining Date]]="","",IF(Table1[[#This Row],[Joining Date]]&lt;='KPI+Pivot'!$CP$1,Table1[[#This Row],[Total Salary]],""))</f>
        <v/>
      </c>
      <c r="BO13" t="str">
        <f>IF(Table1[[#This Row],[Joining Date]]="","",IF(Table1[[#This Row],[Joining Date]]&lt;='KPI+Pivot'!$CP$1,Table1[[#This Row],[Frequency]],""))</f>
        <v/>
      </c>
      <c r="BP13" s="38" t="str">
        <f>IF(Table1[[#This Row],[Stop]]="","",(IF(Table1[[#This Row],[Joining Date]]="","",IF(Table1[[#This Row],[Joining Date]]&lt;='KPI+Pivot'!$CP$1,Table1[[#This Row],[Stop]],""))))</f>
        <v/>
      </c>
    </row>
    <row r="14" spans="1:71" ht="22.9" customHeight="1">
      <c r="B14" t="s">
        <v>66</v>
      </c>
      <c r="C14" t="s">
        <v>149</v>
      </c>
      <c r="D14" t="s">
        <v>157</v>
      </c>
      <c r="F14" t="s">
        <v>158</v>
      </c>
      <c r="G14" t="s">
        <v>159</v>
      </c>
      <c r="H14" t="s">
        <v>160</v>
      </c>
      <c r="I14" t="str">
        <f>IFERROR(HYPERLINK("#Finance!B" &amp; MATCH(A14, 'F 2025'!A:A, 0), "🔗 Go to finance"), "❌ ID introuvable")</f>
        <v>❌ ID introuvable</v>
      </c>
      <c r="V14" t="s">
        <v>161</v>
      </c>
      <c r="Y14" t="s">
        <v>162</v>
      </c>
      <c r="Z14" t="s">
        <v>75</v>
      </c>
      <c r="AD14" s="130"/>
      <c r="AE14"/>
      <c r="AG14" t="s">
        <v>76</v>
      </c>
      <c r="AM14" s="38"/>
      <c r="AO14" t="s">
        <v>159</v>
      </c>
      <c r="AR14" t="str">
        <f t="shared" si="0"/>
        <v/>
      </c>
      <c r="AS14" t="str">
        <f t="shared" si="1"/>
        <v/>
      </c>
      <c r="AT14" t="str">
        <f>IF(Table1[[#This Row],[Joining Date]]="", "", TEXT(Table1[[#This Row],[Joining Date]], "mmm"))</f>
        <v/>
      </c>
      <c r="AU14" t="str">
        <f>IF(Table1[[#This Row],[Joining Date]]="", "", YEAR(Table1[[#This Row],[Joining Date]]))</f>
        <v/>
      </c>
      <c r="AV14" t="str">
        <f>IF(Table1[[#This Row],[Group Name]]="","", M14 &amp; Table1[[#This Row],[Teacher]])</f>
        <v/>
      </c>
      <c r="AW14" t="str">
        <f>IF(Table1[[#This Row],[Helper]]="","",IF(_xlfn.MAXIFS(AT:AT,AW:AW,Table1[[#This Row],[Helper]])=Table1[[#This Row],[Clean Frequency]],_xlfn.MAXIFS(AT:AT,AW:AW,Table1[[#This Row],[Helper]]),""))</f>
        <v/>
      </c>
      <c r="AX14" t="str">
        <f ca="1">IF(AND(AW14=_xlfn.MAXIFS(AX:AX, AW:AW, AV14), COUNTIFS(AV$3:AV14, AV14, AW$3:AW14, AW14)=1), 1, "")</f>
        <v/>
      </c>
      <c r="AY14" t="str">
        <f>IF(Table1[[#This Row],[lesson type]]="private",Table1[[#This Row],[Clean Frequency]],"")</f>
        <v/>
      </c>
      <c r="AZ14" t="str">
        <f ca="1">IF(Table1[[#This Row],[First Occurrence]]=1,Table1[[#This Row],[Group Frequency]],"")</f>
        <v/>
      </c>
      <c r="BA14" t="str">
        <f ca="1">IF(B14="Y", IF(Table1[[#This Row],[Stop]]="", TODAY() - Table1[[#This Row],[Joining Date]], Table1[[#This Row],[Stop]] - Table1[[#This Row],[Joining Date]]), "")</f>
        <v/>
      </c>
      <c r="BB14" t="str">
        <f>_xlfn.CONCAT(Table1[[#This Row],[t]]," ",Table1[[#This Row],[Last Name]])</f>
        <v>Ayaka Kinoshita</v>
      </c>
      <c r="BC14" t="str">
        <f>IF(OR(Table1[[#This Row],[Teacher]]="Alex",Table1[[#This Row],[Teacher]]=""), "", Table1[[#This Row],[For Salary]])</f>
        <v/>
      </c>
      <c r="BD14" t="str">
        <f>IF(OR(Table1[[#This Row],[Teacher]]="Alex",Table1[[#This Row],[Teacher]]=""), "", Table1[[#This Row],[For Amount]])</f>
        <v/>
      </c>
      <c r="BE14" t="str">
        <f>IFERROR(IF(VLOOKUP(Table1[[#This Row],[Teacher]],'Teachers Salaries'!A:C,2,FALSE)="","",VLOOKUP(Table1[[#This Row],[Teacher]],'Teachers Salaries'!A:C,2,FALSE)),"")</f>
        <v/>
      </c>
      <c r="BF14" t="str">
        <f>IFERROR(IF(VLOOKUP(Table1[[#This Row],[Teacher]],'Teachers Salaries'!A:C,3,FALSE)="","",VLOOKUP(Table1[[#This Row],[Teacher]],'Teachers Salaries'!A:C,3,FALSE)),"")</f>
        <v/>
      </c>
      <c r="BG14">
        <f ca="1">IFERROR(IF(Table1[[#This Row],[Pay Type]]="Fixed","-",Table1[[#This Row],[Final Group Frequency2]]*Table1[[#This Row],[Salary / Hourly Rate]]),0)</f>
        <v>0</v>
      </c>
      <c r="BH14">
        <f>IFERROR(IF(Table1[[#This Row],[Pay Type]]="Fixed","----",Table1[[#This Row],[Salary / Hourly Rate]]*Table1[[#This Row],[Final PrivateFrequency]]),0)</f>
        <v>0</v>
      </c>
      <c r="BI14">
        <f ca="1">IF(Table1[[#This Row],[Pay Type]]="Fixed","---",Table1[[#This Row],[Group Salary]]+Table1[[#This Row],[Private Salary]])</f>
        <v>0</v>
      </c>
      <c r="BJ14" t="str">
        <f>IF(OR(J14="Alex", J14=""),"", Table1[[#This Row],[For Amount]])</f>
        <v/>
      </c>
      <c r="BK14">
        <f ca="1">IFERROR(Table1[[#This Row],[Fee]]-Table1[[#This Row],[Total Salary]],"")</f>
        <v>0</v>
      </c>
      <c r="BL14" t="str">
        <f>IF(Table1[[#This Row],[Joining Date]]="","",IF(Table1[[#This Row],[Joining Date]]&lt;='KPI+Pivot'!$CP$1,Table1[[#This Row],[Fee]],""))</f>
        <v/>
      </c>
      <c r="BM1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 t="str">
        <f>IF(Table1[[#This Row],[Joining Date]]="","",IF(Table1[[#This Row],[Joining Date]]&lt;='KPI+Pivot'!$CP$1,Table1[[#This Row],[Total Salary]],""))</f>
        <v/>
      </c>
      <c r="BO14" t="str">
        <f>IF(Table1[[#This Row],[Joining Date]]="","",IF(Table1[[#This Row],[Joining Date]]&lt;='KPI+Pivot'!$CP$1,Table1[[#This Row],[Frequency]],""))</f>
        <v/>
      </c>
      <c r="BP14" s="38" t="str">
        <f>IF(Table1[[#This Row],[Stop]]="","",(IF(Table1[[#This Row],[Joining Date]]="","",IF(Table1[[#This Row],[Joining Date]]&lt;='KPI+Pivot'!$CP$1,Table1[[#This Row],[Stop]],""))))</f>
        <v/>
      </c>
    </row>
    <row r="15" spans="1:71" ht="22.9" customHeight="1">
      <c r="A15">
        <v>136</v>
      </c>
      <c r="B15" t="s">
        <v>66</v>
      </c>
      <c r="C15" t="s">
        <v>163</v>
      </c>
      <c r="D15" t="s">
        <v>164</v>
      </c>
      <c r="F15" t="s">
        <v>165</v>
      </c>
      <c r="G15" t="s">
        <v>166</v>
      </c>
      <c r="H15" t="s">
        <v>167</v>
      </c>
      <c r="I15" t="str">
        <f>IFERROR(HYPERLINK("#Finance!B" &amp; MATCH(A15, 'F 2025'!A:A, 0), "🔗 Go to finance"), "❌ ID introuvable")</f>
        <v>🔗 Go to finance</v>
      </c>
      <c r="V15" t="s">
        <v>168</v>
      </c>
      <c r="W15" t="s">
        <v>168</v>
      </c>
      <c r="Z15" t="s">
        <v>75</v>
      </c>
      <c r="AB15" t="s">
        <v>169</v>
      </c>
      <c r="AD15" s="130"/>
      <c r="AE15"/>
      <c r="AG15" t="s">
        <v>76</v>
      </c>
      <c r="AI15" t="s">
        <v>169</v>
      </c>
      <c r="AK15" t="s">
        <v>102</v>
      </c>
      <c r="AM15" s="38">
        <v>45716</v>
      </c>
      <c r="AO15" t="s">
        <v>166</v>
      </c>
      <c r="AR15" t="str">
        <f t="shared" si="0"/>
        <v/>
      </c>
      <c r="AS15" t="str">
        <f t="shared" si="1"/>
        <v/>
      </c>
      <c r="AT15" t="str">
        <f>IF(Table1[[#This Row],[Joining Date]]="", "", TEXT(Table1[[#This Row],[Joining Date]], "mmm"))</f>
        <v/>
      </c>
      <c r="AU15" t="str">
        <f>IF(Table1[[#This Row],[Joining Date]]="", "", YEAR(Table1[[#This Row],[Joining Date]]))</f>
        <v/>
      </c>
      <c r="AV15" t="str">
        <f>IF(Table1[[#This Row],[Group Name]]="","", M15 &amp; Table1[[#This Row],[Teacher]])</f>
        <v/>
      </c>
      <c r="AW15" t="str">
        <f>IF(Table1[[#This Row],[Helper]]="","",IF(_xlfn.MAXIFS(AT:AT,AW:AW,Table1[[#This Row],[Helper]])=Table1[[#This Row],[Clean Frequency]],_xlfn.MAXIFS(AT:AT,AW:AW,Table1[[#This Row],[Helper]]),""))</f>
        <v/>
      </c>
      <c r="AX15" t="str">
        <f ca="1">IF(AND(AW15=_xlfn.MAXIFS(AX:AX, AW:AW, AV15), COUNTIFS(AV$3:AV15, AV15, AW$3:AW15, AW15)=1), 1, "")</f>
        <v/>
      </c>
      <c r="AY15" t="str">
        <f>IF(Table1[[#This Row],[lesson type]]="private",Table1[[#This Row],[Clean Frequency]],"")</f>
        <v/>
      </c>
      <c r="AZ15" t="str">
        <f ca="1">IF(Table1[[#This Row],[First Occurrence]]=1,Table1[[#This Row],[Group Frequency]],"")</f>
        <v/>
      </c>
      <c r="BA15" t="str">
        <f ca="1">IF(B15="Y", IF(Table1[[#This Row],[Stop]]="", TODAY() - Table1[[#This Row],[Joining Date]], Table1[[#This Row],[Stop]] - Table1[[#This Row],[Joining Date]]), "")</f>
        <v/>
      </c>
      <c r="BB15" t="str">
        <f>_xlfn.CONCAT(Table1[[#This Row],[t]]," ",Table1[[#This Row],[Last Name]])</f>
        <v>Ayane Shiba</v>
      </c>
      <c r="BC15" t="str">
        <f>IF(OR(Table1[[#This Row],[Teacher]]="Alex",Table1[[#This Row],[Teacher]]=""), "", Table1[[#This Row],[For Salary]])</f>
        <v/>
      </c>
      <c r="BD15" t="str">
        <f>IF(OR(Table1[[#This Row],[Teacher]]="Alex",Table1[[#This Row],[Teacher]]=""), "", Table1[[#This Row],[For Amount]])</f>
        <v/>
      </c>
      <c r="BE15" t="str">
        <f>IFERROR(IF(VLOOKUP(Table1[[#This Row],[Teacher]],'Teachers Salaries'!A:C,2,FALSE)="","",VLOOKUP(Table1[[#This Row],[Teacher]],'Teachers Salaries'!A:C,2,FALSE)),"")</f>
        <v/>
      </c>
      <c r="BF15" t="str">
        <f>IFERROR(IF(VLOOKUP(Table1[[#This Row],[Teacher]],'Teachers Salaries'!A:C,3,FALSE)="","",VLOOKUP(Table1[[#This Row],[Teacher]],'Teachers Salaries'!A:C,3,FALSE)),"")</f>
        <v/>
      </c>
      <c r="BG15">
        <f ca="1">IFERROR(IF(Table1[[#This Row],[Pay Type]]="Fixed","-",Table1[[#This Row],[Final Group Frequency2]]*Table1[[#This Row],[Salary / Hourly Rate]]),0)</f>
        <v>0</v>
      </c>
      <c r="BH15">
        <f>IFERROR(IF(Table1[[#This Row],[Pay Type]]="Fixed","----",Table1[[#This Row],[Salary / Hourly Rate]]*Table1[[#This Row],[Final PrivateFrequency]]),0)</f>
        <v>0</v>
      </c>
      <c r="BI15">
        <f ca="1">IF(Table1[[#This Row],[Pay Type]]="Fixed","---",Table1[[#This Row],[Group Salary]]+Table1[[#This Row],[Private Salary]])</f>
        <v>0</v>
      </c>
      <c r="BJ15" t="str">
        <f>IF(OR(J15="Alex", J15=""),"", Table1[[#This Row],[For Amount]])</f>
        <v/>
      </c>
      <c r="BK15">
        <f ca="1">IFERROR(Table1[[#This Row],[Fee]]-Table1[[#This Row],[Total Salary]],"")</f>
        <v>0</v>
      </c>
      <c r="BL15" t="str">
        <f>IF(Table1[[#This Row],[Joining Date]]="","",IF(Table1[[#This Row],[Joining Date]]&lt;='KPI+Pivot'!$CP$1,Table1[[#This Row],[Fee]],""))</f>
        <v/>
      </c>
      <c r="BM1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5" t="str">
        <f>IF(Table1[[#This Row],[Joining Date]]="","",IF(Table1[[#This Row],[Joining Date]]&lt;='KPI+Pivot'!$CP$1,Table1[[#This Row],[Total Salary]],""))</f>
        <v/>
      </c>
      <c r="BO15" t="str">
        <f>IF(Table1[[#This Row],[Joining Date]]="","",IF(Table1[[#This Row],[Joining Date]]&lt;='KPI+Pivot'!$CP$1,Table1[[#This Row],[Frequency]],""))</f>
        <v/>
      </c>
      <c r="BP15" s="38" t="str">
        <f>IF(Table1[[#This Row],[Stop]]="","",(IF(Table1[[#This Row],[Joining Date]]="","",IF(Table1[[#This Row],[Joining Date]]&lt;='KPI+Pivot'!$CP$1,Table1[[#This Row],[Stop]],""))))</f>
        <v/>
      </c>
    </row>
    <row r="16" spans="1:71" ht="22.9" customHeight="1">
      <c r="B16" t="s">
        <v>66</v>
      </c>
      <c r="C16" t="s">
        <v>170</v>
      </c>
      <c r="D16" t="s">
        <v>171</v>
      </c>
      <c r="F16" t="s">
        <v>172</v>
      </c>
      <c r="G16" t="s">
        <v>173</v>
      </c>
      <c r="H16" t="s">
        <v>174</v>
      </c>
      <c r="I16" t="str">
        <f>IFERROR(HYPERLINK("#Finance!B" &amp; MATCH(A16, 'F 2025'!A:A, 0), "🔗 Go to finance"), "❌ ID introuvable")</f>
        <v>❌ ID introuvable</v>
      </c>
      <c r="V16" t="s">
        <v>175</v>
      </c>
      <c r="W16" t="s">
        <v>175</v>
      </c>
      <c r="Y16">
        <v>8081090540</v>
      </c>
      <c r="Z16" t="s">
        <v>75</v>
      </c>
      <c r="AD16" s="130"/>
      <c r="AE16"/>
      <c r="AG16" t="s">
        <v>76</v>
      </c>
      <c r="AK16" t="s">
        <v>176</v>
      </c>
      <c r="AM16" s="38"/>
      <c r="AO16" t="s">
        <v>173</v>
      </c>
      <c r="AR16" t="str">
        <f t="shared" si="0"/>
        <v/>
      </c>
      <c r="AS16" t="str">
        <f t="shared" si="1"/>
        <v/>
      </c>
      <c r="AT16" t="str">
        <f>IF(Table1[[#This Row],[Joining Date]]="", "", TEXT(Table1[[#This Row],[Joining Date]], "mmm"))</f>
        <v/>
      </c>
      <c r="AU16" t="str">
        <f>IF(Table1[[#This Row],[Joining Date]]="", "", YEAR(Table1[[#This Row],[Joining Date]]))</f>
        <v/>
      </c>
      <c r="AV16" t="str">
        <f>IF(Table1[[#This Row],[Group Name]]="","", M16 &amp; Table1[[#This Row],[Teacher]])</f>
        <v/>
      </c>
      <c r="AW16" t="str">
        <f>IF(Table1[[#This Row],[Helper]]="","",IF(_xlfn.MAXIFS(AT:AT,AW:AW,Table1[[#This Row],[Helper]])=Table1[[#This Row],[Clean Frequency]],_xlfn.MAXIFS(AT:AT,AW:AW,Table1[[#This Row],[Helper]]),""))</f>
        <v/>
      </c>
      <c r="AX16" t="str">
        <f ca="1">IF(AND(AW16=_xlfn.MAXIFS(AX:AX, AW:AW, AV16), COUNTIFS(AV$3:AV16, AV16, AW$3:AW16, AW16)=1), 1, "")</f>
        <v/>
      </c>
      <c r="AY16" t="str">
        <f>IF(Table1[[#This Row],[lesson type]]="private",Table1[[#This Row],[Clean Frequency]],"")</f>
        <v/>
      </c>
      <c r="AZ16" t="str">
        <f ca="1">IF(Table1[[#This Row],[First Occurrence]]=1,Table1[[#This Row],[Group Frequency]],"")</f>
        <v/>
      </c>
      <c r="BA16" t="str">
        <f ca="1">IF(B16="Y", IF(Table1[[#This Row],[Stop]]="", TODAY() - Table1[[#This Row],[Joining Date]], Table1[[#This Row],[Stop]] - Table1[[#This Row],[Joining Date]]), "")</f>
        <v/>
      </c>
      <c r="BB16" t="str">
        <f>_xlfn.CONCAT(Table1[[#This Row],[t]]," ",Table1[[#This Row],[Last Name]])</f>
        <v>ayumu ninomiya</v>
      </c>
      <c r="BC16" t="str">
        <f>IF(OR(Table1[[#This Row],[Teacher]]="Alex",Table1[[#This Row],[Teacher]]=""), "", Table1[[#This Row],[For Salary]])</f>
        <v/>
      </c>
      <c r="BD16" t="str">
        <f>IF(OR(Table1[[#This Row],[Teacher]]="Alex",Table1[[#This Row],[Teacher]]=""), "", Table1[[#This Row],[For Amount]])</f>
        <v/>
      </c>
      <c r="BE16" t="str">
        <f>IFERROR(IF(VLOOKUP(Table1[[#This Row],[Teacher]],'Teachers Salaries'!A:C,2,FALSE)="","",VLOOKUP(Table1[[#This Row],[Teacher]],'Teachers Salaries'!A:C,2,FALSE)),"")</f>
        <v/>
      </c>
      <c r="BF16" t="str">
        <f>IFERROR(IF(VLOOKUP(Table1[[#This Row],[Teacher]],'Teachers Salaries'!A:C,3,FALSE)="","",VLOOKUP(Table1[[#This Row],[Teacher]],'Teachers Salaries'!A:C,3,FALSE)),"")</f>
        <v/>
      </c>
      <c r="BG16">
        <f ca="1">IFERROR(IF(Table1[[#This Row],[Pay Type]]="Fixed","-",Table1[[#This Row],[Final Group Frequency2]]*Table1[[#This Row],[Salary / Hourly Rate]]),0)</f>
        <v>0</v>
      </c>
      <c r="BH16">
        <f>IFERROR(IF(Table1[[#This Row],[Pay Type]]="Fixed","----",Table1[[#This Row],[Salary / Hourly Rate]]*Table1[[#This Row],[Final PrivateFrequency]]),0)</f>
        <v>0</v>
      </c>
      <c r="BI16">
        <f ca="1">IF(Table1[[#This Row],[Pay Type]]="Fixed","---",Table1[[#This Row],[Group Salary]]+Table1[[#This Row],[Private Salary]])</f>
        <v>0</v>
      </c>
      <c r="BJ16" t="str">
        <f>IF(OR(J16="Alex", J16=""),"", Table1[[#This Row],[For Amount]])</f>
        <v/>
      </c>
      <c r="BK16">
        <f ca="1">IFERROR(Table1[[#This Row],[Fee]]-Table1[[#This Row],[Total Salary]],"")</f>
        <v>0</v>
      </c>
      <c r="BL16" t="str">
        <f>IF(Table1[[#This Row],[Joining Date]]="","",IF(Table1[[#This Row],[Joining Date]]&lt;='KPI+Pivot'!$CP$1,Table1[[#This Row],[Fee]],""))</f>
        <v/>
      </c>
      <c r="BM1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6" t="str">
        <f>IF(Table1[[#This Row],[Joining Date]]="","",IF(Table1[[#This Row],[Joining Date]]&lt;='KPI+Pivot'!$CP$1,Table1[[#This Row],[Total Salary]],""))</f>
        <v/>
      </c>
      <c r="BO16" t="str">
        <f>IF(Table1[[#This Row],[Joining Date]]="","",IF(Table1[[#This Row],[Joining Date]]&lt;='KPI+Pivot'!$CP$1,Table1[[#This Row],[Frequency]],""))</f>
        <v/>
      </c>
      <c r="BP16" s="38" t="str">
        <f>IF(Table1[[#This Row],[Stop]]="","",(IF(Table1[[#This Row],[Joining Date]]="","",IF(Table1[[#This Row],[Joining Date]]&lt;='KPI+Pivot'!$CP$1,Table1[[#This Row],[Stop]],""))))</f>
        <v/>
      </c>
    </row>
    <row r="17" spans="1:68" ht="22.9" customHeight="1">
      <c r="B17" t="s">
        <v>66</v>
      </c>
      <c r="C17" t="s">
        <v>177</v>
      </c>
      <c r="D17" t="s">
        <v>178</v>
      </c>
      <c r="F17" t="s">
        <v>179</v>
      </c>
      <c r="G17" t="s">
        <v>180</v>
      </c>
      <c r="H17" t="s">
        <v>181</v>
      </c>
      <c r="I17" t="str">
        <f>IFERROR(HYPERLINK("#Finance!B" &amp; MATCH(A17, 'F 2025'!A:A, 0), "🔗 Go to finance"), "❌ ID introuvable")</f>
        <v>❌ ID introuvable</v>
      </c>
      <c r="L17" t="s">
        <v>132</v>
      </c>
      <c r="Z17" t="s">
        <v>75</v>
      </c>
      <c r="AD17" s="130"/>
      <c r="AE17"/>
      <c r="AG17" t="s">
        <v>76</v>
      </c>
      <c r="AK17" t="s">
        <v>182</v>
      </c>
      <c r="AM17" s="38"/>
      <c r="AO17" t="s">
        <v>180</v>
      </c>
      <c r="AR17" t="str">
        <f t="shared" si="0"/>
        <v/>
      </c>
      <c r="AS17" t="str">
        <f t="shared" si="1"/>
        <v/>
      </c>
      <c r="AT17" t="str">
        <f>IF(Table1[[#This Row],[Joining Date]]="", "", TEXT(Table1[[#This Row],[Joining Date]], "mmm"))</f>
        <v/>
      </c>
      <c r="AU17" t="str">
        <f>IF(Table1[[#This Row],[Joining Date]]="", "", YEAR(Table1[[#This Row],[Joining Date]]))</f>
        <v/>
      </c>
      <c r="AV17" t="str">
        <f>IF(Table1[[#This Row],[Group Name]]="","", M17 &amp; Table1[[#This Row],[Teacher]])</f>
        <v/>
      </c>
      <c r="AW17" t="str">
        <f>IF(Table1[[#This Row],[Helper]]="","",IF(_xlfn.MAXIFS(AT:AT,AW:AW,Table1[[#This Row],[Helper]])=Table1[[#This Row],[Clean Frequency]],_xlfn.MAXIFS(AT:AT,AW:AW,Table1[[#This Row],[Helper]]),""))</f>
        <v/>
      </c>
      <c r="AX17" t="str">
        <f ca="1">IF(AND(AW17=_xlfn.MAXIFS(AX:AX, AW:AW, AV17), COUNTIFS(AV$3:AV17, AV17, AW$3:AW17, AW17)=1), 1, "")</f>
        <v/>
      </c>
      <c r="AY17" t="str">
        <f>IF(Table1[[#This Row],[lesson type]]="private",Table1[[#This Row],[Clean Frequency]],"")</f>
        <v/>
      </c>
      <c r="AZ17" t="str">
        <f ca="1">IF(Table1[[#This Row],[First Occurrence]]=1,Table1[[#This Row],[Group Frequency]],"")</f>
        <v/>
      </c>
      <c r="BA17" t="str">
        <f ca="1">IF(B17="Y", IF(Table1[[#This Row],[Stop]]="", TODAY() - Table1[[#This Row],[Joining Date]], Table1[[#This Row],[Stop]] - Table1[[#This Row],[Joining Date]]), "")</f>
        <v/>
      </c>
      <c r="BB17" t="str">
        <f>_xlfn.CONCAT(Table1[[#This Row],[t]]," ",Table1[[#This Row],[Last Name]])</f>
        <v>Yuzuna Baba</v>
      </c>
      <c r="BC17" t="str">
        <f>IF(OR(Table1[[#This Row],[Teacher]]="Alex",Table1[[#This Row],[Teacher]]=""), "", Table1[[#This Row],[For Salary]])</f>
        <v/>
      </c>
      <c r="BD17" t="str">
        <f>IF(OR(Table1[[#This Row],[Teacher]]="Alex",Table1[[#This Row],[Teacher]]=""), "", Table1[[#This Row],[For Amount]])</f>
        <v/>
      </c>
      <c r="BE17" t="str">
        <f>IFERROR(IF(VLOOKUP(Table1[[#This Row],[Teacher]],'Teachers Salaries'!A:C,2,FALSE)="","",VLOOKUP(Table1[[#This Row],[Teacher]],'Teachers Salaries'!A:C,2,FALSE)),"")</f>
        <v/>
      </c>
      <c r="BF17" t="str">
        <f>IFERROR(IF(VLOOKUP(Table1[[#This Row],[Teacher]],'Teachers Salaries'!A:C,3,FALSE)="","",VLOOKUP(Table1[[#This Row],[Teacher]],'Teachers Salaries'!A:C,3,FALSE)),"")</f>
        <v/>
      </c>
      <c r="BG17">
        <f ca="1">IFERROR(IF(Table1[[#This Row],[Pay Type]]="Fixed","-",Table1[[#This Row],[Final Group Frequency2]]*Table1[[#This Row],[Salary / Hourly Rate]]),0)</f>
        <v>0</v>
      </c>
      <c r="BH17">
        <f>IFERROR(IF(Table1[[#This Row],[Pay Type]]="Fixed","----",Table1[[#This Row],[Salary / Hourly Rate]]*Table1[[#This Row],[Final PrivateFrequency]]),0)</f>
        <v>0</v>
      </c>
      <c r="BI17">
        <f ca="1">IF(Table1[[#This Row],[Pay Type]]="Fixed","---",Table1[[#This Row],[Group Salary]]+Table1[[#This Row],[Private Salary]])</f>
        <v>0</v>
      </c>
      <c r="BJ17" t="str">
        <f>IF(OR(J17="Alex", J17=""),"", Table1[[#This Row],[For Amount]])</f>
        <v/>
      </c>
      <c r="BK17">
        <f ca="1">IFERROR(Table1[[#This Row],[Fee]]-Table1[[#This Row],[Total Salary]],"")</f>
        <v>0</v>
      </c>
      <c r="BL17" t="str">
        <f>IF(Table1[[#This Row],[Joining Date]]="","",IF(Table1[[#This Row],[Joining Date]]&lt;='KPI+Pivot'!$CP$1,Table1[[#This Row],[Fee]],""))</f>
        <v/>
      </c>
      <c r="BM1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7" t="str">
        <f>IF(Table1[[#This Row],[Joining Date]]="","",IF(Table1[[#This Row],[Joining Date]]&lt;='KPI+Pivot'!$CP$1,Table1[[#This Row],[Total Salary]],""))</f>
        <v/>
      </c>
      <c r="BO17" t="str">
        <f>IF(Table1[[#This Row],[Joining Date]]="","",IF(Table1[[#This Row],[Joining Date]]&lt;='KPI+Pivot'!$CP$1,Table1[[#This Row],[Frequency]],""))</f>
        <v/>
      </c>
      <c r="BP17" s="38" t="str">
        <f>IF(Table1[[#This Row],[Stop]]="","",(IF(Table1[[#This Row],[Joining Date]]="","",IF(Table1[[#This Row],[Joining Date]]&lt;='KPI+Pivot'!$CP$1,Table1[[#This Row],[Stop]],""))))</f>
        <v/>
      </c>
    </row>
    <row r="18" spans="1:68" ht="22.9" customHeight="1">
      <c r="A18">
        <v>103</v>
      </c>
      <c r="B18" t="s">
        <v>66</v>
      </c>
      <c r="C18" t="s">
        <v>183</v>
      </c>
      <c r="D18" t="s">
        <v>184</v>
      </c>
      <c r="F18" t="s">
        <v>185</v>
      </c>
      <c r="G18" t="s">
        <v>186</v>
      </c>
      <c r="H18" t="s">
        <v>187</v>
      </c>
      <c r="I18" t="str">
        <f>IFERROR(HYPERLINK("#Finance!B" &amp; MATCH(A18, 'F 2025'!A:A, 0), "🔗 Go to finance"), "❌ ID introuvable")</f>
        <v>🔗 Go to finance</v>
      </c>
      <c r="V18" t="s">
        <v>188</v>
      </c>
      <c r="W18" t="s">
        <v>189</v>
      </c>
      <c r="Y18">
        <v>9048027828</v>
      </c>
      <c r="Z18" t="s">
        <v>75</v>
      </c>
      <c r="AB18" t="s">
        <v>190</v>
      </c>
      <c r="AD18" s="130">
        <v>45446</v>
      </c>
      <c r="AE18"/>
      <c r="AG18" t="s">
        <v>76</v>
      </c>
      <c r="AI18" t="s">
        <v>190</v>
      </c>
      <c r="AK18" t="s">
        <v>102</v>
      </c>
      <c r="AM18" s="38">
        <v>45747</v>
      </c>
      <c r="AO18" t="s">
        <v>186</v>
      </c>
      <c r="AR18" t="str">
        <f t="shared" si="0"/>
        <v/>
      </c>
      <c r="AS18" t="str">
        <f t="shared" si="1"/>
        <v/>
      </c>
      <c r="AT18" t="str">
        <f>IF(Table1[[#This Row],[Joining Date]]="", "", TEXT(Table1[[#This Row],[Joining Date]], "mmm"))</f>
        <v>Jun</v>
      </c>
      <c r="AU18">
        <f>IF(Table1[[#This Row],[Joining Date]]="", "", YEAR(Table1[[#This Row],[Joining Date]]))</f>
        <v>2024</v>
      </c>
      <c r="AV18" t="str">
        <f>IF(Table1[[#This Row],[Group Name]]="","", M18 &amp; Table1[[#This Row],[Teacher]])</f>
        <v/>
      </c>
      <c r="AW18" t="str">
        <f>IF(Table1[[#This Row],[Helper]]="","",IF(_xlfn.MAXIFS(AT:AT,AW:AW,Table1[[#This Row],[Helper]])=Table1[[#This Row],[Clean Frequency]],_xlfn.MAXIFS(AT:AT,AW:AW,Table1[[#This Row],[Helper]]),""))</f>
        <v/>
      </c>
      <c r="AX18" t="str">
        <f ca="1">IF(AND(AW18=_xlfn.MAXIFS(AX:AX, AW:AW, AV18), COUNTIFS(AV$3:AV18, AV18, AW$3:AW18, AW18)=1), 1, "")</f>
        <v/>
      </c>
      <c r="AY18" t="str">
        <f>IF(Table1[[#This Row],[lesson type]]="private",Table1[[#This Row],[Clean Frequency]],"")</f>
        <v/>
      </c>
      <c r="AZ18" t="str">
        <f ca="1">IF(Table1[[#This Row],[First Occurrence]]=1,Table1[[#This Row],[Group Frequency]],"")</f>
        <v/>
      </c>
      <c r="BA18" t="str">
        <f ca="1">IF(B18="Y", IF(Table1[[#This Row],[Stop]]="", TODAY() - Table1[[#This Row],[Joining Date]], Table1[[#This Row],[Stop]] - Table1[[#This Row],[Joining Date]]), "")</f>
        <v/>
      </c>
      <c r="BB18" t="str">
        <f>_xlfn.CONCAT(Table1[[#This Row],[t]]," ",Table1[[#This Row],[Last Name]])</f>
        <v>Buntaro Takara</v>
      </c>
      <c r="BC18" t="str">
        <f>IF(OR(Table1[[#This Row],[Teacher]]="Alex",Table1[[#This Row],[Teacher]]=""), "", Table1[[#This Row],[For Salary]])</f>
        <v/>
      </c>
      <c r="BD18" t="str">
        <f>IF(OR(Table1[[#This Row],[Teacher]]="Alex",Table1[[#This Row],[Teacher]]=""), "", Table1[[#This Row],[For Amount]])</f>
        <v/>
      </c>
      <c r="BE18" t="str">
        <f>IFERROR(IF(VLOOKUP(Table1[[#This Row],[Teacher]],'Teachers Salaries'!A:C,2,FALSE)="","",VLOOKUP(Table1[[#This Row],[Teacher]],'Teachers Salaries'!A:C,2,FALSE)),"")</f>
        <v/>
      </c>
      <c r="BF18" t="str">
        <f>IFERROR(IF(VLOOKUP(Table1[[#This Row],[Teacher]],'Teachers Salaries'!A:C,3,FALSE)="","",VLOOKUP(Table1[[#This Row],[Teacher]],'Teachers Salaries'!A:C,3,FALSE)),"")</f>
        <v/>
      </c>
      <c r="BG18">
        <f ca="1">IFERROR(IF(Table1[[#This Row],[Pay Type]]="Fixed","-",Table1[[#This Row],[Final Group Frequency2]]*Table1[[#This Row],[Salary / Hourly Rate]]),0)</f>
        <v>0</v>
      </c>
      <c r="BH18">
        <f>IFERROR(IF(Table1[[#This Row],[Pay Type]]="Fixed","----",Table1[[#This Row],[Salary / Hourly Rate]]*Table1[[#This Row],[Final PrivateFrequency]]),0)</f>
        <v>0</v>
      </c>
      <c r="BI18">
        <f ca="1">IF(Table1[[#This Row],[Pay Type]]="Fixed","---",Table1[[#This Row],[Group Salary]]+Table1[[#This Row],[Private Salary]])</f>
        <v>0</v>
      </c>
      <c r="BJ18" t="str">
        <f>IF(OR(J18="Alex", J18=""),"", Table1[[#This Row],[For Amount]])</f>
        <v/>
      </c>
      <c r="BK18">
        <f ca="1">IFERROR(Table1[[#This Row],[Fee]]-Table1[[#This Row],[Total Salary]],"")</f>
        <v>0</v>
      </c>
      <c r="BL18" t="e">
        <f>IF(Table1[[#This Row],[Joining Date]]="","",IF(Table1[[#This Row],[Joining Date]]&lt;='KPI+Pivot'!$CP$1,Table1[[#This Row],[Fee]],""))</f>
        <v>#N/A</v>
      </c>
      <c r="BM1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 t="e">
        <f>IF(Table1[[#This Row],[Joining Date]]="","",IF(Table1[[#This Row],[Joining Date]]&lt;='KPI+Pivot'!$CP$1,Table1[[#This Row],[Total Salary]],""))</f>
        <v>#N/A</v>
      </c>
      <c r="BO18" t="e">
        <f>IF(Table1[[#This Row],[Joining Date]]="","",IF(Table1[[#This Row],[Joining Date]]&lt;='KPI+Pivot'!$CP$1,Table1[[#This Row],[Frequency]],""))</f>
        <v>#N/A</v>
      </c>
      <c r="BP18" s="38" t="e">
        <f>IF(Table1[[#This Row],[Stop]]="","",(IF(Table1[[#This Row],[Joining Date]]="","",IF(Table1[[#This Row],[Joining Date]]&lt;='KPI+Pivot'!$CP$1,Table1[[#This Row],[Stop]],""))))</f>
        <v>#N/A</v>
      </c>
    </row>
    <row r="19" spans="1:68" ht="18" customHeight="1">
      <c r="A19">
        <v>87</v>
      </c>
      <c r="B19" t="s">
        <v>103</v>
      </c>
      <c r="C19" t="s">
        <v>191</v>
      </c>
      <c r="D19" t="s">
        <v>192</v>
      </c>
      <c r="F19" t="s">
        <v>193</v>
      </c>
      <c r="G19" t="s">
        <v>194</v>
      </c>
      <c r="H19" t="s">
        <v>195</v>
      </c>
      <c r="I19" t="str">
        <f>IFERROR(HYPERLINK("#Finance!B" &amp; MATCH(A19, 'F 2025'!A:A, 0), "🔗 Go to finance"), "❌ ID introuvable")</f>
        <v>🔗 Go to finance</v>
      </c>
      <c r="J19" t="s">
        <v>196</v>
      </c>
      <c r="K19" t="s">
        <v>110</v>
      </c>
      <c r="L19" t="s">
        <v>197</v>
      </c>
      <c r="N19">
        <v>4</v>
      </c>
      <c r="O19">
        <v>15800</v>
      </c>
      <c r="R19">
        <v>0</v>
      </c>
      <c r="V19" t="s">
        <v>198</v>
      </c>
      <c r="Z19" t="s">
        <v>75</v>
      </c>
      <c r="AB19" t="s">
        <v>199</v>
      </c>
      <c r="AD19" s="130">
        <v>45047</v>
      </c>
      <c r="AE19"/>
      <c r="AG19" t="s">
        <v>76</v>
      </c>
      <c r="AI19" t="s">
        <v>199</v>
      </c>
      <c r="AK19" t="s">
        <v>197</v>
      </c>
      <c r="AM19" s="38"/>
      <c r="AO19" t="s">
        <v>194</v>
      </c>
      <c r="AP19">
        <v>87</v>
      </c>
      <c r="AQ19" t="s">
        <v>194</v>
      </c>
      <c r="AR19" t="str">
        <f t="shared" si="0"/>
        <v>private</v>
      </c>
      <c r="AS19">
        <f t="shared" si="1"/>
        <v>4</v>
      </c>
      <c r="AT19" t="str">
        <f>IF(Table1[[#This Row],[Joining Date]]="", "", TEXT(Table1[[#This Row],[Joining Date]], "mmm"))</f>
        <v>May</v>
      </c>
      <c r="AU19">
        <f>IF(Table1[[#This Row],[Joining Date]]="", "", YEAR(Table1[[#This Row],[Joining Date]]))</f>
        <v>2023</v>
      </c>
      <c r="AV19" t="str">
        <f>IF(Table1[[#This Row],[Group Name]]="","", M19 &amp; Table1[[#This Row],[Teacher]])</f>
        <v/>
      </c>
      <c r="AW19" t="str">
        <f>IF(Table1[[#This Row],[Helper]]="","",IF(_xlfn.MAXIFS(AT:AT,AW:AW,Table1[[#This Row],[Helper]])=Table1[[#This Row],[Clean Frequency]],_xlfn.MAXIFS(AT:AT,AW:AW,Table1[[#This Row],[Helper]]),""))</f>
        <v/>
      </c>
      <c r="AX19" t="str">
        <f ca="1">IF(AND(AW19=_xlfn.MAXIFS(AX:AX, AW:AW, AV19), COUNTIFS(AV$3:AV19, AV19, AW$3:AW19, AW19)=1), 1, "")</f>
        <v/>
      </c>
      <c r="AY19">
        <f>IF(Table1[[#This Row],[lesson type]]="private",Table1[[#This Row],[Clean Frequency]],"")</f>
        <v>4</v>
      </c>
      <c r="AZ19" t="str">
        <f ca="1">IF(Table1[[#This Row],[First Occurrence]]=1,Table1[[#This Row],[Group Frequency]],"")</f>
        <v/>
      </c>
      <c r="BA19">
        <f ca="1">IF(B19="Y", IF(Table1[[#This Row],[Stop]]="", TODAY() - Table1[[#This Row],[Joining Date]], Table1[[#This Row],[Stop]] - Table1[[#This Row],[Joining Date]]), "")</f>
        <v>1130</v>
      </c>
      <c r="BB19" t="str">
        <f>_xlfn.CONCAT(Table1[[#This Row],[t]]," ",Table1[[#This Row],[Last Name]])</f>
        <v>Chiaki Yanagihara</v>
      </c>
      <c r="BC19" t="e">
        <f>IF(OR(Table1[[#This Row],[Teacher]]="Alex",Table1[[#This Row],[Teacher]]=""), "", Table1[[#This Row],[For Salary]])</f>
        <v>#N/A</v>
      </c>
      <c r="BD19" t="e">
        <f>IF(OR(Table1[[#This Row],[Teacher]]="Alex",Table1[[#This Row],[Teacher]]=""), "", Table1[[#This Row],[For Amount]])</f>
        <v>#N/A</v>
      </c>
      <c r="BE19" t="str">
        <f>IFERROR(IF(VLOOKUP(Table1[[#This Row],[Teacher]],'Teachers Salaries'!A:C,2,FALSE)="","",VLOOKUP(Table1[[#This Row],[Teacher]],'Teachers Salaries'!A:C,2,FALSE)),"")</f>
        <v>Hourly</v>
      </c>
      <c r="BF19">
        <f>IFERROR(IF(VLOOKUP(Table1[[#This Row],[Teacher]],'Teachers Salaries'!A:C,3,FALSE)="","",VLOOKUP(Table1[[#This Row],[Teacher]],'Teachers Salaries'!A:C,3,FALSE)),"")</f>
        <v>2600</v>
      </c>
      <c r="BG19">
        <f ca="1">IFERROR(IF(Table1[[#This Row],[Pay Type]]="Fixed","-",Table1[[#This Row],[Final Group Frequency2]]*Table1[[#This Row],[Salary / Hourly Rate]]),0)</f>
        <v>0</v>
      </c>
      <c r="BH19">
        <f>IFERROR(IF(Table1[[#This Row],[Pay Type]]="Fixed","----",Table1[[#This Row],[Salary / Hourly Rate]]*Table1[[#This Row],[Final PrivateFrequency]]),0)</f>
        <v>10400</v>
      </c>
      <c r="BI19">
        <f ca="1">IF(Table1[[#This Row],[Pay Type]]="Fixed","---",Table1[[#This Row],[Group Salary]]+Table1[[#This Row],[Private Salary]])</f>
        <v>10400</v>
      </c>
      <c r="BJ19" t="e">
        <f>IF(OR(J19="Alex", J19=""),"", Table1[[#This Row],[For Amount]])</f>
        <v>#N/A</v>
      </c>
      <c r="BK19">
        <f ca="1">IFERROR(Table1[[#This Row],[Fee]]-Table1[[#This Row],[Total Salary]],"")</f>
        <v>5400</v>
      </c>
      <c r="BL19" t="e">
        <f>IF(Table1[[#This Row],[Joining Date]]="","",IF(Table1[[#This Row],[Joining Date]]&lt;='KPI+Pivot'!$CP$1,Table1[[#This Row],[Fee]],""))</f>
        <v>#N/A</v>
      </c>
      <c r="BM1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9" t="e">
        <f>IF(Table1[[#This Row],[Joining Date]]="","",IF(Table1[[#This Row],[Joining Date]]&lt;='KPI+Pivot'!$CP$1,Table1[[#This Row],[Total Salary]],""))</f>
        <v>#N/A</v>
      </c>
      <c r="BO19" t="e">
        <f>IF(Table1[[#This Row],[Joining Date]]="","",IF(Table1[[#This Row],[Joining Date]]&lt;='KPI+Pivot'!$CP$1,Table1[[#This Row],[Frequency]],""))</f>
        <v>#N/A</v>
      </c>
      <c r="BP19" s="38" t="str">
        <f>IF(Table1[[#This Row],[Stop]]="","",(IF(Table1[[#This Row],[Joining Date]]="","",IF(Table1[[#This Row],[Joining Date]]&lt;='KPI+Pivot'!$CP$1,Table1[[#This Row],[Stop]],""))))</f>
        <v/>
      </c>
    </row>
    <row r="20" spans="1:68" ht="18" customHeight="1">
      <c r="A20">
        <v>125</v>
      </c>
      <c r="B20" t="s">
        <v>66</v>
      </c>
      <c r="C20" t="s">
        <v>200</v>
      </c>
      <c r="D20" t="s">
        <v>201</v>
      </c>
      <c r="F20" t="s">
        <v>202</v>
      </c>
      <c r="G20" t="s">
        <v>203</v>
      </c>
      <c r="H20" t="s">
        <v>204</v>
      </c>
      <c r="I20" t="str">
        <f>IFERROR(HYPERLINK("#Finance!B" &amp; MATCH(A20, 'F 2025'!A:A, 0), "🔗 Go to finance"), "❌ ID introuvable")</f>
        <v>🔗 Go to finance</v>
      </c>
      <c r="J20" t="s">
        <v>196</v>
      </c>
      <c r="K20" t="s">
        <v>110</v>
      </c>
      <c r="L20" t="s">
        <v>197</v>
      </c>
      <c r="N20">
        <v>3</v>
      </c>
      <c r="O20">
        <v>14850</v>
      </c>
      <c r="R20">
        <v>0</v>
      </c>
      <c r="V20" t="s">
        <v>205</v>
      </c>
      <c r="W20" t="s">
        <v>205</v>
      </c>
      <c r="Y20">
        <v>9089189131</v>
      </c>
      <c r="Z20" t="s">
        <v>75</v>
      </c>
      <c r="AB20" t="s">
        <v>206</v>
      </c>
      <c r="AD20" s="130">
        <v>45335</v>
      </c>
      <c r="AE20"/>
      <c r="AG20" t="s">
        <v>76</v>
      </c>
      <c r="AI20" t="s">
        <v>206</v>
      </c>
      <c r="AK20" t="s">
        <v>84</v>
      </c>
      <c r="AM20" s="38"/>
      <c r="AO20" t="s">
        <v>203</v>
      </c>
      <c r="AP20">
        <v>125</v>
      </c>
      <c r="AQ20" t="s">
        <v>203</v>
      </c>
      <c r="AR20" t="str">
        <f t="shared" si="0"/>
        <v>private</v>
      </c>
      <c r="AS20">
        <f t="shared" si="1"/>
        <v>3</v>
      </c>
      <c r="AT20" t="str">
        <f>IF(Table1[[#This Row],[Joining Date]]="", "", TEXT(Table1[[#This Row],[Joining Date]], "mmm"))</f>
        <v>Feb</v>
      </c>
      <c r="AU20">
        <f>IF(Table1[[#This Row],[Joining Date]]="", "", YEAR(Table1[[#This Row],[Joining Date]]))</f>
        <v>2024</v>
      </c>
      <c r="AV20" t="str">
        <f>IF(Table1[[#This Row],[Group Name]]="","", M20 &amp; Table1[[#This Row],[Teacher]])</f>
        <v/>
      </c>
      <c r="AW20" t="str">
        <f>IF(Table1[[#This Row],[Helper]]="","",IF(_xlfn.MAXIFS(AT:AT,AW:AW,Table1[[#This Row],[Helper]])=Table1[[#This Row],[Clean Frequency]],_xlfn.MAXIFS(AT:AT,AW:AW,Table1[[#This Row],[Helper]]),""))</f>
        <v/>
      </c>
      <c r="AX20" t="str">
        <f ca="1">IF(AND(AW20=_xlfn.MAXIFS(AX:AX, AW:AW, AV20), COUNTIFS(AV$3:AV20, AV20, AW$3:AW20, AW20)=1), 1, "")</f>
        <v/>
      </c>
      <c r="AY20">
        <f>IF(Table1[[#This Row],[lesson type]]="private",Table1[[#This Row],[Clean Frequency]],"")</f>
        <v>3</v>
      </c>
      <c r="AZ20" t="str">
        <f ca="1">IF(Table1[[#This Row],[First Occurrence]]=1,Table1[[#This Row],[Group Frequency]],"")</f>
        <v/>
      </c>
      <c r="BA20" t="str">
        <f ca="1">IF(B20="Y", IF(Table1[[#This Row],[Stop]]="", TODAY() - Table1[[#This Row],[Joining Date]], Table1[[#This Row],[Stop]] - Table1[[#This Row],[Joining Date]]), "")</f>
        <v/>
      </c>
      <c r="BB20" t="str">
        <f>_xlfn.CONCAT(Table1[[#This Row],[t]]," ",Table1[[#This Row],[Last Name]])</f>
        <v>Chieko Mori</v>
      </c>
      <c r="BC20" t="e">
        <f>IF(OR(Table1[[#This Row],[Teacher]]="Alex",Table1[[#This Row],[Teacher]]=""), "", Table1[[#This Row],[For Salary]])</f>
        <v>#N/A</v>
      </c>
      <c r="BD20" t="e">
        <f>IF(OR(Table1[[#This Row],[Teacher]]="Alex",Table1[[#This Row],[Teacher]]=""), "", Table1[[#This Row],[For Amount]])</f>
        <v>#N/A</v>
      </c>
      <c r="BE20" t="str">
        <f>IFERROR(IF(VLOOKUP(Table1[[#This Row],[Teacher]],'Teachers Salaries'!A:C,2,FALSE)="","",VLOOKUP(Table1[[#This Row],[Teacher]],'Teachers Salaries'!A:C,2,FALSE)),"")</f>
        <v>Hourly</v>
      </c>
      <c r="BF20">
        <f>IFERROR(IF(VLOOKUP(Table1[[#This Row],[Teacher]],'Teachers Salaries'!A:C,3,FALSE)="","",VLOOKUP(Table1[[#This Row],[Teacher]],'Teachers Salaries'!A:C,3,FALSE)),"")</f>
        <v>2600</v>
      </c>
      <c r="BG20">
        <f ca="1">IFERROR(IF(Table1[[#This Row],[Pay Type]]="Fixed","-",Table1[[#This Row],[Final Group Frequency2]]*Table1[[#This Row],[Salary / Hourly Rate]]),0)</f>
        <v>0</v>
      </c>
      <c r="BH20">
        <f>IFERROR(IF(Table1[[#This Row],[Pay Type]]="Fixed","----",Table1[[#This Row],[Salary / Hourly Rate]]*Table1[[#This Row],[Final PrivateFrequency]]),0)</f>
        <v>7800</v>
      </c>
      <c r="BI20">
        <f ca="1">IF(Table1[[#This Row],[Pay Type]]="Fixed","---",Table1[[#This Row],[Group Salary]]+Table1[[#This Row],[Private Salary]])</f>
        <v>7800</v>
      </c>
      <c r="BJ20" t="e">
        <f>IF(OR(J20="Alex", J20=""),"", Table1[[#This Row],[For Amount]])</f>
        <v>#N/A</v>
      </c>
      <c r="BK20">
        <f ca="1">IFERROR(Table1[[#This Row],[Fee]]-Table1[[#This Row],[Total Salary]],"")</f>
        <v>7050</v>
      </c>
      <c r="BL20" t="e">
        <f>IF(Table1[[#This Row],[Joining Date]]="","",IF(Table1[[#This Row],[Joining Date]]&lt;='KPI+Pivot'!$CP$1,Table1[[#This Row],[Fee]],""))</f>
        <v>#N/A</v>
      </c>
      <c r="BM2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 t="e">
        <f>IF(Table1[[#This Row],[Joining Date]]="","",IF(Table1[[#This Row],[Joining Date]]&lt;='KPI+Pivot'!$CP$1,Table1[[#This Row],[Total Salary]],""))</f>
        <v>#N/A</v>
      </c>
      <c r="BO20" t="e">
        <f>IF(Table1[[#This Row],[Joining Date]]="","",IF(Table1[[#This Row],[Joining Date]]&lt;='KPI+Pivot'!$CP$1,Table1[[#This Row],[Frequency]],""))</f>
        <v>#N/A</v>
      </c>
      <c r="BP20" s="38" t="str">
        <f>IF(Table1[[#This Row],[Stop]]="","",(IF(Table1[[#This Row],[Joining Date]]="","",IF(Table1[[#This Row],[Joining Date]]&lt;='KPI+Pivot'!$CP$1,Table1[[#This Row],[Stop]],""))))</f>
        <v/>
      </c>
    </row>
    <row r="21" spans="1:68" ht="22.9" customHeight="1">
      <c r="B21" t="s">
        <v>66</v>
      </c>
      <c r="C21" t="s">
        <v>207</v>
      </c>
      <c r="D21" t="s">
        <v>208</v>
      </c>
      <c r="F21" t="s">
        <v>209</v>
      </c>
      <c r="G21" t="s">
        <v>210</v>
      </c>
      <c r="H21" t="s">
        <v>211</v>
      </c>
      <c r="I21" t="str">
        <f>IFERROR(HYPERLINK("#Finance!B" &amp; MATCH(A21, 'F 2025'!A:A, 0), "🔗 Go to finance"), "❌ ID introuvable")</f>
        <v>❌ ID introuvable</v>
      </c>
      <c r="L21" t="s">
        <v>90</v>
      </c>
      <c r="V21" t="s">
        <v>212</v>
      </c>
      <c r="W21" t="s">
        <v>213</v>
      </c>
      <c r="Y21" t="s">
        <v>214</v>
      </c>
      <c r="Z21" t="s">
        <v>75</v>
      </c>
      <c r="AB21" t="s">
        <v>215</v>
      </c>
      <c r="AD21" s="130"/>
      <c r="AE21"/>
      <c r="AG21" t="s">
        <v>76</v>
      </c>
      <c r="AI21" t="s">
        <v>215</v>
      </c>
      <c r="AK21" t="s">
        <v>216</v>
      </c>
      <c r="AM21" s="38"/>
      <c r="AO21" t="s">
        <v>210</v>
      </c>
      <c r="AR21" t="str">
        <f t="shared" si="0"/>
        <v/>
      </c>
      <c r="AS21" t="str">
        <f t="shared" si="1"/>
        <v/>
      </c>
      <c r="AT21" t="str">
        <f>IF(Table1[[#This Row],[Joining Date]]="", "", TEXT(Table1[[#This Row],[Joining Date]], "mmm"))</f>
        <v/>
      </c>
      <c r="AU21" t="str">
        <f>IF(Table1[[#This Row],[Joining Date]]="", "", YEAR(Table1[[#This Row],[Joining Date]]))</f>
        <v/>
      </c>
      <c r="AV21" t="str">
        <f>IF(Table1[[#This Row],[Group Name]]="","", M21 &amp; Table1[[#This Row],[Teacher]])</f>
        <v/>
      </c>
      <c r="AW21" t="str">
        <f>IF(Table1[[#This Row],[Helper]]="","",IF(_xlfn.MAXIFS(AT:AT,AW:AW,Table1[[#This Row],[Helper]])=Table1[[#This Row],[Clean Frequency]],_xlfn.MAXIFS(AT:AT,AW:AW,Table1[[#This Row],[Helper]]),""))</f>
        <v/>
      </c>
      <c r="AX21" t="str">
        <f ca="1">IF(AND(AW21=_xlfn.MAXIFS(AX:AX, AW:AW, AV21), COUNTIFS(AV$3:AV21, AV21, AW$3:AW21, AW21)=1), 1, "")</f>
        <v/>
      </c>
      <c r="AY21" t="str">
        <f>IF(Table1[[#This Row],[lesson type]]="private",Table1[[#This Row],[Clean Frequency]],"")</f>
        <v/>
      </c>
      <c r="AZ21" t="str">
        <f ca="1">IF(Table1[[#This Row],[First Occurrence]]=1,Table1[[#This Row],[Group Frequency]],"")</f>
        <v/>
      </c>
      <c r="BA21" t="str">
        <f ca="1">IF(B21="Y", IF(Table1[[#This Row],[Stop]]="", TODAY() - Table1[[#This Row],[Joining Date]], Table1[[#This Row],[Stop]] - Table1[[#This Row],[Joining Date]]), "")</f>
        <v/>
      </c>
      <c r="BB21" t="str">
        <f>_xlfn.CONCAT(Table1[[#This Row],[t]]," ",Table1[[#This Row],[Last Name]])</f>
        <v>Chizuru Iguchi</v>
      </c>
      <c r="BC21" t="str">
        <f>IF(OR(Table1[[#This Row],[Teacher]]="Alex",Table1[[#This Row],[Teacher]]=""), "", Table1[[#This Row],[For Salary]])</f>
        <v/>
      </c>
      <c r="BD21" t="str">
        <f>IF(OR(Table1[[#This Row],[Teacher]]="Alex",Table1[[#This Row],[Teacher]]=""), "", Table1[[#This Row],[For Amount]])</f>
        <v/>
      </c>
      <c r="BE21" t="str">
        <f>IFERROR(IF(VLOOKUP(Table1[[#This Row],[Teacher]],'Teachers Salaries'!A:C,2,FALSE)="","",VLOOKUP(Table1[[#This Row],[Teacher]],'Teachers Salaries'!A:C,2,FALSE)),"")</f>
        <v/>
      </c>
      <c r="BF21" t="str">
        <f>IFERROR(IF(VLOOKUP(Table1[[#This Row],[Teacher]],'Teachers Salaries'!A:C,3,FALSE)="","",VLOOKUP(Table1[[#This Row],[Teacher]],'Teachers Salaries'!A:C,3,FALSE)),"")</f>
        <v/>
      </c>
      <c r="BG21">
        <f ca="1">IFERROR(IF(Table1[[#This Row],[Pay Type]]="Fixed","-",Table1[[#This Row],[Final Group Frequency2]]*Table1[[#This Row],[Salary / Hourly Rate]]),0)</f>
        <v>0</v>
      </c>
      <c r="BH21">
        <f>IFERROR(IF(Table1[[#This Row],[Pay Type]]="Fixed","----",Table1[[#This Row],[Salary / Hourly Rate]]*Table1[[#This Row],[Final PrivateFrequency]]),0)</f>
        <v>0</v>
      </c>
      <c r="BI21">
        <f ca="1">IF(Table1[[#This Row],[Pay Type]]="Fixed","---",Table1[[#This Row],[Group Salary]]+Table1[[#This Row],[Private Salary]])</f>
        <v>0</v>
      </c>
      <c r="BJ21" t="str">
        <f>IF(OR(J21="Alex", J21=""),"", Table1[[#This Row],[For Amount]])</f>
        <v/>
      </c>
      <c r="BK21">
        <f ca="1">IFERROR(Table1[[#This Row],[Fee]]-Table1[[#This Row],[Total Salary]],"")</f>
        <v>0</v>
      </c>
      <c r="BL21" t="str">
        <f>IF(Table1[[#This Row],[Joining Date]]="","",IF(Table1[[#This Row],[Joining Date]]&lt;='KPI+Pivot'!$CP$1,Table1[[#This Row],[Fee]],""))</f>
        <v/>
      </c>
      <c r="BM2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 t="str">
        <f>IF(Table1[[#This Row],[Joining Date]]="","",IF(Table1[[#This Row],[Joining Date]]&lt;='KPI+Pivot'!$CP$1,Table1[[#This Row],[Total Salary]],""))</f>
        <v/>
      </c>
      <c r="BO21" t="str">
        <f>IF(Table1[[#This Row],[Joining Date]]="","",IF(Table1[[#This Row],[Joining Date]]&lt;='KPI+Pivot'!$CP$1,Table1[[#This Row],[Frequency]],""))</f>
        <v/>
      </c>
      <c r="BP21" s="38" t="str">
        <f>IF(Table1[[#This Row],[Stop]]="","",(IF(Table1[[#This Row],[Joining Date]]="","",IF(Table1[[#This Row],[Joining Date]]&lt;='KPI+Pivot'!$CP$1,Table1[[#This Row],[Stop]],""))))</f>
        <v/>
      </c>
    </row>
    <row r="22" spans="1:68" ht="22.9" customHeight="1">
      <c r="B22" t="s">
        <v>66</v>
      </c>
      <c r="C22" t="s">
        <v>217</v>
      </c>
      <c r="D22" t="s">
        <v>218</v>
      </c>
      <c r="F22" t="s">
        <v>219</v>
      </c>
      <c r="G22" t="s">
        <v>220</v>
      </c>
      <c r="H22" t="s">
        <v>221</v>
      </c>
      <c r="I22" t="str">
        <f>IFERROR(HYPERLINK("#Finance!B" &amp; MATCH(A22, 'F 2025'!A:A, 0), "🔗 Go to finance"), "❌ ID introuvable")</f>
        <v>❌ ID introuvable</v>
      </c>
      <c r="V22" t="s">
        <v>222</v>
      </c>
      <c r="W22" t="s">
        <v>222</v>
      </c>
      <c r="Y22" t="s">
        <v>223</v>
      </c>
      <c r="Z22" t="s">
        <v>75</v>
      </c>
      <c r="AB22" t="s">
        <v>224</v>
      </c>
      <c r="AD22" s="130">
        <v>43928</v>
      </c>
      <c r="AE22"/>
      <c r="AG22" t="s">
        <v>76</v>
      </c>
      <c r="AI22" t="s">
        <v>224</v>
      </c>
      <c r="AK22" t="s">
        <v>102</v>
      </c>
      <c r="AM22" s="38"/>
      <c r="AO22" t="s">
        <v>220</v>
      </c>
      <c r="AR22" t="str">
        <f t="shared" si="0"/>
        <v/>
      </c>
      <c r="AS22" t="str">
        <f t="shared" si="1"/>
        <v/>
      </c>
      <c r="AT22" t="str">
        <f>IF(Table1[[#This Row],[Joining Date]]="", "", TEXT(Table1[[#This Row],[Joining Date]], "mmm"))</f>
        <v>Apr</v>
      </c>
      <c r="AU22">
        <f>IF(Table1[[#This Row],[Joining Date]]="", "", YEAR(Table1[[#This Row],[Joining Date]]))</f>
        <v>2020</v>
      </c>
      <c r="AV22" t="str">
        <f>IF(Table1[[#This Row],[Group Name]]="","", M22 &amp; Table1[[#This Row],[Teacher]])</f>
        <v/>
      </c>
      <c r="AW22" t="str">
        <f>IF(Table1[[#This Row],[Helper]]="","",IF(_xlfn.MAXIFS(AT:AT,AW:AW,Table1[[#This Row],[Helper]])=Table1[[#This Row],[Clean Frequency]],_xlfn.MAXIFS(AT:AT,AW:AW,Table1[[#This Row],[Helper]]),""))</f>
        <v/>
      </c>
      <c r="AX22" t="str">
        <f ca="1">IF(AND(AW22=_xlfn.MAXIFS(AX:AX, AW:AW, AV22), COUNTIFS(AV$3:AV22, AV22, AW$3:AW22, AW22)=1), 1, "")</f>
        <v/>
      </c>
      <c r="AY22" t="str">
        <f>IF(Table1[[#This Row],[lesson type]]="private",Table1[[#This Row],[Clean Frequency]],"")</f>
        <v/>
      </c>
      <c r="AZ22" t="str">
        <f ca="1">IF(Table1[[#This Row],[First Occurrence]]=1,Table1[[#This Row],[Group Frequency]],"")</f>
        <v/>
      </c>
      <c r="BA22" t="str">
        <f ca="1">IF(B22="Y", IF(Table1[[#This Row],[Stop]]="", TODAY() - Table1[[#This Row],[Joining Date]], Table1[[#This Row],[Stop]] - Table1[[#This Row],[Joining Date]]), "")</f>
        <v/>
      </c>
      <c r="BB22" t="str">
        <f>_xlfn.CONCAT(Table1[[#This Row],[t]]," ",Table1[[#This Row],[Last Name]])</f>
        <v>Eishin Hamada</v>
      </c>
      <c r="BC22" t="str">
        <f>IF(OR(Table1[[#This Row],[Teacher]]="Alex",Table1[[#This Row],[Teacher]]=""), "", Table1[[#This Row],[For Salary]])</f>
        <v/>
      </c>
      <c r="BD22" t="str">
        <f>IF(OR(Table1[[#This Row],[Teacher]]="Alex",Table1[[#This Row],[Teacher]]=""), "", Table1[[#This Row],[For Amount]])</f>
        <v/>
      </c>
      <c r="BE22" t="str">
        <f>IFERROR(IF(VLOOKUP(Table1[[#This Row],[Teacher]],'Teachers Salaries'!A:C,2,FALSE)="","",VLOOKUP(Table1[[#This Row],[Teacher]],'Teachers Salaries'!A:C,2,FALSE)),"")</f>
        <v/>
      </c>
      <c r="BF22" t="str">
        <f>IFERROR(IF(VLOOKUP(Table1[[#This Row],[Teacher]],'Teachers Salaries'!A:C,3,FALSE)="","",VLOOKUP(Table1[[#This Row],[Teacher]],'Teachers Salaries'!A:C,3,FALSE)),"")</f>
        <v/>
      </c>
      <c r="BG22">
        <f ca="1">IFERROR(IF(Table1[[#This Row],[Pay Type]]="Fixed","-",Table1[[#This Row],[Final Group Frequency2]]*Table1[[#This Row],[Salary / Hourly Rate]]),0)</f>
        <v>0</v>
      </c>
      <c r="BH22">
        <f>IFERROR(IF(Table1[[#This Row],[Pay Type]]="Fixed","----",Table1[[#This Row],[Salary / Hourly Rate]]*Table1[[#This Row],[Final PrivateFrequency]]),0)</f>
        <v>0</v>
      </c>
      <c r="BI22">
        <f ca="1">IF(Table1[[#This Row],[Pay Type]]="Fixed","---",Table1[[#This Row],[Group Salary]]+Table1[[#This Row],[Private Salary]])</f>
        <v>0</v>
      </c>
      <c r="BJ22" t="str">
        <f>IF(OR(J22="Alex", J22=""),"", Table1[[#This Row],[For Amount]])</f>
        <v/>
      </c>
      <c r="BK22">
        <f ca="1">IFERROR(Table1[[#This Row],[Fee]]-Table1[[#This Row],[Total Salary]],"")</f>
        <v>0</v>
      </c>
      <c r="BL22" t="e">
        <f>IF(Table1[[#This Row],[Joining Date]]="","",IF(Table1[[#This Row],[Joining Date]]&lt;='KPI+Pivot'!$CP$1,Table1[[#This Row],[Fee]],""))</f>
        <v>#N/A</v>
      </c>
      <c r="BM2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 t="e">
        <f>IF(Table1[[#This Row],[Joining Date]]="","",IF(Table1[[#This Row],[Joining Date]]&lt;='KPI+Pivot'!$CP$1,Table1[[#This Row],[Total Salary]],""))</f>
        <v>#N/A</v>
      </c>
      <c r="BO22" t="e">
        <f>IF(Table1[[#This Row],[Joining Date]]="","",IF(Table1[[#This Row],[Joining Date]]&lt;='KPI+Pivot'!$CP$1,Table1[[#This Row],[Frequency]],""))</f>
        <v>#N/A</v>
      </c>
      <c r="BP22" s="38" t="str">
        <f>IF(Table1[[#This Row],[Stop]]="","",(IF(Table1[[#This Row],[Joining Date]]="","",IF(Table1[[#This Row],[Joining Date]]&lt;='KPI+Pivot'!$CP$1,Table1[[#This Row],[Stop]],""))))</f>
        <v/>
      </c>
    </row>
    <row r="23" spans="1:68" ht="22.9" customHeight="1">
      <c r="B23" t="s">
        <v>66</v>
      </c>
      <c r="C23" t="s">
        <v>225</v>
      </c>
      <c r="D23" t="s">
        <v>226</v>
      </c>
      <c r="F23" t="s">
        <v>227</v>
      </c>
      <c r="G23" t="s">
        <v>228</v>
      </c>
      <c r="H23" t="s">
        <v>229</v>
      </c>
      <c r="I23" t="str">
        <f>IFERROR(HYPERLINK("#Finance!B" &amp; MATCH(A23, 'F 2025'!A:A, 0), "🔗 Go to finance"), "❌ ID introuvable")</f>
        <v>❌ ID introuvable</v>
      </c>
      <c r="L23" t="s">
        <v>90</v>
      </c>
      <c r="V23" t="s">
        <v>230</v>
      </c>
      <c r="Y23">
        <v>9020855220</v>
      </c>
      <c r="Z23" t="s">
        <v>75</v>
      </c>
      <c r="AB23" t="s">
        <v>231</v>
      </c>
      <c r="AD23" s="130">
        <v>44126</v>
      </c>
      <c r="AE23"/>
      <c r="AG23" t="s">
        <v>76</v>
      </c>
      <c r="AI23" t="s">
        <v>231</v>
      </c>
      <c r="AK23" t="s">
        <v>232</v>
      </c>
      <c r="AM23" s="38"/>
      <c r="AO23" t="s">
        <v>228</v>
      </c>
      <c r="AR23" t="str">
        <f t="shared" si="0"/>
        <v/>
      </c>
      <c r="AS23" t="str">
        <f t="shared" si="1"/>
        <v/>
      </c>
      <c r="AT23" t="str">
        <f>IF(Table1[[#This Row],[Joining Date]]="", "", TEXT(Table1[[#This Row],[Joining Date]], "mmm"))</f>
        <v>Oct</v>
      </c>
      <c r="AU23">
        <f>IF(Table1[[#This Row],[Joining Date]]="", "", YEAR(Table1[[#This Row],[Joining Date]]))</f>
        <v>2020</v>
      </c>
      <c r="AV23" t="str">
        <f>IF(Table1[[#This Row],[Group Name]]="","", M23 &amp; Table1[[#This Row],[Teacher]])</f>
        <v/>
      </c>
      <c r="AW23" t="str">
        <f>IF(Table1[[#This Row],[Helper]]="","",IF(_xlfn.MAXIFS(AT:AT,AW:AW,Table1[[#This Row],[Helper]])=Table1[[#This Row],[Clean Frequency]],_xlfn.MAXIFS(AT:AT,AW:AW,Table1[[#This Row],[Helper]]),""))</f>
        <v/>
      </c>
      <c r="AX23" t="str">
        <f ca="1">IF(AND(AW23=_xlfn.MAXIFS(AX:AX, AW:AW, AV23), COUNTIFS(AV$3:AV23, AV23, AW$3:AW23, AW23)=1), 1, "")</f>
        <v/>
      </c>
      <c r="AY23" t="str">
        <f>IF(Table1[[#This Row],[lesson type]]="private",Table1[[#This Row],[Clean Frequency]],"")</f>
        <v/>
      </c>
      <c r="AZ23" t="str">
        <f ca="1">IF(Table1[[#This Row],[First Occurrence]]=1,Table1[[#This Row],[Group Frequency]],"")</f>
        <v/>
      </c>
      <c r="BA23" t="str">
        <f ca="1">IF(B23="Y", IF(Table1[[#This Row],[Stop]]="", TODAY() - Table1[[#This Row],[Joining Date]], Table1[[#This Row],[Stop]] - Table1[[#This Row],[Joining Date]]), "")</f>
        <v/>
      </c>
      <c r="BB23" t="str">
        <f>_xlfn.CONCAT(Table1[[#This Row],[t]]," ",Table1[[#This Row],[Last Name]])</f>
        <v>Eisuke Uehara</v>
      </c>
      <c r="BC23" t="str">
        <f>IF(OR(Table1[[#This Row],[Teacher]]="Alex",Table1[[#This Row],[Teacher]]=""), "", Table1[[#This Row],[For Salary]])</f>
        <v/>
      </c>
      <c r="BD23" t="str">
        <f>IF(OR(Table1[[#This Row],[Teacher]]="Alex",Table1[[#This Row],[Teacher]]=""), "", Table1[[#This Row],[For Amount]])</f>
        <v/>
      </c>
      <c r="BE23" t="str">
        <f>IFERROR(IF(VLOOKUP(Table1[[#This Row],[Teacher]],'Teachers Salaries'!A:C,2,FALSE)="","",VLOOKUP(Table1[[#This Row],[Teacher]],'Teachers Salaries'!A:C,2,FALSE)),"")</f>
        <v/>
      </c>
      <c r="BF23" t="str">
        <f>IFERROR(IF(VLOOKUP(Table1[[#This Row],[Teacher]],'Teachers Salaries'!A:C,3,FALSE)="","",VLOOKUP(Table1[[#This Row],[Teacher]],'Teachers Salaries'!A:C,3,FALSE)),"")</f>
        <v/>
      </c>
      <c r="BG23">
        <f ca="1">IFERROR(IF(Table1[[#This Row],[Pay Type]]="Fixed","-",Table1[[#This Row],[Final Group Frequency2]]*Table1[[#This Row],[Salary / Hourly Rate]]),0)</f>
        <v>0</v>
      </c>
      <c r="BH23">
        <f>IFERROR(IF(Table1[[#This Row],[Pay Type]]="Fixed","----",Table1[[#This Row],[Salary / Hourly Rate]]*Table1[[#This Row],[Final PrivateFrequency]]),0)</f>
        <v>0</v>
      </c>
      <c r="BI23">
        <f ca="1">IF(Table1[[#This Row],[Pay Type]]="Fixed","---",Table1[[#This Row],[Group Salary]]+Table1[[#This Row],[Private Salary]])</f>
        <v>0</v>
      </c>
      <c r="BJ23" t="str">
        <f>IF(OR(J23="Alex", J23=""),"", Table1[[#This Row],[For Amount]])</f>
        <v/>
      </c>
      <c r="BK23">
        <f ca="1">IFERROR(Table1[[#This Row],[Fee]]-Table1[[#This Row],[Total Salary]],"")</f>
        <v>0</v>
      </c>
      <c r="BL23" t="e">
        <f>IF(Table1[[#This Row],[Joining Date]]="","",IF(Table1[[#This Row],[Joining Date]]&lt;='KPI+Pivot'!$CP$1,Table1[[#This Row],[Fee]],""))</f>
        <v>#N/A</v>
      </c>
      <c r="BM2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 t="e">
        <f>IF(Table1[[#This Row],[Joining Date]]="","",IF(Table1[[#This Row],[Joining Date]]&lt;='KPI+Pivot'!$CP$1,Table1[[#This Row],[Total Salary]],""))</f>
        <v>#N/A</v>
      </c>
      <c r="BO23" t="e">
        <f>IF(Table1[[#This Row],[Joining Date]]="","",IF(Table1[[#This Row],[Joining Date]]&lt;='KPI+Pivot'!$CP$1,Table1[[#This Row],[Frequency]],""))</f>
        <v>#N/A</v>
      </c>
      <c r="BP23" s="38" t="str">
        <f>IF(Table1[[#This Row],[Stop]]="","",(IF(Table1[[#This Row],[Joining Date]]="","",IF(Table1[[#This Row],[Joining Date]]&lt;='KPI+Pivot'!$CP$1,Table1[[#This Row],[Stop]],""))))</f>
        <v/>
      </c>
    </row>
    <row r="24" spans="1:68" ht="18" customHeight="1">
      <c r="A24">
        <v>133</v>
      </c>
      <c r="B24" t="s">
        <v>66</v>
      </c>
      <c r="C24" t="s">
        <v>233</v>
      </c>
      <c r="D24" t="s">
        <v>234</v>
      </c>
      <c r="F24" t="s">
        <v>235</v>
      </c>
      <c r="G24" t="s">
        <v>236</v>
      </c>
      <c r="H24" t="s">
        <v>237</v>
      </c>
      <c r="I24" t="str">
        <f>IFERROR(HYPERLINK("#Finance!B" &amp; MATCH(A24, 'F 2025'!A:A, 0), "🔗 Go to finance"), "❌ ID introuvable")</f>
        <v>🔗 Go to finance</v>
      </c>
      <c r="J24" t="s">
        <v>109</v>
      </c>
      <c r="K24" t="s">
        <v>117</v>
      </c>
      <c r="L24" t="s">
        <v>238</v>
      </c>
      <c r="N24">
        <v>4</v>
      </c>
      <c r="O24">
        <v>6050</v>
      </c>
      <c r="R24">
        <v>17050</v>
      </c>
      <c r="T24" s="130">
        <v>45391</v>
      </c>
      <c r="V24" t="s">
        <v>239</v>
      </c>
      <c r="Z24" t="s">
        <v>75</v>
      </c>
      <c r="AB24" t="s">
        <v>240</v>
      </c>
      <c r="AD24" s="130">
        <v>45391</v>
      </c>
      <c r="AE24"/>
      <c r="AG24" t="s">
        <v>76</v>
      </c>
      <c r="AI24" t="s">
        <v>240</v>
      </c>
      <c r="AM24" s="38"/>
      <c r="AO24" t="s">
        <v>236</v>
      </c>
      <c r="AR24" t="str">
        <f t="shared" si="0"/>
        <v>group</v>
      </c>
      <c r="AS24">
        <f t="shared" si="1"/>
        <v>4</v>
      </c>
      <c r="AT24" t="str">
        <f>IF(Table1[[#This Row],[Joining Date]]="", "", TEXT(Table1[[#This Row],[Joining Date]], "mmm"))</f>
        <v>Apr</v>
      </c>
      <c r="AU24">
        <f>IF(Table1[[#This Row],[Joining Date]]="", "", YEAR(Table1[[#This Row],[Joining Date]]))</f>
        <v>2024</v>
      </c>
      <c r="AV24" t="str">
        <f>IF(Table1[[#This Row],[Group Name]]="","", M24 &amp; Table1[[#This Row],[Teacher]])</f>
        <v/>
      </c>
      <c r="AW24" t="str">
        <f>IF(Table1[[#This Row],[Helper]]="","",IF(_xlfn.MAXIFS(AT:AT,AW:AW,Table1[[#This Row],[Helper]])=Table1[[#This Row],[Clean Frequency]],_xlfn.MAXIFS(AT:AT,AW:AW,Table1[[#This Row],[Helper]]),""))</f>
        <v/>
      </c>
      <c r="AX24" t="str">
        <f ca="1">IF(AND(AW24=_xlfn.MAXIFS(AX:AX, AW:AW, AV24), COUNTIFS(AV$3:AV24, AV24, AW$3:AW24, AW24)=1), 1, "")</f>
        <v/>
      </c>
      <c r="AY24" t="str">
        <f>IF(Table1[[#This Row],[lesson type]]="private",Table1[[#This Row],[Clean Frequency]],"")</f>
        <v/>
      </c>
      <c r="AZ24" t="str">
        <f ca="1">IF(Table1[[#This Row],[First Occurrence]]=1,Table1[[#This Row],[Group Frequency]],"")</f>
        <v/>
      </c>
      <c r="BA24" t="str">
        <f ca="1">IF(B24="Y", IF(Table1[[#This Row],[Stop]]="", TODAY() - Table1[[#This Row],[Joining Date]], Table1[[#This Row],[Stop]] - Table1[[#This Row],[Joining Date]]), "")</f>
        <v/>
      </c>
      <c r="BB24" t="str">
        <f>_xlfn.CONCAT(Table1[[#This Row],[t]]," ",Table1[[#This Row],[Last Name]])</f>
        <v>Eito Suzuki</v>
      </c>
      <c r="BC24" t="str">
        <f>IF(OR(Table1[[#This Row],[Teacher]]="Alex",Table1[[#This Row],[Teacher]]=""), "", Table1[[#This Row],[For Salary]])</f>
        <v/>
      </c>
      <c r="BD24" t="str">
        <f>IF(OR(Table1[[#This Row],[Teacher]]="Alex",Table1[[#This Row],[Teacher]]=""), "", Table1[[#This Row],[For Amount]])</f>
        <v/>
      </c>
      <c r="BE24" t="str">
        <f>IFERROR(IF(VLOOKUP(Table1[[#This Row],[Teacher]],'Teachers Salaries'!A:C,2,FALSE)="","",VLOOKUP(Table1[[#This Row],[Teacher]],'Teachers Salaries'!A:C,2,FALSE)),"")</f>
        <v>Fixed</v>
      </c>
      <c r="BF24">
        <f>IFERROR(IF(VLOOKUP(Table1[[#This Row],[Teacher]],'Teachers Salaries'!A:C,3,FALSE)="","",VLOOKUP(Table1[[#This Row],[Teacher]],'Teachers Salaries'!A:C,3,FALSE)),"")</f>
        <v>210000</v>
      </c>
      <c r="BG24" t="str">
        <f>IFERROR(IF(Table1[[#This Row],[Pay Type]]="Fixed","-",Table1[[#This Row],[Final Group Frequency2]]*Table1[[#This Row],[Salary / Hourly Rate]]),0)</f>
        <v>-</v>
      </c>
      <c r="BH24" t="str">
        <f>IFERROR(IF(Table1[[#This Row],[Pay Type]]="Fixed","----",Table1[[#This Row],[Salary / Hourly Rate]]*Table1[[#This Row],[Final PrivateFrequency]]),0)</f>
        <v>----</v>
      </c>
      <c r="BI24" t="str">
        <f>IF(Table1[[#This Row],[Pay Type]]="Fixed","---",Table1[[#This Row],[Group Salary]]+Table1[[#This Row],[Private Salary]])</f>
        <v>---</v>
      </c>
      <c r="BJ24" t="str">
        <f>IF(OR(J24="Alex", J24=""),"", Table1[[#This Row],[For Amount]])</f>
        <v/>
      </c>
      <c r="BK24" t="str">
        <f>IFERROR(Table1[[#This Row],[Fee]]-Table1[[#This Row],[Total Salary]],"")</f>
        <v/>
      </c>
      <c r="BL24" t="e">
        <f>IF(Table1[[#This Row],[Joining Date]]="","",IF(Table1[[#This Row],[Joining Date]]&lt;='KPI+Pivot'!$CP$1,Table1[[#This Row],[Fee]],""))</f>
        <v>#N/A</v>
      </c>
      <c r="BM2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4" t="e">
        <f>IF(Table1[[#This Row],[Joining Date]]="","",IF(Table1[[#This Row],[Joining Date]]&lt;='KPI+Pivot'!$CP$1,Table1[[#This Row],[Total Salary]],""))</f>
        <v>#N/A</v>
      </c>
      <c r="BO24" t="e">
        <f>IF(Table1[[#This Row],[Joining Date]]="","",IF(Table1[[#This Row],[Joining Date]]&lt;='KPI+Pivot'!$CP$1,Table1[[#This Row],[Frequency]],""))</f>
        <v>#N/A</v>
      </c>
      <c r="BP24" s="38" t="str">
        <f>IF(Table1[[#This Row],[Stop]]="","",(IF(Table1[[#This Row],[Joining Date]]="","",IF(Table1[[#This Row],[Joining Date]]&lt;='KPI+Pivot'!$CP$1,Table1[[#This Row],[Stop]],""))))</f>
        <v/>
      </c>
    </row>
    <row r="25" spans="1:68" ht="22.9" customHeight="1">
      <c r="B25" t="s">
        <v>66</v>
      </c>
      <c r="C25" t="s">
        <v>241</v>
      </c>
      <c r="D25" t="s">
        <v>242</v>
      </c>
      <c r="F25" t="s">
        <v>243</v>
      </c>
      <c r="G25" t="s">
        <v>244</v>
      </c>
      <c r="H25" t="s">
        <v>245</v>
      </c>
      <c r="I25" t="str">
        <f>IFERROR(HYPERLINK("#Finance!B" &amp; MATCH(A25, 'F 2025'!A:A, 0), "🔗 Go to finance"), "❌ ID introuvable")</f>
        <v>❌ ID introuvable</v>
      </c>
      <c r="L25" t="s">
        <v>102</v>
      </c>
      <c r="V25" t="s">
        <v>246</v>
      </c>
      <c r="Y25" t="s">
        <v>247</v>
      </c>
      <c r="Z25" t="s">
        <v>75</v>
      </c>
      <c r="AB25" t="s">
        <v>248</v>
      </c>
      <c r="AD25" s="130">
        <v>43556</v>
      </c>
      <c r="AE25"/>
      <c r="AG25" t="s">
        <v>76</v>
      </c>
      <c r="AI25" t="s">
        <v>248</v>
      </c>
      <c r="AK25" t="s">
        <v>102</v>
      </c>
      <c r="AM25" s="38"/>
      <c r="AO25" t="s">
        <v>244</v>
      </c>
      <c r="AR25" t="str">
        <f t="shared" si="0"/>
        <v/>
      </c>
      <c r="AS25" t="str">
        <f t="shared" si="1"/>
        <v/>
      </c>
      <c r="AT25" t="str">
        <f>IF(Table1[[#This Row],[Joining Date]]="", "", TEXT(Table1[[#This Row],[Joining Date]], "mmm"))</f>
        <v>Apr</v>
      </c>
      <c r="AU25">
        <f>IF(Table1[[#This Row],[Joining Date]]="", "", YEAR(Table1[[#This Row],[Joining Date]]))</f>
        <v>2019</v>
      </c>
      <c r="AV25" t="str">
        <f>IF(Table1[[#This Row],[Group Name]]="","", M25 &amp; Table1[[#This Row],[Teacher]])</f>
        <v/>
      </c>
      <c r="AW25" t="str">
        <f>IF(Table1[[#This Row],[Helper]]="","",IF(_xlfn.MAXIFS(AT:AT,AW:AW,Table1[[#This Row],[Helper]])=Table1[[#This Row],[Clean Frequency]],_xlfn.MAXIFS(AT:AT,AW:AW,Table1[[#This Row],[Helper]]),""))</f>
        <v/>
      </c>
      <c r="AX25" t="str">
        <f ca="1">IF(AND(AW25=_xlfn.MAXIFS(AX:AX, AW:AW, AV25), COUNTIFS(AV$3:AV25, AV25, AW$3:AW25, AW25)=1), 1, "")</f>
        <v/>
      </c>
      <c r="AY25" t="str">
        <f>IF(Table1[[#This Row],[lesson type]]="private",Table1[[#This Row],[Clean Frequency]],"")</f>
        <v/>
      </c>
      <c r="AZ25" t="str">
        <f ca="1">IF(Table1[[#This Row],[First Occurrence]]=1,Table1[[#This Row],[Group Frequency]],"")</f>
        <v/>
      </c>
      <c r="BA25" t="str">
        <f ca="1">IF(B25="Y", IF(Table1[[#This Row],[Stop]]="", TODAY() - Table1[[#This Row],[Joining Date]], Table1[[#This Row],[Stop]] - Table1[[#This Row],[Joining Date]]), "")</f>
        <v/>
      </c>
      <c r="BB25" t="str">
        <f>_xlfn.CONCAT(Table1[[#This Row],[t]]," ",Table1[[#This Row],[Last Name]])</f>
        <v>Ema Hideshima</v>
      </c>
      <c r="BC25" t="str">
        <f>IF(OR(Table1[[#This Row],[Teacher]]="Alex",Table1[[#This Row],[Teacher]]=""), "", Table1[[#This Row],[For Salary]])</f>
        <v/>
      </c>
      <c r="BD25" t="str">
        <f>IF(OR(Table1[[#This Row],[Teacher]]="Alex",Table1[[#This Row],[Teacher]]=""), "", Table1[[#This Row],[For Amount]])</f>
        <v/>
      </c>
      <c r="BE25" t="str">
        <f>IFERROR(IF(VLOOKUP(Table1[[#This Row],[Teacher]],'Teachers Salaries'!A:C,2,FALSE)="","",VLOOKUP(Table1[[#This Row],[Teacher]],'Teachers Salaries'!A:C,2,FALSE)),"")</f>
        <v/>
      </c>
      <c r="BF25" t="str">
        <f>IFERROR(IF(VLOOKUP(Table1[[#This Row],[Teacher]],'Teachers Salaries'!A:C,3,FALSE)="","",VLOOKUP(Table1[[#This Row],[Teacher]],'Teachers Salaries'!A:C,3,FALSE)),"")</f>
        <v/>
      </c>
      <c r="BG25">
        <f ca="1">IFERROR(IF(Table1[[#This Row],[Pay Type]]="Fixed","-",Table1[[#This Row],[Final Group Frequency2]]*Table1[[#This Row],[Salary / Hourly Rate]]),0)</f>
        <v>0</v>
      </c>
      <c r="BH25">
        <f>IFERROR(IF(Table1[[#This Row],[Pay Type]]="Fixed","----",Table1[[#This Row],[Salary / Hourly Rate]]*Table1[[#This Row],[Final PrivateFrequency]]),0)</f>
        <v>0</v>
      </c>
      <c r="BI25">
        <f ca="1">IF(Table1[[#This Row],[Pay Type]]="Fixed","---",Table1[[#This Row],[Group Salary]]+Table1[[#This Row],[Private Salary]])</f>
        <v>0</v>
      </c>
      <c r="BJ25" t="str">
        <f>IF(OR(J25="Alex", J25=""),"", Table1[[#This Row],[For Amount]])</f>
        <v/>
      </c>
      <c r="BK25">
        <f ca="1">IFERROR(Table1[[#This Row],[Fee]]-Table1[[#This Row],[Total Salary]],"")</f>
        <v>0</v>
      </c>
      <c r="BL25" t="e">
        <f>IF(Table1[[#This Row],[Joining Date]]="","",IF(Table1[[#This Row],[Joining Date]]&lt;='KPI+Pivot'!$CP$1,Table1[[#This Row],[Fee]],""))</f>
        <v>#N/A</v>
      </c>
      <c r="BM2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5" t="e">
        <f>IF(Table1[[#This Row],[Joining Date]]="","",IF(Table1[[#This Row],[Joining Date]]&lt;='KPI+Pivot'!$CP$1,Table1[[#This Row],[Total Salary]],""))</f>
        <v>#N/A</v>
      </c>
      <c r="BO25" t="e">
        <f>IF(Table1[[#This Row],[Joining Date]]="","",IF(Table1[[#This Row],[Joining Date]]&lt;='KPI+Pivot'!$CP$1,Table1[[#This Row],[Frequency]],""))</f>
        <v>#N/A</v>
      </c>
      <c r="BP25" s="38" t="str">
        <f>IF(Table1[[#This Row],[Stop]]="","",(IF(Table1[[#This Row],[Joining Date]]="","",IF(Table1[[#This Row],[Joining Date]]&lt;='KPI+Pivot'!$CP$1,Table1[[#This Row],[Stop]],""))))</f>
        <v/>
      </c>
    </row>
    <row r="26" spans="1:68" ht="22.9" customHeight="1">
      <c r="B26" t="s">
        <v>66</v>
      </c>
      <c r="C26" t="s">
        <v>249</v>
      </c>
      <c r="D26" t="s">
        <v>250</v>
      </c>
      <c r="F26" t="s">
        <v>251</v>
      </c>
      <c r="G26" t="s">
        <v>252</v>
      </c>
      <c r="H26" t="s">
        <v>253</v>
      </c>
      <c r="I26" t="str">
        <f>IFERROR(HYPERLINK("#Finance!B" &amp; MATCH(A26, 'F 2025'!A:A, 0), "🔗 Go to finance"), "❌ ID introuvable")</f>
        <v>❌ ID introuvable</v>
      </c>
      <c r="L26" t="s">
        <v>90</v>
      </c>
      <c r="Y26" t="s">
        <v>254</v>
      </c>
      <c r="Z26" t="s">
        <v>75</v>
      </c>
      <c r="AB26" t="s">
        <v>255</v>
      </c>
      <c r="AD26" s="130"/>
      <c r="AE26"/>
      <c r="AG26" t="s">
        <v>76</v>
      </c>
      <c r="AI26" t="s">
        <v>255</v>
      </c>
      <c r="AK26" t="s">
        <v>94</v>
      </c>
      <c r="AM26" s="38"/>
      <c r="AO26" t="s">
        <v>252</v>
      </c>
      <c r="AR26" t="str">
        <f t="shared" si="0"/>
        <v/>
      </c>
      <c r="AS26" t="str">
        <f t="shared" si="1"/>
        <v/>
      </c>
      <c r="AT26" t="str">
        <f>IF(Table1[[#This Row],[Joining Date]]="", "", TEXT(Table1[[#This Row],[Joining Date]], "mmm"))</f>
        <v/>
      </c>
      <c r="AU26" t="str">
        <f>IF(Table1[[#This Row],[Joining Date]]="", "", YEAR(Table1[[#This Row],[Joining Date]]))</f>
        <v/>
      </c>
      <c r="AV26" t="str">
        <f>IF(Table1[[#This Row],[Group Name]]="","", M26 &amp; Table1[[#This Row],[Teacher]])</f>
        <v/>
      </c>
      <c r="AW26" t="str">
        <f>IF(Table1[[#This Row],[Helper]]="","",IF(_xlfn.MAXIFS(AT:AT,AW:AW,Table1[[#This Row],[Helper]])=Table1[[#This Row],[Clean Frequency]],_xlfn.MAXIFS(AT:AT,AW:AW,Table1[[#This Row],[Helper]]),""))</f>
        <v/>
      </c>
      <c r="AX26" t="str">
        <f ca="1">IF(AND(AW26=_xlfn.MAXIFS(AX:AX, AW:AW, AV26), COUNTIFS(AV$3:AV26, AV26, AW$3:AW26, AW26)=1), 1, "")</f>
        <v/>
      </c>
      <c r="AY26" t="str">
        <f>IF(Table1[[#This Row],[lesson type]]="private",Table1[[#This Row],[Clean Frequency]],"")</f>
        <v/>
      </c>
      <c r="AZ26" t="str">
        <f ca="1">IF(Table1[[#This Row],[First Occurrence]]=1,Table1[[#This Row],[Group Frequency]],"")</f>
        <v/>
      </c>
      <c r="BA26" t="str">
        <f ca="1">IF(B26="Y", IF(Table1[[#This Row],[Stop]]="", TODAY() - Table1[[#This Row],[Joining Date]], Table1[[#This Row],[Stop]] - Table1[[#This Row],[Joining Date]]), "")</f>
        <v/>
      </c>
      <c r="BB26" t="str">
        <f>_xlfn.CONCAT(Table1[[#This Row],[t]]," ",Table1[[#This Row],[Last Name]])</f>
        <v>Emi Fukuoka</v>
      </c>
      <c r="BC26" t="str">
        <f>IF(OR(Table1[[#This Row],[Teacher]]="Alex",Table1[[#This Row],[Teacher]]=""), "", Table1[[#This Row],[For Salary]])</f>
        <v/>
      </c>
      <c r="BD26" t="str">
        <f>IF(OR(Table1[[#This Row],[Teacher]]="Alex",Table1[[#This Row],[Teacher]]=""), "", Table1[[#This Row],[For Amount]])</f>
        <v/>
      </c>
      <c r="BE26" t="str">
        <f>IFERROR(IF(VLOOKUP(Table1[[#This Row],[Teacher]],'Teachers Salaries'!A:C,2,FALSE)="","",VLOOKUP(Table1[[#This Row],[Teacher]],'Teachers Salaries'!A:C,2,FALSE)),"")</f>
        <v/>
      </c>
      <c r="BF26" t="str">
        <f>IFERROR(IF(VLOOKUP(Table1[[#This Row],[Teacher]],'Teachers Salaries'!A:C,3,FALSE)="","",VLOOKUP(Table1[[#This Row],[Teacher]],'Teachers Salaries'!A:C,3,FALSE)),"")</f>
        <v/>
      </c>
      <c r="BG26">
        <f ca="1">IFERROR(IF(Table1[[#This Row],[Pay Type]]="Fixed","-",Table1[[#This Row],[Final Group Frequency2]]*Table1[[#This Row],[Salary / Hourly Rate]]),0)</f>
        <v>0</v>
      </c>
      <c r="BH26">
        <f>IFERROR(IF(Table1[[#This Row],[Pay Type]]="Fixed","----",Table1[[#This Row],[Salary / Hourly Rate]]*Table1[[#This Row],[Final PrivateFrequency]]),0)</f>
        <v>0</v>
      </c>
      <c r="BI26">
        <f ca="1">IF(Table1[[#This Row],[Pay Type]]="Fixed","---",Table1[[#This Row],[Group Salary]]+Table1[[#This Row],[Private Salary]])</f>
        <v>0</v>
      </c>
      <c r="BJ26" t="str">
        <f>IF(OR(J26="Alex", J26=""),"", Table1[[#This Row],[For Amount]])</f>
        <v/>
      </c>
      <c r="BK26">
        <f ca="1">IFERROR(Table1[[#This Row],[Fee]]-Table1[[#This Row],[Total Salary]],"")</f>
        <v>0</v>
      </c>
      <c r="BL26" t="str">
        <f>IF(Table1[[#This Row],[Joining Date]]="","",IF(Table1[[#This Row],[Joining Date]]&lt;='KPI+Pivot'!$CP$1,Table1[[#This Row],[Fee]],""))</f>
        <v/>
      </c>
      <c r="BM2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6" t="str">
        <f>IF(Table1[[#This Row],[Joining Date]]="","",IF(Table1[[#This Row],[Joining Date]]&lt;='KPI+Pivot'!$CP$1,Table1[[#This Row],[Total Salary]],""))</f>
        <v/>
      </c>
      <c r="BO26" t="str">
        <f>IF(Table1[[#This Row],[Joining Date]]="","",IF(Table1[[#This Row],[Joining Date]]&lt;='KPI+Pivot'!$CP$1,Table1[[#This Row],[Frequency]],""))</f>
        <v/>
      </c>
      <c r="BP26" s="38" t="str">
        <f>IF(Table1[[#This Row],[Stop]]="","",(IF(Table1[[#This Row],[Joining Date]]="","",IF(Table1[[#This Row],[Joining Date]]&lt;='KPI+Pivot'!$CP$1,Table1[[#This Row],[Stop]],""))))</f>
        <v/>
      </c>
    </row>
    <row r="27" spans="1:68" ht="22.9" customHeight="1">
      <c r="B27" t="s">
        <v>66</v>
      </c>
      <c r="C27" t="s">
        <v>249</v>
      </c>
      <c r="D27" t="s">
        <v>157</v>
      </c>
      <c r="F27" t="s">
        <v>256</v>
      </c>
      <c r="G27" t="s">
        <v>257</v>
      </c>
      <c r="H27" t="s">
        <v>258</v>
      </c>
      <c r="I27" t="str">
        <f>IFERROR(HYPERLINK("#Finance!B" &amp; MATCH(A27, 'F 2025'!A:A, 0), "🔗 Go to finance"), "❌ ID introuvable")</f>
        <v>❌ ID introuvable</v>
      </c>
      <c r="V27" t="s">
        <v>259</v>
      </c>
      <c r="Y27" t="s">
        <v>260</v>
      </c>
      <c r="Z27" t="s">
        <v>75</v>
      </c>
      <c r="AD27" s="130"/>
      <c r="AE27"/>
      <c r="AG27" t="s">
        <v>76</v>
      </c>
      <c r="AM27" s="38"/>
      <c r="AO27" t="s">
        <v>257</v>
      </c>
      <c r="AR27" t="str">
        <f t="shared" si="0"/>
        <v/>
      </c>
      <c r="AS27" t="str">
        <f t="shared" si="1"/>
        <v/>
      </c>
      <c r="AT27" t="str">
        <f>IF(Table1[[#This Row],[Joining Date]]="", "", TEXT(Table1[[#This Row],[Joining Date]], "mmm"))</f>
        <v/>
      </c>
      <c r="AU27" t="str">
        <f>IF(Table1[[#This Row],[Joining Date]]="", "", YEAR(Table1[[#This Row],[Joining Date]]))</f>
        <v/>
      </c>
      <c r="AV27" t="str">
        <f>IF(Table1[[#This Row],[Group Name]]="","", M27 &amp; Table1[[#This Row],[Teacher]])</f>
        <v/>
      </c>
      <c r="AW27" t="str">
        <f>IF(Table1[[#This Row],[Helper]]="","",IF(_xlfn.MAXIFS(AT:AT,AW:AW,Table1[[#This Row],[Helper]])=Table1[[#This Row],[Clean Frequency]],_xlfn.MAXIFS(AT:AT,AW:AW,Table1[[#This Row],[Helper]]),""))</f>
        <v/>
      </c>
      <c r="AX27" t="str">
        <f ca="1">IF(AND(AW27=_xlfn.MAXIFS(AX:AX, AW:AW, AV27), COUNTIFS(AV$3:AV27, AV27, AW$3:AW27, AW27)=1), 1, "")</f>
        <v/>
      </c>
      <c r="AY27" t="str">
        <f>IF(Table1[[#This Row],[lesson type]]="private",Table1[[#This Row],[Clean Frequency]],"")</f>
        <v/>
      </c>
      <c r="AZ27" t="str">
        <f ca="1">IF(Table1[[#This Row],[First Occurrence]]=1,Table1[[#This Row],[Group Frequency]],"")</f>
        <v/>
      </c>
      <c r="BA27" t="str">
        <f ca="1">IF(B27="Y", IF(Table1[[#This Row],[Stop]]="", TODAY() - Table1[[#This Row],[Joining Date]], Table1[[#This Row],[Stop]] - Table1[[#This Row],[Joining Date]]), "")</f>
        <v/>
      </c>
      <c r="BB27" t="str">
        <f>_xlfn.CONCAT(Table1[[#This Row],[t]]," ",Table1[[#This Row],[Last Name]])</f>
        <v>Emi Kinoshita</v>
      </c>
      <c r="BC27" t="str">
        <f>IF(OR(Table1[[#This Row],[Teacher]]="Alex",Table1[[#This Row],[Teacher]]=""), "", Table1[[#This Row],[For Salary]])</f>
        <v/>
      </c>
      <c r="BD27" t="str">
        <f>IF(OR(Table1[[#This Row],[Teacher]]="Alex",Table1[[#This Row],[Teacher]]=""), "", Table1[[#This Row],[For Amount]])</f>
        <v/>
      </c>
      <c r="BE27" t="str">
        <f>IFERROR(IF(VLOOKUP(Table1[[#This Row],[Teacher]],'Teachers Salaries'!A:C,2,FALSE)="","",VLOOKUP(Table1[[#This Row],[Teacher]],'Teachers Salaries'!A:C,2,FALSE)),"")</f>
        <v/>
      </c>
      <c r="BF27" t="str">
        <f>IFERROR(IF(VLOOKUP(Table1[[#This Row],[Teacher]],'Teachers Salaries'!A:C,3,FALSE)="","",VLOOKUP(Table1[[#This Row],[Teacher]],'Teachers Salaries'!A:C,3,FALSE)),"")</f>
        <v/>
      </c>
      <c r="BG27">
        <f ca="1">IFERROR(IF(Table1[[#This Row],[Pay Type]]="Fixed","-",Table1[[#This Row],[Final Group Frequency2]]*Table1[[#This Row],[Salary / Hourly Rate]]),0)</f>
        <v>0</v>
      </c>
      <c r="BH27">
        <f>IFERROR(IF(Table1[[#This Row],[Pay Type]]="Fixed","----",Table1[[#This Row],[Salary / Hourly Rate]]*Table1[[#This Row],[Final PrivateFrequency]]),0)</f>
        <v>0</v>
      </c>
      <c r="BI27">
        <f ca="1">IF(Table1[[#This Row],[Pay Type]]="Fixed","---",Table1[[#This Row],[Group Salary]]+Table1[[#This Row],[Private Salary]])</f>
        <v>0</v>
      </c>
      <c r="BJ27" t="str">
        <f>IF(OR(J27="Alex", J27=""),"", Table1[[#This Row],[For Amount]])</f>
        <v/>
      </c>
      <c r="BK27">
        <f ca="1">IFERROR(Table1[[#This Row],[Fee]]-Table1[[#This Row],[Total Salary]],"")</f>
        <v>0</v>
      </c>
      <c r="BL27" t="str">
        <f>IF(Table1[[#This Row],[Joining Date]]="","",IF(Table1[[#This Row],[Joining Date]]&lt;='KPI+Pivot'!$CP$1,Table1[[#This Row],[Fee]],""))</f>
        <v/>
      </c>
      <c r="BM2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7" t="str">
        <f>IF(Table1[[#This Row],[Joining Date]]="","",IF(Table1[[#This Row],[Joining Date]]&lt;='KPI+Pivot'!$CP$1,Table1[[#This Row],[Total Salary]],""))</f>
        <v/>
      </c>
      <c r="BO27" t="str">
        <f>IF(Table1[[#This Row],[Joining Date]]="","",IF(Table1[[#This Row],[Joining Date]]&lt;='KPI+Pivot'!$CP$1,Table1[[#This Row],[Frequency]],""))</f>
        <v/>
      </c>
      <c r="BP27" s="38" t="str">
        <f>IF(Table1[[#This Row],[Stop]]="","",(IF(Table1[[#This Row],[Joining Date]]="","",IF(Table1[[#This Row],[Joining Date]]&lt;='KPI+Pivot'!$CP$1,Table1[[#This Row],[Stop]],""))))</f>
        <v/>
      </c>
    </row>
    <row r="28" spans="1:68" ht="22.9" customHeight="1">
      <c r="B28" t="s">
        <v>66</v>
      </c>
      <c r="C28" t="s">
        <v>261</v>
      </c>
      <c r="D28" t="s">
        <v>262</v>
      </c>
      <c r="F28" t="s">
        <v>263</v>
      </c>
      <c r="G28" t="s">
        <v>264</v>
      </c>
      <c r="H28" t="s">
        <v>265</v>
      </c>
      <c r="I28" t="str">
        <f>IFERROR(HYPERLINK("#Finance!B" &amp; MATCH(A28, 'F 2025'!A:A, 0), "🔗 Go to finance"), "❌ ID introuvable")</f>
        <v>❌ ID introuvable</v>
      </c>
      <c r="V28" t="s">
        <v>266</v>
      </c>
      <c r="Z28" t="s">
        <v>75</v>
      </c>
      <c r="AB28" t="s">
        <v>267</v>
      </c>
      <c r="AD28" s="130">
        <v>45136</v>
      </c>
      <c r="AE28"/>
      <c r="AG28" t="s">
        <v>76</v>
      </c>
      <c r="AI28" t="s">
        <v>267</v>
      </c>
      <c r="AK28" t="s">
        <v>84</v>
      </c>
      <c r="AM28" s="38"/>
      <c r="AO28" t="s">
        <v>264</v>
      </c>
      <c r="AR28" t="str">
        <f t="shared" si="0"/>
        <v/>
      </c>
      <c r="AS28" t="str">
        <f t="shared" si="1"/>
        <v/>
      </c>
      <c r="AT28" t="str">
        <f>IF(Table1[[#This Row],[Joining Date]]="", "", TEXT(Table1[[#This Row],[Joining Date]], "mmm"))</f>
        <v>Jul</v>
      </c>
      <c r="AU28">
        <f>IF(Table1[[#This Row],[Joining Date]]="", "", YEAR(Table1[[#This Row],[Joining Date]]))</f>
        <v>2023</v>
      </c>
      <c r="AV28" t="str">
        <f>IF(Table1[[#This Row],[Group Name]]="","", M28 &amp; Table1[[#This Row],[Teacher]])</f>
        <v/>
      </c>
      <c r="AW28" t="str">
        <f>IF(Table1[[#This Row],[Helper]]="","",IF(_xlfn.MAXIFS(AT:AT,AW:AW,Table1[[#This Row],[Helper]])=Table1[[#This Row],[Clean Frequency]],_xlfn.MAXIFS(AT:AT,AW:AW,Table1[[#This Row],[Helper]]),""))</f>
        <v/>
      </c>
      <c r="AX28" t="str">
        <f ca="1">IF(AND(AW28=_xlfn.MAXIFS(AX:AX, AW:AW, AV28), COUNTIFS(AV$3:AV28, AV28, AW$3:AW28, AW28)=1), 1, "")</f>
        <v/>
      </c>
      <c r="AY28" t="str">
        <f>IF(Table1[[#This Row],[lesson type]]="private",Table1[[#This Row],[Clean Frequency]],"")</f>
        <v/>
      </c>
      <c r="AZ28" t="str">
        <f ca="1">IF(Table1[[#This Row],[First Occurrence]]=1,Table1[[#This Row],[Group Frequency]],"")</f>
        <v/>
      </c>
      <c r="BA28" t="str">
        <f ca="1">IF(B28="Y", IF(Table1[[#This Row],[Stop]]="", TODAY() - Table1[[#This Row],[Joining Date]], Table1[[#This Row],[Stop]] - Table1[[#This Row],[Joining Date]]), "")</f>
        <v/>
      </c>
      <c r="BB28" t="str">
        <f>_xlfn.CONCAT(Table1[[#This Row],[t]]," ",Table1[[#This Row],[Last Name]])</f>
        <v>Hanane sasaki</v>
      </c>
      <c r="BC28" t="str">
        <f>IF(OR(Table1[[#This Row],[Teacher]]="Alex",Table1[[#This Row],[Teacher]]=""), "", Table1[[#This Row],[For Salary]])</f>
        <v/>
      </c>
      <c r="BD28" t="str">
        <f>IF(OR(Table1[[#This Row],[Teacher]]="Alex",Table1[[#This Row],[Teacher]]=""), "", Table1[[#This Row],[For Amount]])</f>
        <v/>
      </c>
      <c r="BE28" t="str">
        <f>IFERROR(IF(VLOOKUP(Table1[[#This Row],[Teacher]],'Teachers Salaries'!A:C,2,FALSE)="","",VLOOKUP(Table1[[#This Row],[Teacher]],'Teachers Salaries'!A:C,2,FALSE)),"")</f>
        <v/>
      </c>
      <c r="BF28" t="str">
        <f>IFERROR(IF(VLOOKUP(Table1[[#This Row],[Teacher]],'Teachers Salaries'!A:C,3,FALSE)="","",VLOOKUP(Table1[[#This Row],[Teacher]],'Teachers Salaries'!A:C,3,FALSE)),"")</f>
        <v/>
      </c>
      <c r="BG28">
        <f ca="1">IFERROR(IF(Table1[[#This Row],[Pay Type]]="Fixed","-",Table1[[#This Row],[Final Group Frequency2]]*Table1[[#This Row],[Salary / Hourly Rate]]),0)</f>
        <v>0</v>
      </c>
      <c r="BH28">
        <f>IFERROR(IF(Table1[[#This Row],[Pay Type]]="Fixed","----",Table1[[#This Row],[Salary / Hourly Rate]]*Table1[[#This Row],[Final PrivateFrequency]]),0)</f>
        <v>0</v>
      </c>
      <c r="BI28">
        <f ca="1">IF(Table1[[#This Row],[Pay Type]]="Fixed","---",Table1[[#This Row],[Group Salary]]+Table1[[#This Row],[Private Salary]])</f>
        <v>0</v>
      </c>
      <c r="BJ28" t="str">
        <f>IF(OR(J28="Alex", J28=""),"", Table1[[#This Row],[For Amount]])</f>
        <v/>
      </c>
      <c r="BK28">
        <f ca="1">IFERROR(Table1[[#This Row],[Fee]]-Table1[[#This Row],[Total Salary]],"")</f>
        <v>0</v>
      </c>
      <c r="BL28" t="e">
        <f>IF(Table1[[#This Row],[Joining Date]]="","",IF(Table1[[#This Row],[Joining Date]]&lt;='KPI+Pivot'!$CP$1,Table1[[#This Row],[Fee]],""))</f>
        <v>#N/A</v>
      </c>
      <c r="BM2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8" t="e">
        <f>IF(Table1[[#This Row],[Joining Date]]="","",IF(Table1[[#This Row],[Joining Date]]&lt;='KPI+Pivot'!$CP$1,Table1[[#This Row],[Total Salary]],""))</f>
        <v>#N/A</v>
      </c>
      <c r="BO28" t="e">
        <f>IF(Table1[[#This Row],[Joining Date]]="","",IF(Table1[[#This Row],[Joining Date]]&lt;='KPI+Pivot'!$CP$1,Table1[[#This Row],[Frequency]],""))</f>
        <v>#N/A</v>
      </c>
      <c r="BP28" s="38" t="str">
        <f>IF(Table1[[#This Row],[Stop]]="","",(IF(Table1[[#This Row],[Joining Date]]="","",IF(Table1[[#This Row],[Joining Date]]&lt;='KPI+Pivot'!$CP$1,Table1[[#This Row],[Stop]],""))))</f>
        <v/>
      </c>
    </row>
    <row r="29" spans="1:68" ht="22.9" customHeight="1">
      <c r="B29" t="s">
        <v>66</v>
      </c>
      <c r="C29" t="s">
        <v>268</v>
      </c>
      <c r="D29" t="s">
        <v>269</v>
      </c>
      <c r="F29" t="s">
        <v>270</v>
      </c>
      <c r="G29" t="s">
        <v>271</v>
      </c>
      <c r="H29" t="s">
        <v>272</v>
      </c>
      <c r="I29" t="str">
        <f>IFERROR(HYPERLINK("#Finance!B" &amp; MATCH(A29, 'F 2025'!A:A, 0), "🔗 Go to finance"), "❌ ID introuvable")</f>
        <v>❌ ID introuvable</v>
      </c>
      <c r="L29" t="s">
        <v>102</v>
      </c>
      <c r="V29" t="s">
        <v>273</v>
      </c>
      <c r="Z29" t="s">
        <v>75</v>
      </c>
      <c r="AB29" t="s">
        <v>274</v>
      </c>
      <c r="AD29" s="130"/>
      <c r="AE29"/>
      <c r="AG29" t="s">
        <v>76</v>
      </c>
      <c r="AI29" t="s">
        <v>274</v>
      </c>
      <c r="AK29" t="s">
        <v>275</v>
      </c>
      <c r="AM29" s="38"/>
      <c r="AO29" t="s">
        <v>271</v>
      </c>
      <c r="AR29" t="str">
        <f t="shared" si="0"/>
        <v/>
      </c>
      <c r="AS29" t="str">
        <f t="shared" si="1"/>
        <v/>
      </c>
      <c r="AT29" t="str">
        <f>IF(Table1[[#This Row],[Joining Date]]="", "", TEXT(Table1[[#This Row],[Joining Date]], "mmm"))</f>
        <v/>
      </c>
      <c r="AU29" t="str">
        <f>IF(Table1[[#This Row],[Joining Date]]="", "", YEAR(Table1[[#This Row],[Joining Date]]))</f>
        <v/>
      </c>
      <c r="AV29" t="str">
        <f>IF(Table1[[#This Row],[Group Name]]="","", M29 &amp; Table1[[#This Row],[Teacher]])</f>
        <v/>
      </c>
      <c r="AW29" t="str">
        <f>IF(Table1[[#This Row],[Helper]]="","",IF(_xlfn.MAXIFS(AT:AT,AW:AW,Table1[[#This Row],[Helper]])=Table1[[#This Row],[Clean Frequency]],_xlfn.MAXIFS(AT:AT,AW:AW,Table1[[#This Row],[Helper]]),""))</f>
        <v/>
      </c>
      <c r="AX29" t="str">
        <f ca="1">IF(AND(AW29=_xlfn.MAXIFS(AX:AX, AW:AW, AV29), COUNTIFS(AV$3:AV29, AV29, AW$3:AW29, AW29)=1), 1, "")</f>
        <v/>
      </c>
      <c r="AY29" t="str">
        <f>IF(Table1[[#This Row],[lesson type]]="private",Table1[[#This Row],[Clean Frequency]],"")</f>
        <v/>
      </c>
      <c r="AZ29" t="str">
        <f ca="1">IF(Table1[[#This Row],[First Occurrence]]=1,Table1[[#This Row],[Group Frequency]],"")</f>
        <v/>
      </c>
      <c r="BA29" t="str">
        <f ca="1">IF(B29="Y", IF(Table1[[#This Row],[Stop]]="", TODAY() - Table1[[#This Row],[Joining Date]], Table1[[#This Row],[Stop]] - Table1[[#This Row],[Joining Date]]), "")</f>
        <v/>
      </c>
      <c r="BB29" t="str">
        <f>_xlfn.CONCAT(Table1[[#This Row],[t]]," ",Table1[[#This Row],[Last Name]])</f>
        <v>Hanari Mochidome</v>
      </c>
      <c r="BC29" t="str">
        <f>IF(OR(Table1[[#This Row],[Teacher]]="Alex",Table1[[#This Row],[Teacher]]=""), "", Table1[[#This Row],[For Salary]])</f>
        <v/>
      </c>
      <c r="BD29" t="str">
        <f>IF(OR(Table1[[#This Row],[Teacher]]="Alex",Table1[[#This Row],[Teacher]]=""), "", Table1[[#This Row],[For Amount]])</f>
        <v/>
      </c>
      <c r="BE29" t="str">
        <f>IFERROR(IF(VLOOKUP(Table1[[#This Row],[Teacher]],'Teachers Salaries'!A:C,2,FALSE)="","",VLOOKUP(Table1[[#This Row],[Teacher]],'Teachers Salaries'!A:C,2,FALSE)),"")</f>
        <v/>
      </c>
      <c r="BF29" t="str">
        <f>IFERROR(IF(VLOOKUP(Table1[[#This Row],[Teacher]],'Teachers Salaries'!A:C,3,FALSE)="","",VLOOKUP(Table1[[#This Row],[Teacher]],'Teachers Salaries'!A:C,3,FALSE)),"")</f>
        <v/>
      </c>
      <c r="BG29">
        <f ca="1">IFERROR(IF(Table1[[#This Row],[Pay Type]]="Fixed","-",Table1[[#This Row],[Final Group Frequency2]]*Table1[[#This Row],[Salary / Hourly Rate]]),0)</f>
        <v>0</v>
      </c>
      <c r="BH29">
        <f>IFERROR(IF(Table1[[#This Row],[Pay Type]]="Fixed","----",Table1[[#This Row],[Salary / Hourly Rate]]*Table1[[#This Row],[Final PrivateFrequency]]),0)</f>
        <v>0</v>
      </c>
      <c r="BI29">
        <f ca="1">IF(Table1[[#This Row],[Pay Type]]="Fixed","---",Table1[[#This Row],[Group Salary]]+Table1[[#This Row],[Private Salary]])</f>
        <v>0</v>
      </c>
      <c r="BJ29" t="str">
        <f>IF(OR(J29="Alex", J29=""),"", Table1[[#This Row],[For Amount]])</f>
        <v/>
      </c>
      <c r="BK29">
        <f ca="1">IFERROR(Table1[[#This Row],[Fee]]-Table1[[#This Row],[Total Salary]],"")</f>
        <v>0</v>
      </c>
      <c r="BL29" t="str">
        <f>IF(Table1[[#This Row],[Joining Date]]="","",IF(Table1[[#This Row],[Joining Date]]&lt;='KPI+Pivot'!$CP$1,Table1[[#This Row],[Fee]],""))</f>
        <v/>
      </c>
      <c r="BM2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9" t="str">
        <f>IF(Table1[[#This Row],[Joining Date]]="","",IF(Table1[[#This Row],[Joining Date]]&lt;='KPI+Pivot'!$CP$1,Table1[[#This Row],[Total Salary]],""))</f>
        <v/>
      </c>
      <c r="BO29" t="str">
        <f>IF(Table1[[#This Row],[Joining Date]]="","",IF(Table1[[#This Row],[Joining Date]]&lt;='KPI+Pivot'!$CP$1,Table1[[#This Row],[Frequency]],""))</f>
        <v/>
      </c>
      <c r="BP29" s="38" t="str">
        <f>IF(Table1[[#This Row],[Stop]]="","",(IF(Table1[[#This Row],[Joining Date]]="","",IF(Table1[[#This Row],[Joining Date]]&lt;='KPI+Pivot'!$CP$1,Table1[[#This Row],[Stop]],""))))</f>
        <v/>
      </c>
    </row>
    <row r="30" spans="1:68" ht="22.9" customHeight="1">
      <c r="B30" t="s">
        <v>66</v>
      </c>
      <c r="C30" t="s">
        <v>276</v>
      </c>
      <c r="D30" t="s">
        <v>277</v>
      </c>
      <c r="F30" t="s">
        <v>278</v>
      </c>
      <c r="G30" t="s">
        <v>279</v>
      </c>
      <c r="H30" t="s">
        <v>280</v>
      </c>
      <c r="I30" t="str">
        <f>IFERROR(HYPERLINK("#Finance!B" &amp; MATCH(A30, 'F 2025'!A:A, 0), "🔗 Go to finance"), "❌ ID introuvable")</f>
        <v>❌ ID introuvable</v>
      </c>
      <c r="V30" t="s">
        <v>281</v>
      </c>
      <c r="W30" t="s">
        <v>281</v>
      </c>
      <c r="Y30" t="s">
        <v>282</v>
      </c>
      <c r="Z30" t="s">
        <v>75</v>
      </c>
      <c r="AD30" s="130"/>
      <c r="AE30"/>
      <c r="AG30" t="s">
        <v>76</v>
      </c>
      <c r="AK30" t="s">
        <v>102</v>
      </c>
      <c r="AM30" s="38"/>
      <c r="AO30" t="s">
        <v>279</v>
      </c>
      <c r="AR30" t="str">
        <f t="shared" si="0"/>
        <v/>
      </c>
      <c r="AS30" t="str">
        <f t="shared" si="1"/>
        <v/>
      </c>
      <c r="AT30" t="str">
        <f>IF(Table1[[#This Row],[Joining Date]]="", "", TEXT(Table1[[#This Row],[Joining Date]], "mmm"))</f>
        <v/>
      </c>
      <c r="AU30" t="str">
        <f>IF(Table1[[#This Row],[Joining Date]]="", "", YEAR(Table1[[#This Row],[Joining Date]]))</f>
        <v/>
      </c>
      <c r="AV30" t="str">
        <f>IF(Table1[[#This Row],[Group Name]]="","", M30 &amp; Table1[[#This Row],[Teacher]])</f>
        <v/>
      </c>
      <c r="AW30" t="str">
        <f>IF(Table1[[#This Row],[Helper]]="","",IF(_xlfn.MAXIFS(AT:AT,AW:AW,Table1[[#This Row],[Helper]])=Table1[[#This Row],[Clean Frequency]],_xlfn.MAXIFS(AT:AT,AW:AW,Table1[[#This Row],[Helper]]),""))</f>
        <v/>
      </c>
      <c r="AX30" t="str">
        <f ca="1">IF(AND(AW30=_xlfn.MAXIFS(AX:AX, AW:AW, AV30), COUNTIFS(AV$3:AV30, AV30, AW$3:AW30, AW30)=1), 1, "")</f>
        <v/>
      </c>
      <c r="AY30" t="str">
        <f>IF(Table1[[#This Row],[lesson type]]="private",Table1[[#This Row],[Clean Frequency]],"")</f>
        <v/>
      </c>
      <c r="AZ30" t="str">
        <f ca="1">IF(Table1[[#This Row],[First Occurrence]]=1,Table1[[#This Row],[Group Frequency]],"")</f>
        <v/>
      </c>
      <c r="BA30" t="str">
        <f ca="1">IF(B30="Y", IF(Table1[[#This Row],[Stop]]="", TODAY() - Table1[[#This Row],[Joining Date]], Table1[[#This Row],[Stop]] - Table1[[#This Row],[Joining Date]]), "")</f>
        <v/>
      </c>
      <c r="BB30" t="str">
        <f>_xlfn.CONCAT(Table1[[#This Row],[t]]," ",Table1[[#This Row],[Last Name]])</f>
        <v>Hanzo Segawa</v>
      </c>
      <c r="BC30" t="str">
        <f>IF(OR(Table1[[#This Row],[Teacher]]="Alex",Table1[[#This Row],[Teacher]]=""), "", Table1[[#This Row],[For Salary]])</f>
        <v/>
      </c>
      <c r="BD30" t="str">
        <f>IF(OR(Table1[[#This Row],[Teacher]]="Alex",Table1[[#This Row],[Teacher]]=""), "", Table1[[#This Row],[For Amount]])</f>
        <v/>
      </c>
      <c r="BE30" t="str">
        <f>IFERROR(IF(VLOOKUP(Table1[[#This Row],[Teacher]],'Teachers Salaries'!A:C,2,FALSE)="","",VLOOKUP(Table1[[#This Row],[Teacher]],'Teachers Salaries'!A:C,2,FALSE)),"")</f>
        <v/>
      </c>
      <c r="BF30" t="str">
        <f>IFERROR(IF(VLOOKUP(Table1[[#This Row],[Teacher]],'Teachers Salaries'!A:C,3,FALSE)="","",VLOOKUP(Table1[[#This Row],[Teacher]],'Teachers Salaries'!A:C,3,FALSE)),"")</f>
        <v/>
      </c>
      <c r="BG30">
        <f ca="1">IFERROR(IF(Table1[[#This Row],[Pay Type]]="Fixed","-",Table1[[#This Row],[Final Group Frequency2]]*Table1[[#This Row],[Salary / Hourly Rate]]),0)</f>
        <v>0</v>
      </c>
      <c r="BH30">
        <f>IFERROR(IF(Table1[[#This Row],[Pay Type]]="Fixed","----",Table1[[#This Row],[Salary / Hourly Rate]]*Table1[[#This Row],[Final PrivateFrequency]]),0)</f>
        <v>0</v>
      </c>
      <c r="BI30">
        <f ca="1">IF(Table1[[#This Row],[Pay Type]]="Fixed","---",Table1[[#This Row],[Group Salary]]+Table1[[#This Row],[Private Salary]])</f>
        <v>0</v>
      </c>
      <c r="BJ30" t="str">
        <f>IF(OR(J30="Alex", J30=""),"", Table1[[#This Row],[For Amount]])</f>
        <v/>
      </c>
      <c r="BK30">
        <f ca="1">IFERROR(Table1[[#This Row],[Fee]]-Table1[[#This Row],[Total Salary]],"")</f>
        <v>0</v>
      </c>
      <c r="BL30" t="str">
        <f>IF(Table1[[#This Row],[Joining Date]]="","",IF(Table1[[#This Row],[Joining Date]]&lt;='KPI+Pivot'!$CP$1,Table1[[#This Row],[Fee]],""))</f>
        <v/>
      </c>
      <c r="BM3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0" t="str">
        <f>IF(Table1[[#This Row],[Joining Date]]="","",IF(Table1[[#This Row],[Joining Date]]&lt;='KPI+Pivot'!$CP$1,Table1[[#This Row],[Total Salary]],""))</f>
        <v/>
      </c>
      <c r="BO30" t="str">
        <f>IF(Table1[[#This Row],[Joining Date]]="","",IF(Table1[[#This Row],[Joining Date]]&lt;='KPI+Pivot'!$CP$1,Table1[[#This Row],[Frequency]],""))</f>
        <v/>
      </c>
      <c r="BP30" s="38" t="str">
        <f>IF(Table1[[#This Row],[Stop]]="","",(IF(Table1[[#This Row],[Joining Date]]="","",IF(Table1[[#This Row],[Joining Date]]&lt;='KPI+Pivot'!$CP$1,Table1[[#This Row],[Stop]],""))))</f>
        <v/>
      </c>
    </row>
    <row r="31" spans="1:68" ht="22.9" customHeight="1">
      <c r="B31" t="s">
        <v>66</v>
      </c>
      <c r="C31" t="s">
        <v>67</v>
      </c>
      <c r="D31" t="s">
        <v>283</v>
      </c>
      <c r="F31" t="s">
        <v>284</v>
      </c>
      <c r="G31" t="s">
        <v>285</v>
      </c>
      <c r="H31" t="s">
        <v>286</v>
      </c>
      <c r="I31" t="str">
        <f>IFERROR(HYPERLINK("#Finance!B" &amp; MATCH(A31, 'F 2025'!A:A, 0), "🔗 Go to finance"), "❌ ID introuvable")</f>
        <v>❌ ID introuvable</v>
      </c>
      <c r="L31" t="s">
        <v>102</v>
      </c>
      <c r="V31" t="s">
        <v>287</v>
      </c>
      <c r="Y31" t="s">
        <v>288</v>
      </c>
      <c r="Z31" t="s">
        <v>75</v>
      </c>
      <c r="AB31" t="s">
        <v>289</v>
      </c>
      <c r="AD31" s="130">
        <v>43927</v>
      </c>
      <c r="AE31"/>
      <c r="AG31" t="s">
        <v>76</v>
      </c>
      <c r="AI31" t="s">
        <v>289</v>
      </c>
      <c r="AK31" t="s">
        <v>290</v>
      </c>
      <c r="AM31" s="38"/>
      <c r="AO31" t="s">
        <v>285</v>
      </c>
      <c r="AR31" t="str">
        <f t="shared" si="0"/>
        <v/>
      </c>
      <c r="AS31" t="str">
        <f t="shared" si="1"/>
        <v/>
      </c>
      <c r="AT31" t="str">
        <f>IF(Table1[[#This Row],[Joining Date]]="", "", TEXT(Table1[[#This Row],[Joining Date]], "mmm"))</f>
        <v>Apr</v>
      </c>
      <c r="AU31">
        <f>IF(Table1[[#This Row],[Joining Date]]="", "", YEAR(Table1[[#This Row],[Joining Date]]))</f>
        <v>2020</v>
      </c>
      <c r="AV31" t="str">
        <f>IF(Table1[[#This Row],[Group Name]]="","", M31 &amp; Table1[[#This Row],[Teacher]])</f>
        <v/>
      </c>
      <c r="AW31" t="str">
        <f>IF(Table1[[#This Row],[Helper]]="","",IF(_xlfn.MAXIFS(AT:AT,AW:AW,Table1[[#This Row],[Helper]])=Table1[[#This Row],[Clean Frequency]],_xlfn.MAXIFS(AT:AT,AW:AW,Table1[[#This Row],[Helper]]),""))</f>
        <v/>
      </c>
      <c r="AX31" t="str">
        <f ca="1">IF(AND(AW31=_xlfn.MAXIFS(AX:AX, AW:AW, AV31), COUNTIFS(AV$3:AV31, AV31, AW$3:AW31, AW31)=1), 1, "")</f>
        <v/>
      </c>
      <c r="AY31" t="str">
        <f>IF(Table1[[#This Row],[lesson type]]="private",Table1[[#This Row],[Clean Frequency]],"")</f>
        <v/>
      </c>
      <c r="AZ31" t="str">
        <f ca="1">IF(Table1[[#This Row],[First Occurrence]]=1,Table1[[#This Row],[Group Frequency]],"")</f>
        <v/>
      </c>
      <c r="BA31" t="str">
        <f ca="1">IF(B31="Y", IF(Table1[[#This Row],[Stop]]="", TODAY() - Table1[[#This Row],[Joining Date]], Table1[[#This Row],[Stop]] - Table1[[#This Row],[Joining Date]]), "")</f>
        <v/>
      </c>
      <c r="BB31" t="str">
        <f>_xlfn.CONCAT(Table1[[#This Row],[t]]," ",Table1[[#This Row],[Last Name]])</f>
        <v>Haruki Ikemoto</v>
      </c>
      <c r="BC31" t="str">
        <f>IF(OR(Table1[[#This Row],[Teacher]]="Alex",Table1[[#This Row],[Teacher]]=""), "", Table1[[#This Row],[For Salary]])</f>
        <v/>
      </c>
      <c r="BD31" t="str">
        <f>IF(OR(Table1[[#This Row],[Teacher]]="Alex",Table1[[#This Row],[Teacher]]=""), "", Table1[[#This Row],[For Amount]])</f>
        <v/>
      </c>
      <c r="BE31" t="str">
        <f>IFERROR(IF(VLOOKUP(Table1[[#This Row],[Teacher]],'Teachers Salaries'!A:C,2,FALSE)="","",VLOOKUP(Table1[[#This Row],[Teacher]],'Teachers Salaries'!A:C,2,FALSE)),"")</f>
        <v/>
      </c>
      <c r="BF31" t="str">
        <f>IFERROR(IF(VLOOKUP(Table1[[#This Row],[Teacher]],'Teachers Salaries'!A:C,3,FALSE)="","",VLOOKUP(Table1[[#This Row],[Teacher]],'Teachers Salaries'!A:C,3,FALSE)),"")</f>
        <v/>
      </c>
      <c r="BG31">
        <f ca="1">IFERROR(IF(Table1[[#This Row],[Pay Type]]="Fixed","-",Table1[[#This Row],[Final Group Frequency2]]*Table1[[#This Row],[Salary / Hourly Rate]]),0)</f>
        <v>0</v>
      </c>
      <c r="BH31">
        <f>IFERROR(IF(Table1[[#This Row],[Pay Type]]="Fixed","----",Table1[[#This Row],[Salary / Hourly Rate]]*Table1[[#This Row],[Final PrivateFrequency]]),0)</f>
        <v>0</v>
      </c>
      <c r="BI31">
        <f ca="1">IF(Table1[[#This Row],[Pay Type]]="Fixed","---",Table1[[#This Row],[Group Salary]]+Table1[[#This Row],[Private Salary]])</f>
        <v>0</v>
      </c>
      <c r="BJ31" t="str">
        <f>IF(OR(J31="Alex", J31=""),"", Table1[[#This Row],[For Amount]])</f>
        <v/>
      </c>
      <c r="BK31">
        <f ca="1">IFERROR(Table1[[#This Row],[Fee]]-Table1[[#This Row],[Total Salary]],"")</f>
        <v>0</v>
      </c>
      <c r="BL31" t="e">
        <f>IF(Table1[[#This Row],[Joining Date]]="","",IF(Table1[[#This Row],[Joining Date]]&lt;='KPI+Pivot'!$CP$1,Table1[[#This Row],[Fee]],""))</f>
        <v>#N/A</v>
      </c>
      <c r="BM3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31" t="e">
        <f>IF(Table1[[#This Row],[Joining Date]]="","",IF(Table1[[#This Row],[Joining Date]]&lt;='KPI+Pivot'!$CP$1,Table1[[#This Row],[Total Salary]],""))</f>
        <v>#N/A</v>
      </c>
      <c r="BO31" t="e">
        <f>IF(Table1[[#This Row],[Joining Date]]="","",IF(Table1[[#This Row],[Joining Date]]&lt;='KPI+Pivot'!$CP$1,Table1[[#This Row],[Frequency]],""))</f>
        <v>#N/A</v>
      </c>
      <c r="BP31" s="38" t="str">
        <f>IF(Table1[[#This Row],[Stop]]="","",(IF(Table1[[#This Row],[Joining Date]]="","",IF(Table1[[#This Row],[Joining Date]]&lt;='KPI+Pivot'!$CP$1,Table1[[#This Row],[Stop]],""))))</f>
        <v/>
      </c>
    </row>
    <row r="32" spans="1:68" ht="22.9" customHeight="1">
      <c r="B32" t="s">
        <v>66</v>
      </c>
      <c r="C32" t="s">
        <v>67</v>
      </c>
      <c r="D32" t="s">
        <v>68</v>
      </c>
      <c r="F32" t="s">
        <v>69</v>
      </c>
      <c r="G32" t="s">
        <v>70</v>
      </c>
      <c r="H32" t="s">
        <v>71</v>
      </c>
      <c r="I32" t="str">
        <f>IFERROR(HYPERLINK("#Finance!B" &amp; MATCH(A32, 'F 2025'!A:A, 0), "🔗 Go to finance"), "❌ ID introuvable")</f>
        <v>❌ ID introuvable</v>
      </c>
      <c r="L32" t="s">
        <v>72</v>
      </c>
      <c r="V32" t="s">
        <v>73</v>
      </c>
      <c r="W32" t="s">
        <v>73</v>
      </c>
      <c r="Y32" t="s">
        <v>74</v>
      </c>
      <c r="Z32" t="s">
        <v>75</v>
      </c>
      <c r="AB32" t="s">
        <v>291</v>
      </c>
      <c r="AD32" s="130"/>
      <c r="AE32"/>
      <c r="AG32" t="s">
        <v>76</v>
      </c>
      <c r="AI32" t="s">
        <v>291</v>
      </c>
      <c r="AK32" t="s">
        <v>72</v>
      </c>
      <c r="AM32" s="38"/>
      <c r="AO32" t="s">
        <v>70</v>
      </c>
      <c r="AR32" t="str">
        <f t="shared" si="0"/>
        <v/>
      </c>
      <c r="AS32" t="str">
        <f t="shared" si="1"/>
        <v/>
      </c>
      <c r="AT32" t="str">
        <f>IF(Table1[[#This Row],[Joining Date]]="", "", TEXT(Table1[[#This Row],[Joining Date]], "mmm"))</f>
        <v/>
      </c>
      <c r="AU32" t="str">
        <f>IF(Table1[[#This Row],[Joining Date]]="", "", YEAR(Table1[[#This Row],[Joining Date]]))</f>
        <v/>
      </c>
      <c r="AV32" t="str">
        <f>IF(Table1[[#This Row],[Group Name]]="","", M32 &amp; Table1[[#This Row],[Teacher]])</f>
        <v/>
      </c>
      <c r="AW32" t="str">
        <f>IF(Table1[[#This Row],[Helper]]="","",IF(_xlfn.MAXIFS(AT:AT,AW:AW,Table1[[#This Row],[Helper]])=Table1[[#This Row],[Clean Frequency]],_xlfn.MAXIFS(AT:AT,AW:AW,Table1[[#This Row],[Helper]]),""))</f>
        <v/>
      </c>
      <c r="AX32" t="str">
        <f ca="1">IF(AND(AW32=_xlfn.MAXIFS(AX:AX, AW:AW, AV32), COUNTIFS(AV$3:AV32, AV32, AW$3:AW32, AW32)=1), 1, "")</f>
        <v/>
      </c>
      <c r="AY32" t="str">
        <f>IF(Table1[[#This Row],[lesson type]]="private",Table1[[#This Row],[Clean Frequency]],"")</f>
        <v/>
      </c>
      <c r="AZ32" t="str">
        <f ca="1">IF(Table1[[#This Row],[First Occurrence]]=1,Table1[[#This Row],[Group Frequency]],"")</f>
        <v/>
      </c>
      <c r="BA32" t="str">
        <f ca="1">IF(B32="Y", IF(Table1[[#This Row],[Stop]]="", TODAY() - Table1[[#This Row],[Joining Date]], Table1[[#This Row],[Stop]] - Table1[[#This Row],[Joining Date]]), "")</f>
        <v/>
      </c>
      <c r="BB32" t="str">
        <f>_xlfn.CONCAT(Table1[[#This Row],[t]]," ",Table1[[#This Row],[Last Name]])</f>
        <v>Haruki Akaba</v>
      </c>
      <c r="BC32" t="str">
        <f>IF(OR(Table1[[#This Row],[Teacher]]="Alex",Table1[[#This Row],[Teacher]]=""), "", Table1[[#This Row],[For Salary]])</f>
        <v/>
      </c>
      <c r="BD32" t="str">
        <f>IF(OR(Table1[[#This Row],[Teacher]]="Alex",Table1[[#This Row],[Teacher]]=""), "", Table1[[#This Row],[For Amount]])</f>
        <v/>
      </c>
      <c r="BE32" t="str">
        <f>IFERROR(IF(VLOOKUP(Table1[[#This Row],[Teacher]],'Teachers Salaries'!A:C,2,FALSE)="","",VLOOKUP(Table1[[#This Row],[Teacher]],'Teachers Salaries'!A:C,2,FALSE)),"")</f>
        <v/>
      </c>
      <c r="BF32" t="str">
        <f>IFERROR(IF(VLOOKUP(Table1[[#This Row],[Teacher]],'Teachers Salaries'!A:C,3,FALSE)="","",VLOOKUP(Table1[[#This Row],[Teacher]],'Teachers Salaries'!A:C,3,FALSE)),"")</f>
        <v/>
      </c>
      <c r="BG32">
        <f ca="1">IFERROR(IF(Table1[[#This Row],[Pay Type]]="Fixed","-",Table1[[#This Row],[Final Group Frequency2]]*Table1[[#This Row],[Salary / Hourly Rate]]),0)</f>
        <v>0</v>
      </c>
      <c r="BH32">
        <f>IFERROR(IF(Table1[[#This Row],[Pay Type]]="Fixed","----",Table1[[#This Row],[Salary / Hourly Rate]]*Table1[[#This Row],[Final PrivateFrequency]]),0)</f>
        <v>0</v>
      </c>
      <c r="BI32">
        <f ca="1">IF(Table1[[#This Row],[Pay Type]]="Fixed","---",Table1[[#This Row],[Group Salary]]+Table1[[#This Row],[Private Salary]])</f>
        <v>0</v>
      </c>
      <c r="BJ32" t="str">
        <f>IF(OR(J32="Alex", J32=""),"", Table1[[#This Row],[For Amount]])</f>
        <v/>
      </c>
      <c r="BK32">
        <f ca="1">IFERROR(Table1[[#This Row],[Fee]]-Table1[[#This Row],[Total Salary]],"")</f>
        <v>0</v>
      </c>
      <c r="BL32" t="str">
        <f>IF(Table1[[#This Row],[Joining Date]]="","",IF(Table1[[#This Row],[Joining Date]]&lt;='KPI+Pivot'!$CP$1,Table1[[#This Row],[Fee]],""))</f>
        <v/>
      </c>
      <c r="BM3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2" t="str">
        <f>IF(Table1[[#This Row],[Joining Date]]="","",IF(Table1[[#This Row],[Joining Date]]&lt;='KPI+Pivot'!$CP$1,Table1[[#This Row],[Total Salary]],""))</f>
        <v/>
      </c>
      <c r="BO32" t="str">
        <f>IF(Table1[[#This Row],[Joining Date]]="","",IF(Table1[[#This Row],[Joining Date]]&lt;='KPI+Pivot'!$CP$1,Table1[[#This Row],[Frequency]],""))</f>
        <v/>
      </c>
      <c r="BP32" s="38" t="str">
        <f>IF(Table1[[#This Row],[Stop]]="","",(IF(Table1[[#This Row],[Joining Date]]="","",IF(Table1[[#This Row],[Joining Date]]&lt;='KPI+Pivot'!$CP$1,Table1[[#This Row],[Stop]],""))))</f>
        <v/>
      </c>
    </row>
    <row r="33" spans="1:68" ht="18" customHeight="1">
      <c r="A33">
        <v>30</v>
      </c>
      <c r="B33" t="s">
        <v>103</v>
      </c>
      <c r="C33" t="s">
        <v>292</v>
      </c>
      <c r="D33" t="s">
        <v>293</v>
      </c>
      <c r="F33" t="s">
        <v>294</v>
      </c>
      <c r="G33" t="s">
        <v>295</v>
      </c>
      <c r="H33" t="s">
        <v>296</v>
      </c>
      <c r="I33" t="str">
        <f>IFERROR(HYPERLINK("#Finance!B" &amp; MATCH(A33, 'F 2025'!A:A, 0), "🔗 Go to finance"), "❌ ID introuvable")</f>
        <v>🔗 Go to finance</v>
      </c>
      <c r="J33" t="s">
        <v>196</v>
      </c>
      <c r="K33" t="s">
        <v>110</v>
      </c>
      <c r="L33" t="s">
        <v>197</v>
      </c>
      <c r="N33">
        <v>3</v>
      </c>
      <c r="O33">
        <v>17600</v>
      </c>
      <c r="R33">
        <v>10900</v>
      </c>
      <c r="V33" t="s">
        <v>297</v>
      </c>
      <c r="Y33" t="s">
        <v>298</v>
      </c>
      <c r="Z33" t="s">
        <v>75</v>
      </c>
      <c r="AB33" t="s">
        <v>299</v>
      </c>
      <c r="AD33" s="130">
        <v>45292</v>
      </c>
      <c r="AE33"/>
      <c r="AG33" t="s">
        <v>76</v>
      </c>
      <c r="AI33" t="s">
        <v>299</v>
      </c>
      <c r="AK33" t="s">
        <v>300</v>
      </c>
      <c r="AM33" s="38"/>
      <c r="AO33" t="s">
        <v>295</v>
      </c>
      <c r="AP33">
        <v>30</v>
      </c>
      <c r="AQ33" t="s">
        <v>295</v>
      </c>
      <c r="AR33" t="str">
        <f t="shared" si="0"/>
        <v>private</v>
      </c>
      <c r="AS33">
        <f t="shared" si="1"/>
        <v>3</v>
      </c>
      <c r="AT33" t="str">
        <f>IF(Table1[[#This Row],[Joining Date]]="", "", TEXT(Table1[[#This Row],[Joining Date]], "mmm"))</f>
        <v>Jan</v>
      </c>
      <c r="AU33">
        <f>IF(Table1[[#This Row],[Joining Date]]="", "", YEAR(Table1[[#This Row],[Joining Date]]))</f>
        <v>2024</v>
      </c>
      <c r="AV33" t="str">
        <f>IF(Table1[[#This Row],[Group Name]]="","", M33 &amp; Table1[[#This Row],[Teacher]])</f>
        <v/>
      </c>
      <c r="AW33" t="str">
        <f>IF(Table1[[#This Row],[Helper]]="","",IF(_xlfn.MAXIFS(AT:AT,AW:AW,Table1[[#This Row],[Helper]])=Table1[[#This Row],[Clean Frequency]],_xlfn.MAXIFS(AT:AT,AW:AW,Table1[[#This Row],[Helper]]),""))</f>
        <v/>
      </c>
      <c r="AX33" t="str">
        <f ca="1">IF(AND(AW33=_xlfn.MAXIFS(AX:AX, AW:AW, AV33), COUNTIFS(AV$3:AV33, AV33, AW$3:AW33, AW33)=1), 1, "")</f>
        <v/>
      </c>
      <c r="AY33">
        <f>IF(Table1[[#This Row],[lesson type]]="private",Table1[[#This Row],[Clean Frequency]],"")</f>
        <v>3</v>
      </c>
      <c r="AZ33" t="str">
        <f ca="1">IF(Table1[[#This Row],[First Occurrence]]=1,Table1[[#This Row],[Group Frequency]],"")</f>
        <v/>
      </c>
      <c r="BA33">
        <f ca="1">IF(B33="Y", IF(Table1[[#This Row],[Stop]]="", TODAY() - Table1[[#This Row],[Joining Date]], Table1[[#This Row],[Stop]] - Table1[[#This Row],[Joining Date]]), "")</f>
        <v>885</v>
      </c>
      <c r="BB33" t="str">
        <f>_xlfn.CONCAT(Table1[[#This Row],[t]]," ",Table1[[#This Row],[Last Name]])</f>
        <v>Harumi Higuchi</v>
      </c>
      <c r="BC33" t="e">
        <f>IF(OR(Table1[[#This Row],[Teacher]]="Alex",Table1[[#This Row],[Teacher]]=""), "", Table1[[#This Row],[For Salary]])</f>
        <v>#N/A</v>
      </c>
      <c r="BD33" t="e">
        <f>IF(OR(Table1[[#This Row],[Teacher]]="Alex",Table1[[#This Row],[Teacher]]=""), "", Table1[[#This Row],[For Amount]])</f>
        <v>#N/A</v>
      </c>
      <c r="BE33" t="str">
        <f>IFERROR(IF(VLOOKUP(Table1[[#This Row],[Teacher]],'Teachers Salaries'!A:C,2,FALSE)="","",VLOOKUP(Table1[[#This Row],[Teacher]],'Teachers Salaries'!A:C,2,FALSE)),"")</f>
        <v>Hourly</v>
      </c>
      <c r="BF33">
        <f>IFERROR(IF(VLOOKUP(Table1[[#This Row],[Teacher]],'Teachers Salaries'!A:C,3,FALSE)="","",VLOOKUP(Table1[[#This Row],[Teacher]],'Teachers Salaries'!A:C,3,FALSE)),"")</f>
        <v>2600</v>
      </c>
      <c r="BG33">
        <f ca="1">IFERROR(IF(Table1[[#This Row],[Pay Type]]="Fixed","-",Table1[[#This Row],[Final Group Frequency2]]*Table1[[#This Row],[Salary / Hourly Rate]]),0)</f>
        <v>0</v>
      </c>
      <c r="BH33">
        <f>IFERROR(IF(Table1[[#This Row],[Pay Type]]="Fixed","----",Table1[[#This Row],[Salary / Hourly Rate]]*Table1[[#This Row],[Final PrivateFrequency]]),0)</f>
        <v>7800</v>
      </c>
      <c r="BI33">
        <f ca="1">IF(Table1[[#This Row],[Pay Type]]="Fixed","---",Table1[[#This Row],[Group Salary]]+Table1[[#This Row],[Private Salary]])</f>
        <v>7800</v>
      </c>
      <c r="BJ33" t="e">
        <f>IF(OR(J33="Alex", J33=""),"", Table1[[#This Row],[For Amount]])</f>
        <v>#N/A</v>
      </c>
      <c r="BK33">
        <f ca="1">IFERROR(Table1[[#This Row],[Fee]]-Table1[[#This Row],[Total Salary]],"")</f>
        <v>9800</v>
      </c>
      <c r="BL33" t="e">
        <f>IF(Table1[[#This Row],[Joining Date]]="","",IF(Table1[[#This Row],[Joining Date]]&lt;='KPI+Pivot'!$CP$1,Table1[[#This Row],[Fee]],""))</f>
        <v>#N/A</v>
      </c>
      <c r="BM3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33" t="e">
        <f>IF(Table1[[#This Row],[Joining Date]]="","",IF(Table1[[#This Row],[Joining Date]]&lt;='KPI+Pivot'!$CP$1,Table1[[#This Row],[Total Salary]],""))</f>
        <v>#N/A</v>
      </c>
      <c r="BO33" t="e">
        <f>IF(Table1[[#This Row],[Joining Date]]="","",IF(Table1[[#This Row],[Joining Date]]&lt;='KPI+Pivot'!$CP$1,Table1[[#This Row],[Frequency]],""))</f>
        <v>#N/A</v>
      </c>
      <c r="BP33" s="38" t="str">
        <f>IF(Table1[[#This Row],[Stop]]="","",(IF(Table1[[#This Row],[Joining Date]]="","",IF(Table1[[#This Row],[Joining Date]]&lt;='KPI+Pivot'!$CP$1,Table1[[#This Row],[Stop]],""))))</f>
        <v/>
      </c>
    </row>
    <row r="34" spans="1:68" ht="22.9" customHeight="1">
      <c r="B34" t="s">
        <v>66</v>
      </c>
      <c r="C34" t="s">
        <v>301</v>
      </c>
      <c r="D34" t="s">
        <v>302</v>
      </c>
      <c r="F34" t="s">
        <v>303</v>
      </c>
      <c r="G34" t="s">
        <v>304</v>
      </c>
      <c r="H34" t="s">
        <v>305</v>
      </c>
      <c r="I34" t="str">
        <f>IFERROR(HYPERLINK("#Finance!B" &amp; MATCH(A34, 'F 2025'!A:A, 0), "🔗 Go to finance"), "❌ ID introuvable")</f>
        <v>❌ ID introuvable</v>
      </c>
      <c r="L34" t="s">
        <v>102</v>
      </c>
      <c r="V34" t="s">
        <v>306</v>
      </c>
      <c r="W34" t="s">
        <v>307</v>
      </c>
      <c r="Y34" t="s">
        <v>308</v>
      </c>
      <c r="Z34" t="s">
        <v>75</v>
      </c>
      <c r="AB34" t="s">
        <v>309</v>
      </c>
      <c r="AD34" s="130">
        <v>43638</v>
      </c>
      <c r="AE34"/>
      <c r="AG34" t="s">
        <v>76</v>
      </c>
      <c r="AI34" t="s">
        <v>309</v>
      </c>
      <c r="AK34" t="s">
        <v>102</v>
      </c>
      <c r="AM34" s="38"/>
      <c r="AO34" t="s">
        <v>304</v>
      </c>
      <c r="AR34" t="str">
        <f t="shared" ref="AR34:AR65" si="2">IF(OR(ISNUMBER(SEARCH("private",K34)), ISNUMBER(SEARCH("プら",K34)), ISNUMBER(SEARCH("プら,大人",K34)), ISNUMBER(SEARCH("セミプラ",K34))), "private", IF(OR(ISNUMBER(SEARCH("group",K34)), ISNUMBER(SEARCH("グループ",K34)), ISNUMBER(SEARCH("gr",K34))), "group", ""))</f>
        <v/>
      </c>
      <c r="AS34" t="str">
        <f t="shared" ref="AS34:AS65" si="3">IF(J34&lt;&gt;"", IF(N34="", 4, N34), "")</f>
        <v/>
      </c>
      <c r="AT34" t="str">
        <f>IF(Table1[[#This Row],[Joining Date]]="", "", TEXT(Table1[[#This Row],[Joining Date]], "mmm"))</f>
        <v>Jun</v>
      </c>
      <c r="AU34">
        <f>IF(Table1[[#This Row],[Joining Date]]="", "", YEAR(Table1[[#This Row],[Joining Date]]))</f>
        <v>2019</v>
      </c>
      <c r="AV34" t="str">
        <f>IF(Table1[[#This Row],[Group Name]]="","", M34 &amp; Table1[[#This Row],[Teacher]])</f>
        <v/>
      </c>
      <c r="AW34" t="str">
        <f>IF(Table1[[#This Row],[Helper]]="","",IF(_xlfn.MAXIFS(AT:AT,AW:AW,Table1[[#This Row],[Helper]])=Table1[[#This Row],[Clean Frequency]],_xlfn.MAXIFS(AT:AT,AW:AW,Table1[[#This Row],[Helper]]),""))</f>
        <v/>
      </c>
      <c r="AX34" t="str">
        <f ca="1">IF(AND(AW34=_xlfn.MAXIFS(AX:AX, AW:AW, AV34), COUNTIFS(AV$3:AV34, AV34, AW$3:AW34, AW34)=1), 1, "")</f>
        <v/>
      </c>
      <c r="AY34" t="str">
        <f>IF(Table1[[#This Row],[lesson type]]="private",Table1[[#This Row],[Clean Frequency]],"")</f>
        <v/>
      </c>
      <c r="AZ34" t="str">
        <f ca="1">IF(Table1[[#This Row],[First Occurrence]]=1,Table1[[#This Row],[Group Frequency]],"")</f>
        <v/>
      </c>
      <c r="BA34" t="str">
        <f ca="1">IF(B34="Y", IF(Table1[[#This Row],[Stop]]="", TODAY() - Table1[[#This Row],[Joining Date]], Table1[[#This Row],[Stop]] - Table1[[#This Row],[Joining Date]]), "")</f>
        <v/>
      </c>
      <c r="BB34" t="str">
        <f>_xlfn.CONCAT(Table1[[#This Row],[t]]," ",Table1[[#This Row],[Last Name]])</f>
        <v>Hatsune Nagai</v>
      </c>
      <c r="BC34" t="str">
        <f>IF(OR(Table1[[#This Row],[Teacher]]="Alex",Table1[[#This Row],[Teacher]]=""), "", Table1[[#This Row],[For Salary]])</f>
        <v/>
      </c>
      <c r="BD34" t="str">
        <f>IF(OR(Table1[[#This Row],[Teacher]]="Alex",Table1[[#This Row],[Teacher]]=""), "", Table1[[#This Row],[For Amount]])</f>
        <v/>
      </c>
      <c r="BE34" t="str">
        <f>IFERROR(IF(VLOOKUP(Table1[[#This Row],[Teacher]],'Teachers Salaries'!A:C,2,FALSE)="","",VLOOKUP(Table1[[#This Row],[Teacher]],'Teachers Salaries'!A:C,2,FALSE)),"")</f>
        <v/>
      </c>
      <c r="BF34" t="str">
        <f>IFERROR(IF(VLOOKUP(Table1[[#This Row],[Teacher]],'Teachers Salaries'!A:C,3,FALSE)="","",VLOOKUP(Table1[[#This Row],[Teacher]],'Teachers Salaries'!A:C,3,FALSE)),"")</f>
        <v/>
      </c>
      <c r="BG34">
        <f ca="1">IFERROR(IF(Table1[[#This Row],[Pay Type]]="Fixed","-",Table1[[#This Row],[Final Group Frequency2]]*Table1[[#This Row],[Salary / Hourly Rate]]),0)</f>
        <v>0</v>
      </c>
      <c r="BH34">
        <f>IFERROR(IF(Table1[[#This Row],[Pay Type]]="Fixed","----",Table1[[#This Row],[Salary / Hourly Rate]]*Table1[[#This Row],[Final PrivateFrequency]]),0)</f>
        <v>0</v>
      </c>
      <c r="BI34">
        <f ca="1">IF(Table1[[#This Row],[Pay Type]]="Fixed","---",Table1[[#This Row],[Group Salary]]+Table1[[#This Row],[Private Salary]])</f>
        <v>0</v>
      </c>
      <c r="BJ34" t="str">
        <f>IF(OR(J34="Alex", J34=""),"", Table1[[#This Row],[For Amount]])</f>
        <v/>
      </c>
      <c r="BK34">
        <f ca="1">IFERROR(Table1[[#This Row],[Fee]]-Table1[[#This Row],[Total Salary]],"")</f>
        <v>0</v>
      </c>
      <c r="BL34" t="e">
        <f>IF(Table1[[#This Row],[Joining Date]]="","",IF(Table1[[#This Row],[Joining Date]]&lt;='KPI+Pivot'!$CP$1,Table1[[#This Row],[Fee]],""))</f>
        <v>#N/A</v>
      </c>
      <c r="BM3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34" t="e">
        <f>IF(Table1[[#This Row],[Joining Date]]="","",IF(Table1[[#This Row],[Joining Date]]&lt;='KPI+Pivot'!$CP$1,Table1[[#This Row],[Total Salary]],""))</f>
        <v>#N/A</v>
      </c>
      <c r="BO34" t="e">
        <f>IF(Table1[[#This Row],[Joining Date]]="","",IF(Table1[[#This Row],[Joining Date]]&lt;='KPI+Pivot'!$CP$1,Table1[[#This Row],[Frequency]],""))</f>
        <v>#N/A</v>
      </c>
      <c r="BP34" s="38" t="str">
        <f>IF(Table1[[#This Row],[Stop]]="","",(IF(Table1[[#This Row],[Joining Date]]="","",IF(Table1[[#This Row],[Joining Date]]&lt;='KPI+Pivot'!$CP$1,Table1[[#This Row],[Stop]],""))))</f>
        <v/>
      </c>
    </row>
    <row r="35" spans="1:68" ht="22.9" customHeight="1">
      <c r="B35" t="s">
        <v>66</v>
      </c>
      <c r="C35" t="s">
        <v>310</v>
      </c>
      <c r="D35" t="s">
        <v>311</v>
      </c>
      <c r="F35" t="s">
        <v>312</v>
      </c>
      <c r="G35" t="s">
        <v>313</v>
      </c>
      <c r="H35" t="s">
        <v>314</v>
      </c>
      <c r="I35" t="str">
        <f>IFERROR(HYPERLINK("#Finance!B" &amp; MATCH(A35, 'F 2025'!A:A, 0), "🔗 Go to finance"), "❌ ID introuvable")</f>
        <v>❌ ID introuvable</v>
      </c>
      <c r="L35" t="s">
        <v>90</v>
      </c>
      <c r="V35" t="s">
        <v>315</v>
      </c>
      <c r="W35" t="s">
        <v>315</v>
      </c>
      <c r="Y35">
        <v>8052626035</v>
      </c>
      <c r="Z35" t="s">
        <v>75</v>
      </c>
      <c r="AB35" t="s">
        <v>316</v>
      </c>
      <c r="AD35" s="130"/>
      <c r="AE35"/>
      <c r="AG35" t="s">
        <v>76</v>
      </c>
      <c r="AI35" t="s">
        <v>316</v>
      </c>
      <c r="AK35" t="s">
        <v>94</v>
      </c>
      <c r="AM35" s="38"/>
      <c r="AO35" t="s">
        <v>313</v>
      </c>
      <c r="AR35" t="str">
        <f t="shared" si="2"/>
        <v/>
      </c>
      <c r="AS35" t="str">
        <f t="shared" si="3"/>
        <v/>
      </c>
      <c r="AT35" t="str">
        <f>IF(Table1[[#This Row],[Joining Date]]="", "", TEXT(Table1[[#This Row],[Joining Date]], "mmm"))</f>
        <v/>
      </c>
      <c r="AU35" t="str">
        <f>IF(Table1[[#This Row],[Joining Date]]="", "", YEAR(Table1[[#This Row],[Joining Date]]))</f>
        <v/>
      </c>
      <c r="AV35" t="str">
        <f>IF(Table1[[#This Row],[Group Name]]="","", M35 &amp; Table1[[#This Row],[Teacher]])</f>
        <v/>
      </c>
      <c r="AW35" t="str">
        <f>IF(Table1[[#This Row],[Helper]]="","",IF(_xlfn.MAXIFS(AT:AT,AW:AW,Table1[[#This Row],[Helper]])=Table1[[#This Row],[Clean Frequency]],_xlfn.MAXIFS(AT:AT,AW:AW,Table1[[#This Row],[Helper]]),""))</f>
        <v/>
      </c>
      <c r="AX35" t="str">
        <f ca="1">IF(AND(AW35=_xlfn.MAXIFS(AX:AX, AW:AW, AV35), COUNTIFS(AV$3:AV35, AV35, AW$3:AW35, AW35)=1), 1, "")</f>
        <v/>
      </c>
      <c r="AY35" t="str">
        <f>IF(Table1[[#This Row],[lesson type]]="private",Table1[[#This Row],[Clean Frequency]],"")</f>
        <v/>
      </c>
      <c r="AZ35" t="str">
        <f ca="1">IF(Table1[[#This Row],[First Occurrence]]=1,Table1[[#This Row],[Group Frequency]],"")</f>
        <v/>
      </c>
      <c r="BA35" t="str">
        <f ca="1">IF(B35="Y", IF(Table1[[#This Row],[Stop]]="", TODAY() - Table1[[#This Row],[Joining Date]], Table1[[#This Row],[Stop]] - Table1[[#This Row],[Joining Date]]), "")</f>
        <v/>
      </c>
      <c r="BB35" t="str">
        <f>_xlfn.CONCAT(Table1[[#This Row],[t]]," ",Table1[[#This Row],[Last Name]])</f>
        <v>Hayato Tsuruta</v>
      </c>
      <c r="BC35" t="str">
        <f>IF(OR(Table1[[#This Row],[Teacher]]="Alex",Table1[[#This Row],[Teacher]]=""), "", Table1[[#This Row],[For Salary]])</f>
        <v/>
      </c>
      <c r="BD35" t="str">
        <f>IF(OR(Table1[[#This Row],[Teacher]]="Alex",Table1[[#This Row],[Teacher]]=""), "", Table1[[#This Row],[For Amount]])</f>
        <v/>
      </c>
      <c r="BE35" t="str">
        <f>IFERROR(IF(VLOOKUP(Table1[[#This Row],[Teacher]],'Teachers Salaries'!A:C,2,FALSE)="","",VLOOKUP(Table1[[#This Row],[Teacher]],'Teachers Salaries'!A:C,2,FALSE)),"")</f>
        <v/>
      </c>
      <c r="BF35" t="str">
        <f>IFERROR(IF(VLOOKUP(Table1[[#This Row],[Teacher]],'Teachers Salaries'!A:C,3,FALSE)="","",VLOOKUP(Table1[[#This Row],[Teacher]],'Teachers Salaries'!A:C,3,FALSE)),"")</f>
        <v/>
      </c>
      <c r="BG35">
        <f ca="1">IFERROR(IF(Table1[[#This Row],[Pay Type]]="Fixed","-",Table1[[#This Row],[Final Group Frequency2]]*Table1[[#This Row],[Salary / Hourly Rate]]),0)</f>
        <v>0</v>
      </c>
      <c r="BH35">
        <f>IFERROR(IF(Table1[[#This Row],[Pay Type]]="Fixed","----",Table1[[#This Row],[Salary / Hourly Rate]]*Table1[[#This Row],[Final PrivateFrequency]]),0)</f>
        <v>0</v>
      </c>
      <c r="BI35">
        <f ca="1">IF(Table1[[#This Row],[Pay Type]]="Fixed","---",Table1[[#This Row],[Group Salary]]+Table1[[#This Row],[Private Salary]])</f>
        <v>0</v>
      </c>
      <c r="BJ35" t="str">
        <f>IF(OR(J35="Alex", J35=""),"", Table1[[#This Row],[For Amount]])</f>
        <v/>
      </c>
      <c r="BK35">
        <f ca="1">IFERROR(Table1[[#This Row],[Fee]]-Table1[[#This Row],[Total Salary]],"")</f>
        <v>0</v>
      </c>
      <c r="BL35" t="str">
        <f>IF(Table1[[#This Row],[Joining Date]]="","",IF(Table1[[#This Row],[Joining Date]]&lt;='KPI+Pivot'!$CP$1,Table1[[#This Row],[Fee]],""))</f>
        <v/>
      </c>
      <c r="BM3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5" t="str">
        <f>IF(Table1[[#This Row],[Joining Date]]="","",IF(Table1[[#This Row],[Joining Date]]&lt;='KPI+Pivot'!$CP$1,Table1[[#This Row],[Total Salary]],""))</f>
        <v/>
      </c>
      <c r="BO35" t="str">
        <f>IF(Table1[[#This Row],[Joining Date]]="","",IF(Table1[[#This Row],[Joining Date]]&lt;='KPI+Pivot'!$CP$1,Table1[[#This Row],[Frequency]],""))</f>
        <v/>
      </c>
      <c r="BP35" s="38" t="str">
        <f>IF(Table1[[#This Row],[Stop]]="","",(IF(Table1[[#This Row],[Joining Date]]="","",IF(Table1[[#This Row],[Joining Date]]&lt;='KPI+Pivot'!$CP$1,Table1[[#This Row],[Stop]],""))))</f>
        <v/>
      </c>
    </row>
    <row r="36" spans="1:68" ht="22.9" customHeight="1">
      <c r="A36">
        <v>114</v>
      </c>
      <c r="B36" t="s">
        <v>66</v>
      </c>
      <c r="C36" t="s">
        <v>317</v>
      </c>
      <c r="D36" t="s">
        <v>318</v>
      </c>
      <c r="F36" t="s">
        <v>319</v>
      </c>
      <c r="G36" t="s">
        <v>320</v>
      </c>
      <c r="H36" t="s">
        <v>321</v>
      </c>
      <c r="I36" t="str">
        <f>IFERROR(HYPERLINK("#Finance!B" &amp; MATCH(A36, 'F 2025'!A:A, 0), "🔗 Go to finance"), "❌ ID introuvable")</f>
        <v>🔗 Go to finance</v>
      </c>
      <c r="V36" t="s">
        <v>322</v>
      </c>
      <c r="W36" t="s">
        <v>322</v>
      </c>
      <c r="Y36">
        <v>9043561808</v>
      </c>
      <c r="Z36" t="s">
        <v>75</v>
      </c>
      <c r="AB36" t="s">
        <v>323</v>
      </c>
      <c r="AD36" s="130"/>
      <c r="AE36"/>
      <c r="AG36" t="s">
        <v>76</v>
      </c>
      <c r="AI36" t="s">
        <v>323</v>
      </c>
      <c r="AK36" t="s">
        <v>102</v>
      </c>
      <c r="AM36" s="38">
        <v>45747</v>
      </c>
      <c r="AO36" t="s">
        <v>320</v>
      </c>
      <c r="AR36" t="str">
        <f t="shared" si="2"/>
        <v/>
      </c>
      <c r="AS36" t="str">
        <f t="shared" si="3"/>
        <v/>
      </c>
      <c r="AT36" t="str">
        <f>IF(Table1[[#This Row],[Joining Date]]="", "", TEXT(Table1[[#This Row],[Joining Date]], "mmm"))</f>
        <v/>
      </c>
      <c r="AU36" t="str">
        <f>IF(Table1[[#This Row],[Joining Date]]="", "", YEAR(Table1[[#This Row],[Joining Date]]))</f>
        <v/>
      </c>
      <c r="AV36" t="str">
        <f>IF(Table1[[#This Row],[Group Name]]="","", M36 &amp; Table1[[#This Row],[Teacher]])</f>
        <v/>
      </c>
      <c r="AW36" t="str">
        <f>IF(Table1[[#This Row],[Helper]]="","",IF(_xlfn.MAXIFS(AT:AT,AW:AW,Table1[[#This Row],[Helper]])=Table1[[#This Row],[Clean Frequency]],_xlfn.MAXIFS(AT:AT,AW:AW,Table1[[#This Row],[Helper]]),""))</f>
        <v/>
      </c>
      <c r="AX36" t="str">
        <f ca="1">IF(AND(AW36=_xlfn.MAXIFS(AX:AX, AW:AW, AV36), COUNTIFS(AV$3:AV36, AV36, AW$3:AW36, AW36)=1), 1, "")</f>
        <v/>
      </c>
      <c r="AY36" t="str">
        <f>IF(Table1[[#This Row],[lesson type]]="private",Table1[[#This Row],[Clean Frequency]],"")</f>
        <v/>
      </c>
      <c r="AZ36" t="str">
        <f ca="1">IF(Table1[[#This Row],[First Occurrence]]=1,Table1[[#This Row],[Group Frequency]],"")</f>
        <v/>
      </c>
      <c r="BA36" t="str">
        <f ca="1">IF(B36="Y", IF(Table1[[#This Row],[Stop]]="", TODAY() - Table1[[#This Row],[Joining Date]], Table1[[#This Row],[Stop]] - Table1[[#This Row],[Joining Date]]), "")</f>
        <v/>
      </c>
      <c r="BB36" t="str">
        <f>_xlfn.CONCAT(Table1[[#This Row],[t]]," ",Table1[[#This Row],[Last Name]])</f>
        <v>Hikaru Matake</v>
      </c>
      <c r="BC36" t="str">
        <f>IF(OR(Table1[[#This Row],[Teacher]]="Alex",Table1[[#This Row],[Teacher]]=""), "", Table1[[#This Row],[For Salary]])</f>
        <v/>
      </c>
      <c r="BD36" t="str">
        <f>IF(OR(Table1[[#This Row],[Teacher]]="Alex",Table1[[#This Row],[Teacher]]=""), "", Table1[[#This Row],[For Amount]])</f>
        <v/>
      </c>
      <c r="BE36" t="str">
        <f>IFERROR(IF(VLOOKUP(Table1[[#This Row],[Teacher]],'Teachers Salaries'!A:C,2,FALSE)="","",VLOOKUP(Table1[[#This Row],[Teacher]],'Teachers Salaries'!A:C,2,FALSE)),"")</f>
        <v/>
      </c>
      <c r="BF36" t="str">
        <f>IFERROR(IF(VLOOKUP(Table1[[#This Row],[Teacher]],'Teachers Salaries'!A:C,3,FALSE)="","",VLOOKUP(Table1[[#This Row],[Teacher]],'Teachers Salaries'!A:C,3,FALSE)),"")</f>
        <v/>
      </c>
      <c r="BG36">
        <f ca="1">IFERROR(IF(Table1[[#This Row],[Pay Type]]="Fixed","-",Table1[[#This Row],[Final Group Frequency2]]*Table1[[#This Row],[Salary / Hourly Rate]]),0)</f>
        <v>0</v>
      </c>
      <c r="BH36">
        <f>IFERROR(IF(Table1[[#This Row],[Pay Type]]="Fixed","----",Table1[[#This Row],[Salary / Hourly Rate]]*Table1[[#This Row],[Final PrivateFrequency]]),0)</f>
        <v>0</v>
      </c>
      <c r="BI36">
        <f ca="1">IF(Table1[[#This Row],[Pay Type]]="Fixed","---",Table1[[#This Row],[Group Salary]]+Table1[[#This Row],[Private Salary]])</f>
        <v>0</v>
      </c>
      <c r="BJ36" t="str">
        <f>IF(OR(J36="Alex", J36=""),"", Table1[[#This Row],[For Amount]])</f>
        <v/>
      </c>
      <c r="BK36">
        <f ca="1">IFERROR(Table1[[#This Row],[Fee]]-Table1[[#This Row],[Total Salary]],"")</f>
        <v>0</v>
      </c>
      <c r="BL36" t="str">
        <f>IF(Table1[[#This Row],[Joining Date]]="","",IF(Table1[[#This Row],[Joining Date]]&lt;='KPI+Pivot'!$CP$1,Table1[[#This Row],[Fee]],""))</f>
        <v/>
      </c>
      <c r="BM3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6" t="str">
        <f>IF(Table1[[#This Row],[Joining Date]]="","",IF(Table1[[#This Row],[Joining Date]]&lt;='KPI+Pivot'!$CP$1,Table1[[#This Row],[Total Salary]],""))</f>
        <v/>
      </c>
      <c r="BO36" t="str">
        <f>IF(Table1[[#This Row],[Joining Date]]="","",IF(Table1[[#This Row],[Joining Date]]&lt;='KPI+Pivot'!$CP$1,Table1[[#This Row],[Frequency]],""))</f>
        <v/>
      </c>
      <c r="BP36" s="38" t="str">
        <f>IF(Table1[[#This Row],[Stop]]="","",(IF(Table1[[#This Row],[Joining Date]]="","",IF(Table1[[#This Row],[Joining Date]]&lt;='KPI+Pivot'!$CP$1,Table1[[#This Row],[Stop]],""))))</f>
        <v/>
      </c>
    </row>
    <row r="37" spans="1:68" ht="22.9" customHeight="1">
      <c r="B37" t="s">
        <v>66</v>
      </c>
      <c r="C37" t="s">
        <v>324</v>
      </c>
      <c r="D37" t="s">
        <v>325</v>
      </c>
      <c r="F37" t="s">
        <v>326</v>
      </c>
      <c r="G37" t="s">
        <v>327</v>
      </c>
      <c r="H37" t="s">
        <v>328</v>
      </c>
      <c r="I37" t="str">
        <f>IFERROR(HYPERLINK("#Finance!B" &amp; MATCH(A37, 'F 2025'!A:A, 0), "🔗 Go to finance"), "❌ ID introuvable")</f>
        <v>❌ ID introuvable</v>
      </c>
      <c r="V37" t="s">
        <v>329</v>
      </c>
      <c r="W37" t="s">
        <v>329</v>
      </c>
      <c r="Y37" t="s">
        <v>330</v>
      </c>
      <c r="Z37" t="s">
        <v>75</v>
      </c>
      <c r="AB37" t="s">
        <v>331</v>
      </c>
      <c r="AD37" s="130"/>
      <c r="AE37"/>
      <c r="AG37" t="s">
        <v>76</v>
      </c>
      <c r="AI37" t="s">
        <v>331</v>
      </c>
      <c r="AK37" t="s">
        <v>132</v>
      </c>
      <c r="AM37" s="38"/>
      <c r="AO37" t="s">
        <v>327</v>
      </c>
      <c r="AR37" t="str">
        <f t="shared" si="2"/>
        <v/>
      </c>
      <c r="AS37" t="str">
        <f t="shared" si="3"/>
        <v/>
      </c>
      <c r="AT37" t="str">
        <f>IF(Table1[[#This Row],[Joining Date]]="", "", TEXT(Table1[[#This Row],[Joining Date]], "mmm"))</f>
        <v/>
      </c>
      <c r="AU37" t="str">
        <f>IF(Table1[[#This Row],[Joining Date]]="", "", YEAR(Table1[[#This Row],[Joining Date]]))</f>
        <v/>
      </c>
      <c r="AV37" t="str">
        <f>IF(Table1[[#This Row],[Group Name]]="","", M37 &amp; Table1[[#This Row],[Teacher]])</f>
        <v/>
      </c>
      <c r="AW37" t="str">
        <f>IF(Table1[[#This Row],[Helper]]="","",IF(_xlfn.MAXIFS(AT:AT,AW:AW,Table1[[#This Row],[Helper]])=Table1[[#This Row],[Clean Frequency]],_xlfn.MAXIFS(AT:AT,AW:AW,Table1[[#This Row],[Helper]]),""))</f>
        <v/>
      </c>
      <c r="AX37" t="str">
        <f ca="1">IF(AND(AW37=_xlfn.MAXIFS(AX:AX, AW:AW, AV37), COUNTIFS(AV$3:AV37, AV37, AW$3:AW37, AW37)=1), 1, "")</f>
        <v/>
      </c>
      <c r="AY37" t="str">
        <f>IF(Table1[[#This Row],[lesson type]]="private",Table1[[#This Row],[Clean Frequency]],"")</f>
        <v/>
      </c>
      <c r="AZ37" t="str">
        <f ca="1">IF(Table1[[#This Row],[First Occurrence]]=1,Table1[[#This Row],[Group Frequency]],"")</f>
        <v/>
      </c>
      <c r="BA37" t="str">
        <f ca="1">IF(B37="Y", IF(Table1[[#This Row],[Stop]]="", TODAY() - Table1[[#This Row],[Joining Date]], Table1[[#This Row],[Stop]] - Table1[[#This Row],[Joining Date]]), "")</f>
        <v/>
      </c>
      <c r="BB37" t="str">
        <f>_xlfn.CONCAT(Table1[[#This Row],[t]]," ",Table1[[#This Row],[Last Name]])</f>
        <v>Hina Hirata</v>
      </c>
      <c r="BC37" t="str">
        <f>IF(OR(Table1[[#This Row],[Teacher]]="Alex",Table1[[#This Row],[Teacher]]=""), "", Table1[[#This Row],[For Salary]])</f>
        <v/>
      </c>
      <c r="BD37" t="str">
        <f>IF(OR(Table1[[#This Row],[Teacher]]="Alex",Table1[[#This Row],[Teacher]]=""), "", Table1[[#This Row],[For Amount]])</f>
        <v/>
      </c>
      <c r="BE37" t="str">
        <f>IFERROR(IF(VLOOKUP(Table1[[#This Row],[Teacher]],'Teachers Salaries'!A:C,2,FALSE)="","",VLOOKUP(Table1[[#This Row],[Teacher]],'Teachers Salaries'!A:C,2,FALSE)),"")</f>
        <v/>
      </c>
      <c r="BF37" t="str">
        <f>IFERROR(IF(VLOOKUP(Table1[[#This Row],[Teacher]],'Teachers Salaries'!A:C,3,FALSE)="","",VLOOKUP(Table1[[#This Row],[Teacher]],'Teachers Salaries'!A:C,3,FALSE)),"")</f>
        <v/>
      </c>
      <c r="BG37">
        <f ca="1">IFERROR(IF(Table1[[#This Row],[Pay Type]]="Fixed","-",Table1[[#This Row],[Final Group Frequency2]]*Table1[[#This Row],[Salary / Hourly Rate]]),0)</f>
        <v>0</v>
      </c>
      <c r="BH37">
        <f>IFERROR(IF(Table1[[#This Row],[Pay Type]]="Fixed","----",Table1[[#This Row],[Salary / Hourly Rate]]*Table1[[#This Row],[Final PrivateFrequency]]),0)</f>
        <v>0</v>
      </c>
      <c r="BI37">
        <f ca="1">IF(Table1[[#This Row],[Pay Type]]="Fixed","---",Table1[[#This Row],[Group Salary]]+Table1[[#This Row],[Private Salary]])</f>
        <v>0</v>
      </c>
      <c r="BJ37" t="str">
        <f>IF(OR(J37="Alex", J37=""),"", Table1[[#This Row],[For Amount]])</f>
        <v/>
      </c>
      <c r="BK37">
        <f ca="1">IFERROR(Table1[[#This Row],[Fee]]-Table1[[#This Row],[Total Salary]],"")</f>
        <v>0</v>
      </c>
      <c r="BL37" t="str">
        <f>IF(Table1[[#This Row],[Joining Date]]="","",IF(Table1[[#This Row],[Joining Date]]&lt;='KPI+Pivot'!$CP$1,Table1[[#This Row],[Fee]],""))</f>
        <v/>
      </c>
      <c r="BM3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7" t="str">
        <f>IF(Table1[[#This Row],[Joining Date]]="","",IF(Table1[[#This Row],[Joining Date]]&lt;='KPI+Pivot'!$CP$1,Table1[[#This Row],[Total Salary]],""))</f>
        <v/>
      </c>
      <c r="BO37" t="str">
        <f>IF(Table1[[#This Row],[Joining Date]]="","",IF(Table1[[#This Row],[Joining Date]]&lt;='KPI+Pivot'!$CP$1,Table1[[#This Row],[Frequency]],""))</f>
        <v/>
      </c>
      <c r="BP37" s="38" t="str">
        <f>IF(Table1[[#This Row],[Stop]]="","",(IF(Table1[[#This Row],[Joining Date]]="","",IF(Table1[[#This Row],[Joining Date]]&lt;='KPI+Pivot'!$CP$1,Table1[[#This Row],[Stop]],""))))</f>
        <v/>
      </c>
    </row>
    <row r="38" spans="1:68" ht="22.9" customHeight="1">
      <c r="B38" t="s">
        <v>66</v>
      </c>
      <c r="C38" t="s">
        <v>324</v>
      </c>
      <c r="D38" t="s">
        <v>332</v>
      </c>
      <c r="F38" t="s">
        <v>333</v>
      </c>
      <c r="G38" t="s">
        <v>334</v>
      </c>
      <c r="H38" t="s">
        <v>335</v>
      </c>
      <c r="I38" t="str">
        <f>IFERROR(HYPERLINK("#Finance!B" &amp; MATCH(A38, 'F 2025'!A:A, 0), "🔗 Go to finance"), "❌ ID introuvable")</f>
        <v>❌ ID introuvable</v>
      </c>
      <c r="V38" t="s">
        <v>336</v>
      </c>
      <c r="W38" t="s">
        <v>336</v>
      </c>
      <c r="Z38" t="s">
        <v>75</v>
      </c>
      <c r="AB38" t="s">
        <v>337</v>
      </c>
      <c r="AD38" s="130">
        <v>45474</v>
      </c>
      <c r="AE38"/>
      <c r="AG38" t="s">
        <v>76</v>
      </c>
      <c r="AI38" t="s">
        <v>337</v>
      </c>
      <c r="AK38" t="s">
        <v>182</v>
      </c>
      <c r="AM38" s="38"/>
      <c r="AO38" t="s">
        <v>334</v>
      </c>
      <c r="AR38" t="str">
        <f t="shared" si="2"/>
        <v/>
      </c>
      <c r="AS38" t="str">
        <f t="shared" si="3"/>
        <v/>
      </c>
      <c r="AT38" t="str">
        <f>IF(Table1[[#This Row],[Joining Date]]="", "", TEXT(Table1[[#This Row],[Joining Date]], "mmm"))</f>
        <v>Jul</v>
      </c>
      <c r="AU38">
        <f>IF(Table1[[#This Row],[Joining Date]]="", "", YEAR(Table1[[#This Row],[Joining Date]]))</f>
        <v>2024</v>
      </c>
      <c r="AV38" t="str">
        <f>IF(Table1[[#This Row],[Group Name]]="","", M38 &amp; Table1[[#This Row],[Teacher]])</f>
        <v/>
      </c>
      <c r="AW38" t="str">
        <f>IF(Table1[[#This Row],[Helper]]="","",IF(_xlfn.MAXIFS(AT:AT,AW:AW,Table1[[#This Row],[Helper]])=Table1[[#This Row],[Clean Frequency]],_xlfn.MAXIFS(AT:AT,AW:AW,Table1[[#This Row],[Helper]]),""))</f>
        <v/>
      </c>
      <c r="AX38" t="str">
        <f ca="1">IF(AND(AW38=_xlfn.MAXIFS(AX:AX, AW:AW, AV38), COUNTIFS(AV$3:AV38, AV38, AW$3:AW38, AW38)=1), 1, "")</f>
        <v/>
      </c>
      <c r="AY38" t="str">
        <f>IF(Table1[[#This Row],[lesson type]]="private",Table1[[#This Row],[Clean Frequency]],"")</f>
        <v/>
      </c>
      <c r="AZ38" t="str">
        <f ca="1">IF(Table1[[#This Row],[First Occurrence]]=1,Table1[[#This Row],[Group Frequency]],"")</f>
        <v/>
      </c>
      <c r="BA38" t="str">
        <f ca="1">IF(B38="Y", IF(Table1[[#This Row],[Stop]]="", TODAY() - Table1[[#This Row],[Joining Date]], Table1[[#This Row],[Stop]] - Table1[[#This Row],[Joining Date]]), "")</f>
        <v/>
      </c>
      <c r="BB38" t="str">
        <f>_xlfn.CONCAT(Table1[[#This Row],[t]]," ",Table1[[#This Row],[Last Name]])</f>
        <v>Hina Hirano</v>
      </c>
      <c r="BC38" t="str">
        <f>IF(OR(Table1[[#This Row],[Teacher]]="Alex",Table1[[#This Row],[Teacher]]=""), "", Table1[[#This Row],[For Salary]])</f>
        <v/>
      </c>
      <c r="BD38" t="str">
        <f>IF(OR(Table1[[#This Row],[Teacher]]="Alex",Table1[[#This Row],[Teacher]]=""), "", Table1[[#This Row],[For Amount]])</f>
        <v/>
      </c>
      <c r="BE38" t="str">
        <f>IFERROR(IF(VLOOKUP(Table1[[#This Row],[Teacher]],'Teachers Salaries'!A:C,2,FALSE)="","",VLOOKUP(Table1[[#This Row],[Teacher]],'Teachers Salaries'!A:C,2,FALSE)),"")</f>
        <v/>
      </c>
      <c r="BF38" t="str">
        <f>IFERROR(IF(VLOOKUP(Table1[[#This Row],[Teacher]],'Teachers Salaries'!A:C,3,FALSE)="","",VLOOKUP(Table1[[#This Row],[Teacher]],'Teachers Salaries'!A:C,3,FALSE)),"")</f>
        <v/>
      </c>
      <c r="BG38">
        <f ca="1">IFERROR(IF(Table1[[#This Row],[Pay Type]]="Fixed","-",Table1[[#This Row],[Final Group Frequency2]]*Table1[[#This Row],[Salary / Hourly Rate]]),0)</f>
        <v>0</v>
      </c>
      <c r="BH38">
        <f>IFERROR(IF(Table1[[#This Row],[Pay Type]]="Fixed","----",Table1[[#This Row],[Salary / Hourly Rate]]*Table1[[#This Row],[Final PrivateFrequency]]),0)</f>
        <v>0</v>
      </c>
      <c r="BI38">
        <f ca="1">IF(Table1[[#This Row],[Pay Type]]="Fixed","---",Table1[[#This Row],[Group Salary]]+Table1[[#This Row],[Private Salary]])</f>
        <v>0</v>
      </c>
      <c r="BJ38" t="str">
        <f>IF(OR(J38="Alex", J38=""),"", Table1[[#This Row],[For Amount]])</f>
        <v/>
      </c>
      <c r="BK38">
        <f ca="1">IFERROR(Table1[[#This Row],[Fee]]-Table1[[#This Row],[Total Salary]],"")</f>
        <v>0</v>
      </c>
      <c r="BL38" t="e">
        <f>IF(Table1[[#This Row],[Joining Date]]="","",IF(Table1[[#This Row],[Joining Date]]&lt;='KPI+Pivot'!$CP$1,Table1[[#This Row],[Fee]],""))</f>
        <v>#N/A</v>
      </c>
      <c r="BM3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38" t="e">
        <f>IF(Table1[[#This Row],[Joining Date]]="","",IF(Table1[[#This Row],[Joining Date]]&lt;='KPI+Pivot'!$CP$1,Table1[[#This Row],[Total Salary]],""))</f>
        <v>#N/A</v>
      </c>
      <c r="BO38" t="e">
        <f>IF(Table1[[#This Row],[Joining Date]]="","",IF(Table1[[#This Row],[Joining Date]]&lt;='KPI+Pivot'!$CP$1,Table1[[#This Row],[Frequency]],""))</f>
        <v>#N/A</v>
      </c>
      <c r="BP38" s="38" t="str">
        <f>IF(Table1[[#This Row],[Stop]]="","",(IF(Table1[[#This Row],[Joining Date]]="","",IF(Table1[[#This Row],[Joining Date]]&lt;='KPI+Pivot'!$CP$1,Table1[[#This Row],[Stop]],""))))</f>
        <v/>
      </c>
    </row>
    <row r="39" spans="1:68" ht="22.9" customHeight="1">
      <c r="B39" t="s">
        <v>66</v>
      </c>
      <c r="C39" t="s">
        <v>338</v>
      </c>
      <c r="D39" t="s">
        <v>157</v>
      </c>
      <c r="F39" t="s">
        <v>339</v>
      </c>
      <c r="G39" t="s">
        <v>340</v>
      </c>
      <c r="H39" t="s">
        <v>341</v>
      </c>
      <c r="I39" t="str">
        <f>IFERROR(HYPERLINK("#Finance!B" &amp; MATCH(A39, 'F 2025'!A:A, 0), "🔗 Go to finance"), "❌ ID introuvable")</f>
        <v>❌ ID introuvable</v>
      </c>
      <c r="V39" t="s">
        <v>342</v>
      </c>
      <c r="Y39" t="s">
        <v>343</v>
      </c>
      <c r="Z39" t="s">
        <v>75</v>
      </c>
      <c r="AD39" s="130"/>
      <c r="AE39"/>
      <c r="AG39" t="s">
        <v>76</v>
      </c>
      <c r="AM39" s="38"/>
      <c r="AO39" t="s">
        <v>340</v>
      </c>
      <c r="AR39" t="str">
        <f t="shared" si="2"/>
        <v/>
      </c>
      <c r="AS39" t="str">
        <f t="shared" si="3"/>
        <v/>
      </c>
      <c r="AT39" t="str">
        <f>IF(Table1[[#This Row],[Joining Date]]="", "", TEXT(Table1[[#This Row],[Joining Date]], "mmm"))</f>
        <v/>
      </c>
      <c r="AU39" t="str">
        <f>IF(Table1[[#This Row],[Joining Date]]="", "", YEAR(Table1[[#This Row],[Joining Date]]))</f>
        <v/>
      </c>
      <c r="AV39" t="str">
        <f>IF(Table1[[#This Row],[Group Name]]="","", M39 &amp; Table1[[#This Row],[Teacher]])</f>
        <v/>
      </c>
      <c r="AW39" t="str">
        <f>IF(Table1[[#This Row],[Helper]]="","",IF(_xlfn.MAXIFS(AT:AT,AW:AW,Table1[[#This Row],[Helper]])=Table1[[#This Row],[Clean Frequency]],_xlfn.MAXIFS(AT:AT,AW:AW,Table1[[#This Row],[Helper]]),""))</f>
        <v/>
      </c>
      <c r="AX39" t="str">
        <f ca="1">IF(AND(AW39=_xlfn.MAXIFS(AX:AX, AW:AW, AV39), COUNTIFS(AV$3:AV39, AV39, AW$3:AW39, AW39)=1), 1, "")</f>
        <v/>
      </c>
      <c r="AY39" t="str">
        <f>IF(Table1[[#This Row],[lesson type]]="private",Table1[[#This Row],[Clean Frequency]],"")</f>
        <v/>
      </c>
      <c r="AZ39" t="str">
        <f ca="1">IF(Table1[[#This Row],[First Occurrence]]=1,Table1[[#This Row],[Group Frequency]],"")</f>
        <v/>
      </c>
      <c r="BA39" t="str">
        <f ca="1">IF(B39="Y", IF(Table1[[#This Row],[Stop]]="", TODAY() - Table1[[#This Row],[Joining Date]], Table1[[#This Row],[Stop]] - Table1[[#This Row],[Joining Date]]), "")</f>
        <v/>
      </c>
      <c r="BB39" t="str">
        <f>_xlfn.CONCAT(Table1[[#This Row],[t]]," ",Table1[[#This Row],[Last Name]])</f>
        <v>Hirao Kinoshita</v>
      </c>
      <c r="BC39" t="str">
        <f>IF(OR(Table1[[#This Row],[Teacher]]="Alex",Table1[[#This Row],[Teacher]]=""), "", Table1[[#This Row],[For Salary]])</f>
        <v/>
      </c>
      <c r="BD39" t="str">
        <f>IF(OR(Table1[[#This Row],[Teacher]]="Alex",Table1[[#This Row],[Teacher]]=""), "", Table1[[#This Row],[For Amount]])</f>
        <v/>
      </c>
      <c r="BE39" t="str">
        <f>IFERROR(IF(VLOOKUP(Table1[[#This Row],[Teacher]],'Teachers Salaries'!A:C,2,FALSE)="","",VLOOKUP(Table1[[#This Row],[Teacher]],'Teachers Salaries'!A:C,2,FALSE)),"")</f>
        <v/>
      </c>
      <c r="BF39" t="str">
        <f>IFERROR(IF(VLOOKUP(Table1[[#This Row],[Teacher]],'Teachers Salaries'!A:C,3,FALSE)="","",VLOOKUP(Table1[[#This Row],[Teacher]],'Teachers Salaries'!A:C,3,FALSE)),"")</f>
        <v/>
      </c>
      <c r="BG39">
        <f ca="1">IFERROR(IF(Table1[[#This Row],[Pay Type]]="Fixed","-",Table1[[#This Row],[Final Group Frequency2]]*Table1[[#This Row],[Salary / Hourly Rate]]),0)</f>
        <v>0</v>
      </c>
      <c r="BH39">
        <f>IFERROR(IF(Table1[[#This Row],[Pay Type]]="Fixed","----",Table1[[#This Row],[Salary / Hourly Rate]]*Table1[[#This Row],[Final PrivateFrequency]]),0)</f>
        <v>0</v>
      </c>
      <c r="BI39">
        <f ca="1">IF(Table1[[#This Row],[Pay Type]]="Fixed","---",Table1[[#This Row],[Group Salary]]+Table1[[#This Row],[Private Salary]])</f>
        <v>0</v>
      </c>
      <c r="BJ39" t="str">
        <f>IF(OR(J39="Alex", J39=""),"", Table1[[#This Row],[For Amount]])</f>
        <v/>
      </c>
      <c r="BK39">
        <f ca="1">IFERROR(Table1[[#This Row],[Fee]]-Table1[[#This Row],[Total Salary]],"")</f>
        <v>0</v>
      </c>
      <c r="BL39" t="str">
        <f>IF(Table1[[#This Row],[Joining Date]]="","",IF(Table1[[#This Row],[Joining Date]]&lt;='KPI+Pivot'!$CP$1,Table1[[#This Row],[Fee]],""))</f>
        <v/>
      </c>
      <c r="BM3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9" t="str">
        <f>IF(Table1[[#This Row],[Joining Date]]="","",IF(Table1[[#This Row],[Joining Date]]&lt;='KPI+Pivot'!$CP$1,Table1[[#This Row],[Total Salary]],""))</f>
        <v/>
      </c>
      <c r="BO39" t="str">
        <f>IF(Table1[[#This Row],[Joining Date]]="","",IF(Table1[[#This Row],[Joining Date]]&lt;='KPI+Pivot'!$CP$1,Table1[[#This Row],[Frequency]],""))</f>
        <v/>
      </c>
      <c r="BP39" s="38" t="str">
        <f>IF(Table1[[#This Row],[Stop]]="","",(IF(Table1[[#This Row],[Joining Date]]="","",IF(Table1[[#This Row],[Joining Date]]&lt;='KPI+Pivot'!$CP$1,Table1[[#This Row],[Stop]],""))))</f>
        <v/>
      </c>
    </row>
    <row r="40" spans="1:68" ht="22.9" customHeight="1">
      <c r="B40" t="s">
        <v>66</v>
      </c>
      <c r="C40" t="s">
        <v>338</v>
      </c>
      <c r="D40" t="s">
        <v>149</v>
      </c>
      <c r="F40" t="s">
        <v>344</v>
      </c>
      <c r="G40" t="s">
        <v>345</v>
      </c>
      <c r="H40" t="s">
        <v>341</v>
      </c>
      <c r="I40" t="str">
        <f>IFERROR(HYPERLINK("#Finance!B" &amp; MATCH(A40, 'F 2025'!A:A, 0), "🔗 Go to finance"), "❌ ID introuvable")</f>
        <v>❌ ID introuvable</v>
      </c>
      <c r="L40" t="s">
        <v>90</v>
      </c>
      <c r="Z40" t="s">
        <v>75</v>
      </c>
      <c r="AB40" t="s">
        <v>346</v>
      </c>
      <c r="AD40" s="130"/>
      <c r="AE40"/>
      <c r="AG40" t="s">
        <v>76</v>
      </c>
      <c r="AI40" t="s">
        <v>346</v>
      </c>
      <c r="AK40" t="s">
        <v>148</v>
      </c>
      <c r="AM40" s="38"/>
      <c r="AO40" t="s">
        <v>345</v>
      </c>
      <c r="AR40" t="str">
        <f t="shared" si="2"/>
        <v/>
      </c>
      <c r="AS40" t="str">
        <f t="shared" si="3"/>
        <v/>
      </c>
      <c r="AT40" t="str">
        <f>IF(Table1[[#This Row],[Joining Date]]="", "", TEXT(Table1[[#This Row],[Joining Date]], "mmm"))</f>
        <v/>
      </c>
      <c r="AU40" t="str">
        <f>IF(Table1[[#This Row],[Joining Date]]="", "", YEAR(Table1[[#This Row],[Joining Date]]))</f>
        <v/>
      </c>
      <c r="AV40" t="str">
        <f>IF(Table1[[#This Row],[Group Name]]="","", M40 &amp; Table1[[#This Row],[Teacher]])</f>
        <v/>
      </c>
      <c r="AW40" t="str">
        <f>IF(Table1[[#This Row],[Helper]]="","",IF(_xlfn.MAXIFS(AT:AT,AW:AW,Table1[[#This Row],[Helper]])=Table1[[#This Row],[Clean Frequency]],_xlfn.MAXIFS(AT:AT,AW:AW,Table1[[#This Row],[Helper]]),""))</f>
        <v/>
      </c>
      <c r="AX40" t="str">
        <f ca="1">IF(AND(AW40=_xlfn.MAXIFS(AX:AX, AW:AW, AV40), COUNTIFS(AV$3:AV40, AV40, AW$3:AW40, AW40)=1), 1, "")</f>
        <v/>
      </c>
      <c r="AY40" t="str">
        <f>IF(Table1[[#This Row],[lesson type]]="private",Table1[[#This Row],[Clean Frequency]],"")</f>
        <v/>
      </c>
      <c r="AZ40" t="str">
        <f ca="1">IF(Table1[[#This Row],[First Occurrence]]=1,Table1[[#This Row],[Group Frequency]],"")</f>
        <v/>
      </c>
      <c r="BA40" t="str">
        <f ca="1">IF(B40="Y", IF(Table1[[#This Row],[Stop]]="", TODAY() - Table1[[#This Row],[Joining Date]], Table1[[#This Row],[Stop]] - Table1[[#This Row],[Joining Date]]), "")</f>
        <v/>
      </c>
      <c r="BB40" t="str">
        <f>_xlfn.CONCAT(Table1[[#This Row],[t]]," ",Table1[[#This Row],[Last Name]])</f>
        <v>Hirao Ayaka</v>
      </c>
      <c r="BC40" t="str">
        <f>IF(OR(Table1[[#This Row],[Teacher]]="Alex",Table1[[#This Row],[Teacher]]=""), "", Table1[[#This Row],[For Salary]])</f>
        <v/>
      </c>
      <c r="BD40" t="str">
        <f>IF(OR(Table1[[#This Row],[Teacher]]="Alex",Table1[[#This Row],[Teacher]]=""), "", Table1[[#This Row],[For Amount]])</f>
        <v/>
      </c>
      <c r="BE40" t="str">
        <f>IFERROR(IF(VLOOKUP(Table1[[#This Row],[Teacher]],'Teachers Salaries'!A:C,2,FALSE)="","",VLOOKUP(Table1[[#This Row],[Teacher]],'Teachers Salaries'!A:C,2,FALSE)),"")</f>
        <v/>
      </c>
      <c r="BF40" t="str">
        <f>IFERROR(IF(VLOOKUP(Table1[[#This Row],[Teacher]],'Teachers Salaries'!A:C,3,FALSE)="","",VLOOKUP(Table1[[#This Row],[Teacher]],'Teachers Salaries'!A:C,3,FALSE)),"")</f>
        <v/>
      </c>
      <c r="BG40">
        <f ca="1">IFERROR(IF(Table1[[#This Row],[Pay Type]]="Fixed","-",Table1[[#This Row],[Final Group Frequency2]]*Table1[[#This Row],[Salary / Hourly Rate]]),0)</f>
        <v>0</v>
      </c>
      <c r="BH40">
        <f>IFERROR(IF(Table1[[#This Row],[Pay Type]]="Fixed","----",Table1[[#This Row],[Salary / Hourly Rate]]*Table1[[#This Row],[Final PrivateFrequency]]),0)</f>
        <v>0</v>
      </c>
      <c r="BI40">
        <f ca="1">IF(Table1[[#This Row],[Pay Type]]="Fixed","---",Table1[[#This Row],[Group Salary]]+Table1[[#This Row],[Private Salary]])</f>
        <v>0</v>
      </c>
      <c r="BJ40" t="str">
        <f>IF(OR(J40="Alex", J40=""),"", Table1[[#This Row],[For Amount]])</f>
        <v/>
      </c>
      <c r="BK40">
        <f ca="1">IFERROR(Table1[[#This Row],[Fee]]-Table1[[#This Row],[Total Salary]],"")</f>
        <v>0</v>
      </c>
      <c r="BL40" t="str">
        <f>IF(Table1[[#This Row],[Joining Date]]="","",IF(Table1[[#This Row],[Joining Date]]&lt;='KPI+Pivot'!$CP$1,Table1[[#This Row],[Fee]],""))</f>
        <v/>
      </c>
      <c r="BM4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0" t="str">
        <f>IF(Table1[[#This Row],[Joining Date]]="","",IF(Table1[[#This Row],[Joining Date]]&lt;='KPI+Pivot'!$CP$1,Table1[[#This Row],[Total Salary]],""))</f>
        <v/>
      </c>
      <c r="BO40" t="str">
        <f>IF(Table1[[#This Row],[Joining Date]]="","",IF(Table1[[#This Row],[Joining Date]]&lt;='KPI+Pivot'!$CP$1,Table1[[#This Row],[Frequency]],""))</f>
        <v/>
      </c>
      <c r="BP40" s="38" t="str">
        <f>IF(Table1[[#This Row],[Stop]]="","",(IF(Table1[[#This Row],[Joining Date]]="","",IF(Table1[[#This Row],[Joining Date]]&lt;='KPI+Pivot'!$CP$1,Table1[[#This Row],[Stop]],""))))</f>
        <v/>
      </c>
    </row>
    <row r="41" spans="1:68" ht="22.9" customHeight="1">
      <c r="B41" t="s">
        <v>66</v>
      </c>
      <c r="C41" t="s">
        <v>347</v>
      </c>
      <c r="D41" t="s">
        <v>348</v>
      </c>
      <c r="F41" t="s">
        <v>349</v>
      </c>
      <c r="G41" t="s">
        <v>350</v>
      </c>
      <c r="H41" t="s">
        <v>351</v>
      </c>
      <c r="I41" t="str">
        <f>IFERROR(HYPERLINK("#Finance!B" &amp; MATCH(A41, 'F 2025'!A:A, 0), "🔗 Go to finance"), "❌ ID introuvable")</f>
        <v>❌ ID introuvable</v>
      </c>
      <c r="L41" t="s">
        <v>90</v>
      </c>
      <c r="Y41" t="s">
        <v>352</v>
      </c>
      <c r="Z41" t="s">
        <v>75</v>
      </c>
      <c r="AB41" t="s">
        <v>353</v>
      </c>
      <c r="AD41" s="130"/>
      <c r="AE41"/>
      <c r="AG41" t="s">
        <v>76</v>
      </c>
      <c r="AI41" t="s">
        <v>353</v>
      </c>
      <c r="AK41" t="s">
        <v>354</v>
      </c>
      <c r="AM41" s="38"/>
      <c r="AO41" t="s">
        <v>350</v>
      </c>
      <c r="AR41" t="str">
        <f t="shared" si="2"/>
        <v/>
      </c>
      <c r="AS41" t="str">
        <f t="shared" si="3"/>
        <v/>
      </c>
      <c r="AT41" t="str">
        <f>IF(Table1[[#This Row],[Joining Date]]="", "", TEXT(Table1[[#This Row],[Joining Date]], "mmm"))</f>
        <v/>
      </c>
      <c r="AU41" t="str">
        <f>IF(Table1[[#This Row],[Joining Date]]="", "", YEAR(Table1[[#This Row],[Joining Date]]))</f>
        <v/>
      </c>
      <c r="AV41" t="str">
        <f>IF(Table1[[#This Row],[Group Name]]="","", M41 &amp; Table1[[#This Row],[Teacher]])</f>
        <v/>
      </c>
      <c r="AW41" t="str">
        <f>IF(Table1[[#This Row],[Helper]]="","",IF(_xlfn.MAXIFS(AT:AT,AW:AW,Table1[[#This Row],[Helper]])=Table1[[#This Row],[Clean Frequency]],_xlfn.MAXIFS(AT:AT,AW:AW,Table1[[#This Row],[Helper]]),""))</f>
        <v/>
      </c>
      <c r="AX41" t="str">
        <f ca="1">IF(AND(AW41=_xlfn.MAXIFS(AX:AX, AW:AW, AV41), COUNTIFS(AV$3:AV41, AV41, AW$3:AW41, AW41)=1), 1, "")</f>
        <v/>
      </c>
      <c r="AY41" t="str">
        <f>IF(Table1[[#This Row],[lesson type]]="private",Table1[[#This Row],[Clean Frequency]],"")</f>
        <v/>
      </c>
      <c r="AZ41" t="str">
        <f ca="1">IF(Table1[[#This Row],[First Occurrence]]=1,Table1[[#This Row],[Group Frequency]],"")</f>
        <v/>
      </c>
      <c r="BA41" t="str">
        <f ca="1">IF(B41="Y", IF(Table1[[#This Row],[Stop]]="", TODAY() - Table1[[#This Row],[Joining Date]], Table1[[#This Row],[Stop]] - Table1[[#This Row],[Joining Date]]), "")</f>
        <v/>
      </c>
      <c r="BB41" t="str">
        <f>_xlfn.CONCAT(Table1[[#This Row],[t]]," ",Table1[[#This Row],[Last Name]])</f>
        <v>Hiroko Miyazaki</v>
      </c>
      <c r="BC41" t="str">
        <f>IF(OR(Table1[[#This Row],[Teacher]]="Alex",Table1[[#This Row],[Teacher]]=""), "", Table1[[#This Row],[For Salary]])</f>
        <v/>
      </c>
      <c r="BD41" t="str">
        <f>IF(OR(Table1[[#This Row],[Teacher]]="Alex",Table1[[#This Row],[Teacher]]=""), "", Table1[[#This Row],[For Amount]])</f>
        <v/>
      </c>
      <c r="BE41" t="str">
        <f>IFERROR(IF(VLOOKUP(Table1[[#This Row],[Teacher]],'Teachers Salaries'!A:C,2,FALSE)="","",VLOOKUP(Table1[[#This Row],[Teacher]],'Teachers Salaries'!A:C,2,FALSE)),"")</f>
        <v/>
      </c>
      <c r="BF41" t="str">
        <f>IFERROR(IF(VLOOKUP(Table1[[#This Row],[Teacher]],'Teachers Salaries'!A:C,3,FALSE)="","",VLOOKUP(Table1[[#This Row],[Teacher]],'Teachers Salaries'!A:C,3,FALSE)),"")</f>
        <v/>
      </c>
      <c r="BG41">
        <f ca="1">IFERROR(IF(Table1[[#This Row],[Pay Type]]="Fixed","-",Table1[[#This Row],[Final Group Frequency2]]*Table1[[#This Row],[Salary / Hourly Rate]]),0)</f>
        <v>0</v>
      </c>
      <c r="BH41">
        <f>IFERROR(IF(Table1[[#This Row],[Pay Type]]="Fixed","----",Table1[[#This Row],[Salary / Hourly Rate]]*Table1[[#This Row],[Final PrivateFrequency]]),0)</f>
        <v>0</v>
      </c>
      <c r="BI41">
        <f ca="1">IF(Table1[[#This Row],[Pay Type]]="Fixed","---",Table1[[#This Row],[Group Salary]]+Table1[[#This Row],[Private Salary]])</f>
        <v>0</v>
      </c>
      <c r="BJ41" t="str">
        <f>IF(OR(J41="Alex", J41=""),"", Table1[[#This Row],[For Amount]])</f>
        <v/>
      </c>
      <c r="BK41">
        <f ca="1">IFERROR(Table1[[#This Row],[Fee]]-Table1[[#This Row],[Total Salary]],"")</f>
        <v>0</v>
      </c>
      <c r="BL41" t="str">
        <f>IF(Table1[[#This Row],[Joining Date]]="","",IF(Table1[[#This Row],[Joining Date]]&lt;='KPI+Pivot'!$CP$1,Table1[[#This Row],[Fee]],""))</f>
        <v/>
      </c>
      <c r="BM4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1" t="str">
        <f>IF(Table1[[#This Row],[Joining Date]]="","",IF(Table1[[#This Row],[Joining Date]]&lt;='KPI+Pivot'!$CP$1,Table1[[#This Row],[Total Salary]],""))</f>
        <v/>
      </c>
      <c r="BO41" t="str">
        <f>IF(Table1[[#This Row],[Joining Date]]="","",IF(Table1[[#This Row],[Joining Date]]&lt;='KPI+Pivot'!$CP$1,Table1[[#This Row],[Frequency]],""))</f>
        <v/>
      </c>
      <c r="BP41" s="38" t="str">
        <f>IF(Table1[[#This Row],[Stop]]="","",(IF(Table1[[#This Row],[Joining Date]]="","",IF(Table1[[#This Row],[Joining Date]]&lt;='KPI+Pivot'!$CP$1,Table1[[#This Row],[Stop]],""))))</f>
        <v/>
      </c>
    </row>
    <row r="42" spans="1:68" ht="22.9" customHeight="1">
      <c r="A42">
        <v>148</v>
      </c>
      <c r="B42" t="s">
        <v>66</v>
      </c>
      <c r="C42" t="s">
        <v>355</v>
      </c>
      <c r="D42" t="s">
        <v>356</v>
      </c>
      <c r="F42" t="s">
        <v>357</v>
      </c>
      <c r="G42" t="s">
        <v>358</v>
      </c>
      <c r="H42" t="s">
        <v>359</v>
      </c>
      <c r="I42" t="str">
        <f>IFERROR(HYPERLINK("#Finance!B" &amp; MATCH(A42, 'F 2025'!A:A, 0), "🔗 Go to finance"), "❌ ID introuvable")</f>
        <v>❌ ID introuvable</v>
      </c>
      <c r="V42" t="s">
        <v>360</v>
      </c>
      <c r="W42" t="s">
        <v>360</v>
      </c>
      <c r="Y42">
        <v>8039421080</v>
      </c>
      <c r="Z42" t="s">
        <v>75</v>
      </c>
      <c r="AB42" t="s">
        <v>361</v>
      </c>
      <c r="AD42" s="130">
        <v>45481</v>
      </c>
      <c r="AE42"/>
      <c r="AG42" t="s">
        <v>76</v>
      </c>
      <c r="AI42" t="s">
        <v>361</v>
      </c>
      <c r="AK42" t="s">
        <v>362</v>
      </c>
      <c r="AM42" s="38">
        <v>45688</v>
      </c>
      <c r="AO42" t="s">
        <v>358</v>
      </c>
      <c r="AR42" t="str">
        <f t="shared" si="2"/>
        <v/>
      </c>
      <c r="AS42" t="str">
        <f t="shared" si="3"/>
        <v/>
      </c>
      <c r="AT42" t="str">
        <f>IF(Table1[[#This Row],[Joining Date]]="", "", TEXT(Table1[[#This Row],[Joining Date]], "mmm"))</f>
        <v>Jul</v>
      </c>
      <c r="AU42">
        <f>IF(Table1[[#This Row],[Joining Date]]="", "", YEAR(Table1[[#This Row],[Joining Date]]))</f>
        <v>2024</v>
      </c>
      <c r="AV42" t="str">
        <f>IF(Table1[[#This Row],[Group Name]]="","", M42 &amp; Table1[[#This Row],[Teacher]])</f>
        <v/>
      </c>
      <c r="AW42" t="str">
        <f>IF(Table1[[#This Row],[Helper]]="","",IF(_xlfn.MAXIFS(AT:AT,AW:AW,Table1[[#This Row],[Helper]])=Table1[[#This Row],[Clean Frequency]],_xlfn.MAXIFS(AT:AT,AW:AW,Table1[[#This Row],[Helper]]),""))</f>
        <v/>
      </c>
      <c r="AX42" t="str">
        <f ca="1">IF(AND(AW42=_xlfn.MAXIFS(AX:AX, AW:AW, AV42), COUNTIFS(AV$3:AV42, AV42, AW$3:AW42, AW42)=1), 1, "")</f>
        <v/>
      </c>
      <c r="AY42" t="str">
        <f>IF(Table1[[#This Row],[lesson type]]="private",Table1[[#This Row],[Clean Frequency]],"")</f>
        <v/>
      </c>
      <c r="AZ42" t="str">
        <f ca="1">IF(Table1[[#This Row],[First Occurrence]]=1,Table1[[#This Row],[Group Frequency]],"")</f>
        <v/>
      </c>
      <c r="BA42" t="str">
        <f ca="1">IF(B42="Y", IF(Table1[[#This Row],[Stop]]="", TODAY() - Table1[[#This Row],[Joining Date]], Table1[[#This Row],[Stop]] - Table1[[#This Row],[Joining Date]]), "")</f>
        <v/>
      </c>
      <c r="BB42" t="str">
        <f>_xlfn.CONCAT(Table1[[#This Row],[t]]," ",Table1[[#This Row],[Last Name]])</f>
        <v>Hironao Onuma</v>
      </c>
      <c r="BC42" t="str">
        <f>IF(OR(Table1[[#This Row],[Teacher]]="Alex",Table1[[#This Row],[Teacher]]=""), "", Table1[[#This Row],[For Salary]])</f>
        <v/>
      </c>
      <c r="BD42" t="str">
        <f>IF(OR(Table1[[#This Row],[Teacher]]="Alex",Table1[[#This Row],[Teacher]]=""), "", Table1[[#This Row],[For Amount]])</f>
        <v/>
      </c>
      <c r="BE42" t="str">
        <f>IFERROR(IF(VLOOKUP(Table1[[#This Row],[Teacher]],'Teachers Salaries'!A:C,2,FALSE)="","",VLOOKUP(Table1[[#This Row],[Teacher]],'Teachers Salaries'!A:C,2,FALSE)),"")</f>
        <v/>
      </c>
      <c r="BF42" t="str">
        <f>IFERROR(IF(VLOOKUP(Table1[[#This Row],[Teacher]],'Teachers Salaries'!A:C,3,FALSE)="","",VLOOKUP(Table1[[#This Row],[Teacher]],'Teachers Salaries'!A:C,3,FALSE)),"")</f>
        <v/>
      </c>
      <c r="BG42">
        <f ca="1">IFERROR(IF(Table1[[#This Row],[Pay Type]]="Fixed","-",Table1[[#This Row],[Final Group Frequency2]]*Table1[[#This Row],[Salary / Hourly Rate]]),0)</f>
        <v>0</v>
      </c>
      <c r="BH42">
        <f>IFERROR(IF(Table1[[#This Row],[Pay Type]]="Fixed","----",Table1[[#This Row],[Salary / Hourly Rate]]*Table1[[#This Row],[Final PrivateFrequency]]),0)</f>
        <v>0</v>
      </c>
      <c r="BI42">
        <f ca="1">IF(Table1[[#This Row],[Pay Type]]="Fixed","---",Table1[[#This Row],[Group Salary]]+Table1[[#This Row],[Private Salary]])</f>
        <v>0</v>
      </c>
      <c r="BJ42" t="str">
        <f>IF(OR(J42="Alex", J42=""),"", Table1[[#This Row],[For Amount]])</f>
        <v/>
      </c>
      <c r="BK42">
        <f ca="1">IFERROR(Table1[[#This Row],[Fee]]-Table1[[#This Row],[Total Salary]],"")</f>
        <v>0</v>
      </c>
      <c r="BL42" t="e">
        <f>IF(Table1[[#This Row],[Joining Date]]="","",IF(Table1[[#This Row],[Joining Date]]&lt;='KPI+Pivot'!$CP$1,Table1[[#This Row],[Fee]],""))</f>
        <v>#N/A</v>
      </c>
      <c r="BM4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42" t="e">
        <f>IF(Table1[[#This Row],[Joining Date]]="","",IF(Table1[[#This Row],[Joining Date]]&lt;='KPI+Pivot'!$CP$1,Table1[[#This Row],[Total Salary]],""))</f>
        <v>#N/A</v>
      </c>
      <c r="BO42" t="e">
        <f>IF(Table1[[#This Row],[Joining Date]]="","",IF(Table1[[#This Row],[Joining Date]]&lt;='KPI+Pivot'!$CP$1,Table1[[#This Row],[Frequency]],""))</f>
        <v>#N/A</v>
      </c>
      <c r="BP42" s="38" t="e">
        <f>IF(Table1[[#This Row],[Stop]]="","",(IF(Table1[[#This Row],[Joining Date]]="","",IF(Table1[[#This Row],[Joining Date]]&lt;='KPI+Pivot'!$CP$1,Table1[[#This Row],[Stop]],""))))</f>
        <v>#N/A</v>
      </c>
    </row>
    <row r="43" spans="1:68" ht="22.9" customHeight="1">
      <c r="B43" t="s">
        <v>66</v>
      </c>
      <c r="C43" t="s">
        <v>363</v>
      </c>
      <c r="D43" t="s">
        <v>364</v>
      </c>
      <c r="F43" t="s">
        <v>365</v>
      </c>
      <c r="G43" t="s">
        <v>366</v>
      </c>
      <c r="H43" t="s">
        <v>367</v>
      </c>
      <c r="I43" t="str">
        <f>IFERROR(HYPERLINK("#Finance!B" &amp; MATCH(A43, 'F 2025'!A:A, 0), "🔗 Go to finance"), "❌ ID introuvable")</f>
        <v>❌ ID introuvable</v>
      </c>
      <c r="L43" t="s">
        <v>90</v>
      </c>
      <c r="V43" t="s">
        <v>368</v>
      </c>
      <c r="Y43" t="s">
        <v>369</v>
      </c>
      <c r="Z43" t="s">
        <v>75</v>
      </c>
      <c r="AB43" t="s">
        <v>370</v>
      </c>
      <c r="AD43" s="130"/>
      <c r="AE43"/>
      <c r="AG43" t="s">
        <v>76</v>
      </c>
      <c r="AI43" t="s">
        <v>370</v>
      </c>
      <c r="AK43" t="s">
        <v>354</v>
      </c>
      <c r="AM43" s="38"/>
      <c r="AO43" t="s">
        <v>366</v>
      </c>
      <c r="AR43" t="str">
        <f t="shared" si="2"/>
        <v/>
      </c>
      <c r="AS43" t="str">
        <f t="shared" si="3"/>
        <v/>
      </c>
      <c r="AT43" t="str">
        <f>IF(Table1[[#This Row],[Joining Date]]="", "", TEXT(Table1[[#This Row],[Joining Date]], "mmm"))</f>
        <v/>
      </c>
      <c r="AU43" t="str">
        <f>IF(Table1[[#This Row],[Joining Date]]="", "", YEAR(Table1[[#This Row],[Joining Date]]))</f>
        <v/>
      </c>
      <c r="AV43" t="str">
        <f>IF(Table1[[#This Row],[Group Name]]="","", M43 &amp; Table1[[#This Row],[Teacher]])</f>
        <v/>
      </c>
      <c r="AW43" t="str">
        <f>IF(Table1[[#This Row],[Helper]]="","",IF(_xlfn.MAXIFS(AT:AT,AW:AW,Table1[[#This Row],[Helper]])=Table1[[#This Row],[Clean Frequency]],_xlfn.MAXIFS(AT:AT,AW:AW,Table1[[#This Row],[Helper]]),""))</f>
        <v/>
      </c>
      <c r="AX43" t="str">
        <f ca="1">IF(AND(AW43=_xlfn.MAXIFS(AX:AX, AW:AW, AV43), COUNTIFS(AV$3:AV43, AV43, AW$3:AW43, AW43)=1), 1, "")</f>
        <v/>
      </c>
      <c r="AY43" t="str">
        <f>IF(Table1[[#This Row],[lesson type]]="private",Table1[[#This Row],[Clean Frequency]],"")</f>
        <v/>
      </c>
      <c r="AZ43" t="str">
        <f ca="1">IF(Table1[[#This Row],[First Occurrence]]=1,Table1[[#This Row],[Group Frequency]],"")</f>
        <v/>
      </c>
      <c r="BA43" t="str">
        <f ca="1">IF(B43="Y", IF(Table1[[#This Row],[Stop]]="", TODAY() - Table1[[#This Row],[Joining Date]], Table1[[#This Row],[Stop]] - Table1[[#This Row],[Joining Date]]), "")</f>
        <v/>
      </c>
      <c r="BB43" t="str">
        <f>_xlfn.CONCAT(Table1[[#This Row],[t]]," ",Table1[[#This Row],[Last Name]])</f>
        <v>Hiroshi Yamada</v>
      </c>
      <c r="BC43" t="str">
        <f>IF(OR(Table1[[#This Row],[Teacher]]="Alex",Table1[[#This Row],[Teacher]]=""), "", Table1[[#This Row],[For Salary]])</f>
        <v/>
      </c>
      <c r="BD43" t="str">
        <f>IF(OR(Table1[[#This Row],[Teacher]]="Alex",Table1[[#This Row],[Teacher]]=""), "", Table1[[#This Row],[For Amount]])</f>
        <v/>
      </c>
      <c r="BE43" t="str">
        <f>IFERROR(IF(VLOOKUP(Table1[[#This Row],[Teacher]],'Teachers Salaries'!A:C,2,FALSE)="","",VLOOKUP(Table1[[#This Row],[Teacher]],'Teachers Salaries'!A:C,2,FALSE)),"")</f>
        <v/>
      </c>
      <c r="BF43" t="str">
        <f>IFERROR(IF(VLOOKUP(Table1[[#This Row],[Teacher]],'Teachers Salaries'!A:C,3,FALSE)="","",VLOOKUP(Table1[[#This Row],[Teacher]],'Teachers Salaries'!A:C,3,FALSE)),"")</f>
        <v/>
      </c>
      <c r="BG43">
        <f ca="1">IFERROR(IF(Table1[[#This Row],[Pay Type]]="Fixed","-",Table1[[#This Row],[Final Group Frequency2]]*Table1[[#This Row],[Salary / Hourly Rate]]),0)</f>
        <v>0</v>
      </c>
      <c r="BH43">
        <f>IFERROR(IF(Table1[[#This Row],[Pay Type]]="Fixed","----",Table1[[#This Row],[Salary / Hourly Rate]]*Table1[[#This Row],[Final PrivateFrequency]]),0)</f>
        <v>0</v>
      </c>
      <c r="BI43">
        <f ca="1">IF(Table1[[#This Row],[Pay Type]]="Fixed","---",Table1[[#This Row],[Group Salary]]+Table1[[#This Row],[Private Salary]])</f>
        <v>0</v>
      </c>
      <c r="BJ43" t="str">
        <f>IF(OR(J43="Alex", J43=""),"", Table1[[#This Row],[For Amount]])</f>
        <v/>
      </c>
      <c r="BK43">
        <f ca="1">IFERROR(Table1[[#This Row],[Fee]]-Table1[[#This Row],[Total Salary]],"")</f>
        <v>0</v>
      </c>
      <c r="BL43" t="str">
        <f>IF(Table1[[#This Row],[Joining Date]]="","",IF(Table1[[#This Row],[Joining Date]]&lt;='KPI+Pivot'!$CP$1,Table1[[#This Row],[Fee]],""))</f>
        <v/>
      </c>
      <c r="BM4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3" t="str">
        <f>IF(Table1[[#This Row],[Joining Date]]="","",IF(Table1[[#This Row],[Joining Date]]&lt;='KPI+Pivot'!$CP$1,Table1[[#This Row],[Total Salary]],""))</f>
        <v/>
      </c>
      <c r="BO43" t="str">
        <f>IF(Table1[[#This Row],[Joining Date]]="","",IF(Table1[[#This Row],[Joining Date]]&lt;='KPI+Pivot'!$CP$1,Table1[[#This Row],[Frequency]],""))</f>
        <v/>
      </c>
      <c r="BP43" s="38" t="str">
        <f>IF(Table1[[#This Row],[Stop]]="","",(IF(Table1[[#This Row],[Joining Date]]="","",IF(Table1[[#This Row],[Joining Date]]&lt;='KPI+Pivot'!$CP$1,Table1[[#This Row],[Stop]],""))))</f>
        <v/>
      </c>
    </row>
    <row r="44" spans="1:68" ht="22.9" customHeight="1">
      <c r="B44" t="s">
        <v>66</v>
      </c>
      <c r="C44" t="s">
        <v>371</v>
      </c>
      <c r="D44" t="s">
        <v>372</v>
      </c>
      <c r="F44" t="s">
        <v>373</v>
      </c>
      <c r="G44" t="s">
        <v>374</v>
      </c>
      <c r="H44" t="s">
        <v>375</v>
      </c>
      <c r="I44" t="str">
        <f>IFERROR(HYPERLINK("#Finance!B" &amp; MATCH(A44, 'F 2025'!A:A, 0), "🔗 Go to finance"), "❌ ID introuvable")</f>
        <v>❌ ID introuvable</v>
      </c>
      <c r="L44" t="s">
        <v>90</v>
      </c>
      <c r="V44" t="s">
        <v>376</v>
      </c>
      <c r="Y44" t="s">
        <v>377</v>
      </c>
      <c r="Z44" t="s">
        <v>75</v>
      </c>
      <c r="AB44" t="s">
        <v>378</v>
      </c>
      <c r="AD44" s="130"/>
      <c r="AE44"/>
      <c r="AG44" t="s">
        <v>76</v>
      </c>
      <c r="AI44" t="s">
        <v>378</v>
      </c>
      <c r="AK44" t="s">
        <v>379</v>
      </c>
      <c r="AM44" s="38"/>
      <c r="AO44" t="s">
        <v>374</v>
      </c>
      <c r="AR44" t="str">
        <f t="shared" si="2"/>
        <v/>
      </c>
      <c r="AS44" t="str">
        <f t="shared" si="3"/>
        <v/>
      </c>
      <c r="AT44" t="str">
        <f>IF(Table1[[#This Row],[Joining Date]]="", "", TEXT(Table1[[#This Row],[Joining Date]], "mmm"))</f>
        <v/>
      </c>
      <c r="AU44" t="str">
        <f>IF(Table1[[#This Row],[Joining Date]]="", "", YEAR(Table1[[#This Row],[Joining Date]]))</f>
        <v/>
      </c>
      <c r="AV44" t="str">
        <f>IF(Table1[[#This Row],[Group Name]]="","", M44 &amp; Table1[[#This Row],[Teacher]])</f>
        <v/>
      </c>
      <c r="AW44" t="str">
        <f>IF(Table1[[#This Row],[Helper]]="","",IF(_xlfn.MAXIFS(AT:AT,AW:AW,Table1[[#This Row],[Helper]])=Table1[[#This Row],[Clean Frequency]],_xlfn.MAXIFS(AT:AT,AW:AW,Table1[[#This Row],[Helper]]),""))</f>
        <v/>
      </c>
      <c r="AX44" t="str">
        <f ca="1">IF(AND(AW44=_xlfn.MAXIFS(AX:AX, AW:AW, AV44), COUNTIFS(AV$3:AV44, AV44, AW$3:AW44, AW44)=1), 1, "")</f>
        <v/>
      </c>
      <c r="AY44" t="str">
        <f>IF(Table1[[#This Row],[lesson type]]="private",Table1[[#This Row],[Clean Frequency]],"")</f>
        <v/>
      </c>
      <c r="AZ44" t="str">
        <f ca="1">IF(Table1[[#This Row],[First Occurrence]]=1,Table1[[#This Row],[Group Frequency]],"")</f>
        <v/>
      </c>
      <c r="BA44" t="str">
        <f ca="1">IF(B44="Y", IF(Table1[[#This Row],[Stop]]="", TODAY() - Table1[[#This Row],[Joining Date]], Table1[[#This Row],[Stop]] - Table1[[#This Row],[Joining Date]]), "")</f>
        <v/>
      </c>
      <c r="BB44" t="str">
        <f>_xlfn.CONCAT(Table1[[#This Row],[t]]," ",Table1[[#This Row],[Last Name]])</f>
        <v>Hisae Eguchi</v>
      </c>
      <c r="BC44" t="str">
        <f>IF(OR(Table1[[#This Row],[Teacher]]="Alex",Table1[[#This Row],[Teacher]]=""), "", Table1[[#This Row],[For Salary]])</f>
        <v/>
      </c>
      <c r="BD44" t="str">
        <f>IF(OR(Table1[[#This Row],[Teacher]]="Alex",Table1[[#This Row],[Teacher]]=""), "", Table1[[#This Row],[For Amount]])</f>
        <v/>
      </c>
      <c r="BE44" t="str">
        <f>IFERROR(IF(VLOOKUP(Table1[[#This Row],[Teacher]],'Teachers Salaries'!A:C,2,FALSE)="","",VLOOKUP(Table1[[#This Row],[Teacher]],'Teachers Salaries'!A:C,2,FALSE)),"")</f>
        <v/>
      </c>
      <c r="BF44" t="str">
        <f>IFERROR(IF(VLOOKUP(Table1[[#This Row],[Teacher]],'Teachers Salaries'!A:C,3,FALSE)="","",VLOOKUP(Table1[[#This Row],[Teacher]],'Teachers Salaries'!A:C,3,FALSE)),"")</f>
        <v/>
      </c>
      <c r="BG44">
        <f ca="1">IFERROR(IF(Table1[[#This Row],[Pay Type]]="Fixed","-",Table1[[#This Row],[Final Group Frequency2]]*Table1[[#This Row],[Salary / Hourly Rate]]),0)</f>
        <v>0</v>
      </c>
      <c r="BH44">
        <f>IFERROR(IF(Table1[[#This Row],[Pay Type]]="Fixed","----",Table1[[#This Row],[Salary / Hourly Rate]]*Table1[[#This Row],[Final PrivateFrequency]]),0)</f>
        <v>0</v>
      </c>
      <c r="BI44">
        <f ca="1">IF(Table1[[#This Row],[Pay Type]]="Fixed","---",Table1[[#This Row],[Group Salary]]+Table1[[#This Row],[Private Salary]])</f>
        <v>0</v>
      </c>
      <c r="BJ44" t="str">
        <f>IF(OR(J44="Alex", J44=""),"", Table1[[#This Row],[For Amount]])</f>
        <v/>
      </c>
      <c r="BK44">
        <f ca="1">IFERROR(Table1[[#This Row],[Fee]]-Table1[[#This Row],[Total Salary]],"")</f>
        <v>0</v>
      </c>
      <c r="BL44" t="str">
        <f>IF(Table1[[#This Row],[Joining Date]]="","",IF(Table1[[#This Row],[Joining Date]]&lt;='KPI+Pivot'!$CP$1,Table1[[#This Row],[Fee]],""))</f>
        <v/>
      </c>
      <c r="BM4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4" t="str">
        <f>IF(Table1[[#This Row],[Joining Date]]="","",IF(Table1[[#This Row],[Joining Date]]&lt;='KPI+Pivot'!$CP$1,Table1[[#This Row],[Total Salary]],""))</f>
        <v/>
      </c>
      <c r="BO44" t="str">
        <f>IF(Table1[[#This Row],[Joining Date]]="","",IF(Table1[[#This Row],[Joining Date]]&lt;='KPI+Pivot'!$CP$1,Table1[[#This Row],[Frequency]],""))</f>
        <v/>
      </c>
      <c r="BP44" s="38" t="str">
        <f>IF(Table1[[#This Row],[Stop]]="","",(IF(Table1[[#This Row],[Joining Date]]="","",IF(Table1[[#This Row],[Joining Date]]&lt;='KPI+Pivot'!$CP$1,Table1[[#This Row],[Stop]],""))))</f>
        <v/>
      </c>
    </row>
    <row r="45" spans="1:68" ht="22.9" customHeight="1">
      <c r="B45" t="s">
        <v>66</v>
      </c>
      <c r="C45" t="s">
        <v>380</v>
      </c>
      <c r="D45" t="s">
        <v>381</v>
      </c>
      <c r="F45" t="s">
        <v>382</v>
      </c>
      <c r="G45" t="s">
        <v>383</v>
      </c>
      <c r="H45" t="s">
        <v>384</v>
      </c>
      <c r="I45" t="str">
        <f>IFERROR(HYPERLINK("#Finance!B" &amp; MATCH(A45, 'F 2025'!A:A, 0), "🔗 Go to finance"), "❌ ID introuvable")</f>
        <v>❌ ID introuvable</v>
      </c>
      <c r="L45" t="s">
        <v>102</v>
      </c>
      <c r="V45" t="s">
        <v>385</v>
      </c>
      <c r="W45" t="s">
        <v>385</v>
      </c>
      <c r="Y45" t="s">
        <v>386</v>
      </c>
      <c r="Z45" t="s">
        <v>75</v>
      </c>
      <c r="AB45" t="s">
        <v>387</v>
      </c>
      <c r="AD45" s="130">
        <v>44236</v>
      </c>
      <c r="AE45"/>
      <c r="AG45" t="s">
        <v>76</v>
      </c>
      <c r="AI45" t="s">
        <v>387</v>
      </c>
      <c r="AK45" t="s">
        <v>102</v>
      </c>
      <c r="AM45" s="38"/>
      <c r="AO45" t="s">
        <v>383</v>
      </c>
      <c r="AR45" t="str">
        <f t="shared" si="2"/>
        <v/>
      </c>
      <c r="AS45" t="str">
        <f t="shared" si="3"/>
        <v/>
      </c>
      <c r="AT45" t="str">
        <f>IF(Table1[[#This Row],[Joining Date]]="", "", TEXT(Table1[[#This Row],[Joining Date]], "mmm"))</f>
        <v>Feb</v>
      </c>
      <c r="AU45">
        <f>IF(Table1[[#This Row],[Joining Date]]="", "", YEAR(Table1[[#This Row],[Joining Date]]))</f>
        <v>2021</v>
      </c>
      <c r="AV45" t="str">
        <f>IF(Table1[[#This Row],[Group Name]]="","", M45 &amp; Table1[[#This Row],[Teacher]])</f>
        <v/>
      </c>
      <c r="AW45" t="str">
        <f>IF(Table1[[#This Row],[Helper]]="","",IF(_xlfn.MAXIFS(AT:AT,AW:AW,Table1[[#This Row],[Helper]])=Table1[[#This Row],[Clean Frequency]],_xlfn.MAXIFS(AT:AT,AW:AW,Table1[[#This Row],[Helper]]),""))</f>
        <v/>
      </c>
      <c r="AX45" t="str">
        <f ca="1">IF(AND(AW45=_xlfn.MAXIFS(AX:AX, AW:AW, AV45), COUNTIFS(AV$3:AV45, AV45, AW$3:AW45, AW45)=1), 1, "")</f>
        <v/>
      </c>
      <c r="AY45" t="str">
        <f>IF(Table1[[#This Row],[lesson type]]="private",Table1[[#This Row],[Clean Frequency]],"")</f>
        <v/>
      </c>
      <c r="AZ45" t="str">
        <f ca="1">IF(Table1[[#This Row],[First Occurrence]]=1,Table1[[#This Row],[Group Frequency]],"")</f>
        <v/>
      </c>
      <c r="BA45" t="str">
        <f ca="1">IF(B45="Y", IF(Table1[[#This Row],[Stop]]="", TODAY() - Table1[[#This Row],[Joining Date]], Table1[[#This Row],[Stop]] - Table1[[#This Row],[Joining Date]]), "")</f>
        <v/>
      </c>
      <c r="BB45" t="str">
        <f>_xlfn.CONCAT(Table1[[#This Row],[t]]," ",Table1[[#This Row],[Last Name]])</f>
        <v>Hitomi Abe</v>
      </c>
      <c r="BC45" t="str">
        <f>IF(OR(Table1[[#This Row],[Teacher]]="Alex",Table1[[#This Row],[Teacher]]=""), "", Table1[[#This Row],[For Salary]])</f>
        <v/>
      </c>
      <c r="BD45" t="str">
        <f>IF(OR(Table1[[#This Row],[Teacher]]="Alex",Table1[[#This Row],[Teacher]]=""), "", Table1[[#This Row],[For Amount]])</f>
        <v/>
      </c>
      <c r="BE45" t="str">
        <f>IFERROR(IF(VLOOKUP(Table1[[#This Row],[Teacher]],'Teachers Salaries'!A:C,2,FALSE)="","",VLOOKUP(Table1[[#This Row],[Teacher]],'Teachers Salaries'!A:C,2,FALSE)),"")</f>
        <v/>
      </c>
      <c r="BF45" t="str">
        <f>IFERROR(IF(VLOOKUP(Table1[[#This Row],[Teacher]],'Teachers Salaries'!A:C,3,FALSE)="","",VLOOKUP(Table1[[#This Row],[Teacher]],'Teachers Salaries'!A:C,3,FALSE)),"")</f>
        <v/>
      </c>
      <c r="BG45">
        <f ca="1">IFERROR(IF(Table1[[#This Row],[Pay Type]]="Fixed","-",Table1[[#This Row],[Final Group Frequency2]]*Table1[[#This Row],[Salary / Hourly Rate]]),0)</f>
        <v>0</v>
      </c>
      <c r="BH45">
        <f>IFERROR(IF(Table1[[#This Row],[Pay Type]]="Fixed","----",Table1[[#This Row],[Salary / Hourly Rate]]*Table1[[#This Row],[Final PrivateFrequency]]),0)</f>
        <v>0</v>
      </c>
      <c r="BI45">
        <f ca="1">IF(Table1[[#This Row],[Pay Type]]="Fixed","---",Table1[[#This Row],[Group Salary]]+Table1[[#This Row],[Private Salary]])</f>
        <v>0</v>
      </c>
      <c r="BJ45" t="str">
        <f>IF(OR(J45="Alex", J45=""),"", Table1[[#This Row],[For Amount]])</f>
        <v/>
      </c>
      <c r="BK45">
        <f ca="1">IFERROR(Table1[[#This Row],[Fee]]-Table1[[#This Row],[Total Salary]],"")</f>
        <v>0</v>
      </c>
      <c r="BL45" t="e">
        <f>IF(Table1[[#This Row],[Joining Date]]="","",IF(Table1[[#This Row],[Joining Date]]&lt;='KPI+Pivot'!$CP$1,Table1[[#This Row],[Fee]],""))</f>
        <v>#N/A</v>
      </c>
      <c r="BM4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45" t="e">
        <f>IF(Table1[[#This Row],[Joining Date]]="","",IF(Table1[[#This Row],[Joining Date]]&lt;='KPI+Pivot'!$CP$1,Table1[[#This Row],[Total Salary]],""))</f>
        <v>#N/A</v>
      </c>
      <c r="BO45" t="e">
        <f>IF(Table1[[#This Row],[Joining Date]]="","",IF(Table1[[#This Row],[Joining Date]]&lt;='KPI+Pivot'!$CP$1,Table1[[#This Row],[Frequency]],""))</f>
        <v>#N/A</v>
      </c>
      <c r="BP45" s="38" t="str">
        <f>IF(Table1[[#This Row],[Stop]]="","",(IF(Table1[[#This Row],[Joining Date]]="","",IF(Table1[[#This Row],[Joining Date]]&lt;='KPI+Pivot'!$CP$1,Table1[[#This Row],[Stop]],""))))</f>
        <v/>
      </c>
    </row>
    <row r="46" spans="1:68" ht="22.9" customHeight="1">
      <c r="B46" t="s">
        <v>66</v>
      </c>
      <c r="C46" t="s">
        <v>388</v>
      </c>
      <c r="D46" t="s">
        <v>157</v>
      </c>
      <c r="F46" t="s">
        <v>389</v>
      </c>
      <c r="G46" t="s">
        <v>390</v>
      </c>
      <c r="H46" t="s">
        <v>391</v>
      </c>
      <c r="I46" t="str">
        <f>IFERROR(HYPERLINK("#Finance!B" &amp; MATCH(A46, 'F 2025'!A:A, 0), "🔗 Go to finance"), "❌ ID introuvable")</f>
        <v>❌ ID introuvable</v>
      </c>
      <c r="V46" t="s">
        <v>392</v>
      </c>
      <c r="Y46" t="s">
        <v>393</v>
      </c>
      <c r="Z46" t="s">
        <v>75</v>
      </c>
      <c r="AD46" s="130"/>
      <c r="AE46"/>
      <c r="AG46" t="s">
        <v>76</v>
      </c>
      <c r="AM46" s="38"/>
      <c r="AO46" t="s">
        <v>390</v>
      </c>
      <c r="AR46" t="str">
        <f t="shared" si="2"/>
        <v/>
      </c>
      <c r="AS46" t="str">
        <f t="shared" si="3"/>
        <v/>
      </c>
      <c r="AT46" t="str">
        <f>IF(Table1[[#This Row],[Joining Date]]="", "", TEXT(Table1[[#This Row],[Joining Date]], "mmm"))</f>
        <v/>
      </c>
      <c r="AU46" t="str">
        <f>IF(Table1[[#This Row],[Joining Date]]="", "", YEAR(Table1[[#This Row],[Joining Date]]))</f>
        <v/>
      </c>
      <c r="AV46" t="str">
        <f>IF(Table1[[#This Row],[Group Name]]="","", M46 &amp; Table1[[#This Row],[Teacher]])</f>
        <v/>
      </c>
      <c r="AW46" t="str">
        <f>IF(Table1[[#This Row],[Helper]]="","",IF(_xlfn.MAXIFS(AT:AT,AW:AW,Table1[[#This Row],[Helper]])=Table1[[#This Row],[Clean Frequency]],_xlfn.MAXIFS(AT:AT,AW:AW,Table1[[#This Row],[Helper]]),""))</f>
        <v/>
      </c>
      <c r="AX46" t="str">
        <f ca="1">IF(AND(AW46=_xlfn.MAXIFS(AX:AX, AW:AW, AV46), COUNTIFS(AV$3:AV46, AV46, AW$3:AW46, AW46)=1), 1, "")</f>
        <v/>
      </c>
      <c r="AY46" t="str">
        <f>IF(Table1[[#This Row],[lesson type]]="private",Table1[[#This Row],[Clean Frequency]],"")</f>
        <v/>
      </c>
      <c r="AZ46" t="str">
        <f ca="1">IF(Table1[[#This Row],[First Occurrence]]=1,Table1[[#This Row],[Group Frequency]],"")</f>
        <v/>
      </c>
      <c r="BA46" t="str">
        <f ca="1">IF(B46="Y", IF(Table1[[#This Row],[Stop]]="", TODAY() - Table1[[#This Row],[Joining Date]], Table1[[#This Row],[Stop]] - Table1[[#This Row],[Joining Date]]), "")</f>
        <v/>
      </c>
      <c r="BB46" t="str">
        <f>_xlfn.CONCAT(Table1[[#This Row],[t]]," ",Table1[[#This Row],[Last Name]])</f>
        <v>Honami Kinoshita</v>
      </c>
      <c r="BC46" t="str">
        <f>IF(OR(Table1[[#This Row],[Teacher]]="Alex",Table1[[#This Row],[Teacher]]=""), "", Table1[[#This Row],[For Salary]])</f>
        <v/>
      </c>
      <c r="BD46" t="str">
        <f>IF(OR(Table1[[#This Row],[Teacher]]="Alex",Table1[[#This Row],[Teacher]]=""), "", Table1[[#This Row],[For Amount]])</f>
        <v/>
      </c>
      <c r="BE46" t="str">
        <f>IFERROR(IF(VLOOKUP(Table1[[#This Row],[Teacher]],'Teachers Salaries'!A:C,2,FALSE)="","",VLOOKUP(Table1[[#This Row],[Teacher]],'Teachers Salaries'!A:C,2,FALSE)),"")</f>
        <v/>
      </c>
      <c r="BF46" t="str">
        <f>IFERROR(IF(VLOOKUP(Table1[[#This Row],[Teacher]],'Teachers Salaries'!A:C,3,FALSE)="","",VLOOKUP(Table1[[#This Row],[Teacher]],'Teachers Salaries'!A:C,3,FALSE)),"")</f>
        <v/>
      </c>
      <c r="BG46">
        <f ca="1">IFERROR(IF(Table1[[#This Row],[Pay Type]]="Fixed","-",Table1[[#This Row],[Final Group Frequency2]]*Table1[[#This Row],[Salary / Hourly Rate]]),0)</f>
        <v>0</v>
      </c>
      <c r="BH46">
        <f>IFERROR(IF(Table1[[#This Row],[Pay Type]]="Fixed","----",Table1[[#This Row],[Salary / Hourly Rate]]*Table1[[#This Row],[Final PrivateFrequency]]),0)</f>
        <v>0</v>
      </c>
      <c r="BI46">
        <f ca="1">IF(Table1[[#This Row],[Pay Type]]="Fixed","---",Table1[[#This Row],[Group Salary]]+Table1[[#This Row],[Private Salary]])</f>
        <v>0</v>
      </c>
      <c r="BJ46" t="str">
        <f>IF(OR(J46="Alex", J46=""),"", Table1[[#This Row],[For Amount]])</f>
        <v/>
      </c>
      <c r="BK46">
        <f ca="1">IFERROR(Table1[[#This Row],[Fee]]-Table1[[#This Row],[Total Salary]],"")</f>
        <v>0</v>
      </c>
      <c r="BL46" t="str">
        <f>IF(Table1[[#This Row],[Joining Date]]="","",IF(Table1[[#This Row],[Joining Date]]&lt;='KPI+Pivot'!$CP$1,Table1[[#This Row],[Fee]],""))</f>
        <v/>
      </c>
      <c r="BM4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6" t="str">
        <f>IF(Table1[[#This Row],[Joining Date]]="","",IF(Table1[[#This Row],[Joining Date]]&lt;='KPI+Pivot'!$CP$1,Table1[[#This Row],[Total Salary]],""))</f>
        <v/>
      </c>
      <c r="BO46" t="str">
        <f>IF(Table1[[#This Row],[Joining Date]]="","",IF(Table1[[#This Row],[Joining Date]]&lt;='KPI+Pivot'!$CP$1,Table1[[#This Row],[Frequency]],""))</f>
        <v/>
      </c>
      <c r="BP46" s="38" t="str">
        <f>IF(Table1[[#This Row],[Stop]]="","",(IF(Table1[[#This Row],[Joining Date]]="","",IF(Table1[[#This Row],[Joining Date]]&lt;='KPI+Pivot'!$CP$1,Table1[[#This Row],[Stop]],""))))</f>
        <v/>
      </c>
    </row>
    <row r="47" spans="1:68" ht="22.9" customHeight="1">
      <c r="B47" t="s">
        <v>66</v>
      </c>
      <c r="C47" t="s">
        <v>394</v>
      </c>
      <c r="D47" t="s">
        <v>395</v>
      </c>
      <c r="F47" t="s">
        <v>396</v>
      </c>
      <c r="G47" t="s">
        <v>397</v>
      </c>
      <c r="H47" t="s">
        <v>398</v>
      </c>
      <c r="I47" t="str">
        <f>IFERROR(HYPERLINK("#Finance!B" &amp; MATCH(A47, 'F 2025'!A:A, 0), "🔗 Go to finance"), "❌ ID introuvable")</f>
        <v>❌ ID introuvable</v>
      </c>
      <c r="V47" t="s">
        <v>399</v>
      </c>
      <c r="Y47">
        <v>9025036958</v>
      </c>
      <c r="Z47" t="s">
        <v>75</v>
      </c>
      <c r="AB47" t="s">
        <v>400</v>
      </c>
      <c r="AD47" s="130"/>
      <c r="AE47"/>
      <c r="AG47" t="s">
        <v>76</v>
      </c>
      <c r="AI47" t="s">
        <v>400</v>
      </c>
      <c r="AK47" t="s">
        <v>401</v>
      </c>
      <c r="AM47" s="38"/>
      <c r="AO47" t="s">
        <v>397</v>
      </c>
      <c r="AR47" t="str">
        <f t="shared" si="2"/>
        <v/>
      </c>
      <c r="AS47" t="str">
        <f t="shared" si="3"/>
        <v/>
      </c>
      <c r="AT47" t="str">
        <f>IF(Table1[[#This Row],[Joining Date]]="", "", TEXT(Table1[[#This Row],[Joining Date]], "mmm"))</f>
        <v/>
      </c>
      <c r="AU47" t="str">
        <f>IF(Table1[[#This Row],[Joining Date]]="", "", YEAR(Table1[[#This Row],[Joining Date]]))</f>
        <v/>
      </c>
      <c r="AV47" t="str">
        <f>IF(Table1[[#This Row],[Group Name]]="","", M47 &amp; Table1[[#This Row],[Teacher]])</f>
        <v/>
      </c>
      <c r="AW47" t="str">
        <f>IF(Table1[[#This Row],[Helper]]="","",IF(_xlfn.MAXIFS(AT:AT,AW:AW,Table1[[#This Row],[Helper]])=Table1[[#This Row],[Clean Frequency]],_xlfn.MAXIFS(AT:AT,AW:AW,Table1[[#This Row],[Helper]]),""))</f>
        <v/>
      </c>
      <c r="AX47" t="str">
        <f ca="1">IF(AND(AW47=_xlfn.MAXIFS(AX:AX, AW:AW, AV47), COUNTIFS(AV$3:AV47, AV47, AW$3:AW47, AW47)=1), 1, "")</f>
        <v/>
      </c>
      <c r="AY47" t="str">
        <f>IF(Table1[[#This Row],[lesson type]]="private",Table1[[#This Row],[Clean Frequency]],"")</f>
        <v/>
      </c>
      <c r="AZ47" t="str">
        <f ca="1">IF(Table1[[#This Row],[First Occurrence]]=1,Table1[[#This Row],[Group Frequency]],"")</f>
        <v/>
      </c>
      <c r="BA47" t="str">
        <f ca="1">IF(B47="Y", IF(Table1[[#This Row],[Stop]]="", TODAY() - Table1[[#This Row],[Joining Date]], Table1[[#This Row],[Stop]] - Table1[[#This Row],[Joining Date]]), "")</f>
        <v/>
      </c>
      <c r="BB47" t="str">
        <f>_xlfn.CONCAT(Table1[[#This Row],[t]]," ",Table1[[#This Row],[Last Name]])</f>
        <v>Ichie Sano</v>
      </c>
      <c r="BC47" t="str">
        <f>IF(OR(Table1[[#This Row],[Teacher]]="Alex",Table1[[#This Row],[Teacher]]=""), "", Table1[[#This Row],[For Salary]])</f>
        <v/>
      </c>
      <c r="BD47" t="str">
        <f>IF(OR(Table1[[#This Row],[Teacher]]="Alex",Table1[[#This Row],[Teacher]]=""), "", Table1[[#This Row],[For Amount]])</f>
        <v/>
      </c>
      <c r="BE47" t="str">
        <f>IFERROR(IF(VLOOKUP(Table1[[#This Row],[Teacher]],'Teachers Salaries'!A:C,2,FALSE)="","",VLOOKUP(Table1[[#This Row],[Teacher]],'Teachers Salaries'!A:C,2,FALSE)),"")</f>
        <v/>
      </c>
      <c r="BF47" t="str">
        <f>IFERROR(IF(VLOOKUP(Table1[[#This Row],[Teacher]],'Teachers Salaries'!A:C,3,FALSE)="","",VLOOKUP(Table1[[#This Row],[Teacher]],'Teachers Salaries'!A:C,3,FALSE)),"")</f>
        <v/>
      </c>
      <c r="BG47">
        <f ca="1">IFERROR(IF(Table1[[#This Row],[Pay Type]]="Fixed","-",Table1[[#This Row],[Final Group Frequency2]]*Table1[[#This Row],[Salary / Hourly Rate]]),0)</f>
        <v>0</v>
      </c>
      <c r="BH47">
        <f>IFERROR(IF(Table1[[#This Row],[Pay Type]]="Fixed","----",Table1[[#This Row],[Salary / Hourly Rate]]*Table1[[#This Row],[Final PrivateFrequency]]),0)</f>
        <v>0</v>
      </c>
      <c r="BI47">
        <f ca="1">IF(Table1[[#This Row],[Pay Type]]="Fixed","---",Table1[[#This Row],[Group Salary]]+Table1[[#This Row],[Private Salary]])</f>
        <v>0</v>
      </c>
      <c r="BJ47" t="str">
        <f>IF(OR(J47="Alex", J47=""),"", Table1[[#This Row],[For Amount]])</f>
        <v/>
      </c>
      <c r="BK47">
        <f ca="1">IFERROR(Table1[[#This Row],[Fee]]-Table1[[#This Row],[Total Salary]],"")</f>
        <v>0</v>
      </c>
      <c r="BL47" t="str">
        <f>IF(Table1[[#This Row],[Joining Date]]="","",IF(Table1[[#This Row],[Joining Date]]&lt;='KPI+Pivot'!$CP$1,Table1[[#This Row],[Fee]],""))</f>
        <v/>
      </c>
      <c r="BM4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7" t="str">
        <f>IF(Table1[[#This Row],[Joining Date]]="","",IF(Table1[[#This Row],[Joining Date]]&lt;='KPI+Pivot'!$CP$1,Table1[[#This Row],[Total Salary]],""))</f>
        <v/>
      </c>
      <c r="BO47" t="str">
        <f>IF(Table1[[#This Row],[Joining Date]]="","",IF(Table1[[#This Row],[Joining Date]]&lt;='KPI+Pivot'!$CP$1,Table1[[#This Row],[Frequency]],""))</f>
        <v/>
      </c>
      <c r="BP47" s="38" t="str">
        <f>IF(Table1[[#This Row],[Stop]]="","",(IF(Table1[[#This Row],[Joining Date]]="","",IF(Table1[[#This Row],[Joining Date]]&lt;='KPI+Pivot'!$CP$1,Table1[[#This Row],[Stop]],""))))</f>
        <v/>
      </c>
    </row>
    <row r="48" spans="1:68" ht="22.9" customHeight="1">
      <c r="A48">
        <v>114</v>
      </c>
      <c r="B48" t="s">
        <v>66</v>
      </c>
      <c r="C48" t="s">
        <v>402</v>
      </c>
      <c r="D48" t="s">
        <v>318</v>
      </c>
      <c r="F48" t="s">
        <v>403</v>
      </c>
      <c r="G48" t="s">
        <v>404</v>
      </c>
      <c r="H48" t="s">
        <v>321</v>
      </c>
      <c r="I48" t="str">
        <f>IFERROR(HYPERLINK("#Finance!B" &amp; MATCH(A48, 'F 2025'!A:A, 0), "🔗 Go to finance"), "❌ ID introuvable")</f>
        <v>🔗 Go to finance</v>
      </c>
      <c r="V48" t="s">
        <v>322</v>
      </c>
      <c r="W48" t="s">
        <v>322</v>
      </c>
      <c r="Y48">
        <v>9043561808</v>
      </c>
      <c r="Z48" t="s">
        <v>75</v>
      </c>
      <c r="AB48" t="s">
        <v>323</v>
      </c>
      <c r="AD48" s="130"/>
      <c r="AE48"/>
      <c r="AG48" t="s">
        <v>76</v>
      </c>
      <c r="AI48" t="s">
        <v>323</v>
      </c>
      <c r="AK48" t="s">
        <v>102</v>
      </c>
      <c r="AM48" s="38">
        <v>45747</v>
      </c>
      <c r="AO48" t="s">
        <v>404</v>
      </c>
      <c r="AR48" t="str">
        <f t="shared" si="2"/>
        <v/>
      </c>
      <c r="AS48" t="str">
        <f t="shared" si="3"/>
        <v/>
      </c>
      <c r="AT48" t="str">
        <f>IF(Table1[[#This Row],[Joining Date]]="", "", TEXT(Table1[[#This Row],[Joining Date]], "mmm"))</f>
        <v/>
      </c>
      <c r="AU48" t="str">
        <f>IF(Table1[[#This Row],[Joining Date]]="", "", YEAR(Table1[[#This Row],[Joining Date]]))</f>
        <v/>
      </c>
      <c r="AV48" t="str">
        <f>IF(Table1[[#This Row],[Group Name]]="","", M48 &amp; Table1[[#This Row],[Teacher]])</f>
        <v/>
      </c>
      <c r="AW48" t="str">
        <f>IF(Table1[[#This Row],[Helper]]="","",IF(_xlfn.MAXIFS(AT:AT,AW:AW,Table1[[#This Row],[Helper]])=Table1[[#This Row],[Clean Frequency]],_xlfn.MAXIFS(AT:AT,AW:AW,Table1[[#This Row],[Helper]]),""))</f>
        <v/>
      </c>
      <c r="AX48" t="str">
        <f ca="1">IF(AND(AW48=_xlfn.MAXIFS(AX:AX, AW:AW, AV48), COUNTIFS(AV$3:AV48, AV48, AW$3:AW48, AW48)=1), 1, "")</f>
        <v/>
      </c>
      <c r="AY48" t="str">
        <f>IF(Table1[[#This Row],[lesson type]]="private",Table1[[#This Row],[Clean Frequency]],"")</f>
        <v/>
      </c>
      <c r="AZ48" t="str">
        <f ca="1">IF(Table1[[#This Row],[First Occurrence]]=1,Table1[[#This Row],[Group Frequency]],"")</f>
        <v/>
      </c>
      <c r="BA48" t="str">
        <f ca="1">IF(B48="Y", IF(Table1[[#This Row],[Stop]]="", TODAY() - Table1[[#This Row],[Joining Date]], Table1[[#This Row],[Stop]] - Table1[[#This Row],[Joining Date]]), "")</f>
        <v/>
      </c>
      <c r="BB48" t="str">
        <f>_xlfn.CONCAT(Table1[[#This Row],[t]]," ",Table1[[#This Row],[Last Name]])</f>
        <v>Ichika Matake</v>
      </c>
      <c r="BC48" t="str">
        <f>IF(OR(Table1[[#This Row],[Teacher]]="Alex",Table1[[#This Row],[Teacher]]=""), "", Table1[[#This Row],[For Salary]])</f>
        <v/>
      </c>
      <c r="BD48" t="str">
        <f>IF(OR(Table1[[#This Row],[Teacher]]="Alex",Table1[[#This Row],[Teacher]]=""), "", Table1[[#This Row],[For Amount]])</f>
        <v/>
      </c>
      <c r="BE48" t="str">
        <f>IFERROR(IF(VLOOKUP(Table1[[#This Row],[Teacher]],'Teachers Salaries'!A:C,2,FALSE)="","",VLOOKUP(Table1[[#This Row],[Teacher]],'Teachers Salaries'!A:C,2,FALSE)),"")</f>
        <v/>
      </c>
      <c r="BF48" t="str">
        <f>IFERROR(IF(VLOOKUP(Table1[[#This Row],[Teacher]],'Teachers Salaries'!A:C,3,FALSE)="","",VLOOKUP(Table1[[#This Row],[Teacher]],'Teachers Salaries'!A:C,3,FALSE)),"")</f>
        <v/>
      </c>
      <c r="BG48">
        <f ca="1">IFERROR(IF(Table1[[#This Row],[Pay Type]]="Fixed","-",Table1[[#This Row],[Final Group Frequency2]]*Table1[[#This Row],[Salary / Hourly Rate]]),0)</f>
        <v>0</v>
      </c>
      <c r="BH48">
        <f>IFERROR(IF(Table1[[#This Row],[Pay Type]]="Fixed","----",Table1[[#This Row],[Salary / Hourly Rate]]*Table1[[#This Row],[Final PrivateFrequency]]),0)</f>
        <v>0</v>
      </c>
      <c r="BI48">
        <f ca="1">IF(Table1[[#This Row],[Pay Type]]="Fixed","---",Table1[[#This Row],[Group Salary]]+Table1[[#This Row],[Private Salary]])</f>
        <v>0</v>
      </c>
      <c r="BJ48" t="str">
        <f>IF(OR(J48="Alex", J48=""),"", Table1[[#This Row],[For Amount]])</f>
        <v/>
      </c>
      <c r="BK48">
        <f ca="1">IFERROR(Table1[[#This Row],[Fee]]-Table1[[#This Row],[Total Salary]],"")</f>
        <v>0</v>
      </c>
      <c r="BL48" t="str">
        <f>IF(Table1[[#This Row],[Joining Date]]="","",IF(Table1[[#This Row],[Joining Date]]&lt;='KPI+Pivot'!$CP$1,Table1[[#This Row],[Fee]],""))</f>
        <v/>
      </c>
      <c r="BM4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8" t="str">
        <f>IF(Table1[[#This Row],[Joining Date]]="","",IF(Table1[[#This Row],[Joining Date]]&lt;='KPI+Pivot'!$CP$1,Table1[[#This Row],[Total Salary]],""))</f>
        <v/>
      </c>
      <c r="BO48" t="str">
        <f>IF(Table1[[#This Row],[Joining Date]]="","",IF(Table1[[#This Row],[Joining Date]]&lt;='KPI+Pivot'!$CP$1,Table1[[#This Row],[Frequency]],""))</f>
        <v/>
      </c>
      <c r="BP48" s="38" t="str">
        <f>IF(Table1[[#This Row],[Stop]]="","",(IF(Table1[[#This Row],[Joining Date]]="","",IF(Table1[[#This Row],[Joining Date]]&lt;='KPI+Pivot'!$CP$1,Table1[[#This Row],[Stop]],""))))</f>
        <v/>
      </c>
    </row>
    <row r="49" spans="1:68" ht="22.9" customHeight="1">
      <c r="B49" t="s">
        <v>66</v>
      </c>
      <c r="C49" t="s">
        <v>405</v>
      </c>
      <c r="D49" t="s">
        <v>406</v>
      </c>
      <c r="F49" t="s">
        <v>407</v>
      </c>
      <c r="G49" t="s">
        <v>408</v>
      </c>
      <c r="H49" t="s">
        <v>409</v>
      </c>
      <c r="I49" t="str">
        <f>IFERROR(HYPERLINK("#Finance!B" &amp; MATCH(A49, 'F 2025'!A:A, 0), "🔗 Go to finance"), "❌ ID introuvable")</f>
        <v>❌ ID introuvable</v>
      </c>
      <c r="V49" t="s">
        <v>410</v>
      </c>
      <c r="W49" t="s">
        <v>410</v>
      </c>
      <c r="Z49" t="s">
        <v>75</v>
      </c>
      <c r="AB49" t="s">
        <v>411</v>
      </c>
      <c r="AD49" s="130"/>
      <c r="AE49"/>
      <c r="AG49" t="s">
        <v>76</v>
      </c>
      <c r="AI49" t="s">
        <v>411</v>
      </c>
      <c r="AK49" t="s">
        <v>72</v>
      </c>
      <c r="AM49" s="38"/>
      <c r="AO49" t="s">
        <v>408</v>
      </c>
      <c r="AR49" t="str">
        <f t="shared" si="2"/>
        <v/>
      </c>
      <c r="AS49" t="str">
        <f t="shared" si="3"/>
        <v/>
      </c>
      <c r="AT49" t="str">
        <f>IF(Table1[[#This Row],[Joining Date]]="", "", TEXT(Table1[[#This Row],[Joining Date]], "mmm"))</f>
        <v/>
      </c>
      <c r="AU49" t="str">
        <f>IF(Table1[[#This Row],[Joining Date]]="", "", YEAR(Table1[[#This Row],[Joining Date]]))</f>
        <v/>
      </c>
      <c r="AV49" t="str">
        <f>IF(Table1[[#This Row],[Group Name]]="","", M49 &amp; Table1[[#This Row],[Teacher]])</f>
        <v/>
      </c>
      <c r="AW49" t="str">
        <f>IF(Table1[[#This Row],[Helper]]="","",IF(_xlfn.MAXIFS(AT:AT,AW:AW,Table1[[#This Row],[Helper]])=Table1[[#This Row],[Clean Frequency]],_xlfn.MAXIFS(AT:AT,AW:AW,Table1[[#This Row],[Helper]]),""))</f>
        <v/>
      </c>
      <c r="AX49" t="str">
        <f ca="1">IF(AND(AW49=_xlfn.MAXIFS(AX:AX, AW:AW, AV49), COUNTIFS(AV$3:AV49, AV49, AW$3:AW49, AW49)=1), 1, "")</f>
        <v/>
      </c>
      <c r="AY49" t="str">
        <f>IF(Table1[[#This Row],[lesson type]]="private",Table1[[#This Row],[Clean Frequency]],"")</f>
        <v/>
      </c>
      <c r="AZ49" t="str">
        <f ca="1">IF(Table1[[#This Row],[First Occurrence]]=1,Table1[[#This Row],[Group Frequency]],"")</f>
        <v/>
      </c>
      <c r="BA49" t="str">
        <f ca="1">IF(B49="Y", IF(Table1[[#This Row],[Stop]]="", TODAY() - Table1[[#This Row],[Joining Date]], Table1[[#This Row],[Stop]] - Table1[[#This Row],[Joining Date]]), "")</f>
        <v/>
      </c>
      <c r="BB49" t="str">
        <f>_xlfn.CONCAT(Table1[[#This Row],[t]]," ",Table1[[#This Row],[Last Name]])</f>
        <v>Ichiro Uchiyama</v>
      </c>
      <c r="BC49" t="str">
        <f>IF(OR(Table1[[#This Row],[Teacher]]="Alex",Table1[[#This Row],[Teacher]]=""), "", Table1[[#This Row],[For Salary]])</f>
        <v/>
      </c>
      <c r="BD49" t="str">
        <f>IF(OR(Table1[[#This Row],[Teacher]]="Alex",Table1[[#This Row],[Teacher]]=""), "", Table1[[#This Row],[For Amount]])</f>
        <v/>
      </c>
      <c r="BE49" t="str">
        <f>IFERROR(IF(VLOOKUP(Table1[[#This Row],[Teacher]],'Teachers Salaries'!A:C,2,FALSE)="","",VLOOKUP(Table1[[#This Row],[Teacher]],'Teachers Salaries'!A:C,2,FALSE)),"")</f>
        <v/>
      </c>
      <c r="BF49" t="str">
        <f>IFERROR(IF(VLOOKUP(Table1[[#This Row],[Teacher]],'Teachers Salaries'!A:C,3,FALSE)="","",VLOOKUP(Table1[[#This Row],[Teacher]],'Teachers Salaries'!A:C,3,FALSE)),"")</f>
        <v/>
      </c>
      <c r="BG49">
        <f ca="1">IFERROR(IF(Table1[[#This Row],[Pay Type]]="Fixed","-",Table1[[#This Row],[Final Group Frequency2]]*Table1[[#This Row],[Salary / Hourly Rate]]),0)</f>
        <v>0</v>
      </c>
      <c r="BH49">
        <f>IFERROR(IF(Table1[[#This Row],[Pay Type]]="Fixed","----",Table1[[#This Row],[Salary / Hourly Rate]]*Table1[[#This Row],[Final PrivateFrequency]]),0)</f>
        <v>0</v>
      </c>
      <c r="BI49">
        <f ca="1">IF(Table1[[#This Row],[Pay Type]]="Fixed","---",Table1[[#This Row],[Group Salary]]+Table1[[#This Row],[Private Salary]])</f>
        <v>0</v>
      </c>
      <c r="BJ49" t="str">
        <f>IF(OR(J49="Alex", J49=""),"", Table1[[#This Row],[For Amount]])</f>
        <v/>
      </c>
      <c r="BK49">
        <f ca="1">IFERROR(Table1[[#This Row],[Fee]]-Table1[[#This Row],[Total Salary]],"")</f>
        <v>0</v>
      </c>
      <c r="BL49" t="str">
        <f>IF(Table1[[#This Row],[Joining Date]]="","",IF(Table1[[#This Row],[Joining Date]]&lt;='KPI+Pivot'!$CP$1,Table1[[#This Row],[Fee]],""))</f>
        <v/>
      </c>
      <c r="BM4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9" t="str">
        <f>IF(Table1[[#This Row],[Joining Date]]="","",IF(Table1[[#This Row],[Joining Date]]&lt;='KPI+Pivot'!$CP$1,Table1[[#This Row],[Total Salary]],""))</f>
        <v/>
      </c>
      <c r="BO49" t="str">
        <f>IF(Table1[[#This Row],[Joining Date]]="","",IF(Table1[[#This Row],[Joining Date]]&lt;='KPI+Pivot'!$CP$1,Table1[[#This Row],[Frequency]],""))</f>
        <v/>
      </c>
      <c r="BP49" s="38" t="str">
        <f>IF(Table1[[#This Row],[Stop]]="","",(IF(Table1[[#This Row],[Joining Date]]="","",IF(Table1[[#This Row],[Joining Date]]&lt;='KPI+Pivot'!$CP$1,Table1[[#This Row],[Stop]],""))))</f>
        <v/>
      </c>
    </row>
    <row r="50" spans="1:68" ht="18" customHeight="1">
      <c r="A50">
        <v>113</v>
      </c>
      <c r="B50" t="s">
        <v>103</v>
      </c>
      <c r="C50" t="s">
        <v>412</v>
      </c>
      <c r="D50" t="s">
        <v>413</v>
      </c>
      <c r="F50" t="s">
        <v>414</v>
      </c>
      <c r="G50" t="s">
        <v>415</v>
      </c>
      <c r="H50" t="s">
        <v>416</v>
      </c>
      <c r="I50" t="str">
        <f>IFERROR(HYPERLINK("#Finance!B" &amp; MATCH(A50, 'F 2025'!A:A, 0), "🔗 Go to finance"), "❌ ID introuvable")</f>
        <v>🔗 Go to finance</v>
      </c>
      <c r="J50" t="s">
        <v>109</v>
      </c>
      <c r="K50" t="s">
        <v>117</v>
      </c>
      <c r="L50" t="s">
        <v>238</v>
      </c>
      <c r="N50">
        <v>4</v>
      </c>
      <c r="O50">
        <v>6050</v>
      </c>
      <c r="T50" s="130">
        <v>45139</v>
      </c>
      <c r="V50" t="s">
        <v>417</v>
      </c>
      <c r="W50" t="s">
        <v>418</v>
      </c>
      <c r="Y50">
        <v>9074595366</v>
      </c>
      <c r="Z50" t="s">
        <v>75</v>
      </c>
      <c r="AB50" t="s">
        <v>419</v>
      </c>
      <c r="AD50" s="130">
        <v>45292</v>
      </c>
      <c r="AE50"/>
      <c r="AG50" t="s">
        <v>76</v>
      </c>
      <c r="AI50" t="s">
        <v>419</v>
      </c>
      <c r="AK50" t="s">
        <v>111</v>
      </c>
      <c r="AM50" s="38"/>
      <c r="AO50" t="s">
        <v>415</v>
      </c>
      <c r="AR50" t="str">
        <f t="shared" si="2"/>
        <v>group</v>
      </c>
      <c r="AS50">
        <f t="shared" si="3"/>
        <v>4</v>
      </c>
      <c r="AT50" t="str">
        <f>IF(Table1[[#This Row],[Joining Date]]="", "", TEXT(Table1[[#This Row],[Joining Date]], "mmm"))</f>
        <v>Jan</v>
      </c>
      <c r="AU50">
        <f>IF(Table1[[#This Row],[Joining Date]]="", "", YEAR(Table1[[#This Row],[Joining Date]]))</f>
        <v>2024</v>
      </c>
      <c r="AV50" t="str">
        <f>IF(Table1[[#This Row],[Group Name]]="","", M50 &amp; Table1[[#This Row],[Teacher]])</f>
        <v/>
      </c>
      <c r="AW50" t="str">
        <f>IF(Table1[[#This Row],[Helper]]="","",IF(_xlfn.MAXIFS(AT:AT,AW:AW,Table1[[#This Row],[Helper]])=Table1[[#This Row],[Clean Frequency]],_xlfn.MAXIFS(AT:AT,AW:AW,Table1[[#This Row],[Helper]]),""))</f>
        <v/>
      </c>
      <c r="AX50" t="str">
        <f ca="1">IF(AND(AW50=_xlfn.MAXIFS(AX:AX, AW:AW, AV50), COUNTIFS(AV$3:AV50, AV50, AW$3:AW50, AW50)=1), 1, "")</f>
        <v/>
      </c>
      <c r="AY50" t="str">
        <f>IF(Table1[[#This Row],[lesson type]]="private",Table1[[#This Row],[Clean Frequency]],"")</f>
        <v/>
      </c>
      <c r="AZ50" t="str">
        <f ca="1">IF(Table1[[#This Row],[First Occurrence]]=1,Table1[[#This Row],[Group Frequency]],"")</f>
        <v/>
      </c>
      <c r="BA50">
        <f ca="1">IF(B50="Y", IF(Table1[[#This Row],[Stop]]="", TODAY() - Table1[[#This Row],[Joining Date]], Table1[[#This Row],[Stop]] - Table1[[#This Row],[Joining Date]]), "")</f>
        <v>885</v>
      </c>
      <c r="BB50" t="str">
        <f>_xlfn.CONCAT(Table1[[#This Row],[t]]," ",Table1[[#This Row],[Last Name]])</f>
        <v>Iori Maeda</v>
      </c>
      <c r="BC50" t="str">
        <f>IF(OR(Table1[[#This Row],[Teacher]]="Alex",Table1[[#This Row],[Teacher]]=""), "", Table1[[#This Row],[For Salary]])</f>
        <v/>
      </c>
      <c r="BD50" t="str">
        <f>IF(OR(Table1[[#This Row],[Teacher]]="Alex",Table1[[#This Row],[Teacher]]=""), "", Table1[[#This Row],[For Amount]])</f>
        <v/>
      </c>
      <c r="BE50" t="str">
        <f>IFERROR(IF(VLOOKUP(Table1[[#This Row],[Teacher]],'Teachers Salaries'!A:C,2,FALSE)="","",VLOOKUP(Table1[[#This Row],[Teacher]],'Teachers Salaries'!A:C,2,FALSE)),"")</f>
        <v>Fixed</v>
      </c>
      <c r="BF50">
        <f>IFERROR(IF(VLOOKUP(Table1[[#This Row],[Teacher]],'Teachers Salaries'!A:C,3,FALSE)="","",VLOOKUP(Table1[[#This Row],[Teacher]],'Teachers Salaries'!A:C,3,FALSE)),"")</f>
        <v>210000</v>
      </c>
      <c r="BG50" t="str">
        <f>IFERROR(IF(Table1[[#This Row],[Pay Type]]="Fixed","-",Table1[[#This Row],[Final Group Frequency2]]*Table1[[#This Row],[Salary / Hourly Rate]]),0)</f>
        <v>-</v>
      </c>
      <c r="BH50" t="str">
        <f>IFERROR(IF(Table1[[#This Row],[Pay Type]]="Fixed","----",Table1[[#This Row],[Salary / Hourly Rate]]*Table1[[#This Row],[Final PrivateFrequency]]),0)</f>
        <v>----</v>
      </c>
      <c r="BI50" t="str">
        <f>IF(Table1[[#This Row],[Pay Type]]="Fixed","---",Table1[[#This Row],[Group Salary]]+Table1[[#This Row],[Private Salary]])</f>
        <v>---</v>
      </c>
      <c r="BJ50" t="str">
        <f>IF(OR(J50="Alex", J50=""),"", Table1[[#This Row],[For Amount]])</f>
        <v/>
      </c>
      <c r="BK50" t="str">
        <f>IFERROR(Table1[[#This Row],[Fee]]-Table1[[#This Row],[Total Salary]],"")</f>
        <v/>
      </c>
      <c r="BL50" t="e">
        <f>IF(Table1[[#This Row],[Joining Date]]="","",IF(Table1[[#This Row],[Joining Date]]&lt;='KPI+Pivot'!$CP$1,Table1[[#This Row],[Fee]],""))</f>
        <v>#N/A</v>
      </c>
      <c r="BM5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50" t="e">
        <f>IF(Table1[[#This Row],[Joining Date]]="","",IF(Table1[[#This Row],[Joining Date]]&lt;='KPI+Pivot'!$CP$1,Table1[[#This Row],[Total Salary]],""))</f>
        <v>#N/A</v>
      </c>
      <c r="BO50" t="e">
        <f>IF(Table1[[#This Row],[Joining Date]]="","",IF(Table1[[#This Row],[Joining Date]]&lt;='KPI+Pivot'!$CP$1,Table1[[#This Row],[Frequency]],""))</f>
        <v>#N/A</v>
      </c>
      <c r="BP50" s="38" t="str">
        <f>IF(Table1[[#This Row],[Stop]]="","",(IF(Table1[[#This Row],[Joining Date]]="","",IF(Table1[[#This Row],[Joining Date]]&lt;='KPI+Pivot'!$CP$1,Table1[[#This Row],[Stop]],""))))</f>
        <v/>
      </c>
    </row>
    <row r="51" spans="1:68" ht="18" customHeight="1">
      <c r="A51">
        <v>49</v>
      </c>
      <c r="B51" t="s">
        <v>103</v>
      </c>
      <c r="C51" t="s">
        <v>420</v>
      </c>
      <c r="D51" t="s">
        <v>421</v>
      </c>
      <c r="F51" t="s">
        <v>422</v>
      </c>
      <c r="G51" t="s">
        <v>423</v>
      </c>
      <c r="H51" t="s">
        <v>424</v>
      </c>
      <c r="I51" t="str">
        <f>IFERROR(HYPERLINK("#Finance!B" &amp; MATCH(A51, 'F 2025'!A:A, 0), "🔗 Go to finance"), "❌ ID introuvable")</f>
        <v>🔗 Go to finance</v>
      </c>
      <c r="J51" t="s">
        <v>109</v>
      </c>
      <c r="K51" t="s">
        <v>117</v>
      </c>
      <c r="L51" t="s">
        <v>238</v>
      </c>
      <c r="N51">
        <v>4</v>
      </c>
      <c r="O51">
        <v>6600</v>
      </c>
      <c r="T51" s="130">
        <v>43711</v>
      </c>
      <c r="V51" t="s">
        <v>425</v>
      </c>
      <c r="Y51" t="s">
        <v>426</v>
      </c>
      <c r="Z51" t="s">
        <v>75</v>
      </c>
      <c r="AD51" s="130">
        <v>43101</v>
      </c>
      <c r="AE51"/>
      <c r="AG51" t="s">
        <v>76</v>
      </c>
      <c r="AK51" t="s">
        <v>102</v>
      </c>
      <c r="AM51" s="38"/>
      <c r="AO51" t="s">
        <v>423</v>
      </c>
      <c r="AP51">
        <v>49</v>
      </c>
      <c r="AQ51" t="s">
        <v>423</v>
      </c>
      <c r="AR51" t="str">
        <f t="shared" si="2"/>
        <v>group</v>
      </c>
      <c r="AS51">
        <f t="shared" si="3"/>
        <v>4</v>
      </c>
      <c r="AT51" t="str">
        <f>IF(Table1[[#This Row],[Joining Date]]="", "", TEXT(Table1[[#This Row],[Joining Date]], "mmm"))</f>
        <v>Jan</v>
      </c>
      <c r="AU51">
        <f>IF(Table1[[#This Row],[Joining Date]]="", "", YEAR(Table1[[#This Row],[Joining Date]]))</f>
        <v>2018</v>
      </c>
      <c r="AV51" t="str">
        <f>IF(Table1[[#This Row],[Group Name]]="","", M51 &amp; Table1[[#This Row],[Teacher]])</f>
        <v/>
      </c>
      <c r="AW51" t="str">
        <f>IF(Table1[[#This Row],[Helper]]="","",IF(_xlfn.MAXIFS(AT:AT,AW:AW,Table1[[#This Row],[Helper]])=Table1[[#This Row],[Clean Frequency]],_xlfn.MAXIFS(AT:AT,AW:AW,Table1[[#This Row],[Helper]]),""))</f>
        <v/>
      </c>
      <c r="AX51" t="str">
        <f ca="1">IF(AND(AW51=_xlfn.MAXIFS(AX:AX, AW:AW, AV51), COUNTIFS(AV$3:AV51, AV51, AW$3:AW51, AW51)=1), 1, "")</f>
        <v/>
      </c>
      <c r="AY51" t="str">
        <f>IF(Table1[[#This Row],[lesson type]]="private",Table1[[#This Row],[Clean Frequency]],"")</f>
        <v/>
      </c>
      <c r="AZ51" t="str">
        <f ca="1">IF(Table1[[#This Row],[First Occurrence]]=1,Table1[[#This Row],[Group Frequency]],"")</f>
        <v/>
      </c>
      <c r="BA51">
        <f ca="1">IF(B51="Y", IF(Table1[[#This Row],[Stop]]="", TODAY() - Table1[[#This Row],[Joining Date]], Table1[[#This Row],[Stop]] - Table1[[#This Row],[Joining Date]]), "")</f>
        <v>3076</v>
      </c>
      <c r="BB51" t="str">
        <f>_xlfn.CONCAT(Table1[[#This Row],[t]]," ",Table1[[#This Row],[Last Name]])</f>
        <v>Itsuki Ono</v>
      </c>
      <c r="BC51" t="str">
        <f>IF(OR(Table1[[#This Row],[Teacher]]="Alex",Table1[[#This Row],[Teacher]]=""), "", Table1[[#This Row],[For Salary]])</f>
        <v/>
      </c>
      <c r="BD51" t="str">
        <f>IF(OR(Table1[[#This Row],[Teacher]]="Alex",Table1[[#This Row],[Teacher]]=""), "", Table1[[#This Row],[For Amount]])</f>
        <v/>
      </c>
      <c r="BE51" t="str">
        <f>IFERROR(IF(VLOOKUP(Table1[[#This Row],[Teacher]],'Teachers Salaries'!A:C,2,FALSE)="","",VLOOKUP(Table1[[#This Row],[Teacher]],'Teachers Salaries'!A:C,2,FALSE)),"")</f>
        <v>Fixed</v>
      </c>
      <c r="BF51">
        <f>IFERROR(IF(VLOOKUP(Table1[[#This Row],[Teacher]],'Teachers Salaries'!A:C,3,FALSE)="","",VLOOKUP(Table1[[#This Row],[Teacher]],'Teachers Salaries'!A:C,3,FALSE)),"")</f>
        <v>210000</v>
      </c>
      <c r="BG51" t="str">
        <f>IFERROR(IF(Table1[[#This Row],[Pay Type]]="Fixed","-",Table1[[#This Row],[Final Group Frequency2]]*Table1[[#This Row],[Salary / Hourly Rate]]),0)</f>
        <v>-</v>
      </c>
      <c r="BH51" t="str">
        <f>IFERROR(IF(Table1[[#This Row],[Pay Type]]="Fixed","----",Table1[[#This Row],[Salary / Hourly Rate]]*Table1[[#This Row],[Final PrivateFrequency]]),0)</f>
        <v>----</v>
      </c>
      <c r="BI51" t="str">
        <f>IF(Table1[[#This Row],[Pay Type]]="Fixed","---",Table1[[#This Row],[Group Salary]]+Table1[[#This Row],[Private Salary]])</f>
        <v>---</v>
      </c>
      <c r="BJ51" t="str">
        <f>IF(OR(J51="Alex", J51=""),"", Table1[[#This Row],[For Amount]])</f>
        <v/>
      </c>
      <c r="BK51" t="str">
        <f>IFERROR(Table1[[#This Row],[Fee]]-Table1[[#This Row],[Total Salary]],"")</f>
        <v/>
      </c>
      <c r="BL51" t="e">
        <f>IF(Table1[[#This Row],[Joining Date]]="","",IF(Table1[[#This Row],[Joining Date]]&lt;='KPI+Pivot'!$CP$1,Table1[[#This Row],[Fee]],""))</f>
        <v>#N/A</v>
      </c>
      <c r="BM5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51" t="e">
        <f>IF(Table1[[#This Row],[Joining Date]]="","",IF(Table1[[#This Row],[Joining Date]]&lt;='KPI+Pivot'!$CP$1,Table1[[#This Row],[Total Salary]],""))</f>
        <v>#N/A</v>
      </c>
      <c r="BO51" t="e">
        <f>IF(Table1[[#This Row],[Joining Date]]="","",IF(Table1[[#This Row],[Joining Date]]&lt;='KPI+Pivot'!$CP$1,Table1[[#This Row],[Frequency]],""))</f>
        <v>#N/A</v>
      </c>
      <c r="BP51" s="38" t="str">
        <f>IF(Table1[[#This Row],[Stop]]="","",(IF(Table1[[#This Row],[Joining Date]]="","",IF(Table1[[#This Row],[Joining Date]]&lt;='KPI+Pivot'!$CP$1,Table1[[#This Row],[Stop]],""))))</f>
        <v/>
      </c>
    </row>
    <row r="52" spans="1:68" ht="22.9" customHeight="1">
      <c r="B52" t="s">
        <v>66</v>
      </c>
      <c r="C52" t="s">
        <v>427</v>
      </c>
      <c r="D52" t="s">
        <v>428</v>
      </c>
      <c r="F52" t="s">
        <v>429</v>
      </c>
      <c r="G52" t="s">
        <v>430</v>
      </c>
      <c r="H52" t="s">
        <v>431</v>
      </c>
      <c r="I52" t="str">
        <f>IFERROR(HYPERLINK("#Finance!B" &amp; MATCH(A52, 'F 2025'!A:A, 0), "🔗 Go to finance"), "❌ ID introuvable")</f>
        <v>❌ ID introuvable</v>
      </c>
      <c r="L52" t="s">
        <v>90</v>
      </c>
      <c r="V52" t="s">
        <v>432</v>
      </c>
      <c r="Y52" t="s">
        <v>433</v>
      </c>
      <c r="Z52" t="s">
        <v>75</v>
      </c>
      <c r="AB52" t="s">
        <v>434</v>
      </c>
      <c r="AD52" s="130"/>
      <c r="AE52"/>
      <c r="AG52" t="s">
        <v>76</v>
      </c>
      <c r="AI52" t="s">
        <v>434</v>
      </c>
      <c r="AK52" t="s">
        <v>435</v>
      </c>
      <c r="AM52" s="38"/>
      <c r="AO52" t="s">
        <v>430</v>
      </c>
      <c r="AR52" t="str">
        <f t="shared" si="2"/>
        <v/>
      </c>
      <c r="AS52" t="str">
        <f t="shared" si="3"/>
        <v/>
      </c>
      <c r="AT52" t="str">
        <f>IF(Table1[[#This Row],[Joining Date]]="", "", TEXT(Table1[[#This Row],[Joining Date]], "mmm"))</f>
        <v/>
      </c>
      <c r="AU52" t="str">
        <f>IF(Table1[[#This Row],[Joining Date]]="", "", YEAR(Table1[[#This Row],[Joining Date]]))</f>
        <v/>
      </c>
      <c r="AV52" t="str">
        <f>IF(Table1[[#This Row],[Group Name]]="","", M52 &amp; Table1[[#This Row],[Teacher]])</f>
        <v/>
      </c>
      <c r="AW52" t="str">
        <f>IF(Table1[[#This Row],[Helper]]="","",IF(_xlfn.MAXIFS(AT:AT,AW:AW,Table1[[#This Row],[Helper]])=Table1[[#This Row],[Clean Frequency]],_xlfn.MAXIFS(AT:AT,AW:AW,Table1[[#This Row],[Helper]]),""))</f>
        <v/>
      </c>
      <c r="AX52" t="str">
        <f ca="1">IF(AND(AW52=_xlfn.MAXIFS(AX:AX, AW:AW, AV52), COUNTIFS(AV$3:AV52, AV52, AW$3:AW52, AW52)=1), 1, "")</f>
        <v/>
      </c>
      <c r="AY52" t="str">
        <f>IF(Table1[[#This Row],[lesson type]]="private",Table1[[#This Row],[Clean Frequency]],"")</f>
        <v/>
      </c>
      <c r="AZ52" t="str">
        <f ca="1">IF(Table1[[#This Row],[First Occurrence]]=1,Table1[[#This Row],[Group Frequency]],"")</f>
        <v/>
      </c>
      <c r="BA52" t="str">
        <f ca="1">IF(B52="Y", IF(Table1[[#This Row],[Stop]]="", TODAY() - Table1[[#This Row],[Joining Date]], Table1[[#This Row],[Stop]] - Table1[[#This Row],[Joining Date]]), "")</f>
        <v/>
      </c>
      <c r="BB52" t="str">
        <f>_xlfn.CONCAT(Table1[[#This Row],[t]]," ",Table1[[#This Row],[Last Name]])</f>
        <v>Kaho Tokieda</v>
      </c>
      <c r="BC52" t="str">
        <f>IF(OR(Table1[[#This Row],[Teacher]]="Alex",Table1[[#This Row],[Teacher]]=""), "", Table1[[#This Row],[For Salary]])</f>
        <v/>
      </c>
      <c r="BD52" t="str">
        <f>IF(OR(Table1[[#This Row],[Teacher]]="Alex",Table1[[#This Row],[Teacher]]=""), "", Table1[[#This Row],[For Amount]])</f>
        <v/>
      </c>
      <c r="BE52" t="str">
        <f>IFERROR(IF(VLOOKUP(Table1[[#This Row],[Teacher]],'Teachers Salaries'!A:C,2,FALSE)="","",VLOOKUP(Table1[[#This Row],[Teacher]],'Teachers Salaries'!A:C,2,FALSE)),"")</f>
        <v/>
      </c>
      <c r="BF52" t="str">
        <f>IFERROR(IF(VLOOKUP(Table1[[#This Row],[Teacher]],'Teachers Salaries'!A:C,3,FALSE)="","",VLOOKUP(Table1[[#This Row],[Teacher]],'Teachers Salaries'!A:C,3,FALSE)),"")</f>
        <v/>
      </c>
      <c r="BG52">
        <f ca="1">IFERROR(IF(Table1[[#This Row],[Pay Type]]="Fixed","-",Table1[[#This Row],[Final Group Frequency2]]*Table1[[#This Row],[Salary / Hourly Rate]]),0)</f>
        <v>0</v>
      </c>
      <c r="BH52">
        <f>IFERROR(IF(Table1[[#This Row],[Pay Type]]="Fixed","----",Table1[[#This Row],[Salary / Hourly Rate]]*Table1[[#This Row],[Final PrivateFrequency]]),0)</f>
        <v>0</v>
      </c>
      <c r="BI52">
        <f ca="1">IF(Table1[[#This Row],[Pay Type]]="Fixed","---",Table1[[#This Row],[Group Salary]]+Table1[[#This Row],[Private Salary]])</f>
        <v>0</v>
      </c>
      <c r="BJ52" t="str">
        <f>IF(OR(J52="Alex", J52=""),"", Table1[[#This Row],[For Amount]])</f>
        <v/>
      </c>
      <c r="BK52">
        <f ca="1">IFERROR(Table1[[#This Row],[Fee]]-Table1[[#This Row],[Total Salary]],"")</f>
        <v>0</v>
      </c>
      <c r="BL52" t="str">
        <f>IF(Table1[[#This Row],[Joining Date]]="","",IF(Table1[[#This Row],[Joining Date]]&lt;='KPI+Pivot'!$CP$1,Table1[[#This Row],[Fee]],""))</f>
        <v/>
      </c>
      <c r="BM5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2" t="str">
        <f>IF(Table1[[#This Row],[Joining Date]]="","",IF(Table1[[#This Row],[Joining Date]]&lt;='KPI+Pivot'!$CP$1,Table1[[#This Row],[Total Salary]],""))</f>
        <v/>
      </c>
      <c r="BO52" t="str">
        <f>IF(Table1[[#This Row],[Joining Date]]="","",IF(Table1[[#This Row],[Joining Date]]&lt;='KPI+Pivot'!$CP$1,Table1[[#This Row],[Frequency]],""))</f>
        <v/>
      </c>
      <c r="BP52" s="38" t="str">
        <f>IF(Table1[[#This Row],[Stop]]="","",(IF(Table1[[#This Row],[Joining Date]]="","",IF(Table1[[#This Row],[Joining Date]]&lt;='KPI+Pivot'!$CP$1,Table1[[#This Row],[Stop]],""))))</f>
        <v/>
      </c>
    </row>
    <row r="53" spans="1:68" ht="22.9" customHeight="1">
      <c r="B53" t="s">
        <v>66</v>
      </c>
      <c r="C53" t="s">
        <v>436</v>
      </c>
      <c r="D53" t="s">
        <v>437</v>
      </c>
      <c r="F53" t="s">
        <v>438</v>
      </c>
      <c r="G53" t="s">
        <v>439</v>
      </c>
      <c r="H53" t="s">
        <v>440</v>
      </c>
      <c r="I53" t="str">
        <f>IFERROR(HYPERLINK("#Finance!B" &amp; MATCH(A53, 'F 2025'!A:A, 0), "🔗 Go to finance"), "❌ ID introuvable")</f>
        <v>❌ ID introuvable</v>
      </c>
      <c r="V53" t="s">
        <v>441</v>
      </c>
      <c r="Y53">
        <v>9059443268</v>
      </c>
      <c r="Z53" t="s">
        <v>75</v>
      </c>
      <c r="AB53" t="s">
        <v>442</v>
      </c>
      <c r="AD53" s="130"/>
      <c r="AE53"/>
      <c r="AG53" t="s">
        <v>76</v>
      </c>
      <c r="AI53" t="s">
        <v>442</v>
      </c>
      <c r="AK53" t="s">
        <v>182</v>
      </c>
      <c r="AM53" s="38">
        <v>45716</v>
      </c>
      <c r="AO53" t="s">
        <v>439</v>
      </c>
      <c r="AR53" t="str">
        <f t="shared" si="2"/>
        <v/>
      </c>
      <c r="AS53" t="str">
        <f t="shared" si="3"/>
        <v/>
      </c>
      <c r="AT53" t="str">
        <f>IF(Table1[[#This Row],[Joining Date]]="", "", TEXT(Table1[[#This Row],[Joining Date]], "mmm"))</f>
        <v/>
      </c>
      <c r="AU53" t="str">
        <f>IF(Table1[[#This Row],[Joining Date]]="", "", YEAR(Table1[[#This Row],[Joining Date]]))</f>
        <v/>
      </c>
      <c r="AV53" t="str">
        <f>IF(Table1[[#This Row],[Group Name]]="","", M53 &amp; Table1[[#This Row],[Teacher]])</f>
        <v/>
      </c>
      <c r="AW53" t="str">
        <f>IF(Table1[[#This Row],[Helper]]="","",IF(_xlfn.MAXIFS(AT:AT,AW:AW,Table1[[#This Row],[Helper]])=Table1[[#This Row],[Clean Frequency]],_xlfn.MAXIFS(AT:AT,AW:AW,Table1[[#This Row],[Helper]]),""))</f>
        <v/>
      </c>
      <c r="AX53" t="str">
        <f ca="1">IF(AND(AW53=_xlfn.MAXIFS(AX:AX, AW:AW, AV53), COUNTIFS(AV$3:AV53, AV53, AW$3:AW53, AW53)=1), 1, "")</f>
        <v/>
      </c>
      <c r="AY53" t="str">
        <f>IF(Table1[[#This Row],[lesson type]]="private",Table1[[#This Row],[Clean Frequency]],"")</f>
        <v/>
      </c>
      <c r="AZ53" t="str">
        <f ca="1">IF(Table1[[#This Row],[First Occurrence]]=1,Table1[[#This Row],[Group Frequency]],"")</f>
        <v/>
      </c>
      <c r="BA53" t="str">
        <f ca="1">IF(B53="Y", IF(Table1[[#This Row],[Stop]]="", TODAY() - Table1[[#This Row],[Joining Date]], Table1[[#This Row],[Stop]] - Table1[[#This Row],[Joining Date]]), "")</f>
        <v/>
      </c>
      <c r="BB53" t="str">
        <f>_xlfn.CONCAT(Table1[[#This Row],[t]]," ",Table1[[#This Row],[Last Name]])</f>
        <v>Kai Toriyama</v>
      </c>
      <c r="BC53" t="str">
        <f>IF(OR(Table1[[#This Row],[Teacher]]="Alex",Table1[[#This Row],[Teacher]]=""), "", Table1[[#This Row],[For Salary]])</f>
        <v/>
      </c>
      <c r="BD53" t="str">
        <f>IF(OR(Table1[[#This Row],[Teacher]]="Alex",Table1[[#This Row],[Teacher]]=""), "", Table1[[#This Row],[For Amount]])</f>
        <v/>
      </c>
      <c r="BE53" t="str">
        <f>IFERROR(IF(VLOOKUP(Table1[[#This Row],[Teacher]],'Teachers Salaries'!A:C,2,FALSE)="","",VLOOKUP(Table1[[#This Row],[Teacher]],'Teachers Salaries'!A:C,2,FALSE)),"")</f>
        <v/>
      </c>
      <c r="BF53" t="str">
        <f>IFERROR(IF(VLOOKUP(Table1[[#This Row],[Teacher]],'Teachers Salaries'!A:C,3,FALSE)="","",VLOOKUP(Table1[[#This Row],[Teacher]],'Teachers Salaries'!A:C,3,FALSE)),"")</f>
        <v/>
      </c>
      <c r="BG53">
        <f ca="1">IFERROR(IF(Table1[[#This Row],[Pay Type]]="Fixed","-",Table1[[#This Row],[Final Group Frequency2]]*Table1[[#This Row],[Salary / Hourly Rate]]),0)</f>
        <v>0</v>
      </c>
      <c r="BH53">
        <f>IFERROR(IF(Table1[[#This Row],[Pay Type]]="Fixed","----",Table1[[#This Row],[Salary / Hourly Rate]]*Table1[[#This Row],[Final PrivateFrequency]]),0)</f>
        <v>0</v>
      </c>
      <c r="BI53">
        <f ca="1">IF(Table1[[#This Row],[Pay Type]]="Fixed","---",Table1[[#This Row],[Group Salary]]+Table1[[#This Row],[Private Salary]])</f>
        <v>0</v>
      </c>
      <c r="BJ53" t="str">
        <f>IF(OR(J53="Alex", J53=""),"", Table1[[#This Row],[For Amount]])</f>
        <v/>
      </c>
      <c r="BK53">
        <f ca="1">IFERROR(Table1[[#This Row],[Fee]]-Table1[[#This Row],[Total Salary]],"")</f>
        <v>0</v>
      </c>
      <c r="BL53" t="str">
        <f>IF(Table1[[#This Row],[Joining Date]]="","",IF(Table1[[#This Row],[Joining Date]]&lt;='KPI+Pivot'!$CP$1,Table1[[#This Row],[Fee]],""))</f>
        <v/>
      </c>
      <c r="BM5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3" t="str">
        <f>IF(Table1[[#This Row],[Joining Date]]="","",IF(Table1[[#This Row],[Joining Date]]&lt;='KPI+Pivot'!$CP$1,Table1[[#This Row],[Total Salary]],""))</f>
        <v/>
      </c>
      <c r="BO53" t="str">
        <f>IF(Table1[[#This Row],[Joining Date]]="","",IF(Table1[[#This Row],[Joining Date]]&lt;='KPI+Pivot'!$CP$1,Table1[[#This Row],[Frequency]],""))</f>
        <v/>
      </c>
      <c r="BP53" s="38" t="str">
        <f>IF(Table1[[#This Row],[Stop]]="","",(IF(Table1[[#This Row],[Joining Date]]="","",IF(Table1[[#This Row],[Joining Date]]&lt;='KPI+Pivot'!$CP$1,Table1[[#This Row],[Stop]],""))))</f>
        <v/>
      </c>
    </row>
    <row r="54" spans="1:68" ht="22.9" customHeight="1">
      <c r="B54" t="s">
        <v>66</v>
      </c>
      <c r="C54" t="s">
        <v>443</v>
      </c>
      <c r="D54" t="s">
        <v>444</v>
      </c>
      <c r="F54" t="s">
        <v>445</v>
      </c>
      <c r="G54" t="s">
        <v>446</v>
      </c>
      <c r="H54" t="s">
        <v>447</v>
      </c>
      <c r="I54" t="str">
        <f>IFERROR(HYPERLINK("#Finance!B" &amp; MATCH(A54, 'F 2025'!A:A, 0), "🔗 Go to finance"), "❌ ID introuvable")</f>
        <v>❌ ID introuvable</v>
      </c>
      <c r="L54" t="s">
        <v>72</v>
      </c>
      <c r="V54" t="s">
        <v>448</v>
      </c>
      <c r="Y54" t="s">
        <v>449</v>
      </c>
      <c r="Z54" t="s">
        <v>75</v>
      </c>
      <c r="AD54" s="130"/>
      <c r="AE54"/>
      <c r="AG54" t="s">
        <v>76</v>
      </c>
      <c r="AK54" t="s">
        <v>450</v>
      </c>
      <c r="AM54" s="38"/>
      <c r="AO54" t="s">
        <v>446</v>
      </c>
      <c r="AR54" t="str">
        <f t="shared" si="2"/>
        <v/>
      </c>
      <c r="AS54" t="str">
        <f t="shared" si="3"/>
        <v/>
      </c>
      <c r="AT54" t="str">
        <f>IF(Table1[[#This Row],[Joining Date]]="", "", TEXT(Table1[[#This Row],[Joining Date]], "mmm"))</f>
        <v/>
      </c>
      <c r="AU54" t="str">
        <f>IF(Table1[[#This Row],[Joining Date]]="", "", YEAR(Table1[[#This Row],[Joining Date]]))</f>
        <v/>
      </c>
      <c r="AV54" t="str">
        <f>IF(Table1[[#This Row],[Group Name]]="","", M54 &amp; Table1[[#This Row],[Teacher]])</f>
        <v/>
      </c>
      <c r="AW54" t="str">
        <f>IF(Table1[[#This Row],[Helper]]="","",IF(_xlfn.MAXIFS(AT:AT,AW:AW,Table1[[#This Row],[Helper]])=Table1[[#This Row],[Clean Frequency]],_xlfn.MAXIFS(AT:AT,AW:AW,Table1[[#This Row],[Helper]]),""))</f>
        <v/>
      </c>
      <c r="AX54" t="str">
        <f ca="1">IF(AND(AW54=_xlfn.MAXIFS(AX:AX, AW:AW, AV54), COUNTIFS(AV$3:AV54, AV54, AW$3:AW54, AW54)=1), 1, "")</f>
        <v/>
      </c>
      <c r="AY54" t="str">
        <f>IF(Table1[[#This Row],[lesson type]]="private",Table1[[#This Row],[Clean Frequency]],"")</f>
        <v/>
      </c>
      <c r="AZ54" t="str">
        <f ca="1">IF(Table1[[#This Row],[First Occurrence]]=1,Table1[[#This Row],[Group Frequency]],"")</f>
        <v/>
      </c>
      <c r="BA54" t="str">
        <f ca="1">IF(B54="Y", IF(Table1[[#This Row],[Stop]]="", TODAY() - Table1[[#This Row],[Joining Date]], Table1[[#This Row],[Stop]] - Table1[[#This Row],[Joining Date]]), "")</f>
        <v/>
      </c>
      <c r="BB54" t="str">
        <f>_xlfn.CONCAT(Table1[[#This Row],[t]]," ",Table1[[#This Row],[Last Name]])</f>
        <v>Kaito Takaji</v>
      </c>
      <c r="BC54" t="str">
        <f>IF(OR(Table1[[#This Row],[Teacher]]="Alex",Table1[[#This Row],[Teacher]]=""), "", Table1[[#This Row],[For Salary]])</f>
        <v/>
      </c>
      <c r="BD54" t="str">
        <f>IF(OR(Table1[[#This Row],[Teacher]]="Alex",Table1[[#This Row],[Teacher]]=""), "", Table1[[#This Row],[For Amount]])</f>
        <v/>
      </c>
      <c r="BE54" t="str">
        <f>IFERROR(IF(VLOOKUP(Table1[[#This Row],[Teacher]],'Teachers Salaries'!A:C,2,FALSE)="","",VLOOKUP(Table1[[#This Row],[Teacher]],'Teachers Salaries'!A:C,2,FALSE)),"")</f>
        <v/>
      </c>
      <c r="BF54" t="str">
        <f>IFERROR(IF(VLOOKUP(Table1[[#This Row],[Teacher]],'Teachers Salaries'!A:C,3,FALSE)="","",VLOOKUP(Table1[[#This Row],[Teacher]],'Teachers Salaries'!A:C,3,FALSE)),"")</f>
        <v/>
      </c>
      <c r="BG54">
        <f ca="1">IFERROR(IF(Table1[[#This Row],[Pay Type]]="Fixed","-",Table1[[#This Row],[Final Group Frequency2]]*Table1[[#This Row],[Salary / Hourly Rate]]),0)</f>
        <v>0</v>
      </c>
      <c r="BH54">
        <f>IFERROR(IF(Table1[[#This Row],[Pay Type]]="Fixed","----",Table1[[#This Row],[Salary / Hourly Rate]]*Table1[[#This Row],[Final PrivateFrequency]]),0)</f>
        <v>0</v>
      </c>
      <c r="BI54">
        <f ca="1">IF(Table1[[#This Row],[Pay Type]]="Fixed","---",Table1[[#This Row],[Group Salary]]+Table1[[#This Row],[Private Salary]])</f>
        <v>0</v>
      </c>
      <c r="BJ54" t="str">
        <f>IF(OR(J54="Alex", J54=""),"", Table1[[#This Row],[For Amount]])</f>
        <v/>
      </c>
      <c r="BK54">
        <f ca="1">IFERROR(Table1[[#This Row],[Fee]]-Table1[[#This Row],[Total Salary]],"")</f>
        <v>0</v>
      </c>
      <c r="BL54" t="str">
        <f>IF(Table1[[#This Row],[Joining Date]]="","",IF(Table1[[#This Row],[Joining Date]]&lt;='KPI+Pivot'!$CP$1,Table1[[#This Row],[Fee]],""))</f>
        <v/>
      </c>
      <c r="BM5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4" t="str">
        <f>IF(Table1[[#This Row],[Joining Date]]="","",IF(Table1[[#This Row],[Joining Date]]&lt;='KPI+Pivot'!$CP$1,Table1[[#This Row],[Total Salary]],""))</f>
        <v/>
      </c>
      <c r="BO54" t="str">
        <f>IF(Table1[[#This Row],[Joining Date]]="","",IF(Table1[[#This Row],[Joining Date]]&lt;='KPI+Pivot'!$CP$1,Table1[[#This Row],[Frequency]],""))</f>
        <v/>
      </c>
      <c r="BP54" s="38" t="str">
        <f>IF(Table1[[#This Row],[Stop]]="","",(IF(Table1[[#This Row],[Joining Date]]="","",IF(Table1[[#This Row],[Joining Date]]&lt;='KPI+Pivot'!$CP$1,Table1[[#This Row],[Stop]],""))))</f>
        <v/>
      </c>
    </row>
    <row r="55" spans="1:68" ht="22.9" customHeight="1">
      <c r="B55" t="s">
        <v>66</v>
      </c>
      <c r="C55" t="s">
        <v>443</v>
      </c>
      <c r="D55" t="s">
        <v>451</v>
      </c>
      <c r="F55" t="s">
        <v>452</v>
      </c>
      <c r="G55" t="s">
        <v>453</v>
      </c>
      <c r="H55" t="s">
        <v>454</v>
      </c>
      <c r="I55" t="str">
        <f>IFERROR(HYPERLINK("#Finance!B" &amp; MATCH(A55, 'F 2025'!A:A, 0), "🔗 Go to finance"), "❌ ID introuvable")</f>
        <v>❌ ID introuvable</v>
      </c>
      <c r="L55" t="s">
        <v>132</v>
      </c>
      <c r="V55" t="s">
        <v>455</v>
      </c>
      <c r="Y55" t="s">
        <v>456</v>
      </c>
      <c r="Z55" t="s">
        <v>75</v>
      </c>
      <c r="AB55" t="s">
        <v>457</v>
      </c>
      <c r="AD55" s="130"/>
      <c r="AE55"/>
      <c r="AG55" t="s">
        <v>76</v>
      </c>
      <c r="AI55" t="s">
        <v>457</v>
      </c>
      <c r="AK55" t="s">
        <v>458</v>
      </c>
      <c r="AM55" s="38"/>
      <c r="AO55" t="s">
        <v>453</v>
      </c>
      <c r="AR55" t="str">
        <f t="shared" si="2"/>
        <v/>
      </c>
      <c r="AS55" t="str">
        <f t="shared" si="3"/>
        <v/>
      </c>
      <c r="AT55" t="str">
        <f>IF(Table1[[#This Row],[Joining Date]]="", "", TEXT(Table1[[#This Row],[Joining Date]], "mmm"))</f>
        <v/>
      </c>
      <c r="AU55" t="str">
        <f>IF(Table1[[#This Row],[Joining Date]]="", "", YEAR(Table1[[#This Row],[Joining Date]]))</f>
        <v/>
      </c>
      <c r="AV55" t="str">
        <f>IF(Table1[[#This Row],[Group Name]]="","", M55 &amp; Table1[[#This Row],[Teacher]])</f>
        <v/>
      </c>
      <c r="AW55" t="str">
        <f>IF(Table1[[#This Row],[Helper]]="","",IF(_xlfn.MAXIFS(AT:AT,AW:AW,Table1[[#This Row],[Helper]])=Table1[[#This Row],[Clean Frequency]],_xlfn.MAXIFS(AT:AT,AW:AW,Table1[[#This Row],[Helper]]),""))</f>
        <v/>
      </c>
      <c r="AX55" t="str">
        <f ca="1">IF(AND(AW55=_xlfn.MAXIFS(AX:AX, AW:AW, AV55), COUNTIFS(AV$3:AV55, AV55, AW$3:AW55, AW55)=1), 1, "")</f>
        <v/>
      </c>
      <c r="AY55" t="str">
        <f>IF(Table1[[#This Row],[lesson type]]="private",Table1[[#This Row],[Clean Frequency]],"")</f>
        <v/>
      </c>
      <c r="AZ55" t="str">
        <f ca="1">IF(Table1[[#This Row],[First Occurrence]]=1,Table1[[#This Row],[Group Frequency]],"")</f>
        <v/>
      </c>
      <c r="BA55" t="str">
        <f ca="1">IF(B55="Y", IF(Table1[[#This Row],[Stop]]="", TODAY() - Table1[[#This Row],[Joining Date]], Table1[[#This Row],[Stop]] - Table1[[#This Row],[Joining Date]]), "")</f>
        <v/>
      </c>
      <c r="BB55" t="str">
        <f>_xlfn.CONCAT(Table1[[#This Row],[t]]," ",Table1[[#This Row],[Last Name]])</f>
        <v>Kaito Uetsuki</v>
      </c>
      <c r="BC55" t="str">
        <f>IF(OR(Table1[[#This Row],[Teacher]]="Alex",Table1[[#This Row],[Teacher]]=""), "", Table1[[#This Row],[For Salary]])</f>
        <v/>
      </c>
      <c r="BD55" t="str">
        <f>IF(OR(Table1[[#This Row],[Teacher]]="Alex",Table1[[#This Row],[Teacher]]=""), "", Table1[[#This Row],[For Amount]])</f>
        <v/>
      </c>
      <c r="BE55" t="str">
        <f>IFERROR(IF(VLOOKUP(Table1[[#This Row],[Teacher]],'Teachers Salaries'!A:C,2,FALSE)="","",VLOOKUP(Table1[[#This Row],[Teacher]],'Teachers Salaries'!A:C,2,FALSE)),"")</f>
        <v/>
      </c>
      <c r="BF55" t="str">
        <f>IFERROR(IF(VLOOKUP(Table1[[#This Row],[Teacher]],'Teachers Salaries'!A:C,3,FALSE)="","",VLOOKUP(Table1[[#This Row],[Teacher]],'Teachers Salaries'!A:C,3,FALSE)),"")</f>
        <v/>
      </c>
      <c r="BG55">
        <f ca="1">IFERROR(IF(Table1[[#This Row],[Pay Type]]="Fixed","-",Table1[[#This Row],[Final Group Frequency2]]*Table1[[#This Row],[Salary / Hourly Rate]]),0)</f>
        <v>0</v>
      </c>
      <c r="BH55">
        <f>IFERROR(IF(Table1[[#This Row],[Pay Type]]="Fixed","----",Table1[[#This Row],[Salary / Hourly Rate]]*Table1[[#This Row],[Final PrivateFrequency]]),0)</f>
        <v>0</v>
      </c>
      <c r="BI55">
        <f ca="1">IF(Table1[[#This Row],[Pay Type]]="Fixed","---",Table1[[#This Row],[Group Salary]]+Table1[[#This Row],[Private Salary]])</f>
        <v>0</v>
      </c>
      <c r="BJ55" t="str">
        <f>IF(OR(J55="Alex", J55=""),"", Table1[[#This Row],[For Amount]])</f>
        <v/>
      </c>
      <c r="BK55">
        <f ca="1">IFERROR(Table1[[#This Row],[Fee]]-Table1[[#This Row],[Total Salary]],"")</f>
        <v>0</v>
      </c>
      <c r="BL55" t="str">
        <f>IF(Table1[[#This Row],[Joining Date]]="","",IF(Table1[[#This Row],[Joining Date]]&lt;='KPI+Pivot'!$CP$1,Table1[[#This Row],[Fee]],""))</f>
        <v/>
      </c>
      <c r="BM5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5" t="str">
        <f>IF(Table1[[#This Row],[Joining Date]]="","",IF(Table1[[#This Row],[Joining Date]]&lt;='KPI+Pivot'!$CP$1,Table1[[#This Row],[Total Salary]],""))</f>
        <v/>
      </c>
      <c r="BO55" t="str">
        <f>IF(Table1[[#This Row],[Joining Date]]="","",IF(Table1[[#This Row],[Joining Date]]&lt;='KPI+Pivot'!$CP$1,Table1[[#This Row],[Frequency]],""))</f>
        <v/>
      </c>
      <c r="BP55" s="38" t="str">
        <f>IF(Table1[[#This Row],[Stop]]="","",(IF(Table1[[#This Row],[Joining Date]]="","",IF(Table1[[#This Row],[Joining Date]]&lt;='KPI+Pivot'!$CP$1,Table1[[#This Row],[Stop]],""))))</f>
        <v/>
      </c>
    </row>
    <row r="56" spans="1:68" ht="18" customHeight="1">
      <c r="B56" t="s">
        <v>66</v>
      </c>
      <c r="C56" t="s">
        <v>459</v>
      </c>
      <c r="D56" t="s">
        <v>460</v>
      </c>
      <c r="F56" t="s">
        <v>461</v>
      </c>
      <c r="G56" t="s">
        <v>462</v>
      </c>
      <c r="H56" t="s">
        <v>463</v>
      </c>
      <c r="I56" t="str">
        <f>IFERROR(HYPERLINK("#Finance!B" &amp; MATCH(A56, 'F 2025'!A:A, 0), "🔗 Go to finance"), "❌ ID introuvable")</f>
        <v>❌ ID introuvable</v>
      </c>
      <c r="J56" t="s">
        <v>196</v>
      </c>
      <c r="K56" t="s">
        <v>110</v>
      </c>
      <c r="L56" t="s">
        <v>464</v>
      </c>
      <c r="N56">
        <v>4</v>
      </c>
      <c r="O56">
        <v>19800</v>
      </c>
      <c r="V56" t="s">
        <v>465</v>
      </c>
      <c r="Y56" t="s">
        <v>466</v>
      </c>
      <c r="Z56" t="s">
        <v>75</v>
      </c>
      <c r="AB56" t="s">
        <v>467</v>
      </c>
      <c r="AD56" s="130">
        <v>44301</v>
      </c>
      <c r="AE56"/>
      <c r="AG56" t="s">
        <v>76</v>
      </c>
      <c r="AI56" t="s">
        <v>467</v>
      </c>
      <c r="AK56" t="s">
        <v>362</v>
      </c>
      <c r="AM56" s="38">
        <v>45808</v>
      </c>
      <c r="AO56" t="s">
        <v>462</v>
      </c>
      <c r="AR56" t="str">
        <f t="shared" si="2"/>
        <v>private</v>
      </c>
      <c r="AS56">
        <f t="shared" si="3"/>
        <v>4</v>
      </c>
      <c r="AT56" t="str">
        <f>IF(Table1[[#This Row],[Joining Date]]="", "", TEXT(Table1[[#This Row],[Joining Date]], "mmm"))</f>
        <v>Apr</v>
      </c>
      <c r="AU56">
        <f>IF(Table1[[#This Row],[Joining Date]]="", "", YEAR(Table1[[#This Row],[Joining Date]]))</f>
        <v>2021</v>
      </c>
      <c r="AV56" t="str">
        <f>IF(Table1[[#This Row],[Group Name]]="","", M56 &amp; Table1[[#This Row],[Teacher]])</f>
        <v/>
      </c>
      <c r="AW56" t="str">
        <f>IF(Table1[[#This Row],[Helper]]="","",IF(_xlfn.MAXIFS(AT:AT,AW:AW,Table1[[#This Row],[Helper]])=Table1[[#This Row],[Clean Frequency]],_xlfn.MAXIFS(AT:AT,AW:AW,Table1[[#This Row],[Helper]]),""))</f>
        <v/>
      </c>
      <c r="AX56" t="str">
        <f ca="1">IF(AND(AW56=_xlfn.MAXIFS(AX:AX, AW:AW, AV56), COUNTIFS(AV$3:AV56, AV56, AW$3:AW56, AW56)=1), 1, "")</f>
        <v/>
      </c>
      <c r="AY56">
        <f>IF(Table1[[#This Row],[lesson type]]="private",Table1[[#This Row],[Clean Frequency]],"")</f>
        <v>4</v>
      </c>
      <c r="AZ56" t="str">
        <f ca="1">IF(Table1[[#This Row],[First Occurrence]]=1,Table1[[#This Row],[Group Frequency]],"")</f>
        <v/>
      </c>
      <c r="BA56" t="str">
        <f ca="1">IF(B56="Y", IF(Table1[[#This Row],[Stop]]="", TODAY() - Table1[[#This Row],[Joining Date]], Table1[[#This Row],[Stop]] - Table1[[#This Row],[Joining Date]]), "")</f>
        <v/>
      </c>
      <c r="BB56" t="str">
        <f>_xlfn.CONCAT(Table1[[#This Row],[t]]," ",Table1[[#This Row],[Last Name]])</f>
        <v>Kanon Mizukami</v>
      </c>
      <c r="BC56" t="e">
        <f>IF(OR(Table1[[#This Row],[Teacher]]="Alex",Table1[[#This Row],[Teacher]]=""), "", Table1[[#This Row],[For Salary]])</f>
        <v>#N/A</v>
      </c>
      <c r="BD56" t="e">
        <f>IF(OR(Table1[[#This Row],[Teacher]]="Alex",Table1[[#This Row],[Teacher]]=""), "", Table1[[#This Row],[For Amount]])</f>
        <v>#N/A</v>
      </c>
      <c r="BE56" t="str">
        <f>IFERROR(IF(VLOOKUP(Table1[[#This Row],[Teacher]],'Teachers Salaries'!A:C,2,FALSE)="","",VLOOKUP(Table1[[#This Row],[Teacher]],'Teachers Salaries'!A:C,2,FALSE)),"")</f>
        <v>Hourly</v>
      </c>
      <c r="BF56">
        <f>IFERROR(IF(VLOOKUP(Table1[[#This Row],[Teacher]],'Teachers Salaries'!A:C,3,FALSE)="","",VLOOKUP(Table1[[#This Row],[Teacher]],'Teachers Salaries'!A:C,3,FALSE)),"")</f>
        <v>2600</v>
      </c>
      <c r="BG56">
        <f ca="1">IFERROR(IF(Table1[[#This Row],[Pay Type]]="Fixed","-",Table1[[#This Row],[Final Group Frequency2]]*Table1[[#This Row],[Salary / Hourly Rate]]),0)</f>
        <v>0</v>
      </c>
      <c r="BH56">
        <f>IFERROR(IF(Table1[[#This Row],[Pay Type]]="Fixed","----",Table1[[#This Row],[Salary / Hourly Rate]]*Table1[[#This Row],[Final PrivateFrequency]]),0)</f>
        <v>10400</v>
      </c>
      <c r="BI56">
        <f ca="1">IF(Table1[[#This Row],[Pay Type]]="Fixed","---",Table1[[#This Row],[Group Salary]]+Table1[[#This Row],[Private Salary]])</f>
        <v>10400</v>
      </c>
      <c r="BJ56" t="e">
        <f>IF(OR(J56="Alex", J56=""),"", Table1[[#This Row],[For Amount]])</f>
        <v>#N/A</v>
      </c>
      <c r="BK56">
        <f ca="1">IFERROR(Table1[[#This Row],[Fee]]-Table1[[#This Row],[Total Salary]],"")</f>
        <v>9400</v>
      </c>
      <c r="BL56" t="e">
        <f>IF(Table1[[#This Row],[Joining Date]]="","",IF(Table1[[#This Row],[Joining Date]]&lt;='KPI+Pivot'!$CP$1,Table1[[#This Row],[Fee]],""))</f>
        <v>#N/A</v>
      </c>
      <c r="BM5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56" t="e">
        <f>IF(Table1[[#This Row],[Joining Date]]="","",IF(Table1[[#This Row],[Joining Date]]&lt;='KPI+Pivot'!$CP$1,Table1[[#This Row],[Total Salary]],""))</f>
        <v>#N/A</v>
      </c>
      <c r="BO56" t="e">
        <f>IF(Table1[[#This Row],[Joining Date]]="","",IF(Table1[[#This Row],[Joining Date]]&lt;='KPI+Pivot'!$CP$1,Table1[[#This Row],[Frequency]],""))</f>
        <v>#N/A</v>
      </c>
      <c r="BP56" s="38" t="e">
        <f>IF(Table1[[#This Row],[Stop]]="","",(IF(Table1[[#This Row],[Joining Date]]="","",IF(Table1[[#This Row],[Joining Date]]&lt;='KPI+Pivot'!$CP$1,Table1[[#This Row],[Stop]],""))))</f>
        <v>#N/A</v>
      </c>
    </row>
    <row r="57" spans="1:68" ht="22.9" customHeight="1">
      <c r="B57" t="s">
        <v>66</v>
      </c>
      <c r="C57" t="s">
        <v>468</v>
      </c>
      <c r="F57" t="s">
        <v>469</v>
      </c>
      <c r="G57" t="s">
        <v>470</v>
      </c>
      <c r="H57" t="s">
        <v>471</v>
      </c>
      <c r="I57" t="str">
        <f>IFERROR(HYPERLINK("#Finance!B" &amp; MATCH(A57, 'F 2025'!A:A, 0), "🔗 Go to finance"), "❌ ID introuvable")</f>
        <v>❌ ID introuvable</v>
      </c>
      <c r="L57" t="s">
        <v>102</v>
      </c>
      <c r="O57">
        <v>19800</v>
      </c>
      <c r="V57" t="s">
        <v>472</v>
      </c>
      <c r="W57" t="s">
        <v>473</v>
      </c>
      <c r="Y57" s="246" t="s">
        <v>2076</v>
      </c>
      <c r="Z57" t="s">
        <v>75</v>
      </c>
      <c r="AB57" t="s">
        <v>474</v>
      </c>
      <c r="AD57" s="130">
        <v>43862</v>
      </c>
      <c r="AE57"/>
      <c r="AG57" t="s">
        <v>76</v>
      </c>
      <c r="AI57" t="s">
        <v>474</v>
      </c>
      <c r="AK57" t="s">
        <v>102</v>
      </c>
      <c r="AM57" s="38"/>
      <c r="AO57" t="s">
        <v>470</v>
      </c>
      <c r="AR57" t="str">
        <f t="shared" si="2"/>
        <v/>
      </c>
      <c r="AS57" t="str">
        <f t="shared" si="3"/>
        <v/>
      </c>
      <c r="AT57" t="str">
        <f>IF(Table1[[#This Row],[Joining Date]]="", "", TEXT(Table1[[#This Row],[Joining Date]], "mmm"))</f>
        <v>Feb</v>
      </c>
      <c r="AU57">
        <f>IF(Table1[[#This Row],[Joining Date]]="", "", YEAR(Table1[[#This Row],[Joining Date]]))</f>
        <v>2020</v>
      </c>
      <c r="AV57" t="str">
        <f>IF(Table1[[#This Row],[Group Name]]="","", M57 &amp; Table1[[#This Row],[Teacher]])</f>
        <v/>
      </c>
      <c r="AW57" t="str">
        <f>IF(Table1[[#This Row],[Helper]]="","",IF(_xlfn.MAXIFS(AT:AT,AW:AW,Table1[[#This Row],[Helper]])=Table1[[#This Row],[Clean Frequency]],_xlfn.MAXIFS(AT:AT,AW:AW,Table1[[#This Row],[Helper]]),""))</f>
        <v/>
      </c>
      <c r="AX57" t="str">
        <f ca="1">IF(AND(AW57=_xlfn.MAXIFS(AX:AX, AW:AW, AV57), COUNTIFS(AV$3:AV57, AV57, AW$3:AW57, AW57)=1), 1, "")</f>
        <v/>
      </c>
      <c r="AY57" t="str">
        <f>IF(Table1[[#This Row],[lesson type]]="private",Table1[[#This Row],[Clean Frequency]],"")</f>
        <v/>
      </c>
      <c r="AZ57" t="str">
        <f ca="1">IF(Table1[[#This Row],[First Occurrence]]=1,Table1[[#This Row],[Group Frequency]],"")</f>
        <v/>
      </c>
      <c r="BA57" t="str">
        <f ca="1">IF(B57="Y", IF(Table1[[#This Row],[Stop]]="", TODAY() - Table1[[#This Row],[Joining Date]], Table1[[#This Row],[Stop]] - Table1[[#This Row],[Joining Date]]), "")</f>
        <v/>
      </c>
      <c r="BB57" t="str">
        <f>_xlfn.CONCAT(Table1[[#This Row],[t]]," ",Table1[[#This Row],[Last Name]])</f>
        <v xml:space="preserve">Kanrin </v>
      </c>
      <c r="BC57" t="str">
        <f>IF(OR(Table1[[#This Row],[Teacher]]="Alex",Table1[[#This Row],[Teacher]]=""), "", Table1[[#This Row],[For Salary]])</f>
        <v/>
      </c>
      <c r="BD57" t="str">
        <f>IF(OR(Table1[[#This Row],[Teacher]]="Alex",Table1[[#This Row],[Teacher]]=""), "", Table1[[#This Row],[For Amount]])</f>
        <v/>
      </c>
      <c r="BE57" t="str">
        <f>IFERROR(IF(VLOOKUP(Table1[[#This Row],[Teacher]],'Teachers Salaries'!A:C,2,FALSE)="","",VLOOKUP(Table1[[#This Row],[Teacher]],'Teachers Salaries'!A:C,2,FALSE)),"")</f>
        <v/>
      </c>
      <c r="BF57" t="str">
        <f>IFERROR(IF(VLOOKUP(Table1[[#This Row],[Teacher]],'Teachers Salaries'!A:C,3,FALSE)="","",VLOOKUP(Table1[[#This Row],[Teacher]],'Teachers Salaries'!A:C,3,FALSE)),"")</f>
        <v/>
      </c>
      <c r="BG57">
        <f ca="1">IFERROR(IF(Table1[[#This Row],[Pay Type]]="Fixed","-",Table1[[#This Row],[Final Group Frequency2]]*Table1[[#This Row],[Salary / Hourly Rate]]),0)</f>
        <v>0</v>
      </c>
      <c r="BH57">
        <f>IFERROR(IF(Table1[[#This Row],[Pay Type]]="Fixed","----",Table1[[#This Row],[Salary / Hourly Rate]]*Table1[[#This Row],[Final PrivateFrequency]]),0)</f>
        <v>0</v>
      </c>
      <c r="BI57">
        <f ca="1">IF(Table1[[#This Row],[Pay Type]]="Fixed","---",Table1[[#This Row],[Group Salary]]+Table1[[#This Row],[Private Salary]])</f>
        <v>0</v>
      </c>
      <c r="BJ57" t="str">
        <f>IF(OR(J57="Alex", J57=""),"", Table1[[#This Row],[For Amount]])</f>
        <v/>
      </c>
      <c r="BK57">
        <f ca="1">IFERROR(Table1[[#This Row],[Fee]]-Table1[[#This Row],[Total Salary]],"")</f>
        <v>19800</v>
      </c>
      <c r="BL57" t="e">
        <f>IF(Table1[[#This Row],[Joining Date]]="","",IF(Table1[[#This Row],[Joining Date]]&lt;='KPI+Pivot'!$CP$1,Table1[[#This Row],[Fee]],""))</f>
        <v>#N/A</v>
      </c>
      <c r="BM5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57" t="e">
        <f>IF(Table1[[#This Row],[Joining Date]]="","",IF(Table1[[#This Row],[Joining Date]]&lt;='KPI+Pivot'!$CP$1,Table1[[#This Row],[Total Salary]],""))</f>
        <v>#N/A</v>
      </c>
      <c r="BO57" t="e">
        <f>IF(Table1[[#This Row],[Joining Date]]="","",IF(Table1[[#This Row],[Joining Date]]&lt;='KPI+Pivot'!$CP$1,Table1[[#This Row],[Frequency]],""))</f>
        <v>#N/A</v>
      </c>
      <c r="BP57" s="38" t="str">
        <f>IF(Table1[[#This Row],[Stop]]="","",(IF(Table1[[#This Row],[Joining Date]]="","",IF(Table1[[#This Row],[Joining Date]]&lt;='KPI+Pivot'!$CP$1,Table1[[#This Row],[Stop]],""))))</f>
        <v/>
      </c>
    </row>
    <row r="58" spans="1:68" ht="22.9" customHeight="1">
      <c r="B58" t="s">
        <v>66</v>
      </c>
      <c r="C58" t="s">
        <v>475</v>
      </c>
      <c r="D58" t="s">
        <v>476</v>
      </c>
      <c r="F58" t="s">
        <v>477</v>
      </c>
      <c r="G58" t="s">
        <v>478</v>
      </c>
      <c r="H58" t="s">
        <v>479</v>
      </c>
      <c r="I58" t="str">
        <f>IFERROR(HYPERLINK("#Finance!B" &amp; MATCH(A58, 'F 2025'!A:A, 0), "🔗 Go to finance"), "❌ ID introuvable")</f>
        <v>❌ ID introuvable</v>
      </c>
      <c r="V58" t="s">
        <v>480</v>
      </c>
      <c r="Y58" t="s">
        <v>481</v>
      </c>
      <c r="Z58" t="s">
        <v>75</v>
      </c>
      <c r="AD58" s="130"/>
      <c r="AE58"/>
      <c r="AG58" t="s">
        <v>76</v>
      </c>
      <c r="AM58" s="38"/>
      <c r="AO58" t="s">
        <v>478</v>
      </c>
      <c r="AR58" t="str">
        <f t="shared" si="2"/>
        <v/>
      </c>
      <c r="AS58" t="str">
        <f t="shared" si="3"/>
        <v/>
      </c>
      <c r="AT58" t="str">
        <f>IF(Table1[[#This Row],[Joining Date]]="", "", TEXT(Table1[[#This Row],[Joining Date]], "mmm"))</f>
        <v/>
      </c>
      <c r="AU58" t="str">
        <f>IF(Table1[[#This Row],[Joining Date]]="", "", YEAR(Table1[[#This Row],[Joining Date]]))</f>
        <v/>
      </c>
      <c r="AV58" t="str">
        <f>IF(Table1[[#This Row],[Group Name]]="","", M58 &amp; Table1[[#This Row],[Teacher]])</f>
        <v/>
      </c>
      <c r="AW58" t="str">
        <f>IF(Table1[[#This Row],[Helper]]="","",IF(_xlfn.MAXIFS(AT:AT,AW:AW,Table1[[#This Row],[Helper]])=Table1[[#This Row],[Clean Frequency]],_xlfn.MAXIFS(AT:AT,AW:AW,Table1[[#This Row],[Helper]]),""))</f>
        <v/>
      </c>
      <c r="AX58" t="str">
        <f ca="1">IF(AND(AW58=_xlfn.MAXIFS(AX:AX, AW:AW, AV58), COUNTIFS(AV$3:AV58, AV58, AW$3:AW58, AW58)=1), 1, "")</f>
        <v/>
      </c>
      <c r="AY58" t="str">
        <f>IF(Table1[[#This Row],[lesson type]]="private",Table1[[#This Row],[Clean Frequency]],"")</f>
        <v/>
      </c>
      <c r="AZ58" t="str">
        <f ca="1">IF(Table1[[#This Row],[First Occurrence]]=1,Table1[[#This Row],[Group Frequency]],"")</f>
        <v/>
      </c>
      <c r="BA58" t="str">
        <f ca="1">IF(B58="Y", IF(Table1[[#This Row],[Stop]]="", TODAY() - Table1[[#This Row],[Joining Date]], Table1[[#This Row],[Stop]] - Table1[[#This Row],[Joining Date]]), "")</f>
        <v/>
      </c>
      <c r="BB58" t="str">
        <f>_xlfn.CONCAT(Table1[[#This Row],[t]]," ",Table1[[#This Row],[Last Name]])</f>
        <v>Kaori Ban</v>
      </c>
      <c r="BC58" t="str">
        <f>IF(OR(Table1[[#This Row],[Teacher]]="Alex",Table1[[#This Row],[Teacher]]=""), "", Table1[[#This Row],[For Salary]])</f>
        <v/>
      </c>
      <c r="BD58" t="str">
        <f>IF(OR(Table1[[#This Row],[Teacher]]="Alex",Table1[[#This Row],[Teacher]]=""), "", Table1[[#This Row],[For Amount]])</f>
        <v/>
      </c>
      <c r="BE58" t="str">
        <f>IFERROR(IF(VLOOKUP(Table1[[#This Row],[Teacher]],'Teachers Salaries'!A:C,2,FALSE)="","",VLOOKUP(Table1[[#This Row],[Teacher]],'Teachers Salaries'!A:C,2,FALSE)),"")</f>
        <v/>
      </c>
      <c r="BF58" t="str">
        <f>IFERROR(IF(VLOOKUP(Table1[[#This Row],[Teacher]],'Teachers Salaries'!A:C,3,FALSE)="","",VLOOKUP(Table1[[#This Row],[Teacher]],'Teachers Salaries'!A:C,3,FALSE)),"")</f>
        <v/>
      </c>
      <c r="BG58">
        <f ca="1">IFERROR(IF(Table1[[#This Row],[Pay Type]]="Fixed","-",Table1[[#This Row],[Final Group Frequency2]]*Table1[[#This Row],[Salary / Hourly Rate]]),0)</f>
        <v>0</v>
      </c>
      <c r="BH58">
        <f>IFERROR(IF(Table1[[#This Row],[Pay Type]]="Fixed","----",Table1[[#This Row],[Salary / Hourly Rate]]*Table1[[#This Row],[Final PrivateFrequency]]),0)</f>
        <v>0</v>
      </c>
      <c r="BI58">
        <f ca="1">IF(Table1[[#This Row],[Pay Type]]="Fixed","---",Table1[[#This Row],[Group Salary]]+Table1[[#This Row],[Private Salary]])</f>
        <v>0</v>
      </c>
      <c r="BJ58" t="str">
        <f>IF(OR(J58="Alex", J58=""),"", Table1[[#This Row],[For Amount]])</f>
        <v/>
      </c>
      <c r="BK58">
        <f ca="1">IFERROR(Table1[[#This Row],[Fee]]-Table1[[#This Row],[Total Salary]],"")</f>
        <v>0</v>
      </c>
      <c r="BL58" t="str">
        <f>IF(Table1[[#This Row],[Joining Date]]="","",IF(Table1[[#This Row],[Joining Date]]&lt;='KPI+Pivot'!$CP$1,Table1[[#This Row],[Fee]],""))</f>
        <v/>
      </c>
      <c r="BM5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8" t="str">
        <f>IF(Table1[[#This Row],[Joining Date]]="","",IF(Table1[[#This Row],[Joining Date]]&lt;='KPI+Pivot'!$CP$1,Table1[[#This Row],[Total Salary]],""))</f>
        <v/>
      </c>
      <c r="BO58" t="str">
        <f>IF(Table1[[#This Row],[Joining Date]]="","",IF(Table1[[#This Row],[Joining Date]]&lt;='KPI+Pivot'!$CP$1,Table1[[#This Row],[Frequency]],""))</f>
        <v/>
      </c>
      <c r="BP58" s="38" t="str">
        <f>IF(Table1[[#This Row],[Stop]]="","",(IF(Table1[[#This Row],[Joining Date]]="","",IF(Table1[[#This Row],[Joining Date]]&lt;='KPI+Pivot'!$CP$1,Table1[[#This Row],[Stop]],""))))</f>
        <v/>
      </c>
    </row>
    <row r="59" spans="1:68" ht="18" customHeight="1">
      <c r="A59">
        <v>127</v>
      </c>
      <c r="B59" t="s">
        <v>103</v>
      </c>
      <c r="C59" t="s">
        <v>475</v>
      </c>
      <c r="D59" t="s">
        <v>482</v>
      </c>
      <c r="F59" t="s">
        <v>483</v>
      </c>
      <c r="G59" t="s">
        <v>484</v>
      </c>
      <c r="H59" t="s">
        <v>485</v>
      </c>
      <c r="I59" t="str">
        <f>IFERROR(HYPERLINK("#Finance!B" &amp; MATCH(A59, 'F 2025'!A:A, 0), "🔗 Go to finance"), "❌ ID introuvable")</f>
        <v>🔗 Go to finance</v>
      </c>
      <c r="J59" t="s">
        <v>196</v>
      </c>
      <c r="K59" t="s">
        <v>110</v>
      </c>
      <c r="L59" t="s">
        <v>486</v>
      </c>
      <c r="N59">
        <v>4</v>
      </c>
      <c r="O59">
        <v>19800</v>
      </c>
      <c r="R59">
        <v>0</v>
      </c>
      <c r="V59" t="s">
        <v>487</v>
      </c>
      <c r="W59" t="s">
        <v>487</v>
      </c>
      <c r="Z59" t="s">
        <v>75</v>
      </c>
      <c r="AB59" t="s">
        <v>488</v>
      </c>
      <c r="AD59" s="130">
        <v>45383</v>
      </c>
      <c r="AE59"/>
      <c r="AG59" t="s">
        <v>76</v>
      </c>
      <c r="AI59" t="s">
        <v>488</v>
      </c>
      <c r="AK59" t="s">
        <v>84</v>
      </c>
      <c r="AM59" s="38"/>
      <c r="AO59" t="s">
        <v>484</v>
      </c>
      <c r="AP59">
        <v>127</v>
      </c>
      <c r="AQ59" t="s">
        <v>484</v>
      </c>
      <c r="AR59" t="str">
        <f t="shared" si="2"/>
        <v>private</v>
      </c>
      <c r="AS59">
        <f t="shared" si="3"/>
        <v>4</v>
      </c>
      <c r="AT59" t="str">
        <f>IF(Table1[[#This Row],[Joining Date]]="", "", TEXT(Table1[[#This Row],[Joining Date]], "mmm"))</f>
        <v>Apr</v>
      </c>
      <c r="AU59">
        <f>IF(Table1[[#This Row],[Joining Date]]="", "", YEAR(Table1[[#This Row],[Joining Date]]))</f>
        <v>2024</v>
      </c>
      <c r="AV59" t="str">
        <f>IF(Table1[[#This Row],[Group Name]]="","", M59 &amp; Table1[[#This Row],[Teacher]])</f>
        <v/>
      </c>
      <c r="AW59" t="str">
        <f>IF(Table1[[#This Row],[Helper]]="","",IF(_xlfn.MAXIFS(AT:AT,AW:AW,Table1[[#This Row],[Helper]])=Table1[[#This Row],[Clean Frequency]],_xlfn.MAXIFS(AT:AT,AW:AW,Table1[[#This Row],[Helper]]),""))</f>
        <v/>
      </c>
      <c r="AX59" t="str">
        <f ca="1">IF(AND(AW59=_xlfn.MAXIFS(AX:AX, AW:AW, AV59), COUNTIFS(AV$3:AV59, AV59, AW$3:AW59, AW59)=1), 1, "")</f>
        <v/>
      </c>
      <c r="AY59">
        <f>IF(Table1[[#This Row],[lesson type]]="private",Table1[[#This Row],[Clean Frequency]],"")</f>
        <v>4</v>
      </c>
      <c r="AZ59" t="str">
        <f ca="1">IF(Table1[[#This Row],[First Occurrence]]=1,Table1[[#This Row],[Group Frequency]],"")</f>
        <v/>
      </c>
      <c r="BA59">
        <f ca="1">IF(B59="Y", IF(Table1[[#This Row],[Stop]]="", TODAY() - Table1[[#This Row],[Joining Date]], Table1[[#This Row],[Stop]] - Table1[[#This Row],[Joining Date]]), "")</f>
        <v>794</v>
      </c>
      <c r="BB59" t="str">
        <f>_xlfn.CONCAT(Table1[[#This Row],[t]]," ",Table1[[#This Row],[Last Name]])</f>
        <v>Kaori Nishiyori</v>
      </c>
      <c r="BC59" t="e">
        <f>IF(OR(Table1[[#This Row],[Teacher]]="Alex",Table1[[#This Row],[Teacher]]=""), "", Table1[[#This Row],[For Salary]])</f>
        <v>#N/A</v>
      </c>
      <c r="BD59" t="e">
        <f>IF(OR(Table1[[#This Row],[Teacher]]="Alex",Table1[[#This Row],[Teacher]]=""), "", Table1[[#This Row],[For Amount]])</f>
        <v>#N/A</v>
      </c>
      <c r="BE59" t="str">
        <f>IFERROR(IF(VLOOKUP(Table1[[#This Row],[Teacher]],'Teachers Salaries'!A:C,2,FALSE)="","",VLOOKUP(Table1[[#This Row],[Teacher]],'Teachers Salaries'!A:C,2,FALSE)),"")</f>
        <v>Hourly</v>
      </c>
      <c r="BF59">
        <f>IFERROR(IF(VLOOKUP(Table1[[#This Row],[Teacher]],'Teachers Salaries'!A:C,3,FALSE)="","",VLOOKUP(Table1[[#This Row],[Teacher]],'Teachers Salaries'!A:C,3,FALSE)),"")</f>
        <v>2600</v>
      </c>
      <c r="BG59">
        <f ca="1">IFERROR(IF(Table1[[#This Row],[Pay Type]]="Fixed","-",Table1[[#This Row],[Final Group Frequency2]]*Table1[[#This Row],[Salary / Hourly Rate]]),0)</f>
        <v>0</v>
      </c>
      <c r="BH59">
        <f>IFERROR(IF(Table1[[#This Row],[Pay Type]]="Fixed","----",Table1[[#This Row],[Salary / Hourly Rate]]*Table1[[#This Row],[Final PrivateFrequency]]),0)</f>
        <v>10400</v>
      </c>
      <c r="BI59">
        <f ca="1">IF(Table1[[#This Row],[Pay Type]]="Fixed","---",Table1[[#This Row],[Group Salary]]+Table1[[#This Row],[Private Salary]])</f>
        <v>10400</v>
      </c>
      <c r="BJ59" t="e">
        <f>IF(OR(J59="Alex", J59=""),"", Table1[[#This Row],[For Amount]])</f>
        <v>#N/A</v>
      </c>
      <c r="BK59">
        <f ca="1">IFERROR(Table1[[#This Row],[Fee]]-Table1[[#This Row],[Total Salary]],"")</f>
        <v>9400</v>
      </c>
      <c r="BL59" t="e">
        <f>IF(Table1[[#This Row],[Joining Date]]="","",IF(Table1[[#This Row],[Joining Date]]&lt;='KPI+Pivot'!$CP$1,Table1[[#This Row],[Fee]],""))</f>
        <v>#N/A</v>
      </c>
      <c r="BM5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59" t="e">
        <f>IF(Table1[[#This Row],[Joining Date]]="","",IF(Table1[[#This Row],[Joining Date]]&lt;='KPI+Pivot'!$CP$1,Table1[[#This Row],[Total Salary]],""))</f>
        <v>#N/A</v>
      </c>
      <c r="BO59" t="e">
        <f>IF(Table1[[#This Row],[Joining Date]]="","",IF(Table1[[#This Row],[Joining Date]]&lt;='KPI+Pivot'!$CP$1,Table1[[#This Row],[Frequency]],""))</f>
        <v>#N/A</v>
      </c>
      <c r="BP59" s="38" t="str">
        <f>IF(Table1[[#This Row],[Stop]]="","",(IF(Table1[[#This Row],[Joining Date]]="","",IF(Table1[[#This Row],[Joining Date]]&lt;='KPI+Pivot'!$CP$1,Table1[[#This Row],[Stop]],""))))</f>
        <v/>
      </c>
    </row>
    <row r="60" spans="1:68" ht="18" customHeight="1">
      <c r="A60">
        <v>160</v>
      </c>
      <c r="B60" t="s">
        <v>103</v>
      </c>
      <c r="C60" t="s">
        <v>489</v>
      </c>
      <c r="D60" t="s">
        <v>490</v>
      </c>
      <c r="F60" t="s">
        <v>491</v>
      </c>
      <c r="G60" t="s">
        <v>492</v>
      </c>
      <c r="H60" t="s">
        <v>493</v>
      </c>
      <c r="I60" t="str">
        <f>IFERROR(HYPERLINK("#Finance!B" &amp; MATCH(A60, 'F 2025'!A:A, 0), "🔗 Go to finance"), "❌ ID introuvable")</f>
        <v>🔗 Go to finance</v>
      </c>
      <c r="J60" t="s">
        <v>494</v>
      </c>
      <c r="K60" t="s">
        <v>110</v>
      </c>
      <c r="L60" t="s">
        <v>495</v>
      </c>
      <c r="N60">
        <v>4</v>
      </c>
      <c r="O60">
        <v>20500</v>
      </c>
      <c r="T60" s="130">
        <v>45629</v>
      </c>
      <c r="V60" s="246" t="s">
        <v>2076</v>
      </c>
      <c r="W60" s="291" t="s">
        <v>2448</v>
      </c>
      <c r="Y60">
        <v>9016650272</v>
      </c>
      <c r="Z60" t="s">
        <v>75</v>
      </c>
      <c r="AD60" s="130">
        <v>45566</v>
      </c>
      <c r="AE60"/>
      <c r="AG60" t="s">
        <v>76</v>
      </c>
      <c r="AJ60" s="13" t="s">
        <v>497</v>
      </c>
      <c r="AK60" t="s">
        <v>84</v>
      </c>
      <c r="AM60" s="38"/>
      <c r="AO60" t="s">
        <v>498</v>
      </c>
      <c r="AR60" t="str">
        <f t="shared" si="2"/>
        <v>private</v>
      </c>
      <c r="AS60">
        <f t="shared" si="3"/>
        <v>4</v>
      </c>
      <c r="AT60" t="str">
        <f>IF(Table1[[#This Row],[Joining Date]]="", "", TEXT(Table1[[#This Row],[Joining Date]], "mmm"))</f>
        <v>Oct</v>
      </c>
      <c r="AU60">
        <f>IF(Table1[[#This Row],[Joining Date]]="", "", YEAR(Table1[[#This Row],[Joining Date]]))</f>
        <v>2024</v>
      </c>
      <c r="AV60" t="str">
        <f>IF(Table1[[#This Row],[Group Name]]="","", M60 &amp; Table1[[#This Row],[Teacher]])</f>
        <v/>
      </c>
      <c r="AW60" t="str">
        <f>IF(Table1[[#This Row],[Helper]]="","",IF(_xlfn.MAXIFS(AT:AT,AW:AW,Table1[[#This Row],[Helper]])=Table1[[#This Row],[Clean Frequency]],_xlfn.MAXIFS(AT:AT,AW:AW,Table1[[#This Row],[Helper]]),""))</f>
        <v/>
      </c>
      <c r="AX60" t="str">
        <f ca="1">IF(AND(AW60=_xlfn.MAXIFS(AX:AX, AW:AW, AV60), COUNTIFS(AV$3:AV60, AV60, AW$3:AW60, AW60)=1), 1, "")</f>
        <v/>
      </c>
      <c r="AY60">
        <f>IF(Table1[[#This Row],[lesson type]]="private",Table1[[#This Row],[Clean Frequency]],"")</f>
        <v>4</v>
      </c>
      <c r="AZ60" t="str">
        <f ca="1">IF(Table1[[#This Row],[First Occurrence]]=1,Table1[[#This Row],[Group Frequency]],"")</f>
        <v/>
      </c>
      <c r="BA60">
        <f ca="1">IF(B60="Y", IF(Table1[[#This Row],[Stop]]="", TODAY() - Table1[[#This Row],[Joining Date]], Table1[[#This Row],[Stop]] - Table1[[#This Row],[Joining Date]]), "")</f>
        <v>611</v>
      </c>
      <c r="BB60" t="str">
        <f>_xlfn.CONCAT(Table1[[#This Row],[t]]," ",Table1[[#This Row],[Last Name]])</f>
        <v>Karen Inoue</v>
      </c>
      <c r="BC60" t="e">
        <f>IF(OR(Table1[[#This Row],[Teacher]]="Alex",Table1[[#This Row],[Teacher]]=""), "", Table1[[#This Row],[For Salary]])</f>
        <v>#N/A</v>
      </c>
      <c r="BD60" t="e">
        <f>IF(OR(Table1[[#This Row],[Teacher]]="Alex",Table1[[#This Row],[Teacher]]=""), "", Table1[[#This Row],[For Amount]])</f>
        <v>#N/A</v>
      </c>
      <c r="BE60" t="str">
        <f>IFERROR(IF(VLOOKUP(Table1[[#This Row],[Teacher]],'Teachers Salaries'!A:C,2,FALSE)="","",VLOOKUP(Table1[[#This Row],[Teacher]],'Teachers Salaries'!A:C,2,FALSE)),"")</f>
        <v>Hourly</v>
      </c>
      <c r="BF60">
        <f>IFERROR(IF(VLOOKUP(Table1[[#This Row],[Teacher]],'Teachers Salaries'!A:C,3,FALSE)="","",VLOOKUP(Table1[[#This Row],[Teacher]],'Teachers Salaries'!A:C,3,FALSE)),"")</f>
        <v>3000</v>
      </c>
      <c r="BG60">
        <f ca="1">IFERROR(IF(Table1[[#This Row],[Pay Type]]="Fixed","-",Table1[[#This Row],[Final Group Frequency2]]*Table1[[#This Row],[Salary / Hourly Rate]]),0)</f>
        <v>0</v>
      </c>
      <c r="BH60">
        <f>IFERROR(IF(Table1[[#This Row],[Pay Type]]="Fixed","----",Table1[[#This Row],[Salary / Hourly Rate]]*Table1[[#This Row],[Final PrivateFrequency]]),0)</f>
        <v>12000</v>
      </c>
      <c r="BI60">
        <f ca="1">IF(Table1[[#This Row],[Pay Type]]="Fixed","---",Table1[[#This Row],[Group Salary]]+Table1[[#This Row],[Private Salary]])</f>
        <v>12000</v>
      </c>
      <c r="BJ60" t="e">
        <f>IF(OR(J60="Alex", J60=""),"", Table1[[#This Row],[For Amount]])</f>
        <v>#N/A</v>
      </c>
      <c r="BK60">
        <f ca="1">IFERROR(Table1[[#This Row],[Fee]]-Table1[[#This Row],[Total Salary]],"")</f>
        <v>-2500</v>
      </c>
      <c r="BL60" t="e">
        <f>IF(Table1[[#This Row],[Joining Date]]="","",IF(Table1[[#This Row],[Joining Date]]&lt;='KPI+Pivot'!$CP$1,Table1[[#This Row],[Fee]],""))</f>
        <v>#N/A</v>
      </c>
      <c r="BM6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0" t="e">
        <f>IF(Table1[[#This Row],[Joining Date]]="","",IF(Table1[[#This Row],[Joining Date]]&lt;='KPI+Pivot'!$CP$1,Table1[[#This Row],[Total Salary]],""))</f>
        <v>#N/A</v>
      </c>
      <c r="BO60" t="e">
        <f>IF(Table1[[#This Row],[Joining Date]]="","",IF(Table1[[#This Row],[Joining Date]]&lt;='KPI+Pivot'!$CP$1,Table1[[#This Row],[Frequency]],""))</f>
        <v>#N/A</v>
      </c>
      <c r="BP60" s="38" t="str">
        <f>IF(Table1[[#This Row],[Stop]]="","",(IF(Table1[[#This Row],[Joining Date]]="","",IF(Table1[[#This Row],[Joining Date]]&lt;='KPI+Pivot'!$CP$1,Table1[[#This Row],[Stop]],""))))</f>
        <v/>
      </c>
    </row>
    <row r="61" spans="1:68" ht="18" customHeight="1">
      <c r="A61">
        <v>160</v>
      </c>
      <c r="B61" t="s">
        <v>103</v>
      </c>
      <c r="C61" t="s">
        <v>499</v>
      </c>
      <c r="D61" t="s">
        <v>490</v>
      </c>
      <c r="F61" t="s">
        <v>500</v>
      </c>
      <c r="G61" t="s">
        <v>501</v>
      </c>
      <c r="H61" t="s">
        <v>493</v>
      </c>
      <c r="I61" t="str">
        <f>IFERROR(HYPERLINK("#Finance!B" &amp; MATCH(A61, 'F 2025'!A:A, 0), "🔗 Go to finance"), "❌ ID introuvable")</f>
        <v>🔗 Go to finance</v>
      </c>
      <c r="J61" t="s">
        <v>494</v>
      </c>
      <c r="K61" t="s">
        <v>110</v>
      </c>
      <c r="L61" t="s">
        <v>502</v>
      </c>
      <c r="M61" t="s">
        <v>503</v>
      </c>
      <c r="N61">
        <v>4</v>
      </c>
      <c r="O61">
        <v>7000</v>
      </c>
      <c r="T61" s="130">
        <v>45629</v>
      </c>
      <c r="V61" s="246" t="s">
        <v>1403</v>
      </c>
      <c r="W61" t="s">
        <v>496</v>
      </c>
      <c r="Y61">
        <v>9016650272</v>
      </c>
      <c r="Z61" t="s">
        <v>75</v>
      </c>
      <c r="AD61" s="130">
        <v>45566</v>
      </c>
      <c r="AE61"/>
      <c r="AG61" t="s">
        <v>76</v>
      </c>
      <c r="AJ61" s="13" t="s">
        <v>497</v>
      </c>
      <c r="AK61" t="s">
        <v>84</v>
      </c>
      <c r="AM61" s="38"/>
      <c r="AO61" t="s">
        <v>498</v>
      </c>
      <c r="AR61" t="str">
        <f t="shared" si="2"/>
        <v>private</v>
      </c>
      <c r="AS61">
        <f t="shared" si="3"/>
        <v>4</v>
      </c>
      <c r="AT61" t="str">
        <f>IF(Table1[[#This Row],[Joining Date]]="", "", TEXT(Table1[[#This Row],[Joining Date]], "mmm"))</f>
        <v>Oct</v>
      </c>
      <c r="AU61">
        <f>IF(Table1[[#This Row],[Joining Date]]="", "", YEAR(Table1[[#This Row],[Joining Date]]))</f>
        <v>2024</v>
      </c>
      <c r="AV61" t="str">
        <f>IF(Table1[[#This Row],[Group Name]]="","", M61 &amp; Table1[[#This Row],[Teacher]])</f>
        <v>Group DThomas</v>
      </c>
      <c r="AW61">
        <f ca="1">IF(Table1[[#This Row],[Helper]]="","",IF(_xlfn.MAXIFS(AT:AT,AW:AW,Table1[[#This Row],[Helper]])=Table1[[#This Row],[Clean Frequency]],_xlfn.MAXIFS(AT:AT,AW:AW,Table1[[#This Row],[Helper]]),""))</f>
        <v>4</v>
      </c>
      <c r="AX61">
        <f ca="1">IF(AND(AW61=_xlfn.MAXIFS(AX:AX, AW:AW, AV61), COUNTIFS(AV$3:AV61, AV61, AW$3:AW61, AW61)=1), 1, "")</f>
        <v>1</v>
      </c>
      <c r="AY61">
        <f>IF(Table1[[#This Row],[lesson type]]="private",Table1[[#This Row],[Clean Frequency]],"")</f>
        <v>4</v>
      </c>
      <c r="AZ61">
        <f ca="1">IF(Table1[[#This Row],[First Occurrence]]=1,Table1[[#This Row],[Group Frequency]],"")</f>
        <v>4</v>
      </c>
      <c r="BA61">
        <f ca="1">IF(B61="Y", IF(Table1[[#This Row],[Stop]]="", TODAY() - Table1[[#This Row],[Joining Date]], Table1[[#This Row],[Stop]] - Table1[[#This Row],[Joining Date]]), "")</f>
        <v>611</v>
      </c>
      <c r="BB61" t="str">
        <f>_xlfn.CONCAT(Table1[[#This Row],[t]]," ",Table1[[#This Row],[Last Name]])</f>
        <v>Go Inoue</v>
      </c>
      <c r="BC61" t="e">
        <f>IF(OR(Table1[[#This Row],[Teacher]]="Alex",Table1[[#This Row],[Teacher]]=""), "", Table1[[#This Row],[For Salary]])</f>
        <v>#N/A</v>
      </c>
      <c r="BD61" t="e">
        <f>IF(OR(Table1[[#This Row],[Teacher]]="Alex",Table1[[#This Row],[Teacher]]=""), "", Table1[[#This Row],[For Amount]])</f>
        <v>#N/A</v>
      </c>
      <c r="BE61" t="str">
        <f>IFERROR(IF(VLOOKUP(Table1[[#This Row],[Teacher]],'Teachers Salaries'!A:C,2,FALSE)="","",VLOOKUP(Table1[[#This Row],[Teacher]],'Teachers Salaries'!A:C,2,FALSE)),"")</f>
        <v>Hourly</v>
      </c>
      <c r="BF61">
        <f>IFERROR(IF(VLOOKUP(Table1[[#This Row],[Teacher]],'Teachers Salaries'!A:C,3,FALSE)="","",VLOOKUP(Table1[[#This Row],[Teacher]],'Teachers Salaries'!A:C,3,FALSE)),"")</f>
        <v>3000</v>
      </c>
      <c r="BG61">
        <f ca="1">IFERROR(IF(Table1[[#This Row],[Pay Type]]="Fixed","-",Table1[[#This Row],[Final Group Frequency2]]*Table1[[#This Row],[Salary / Hourly Rate]]),0)</f>
        <v>12000</v>
      </c>
      <c r="BH61">
        <f>IFERROR(IF(Table1[[#This Row],[Pay Type]]="Fixed","----",Table1[[#This Row],[Salary / Hourly Rate]]*Table1[[#This Row],[Final PrivateFrequency]]),0)</f>
        <v>12000</v>
      </c>
      <c r="BI61">
        <f ca="1">IF(Table1[[#This Row],[Pay Type]]="Fixed","---",Table1[[#This Row],[Group Salary]]+Table1[[#This Row],[Private Salary]])</f>
        <v>24000</v>
      </c>
      <c r="BJ61" t="e">
        <f>IF(OR(J61="Alex", J61=""),"", Table1[[#This Row],[For Amount]])</f>
        <v>#N/A</v>
      </c>
      <c r="BK61">
        <f ca="1">IFERROR(Table1[[#This Row],[Fee]]-Table1[[#This Row],[Total Salary]],"")</f>
        <v>-17000</v>
      </c>
      <c r="BL61" t="e">
        <f>IF(Table1[[#This Row],[Joining Date]]="","",IF(Table1[[#This Row],[Joining Date]]&lt;='KPI+Pivot'!$CP$1,Table1[[#This Row],[Fee]],""))</f>
        <v>#N/A</v>
      </c>
      <c r="BM6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1" t="e">
        <f>IF(Table1[[#This Row],[Joining Date]]="","",IF(Table1[[#This Row],[Joining Date]]&lt;='KPI+Pivot'!$CP$1,Table1[[#This Row],[Total Salary]],""))</f>
        <v>#N/A</v>
      </c>
      <c r="BO61" t="e">
        <f>IF(Table1[[#This Row],[Joining Date]]="","",IF(Table1[[#This Row],[Joining Date]]&lt;='KPI+Pivot'!$CP$1,Table1[[#This Row],[Frequency]],""))</f>
        <v>#N/A</v>
      </c>
      <c r="BP61" s="38" t="str">
        <f>IF(Table1[[#This Row],[Stop]]="","",(IF(Table1[[#This Row],[Joining Date]]="","",IF(Table1[[#This Row],[Joining Date]]&lt;='KPI+Pivot'!$CP$1,Table1[[#This Row],[Stop]],""))))</f>
        <v/>
      </c>
    </row>
    <row r="62" spans="1:68" ht="18" customHeight="1">
      <c r="A62">
        <v>160</v>
      </c>
      <c r="B62" t="s">
        <v>103</v>
      </c>
      <c r="C62" t="s">
        <v>504</v>
      </c>
      <c r="D62" t="s">
        <v>490</v>
      </c>
      <c r="F62" t="s">
        <v>505</v>
      </c>
      <c r="G62" t="s">
        <v>506</v>
      </c>
      <c r="H62" t="s">
        <v>493</v>
      </c>
      <c r="I62" t="str">
        <f>IFERROR(HYPERLINK("#Finance!B" &amp; MATCH(A62, 'F 2025'!A:A, 0), "🔗 Go to finance"), "❌ ID introuvable")</f>
        <v>🔗 Go to finance</v>
      </c>
      <c r="J62" t="s">
        <v>494</v>
      </c>
      <c r="K62" t="s">
        <v>117</v>
      </c>
      <c r="L62" t="s">
        <v>507</v>
      </c>
      <c r="M62" t="s">
        <v>508</v>
      </c>
      <c r="N62">
        <v>4</v>
      </c>
      <c r="O62">
        <v>9500</v>
      </c>
      <c r="T62" s="130">
        <v>45629</v>
      </c>
      <c r="V62" s="247" t="s">
        <v>2077</v>
      </c>
      <c r="W62" t="s">
        <v>496</v>
      </c>
      <c r="Y62">
        <v>9016650272</v>
      </c>
      <c r="Z62" t="s">
        <v>75</v>
      </c>
      <c r="AD62" s="130">
        <v>45566</v>
      </c>
      <c r="AE62"/>
      <c r="AG62" t="s">
        <v>76</v>
      </c>
      <c r="AJ62" s="13" t="s">
        <v>497</v>
      </c>
      <c r="AK62" t="s">
        <v>84</v>
      </c>
      <c r="AM62" s="38"/>
      <c r="AO62" t="s">
        <v>498</v>
      </c>
      <c r="AR62" t="str">
        <f t="shared" si="2"/>
        <v>group</v>
      </c>
      <c r="AS62">
        <f t="shared" si="3"/>
        <v>4</v>
      </c>
      <c r="AT62" t="str">
        <f>IF(Table1[[#This Row],[Joining Date]]="", "", TEXT(Table1[[#This Row],[Joining Date]], "mmm"))</f>
        <v>Oct</v>
      </c>
      <c r="AU62">
        <f>IF(Table1[[#This Row],[Joining Date]]="", "", YEAR(Table1[[#This Row],[Joining Date]]))</f>
        <v>2024</v>
      </c>
      <c r="AV62" t="str">
        <f>IF(Table1[[#This Row],[Group Name]]="","", M62 &amp; Table1[[#This Row],[Teacher]])</f>
        <v>Group AThomas</v>
      </c>
      <c r="AW62">
        <f ca="1">IF(Table1[[#This Row],[Helper]]="","",IF(_xlfn.MAXIFS(AT:AT,AW:AW,Table1[[#This Row],[Helper]])=Table1[[#This Row],[Clean Frequency]],_xlfn.MAXIFS(AT:AT,AW:AW,Table1[[#This Row],[Helper]]),""))</f>
        <v>4</v>
      </c>
      <c r="AX62">
        <f ca="1">IF(AND(AW62=_xlfn.MAXIFS(AX:AX, AW:AW, AV62), COUNTIFS(AV$3:AV62, AV62, AW$3:AW62, AW62)=1), 1, "")</f>
        <v>1</v>
      </c>
      <c r="AY62" t="str">
        <f>IF(Table1[[#This Row],[lesson type]]="private",Table1[[#This Row],[Clean Frequency]],"")</f>
        <v/>
      </c>
      <c r="AZ62">
        <f ca="1">IF(Table1[[#This Row],[First Occurrence]]=1,Table1[[#This Row],[Group Frequency]],"")</f>
        <v>4</v>
      </c>
      <c r="BA62">
        <f ca="1">IF(B62="Y", IF(Table1[[#This Row],[Stop]]="", TODAY() - Table1[[#This Row],[Joining Date]], Table1[[#This Row],[Stop]] - Table1[[#This Row],[Joining Date]]), "")</f>
        <v>611</v>
      </c>
      <c r="BB62" t="str">
        <f>_xlfn.CONCAT(Table1[[#This Row],[t]]," ",Table1[[#This Row],[Last Name]])</f>
        <v xml:space="preserve"> Sara Inoue</v>
      </c>
      <c r="BC62" t="e">
        <f>IF(OR(Table1[[#This Row],[Teacher]]="Alex",Table1[[#This Row],[Teacher]]=""), "", Table1[[#This Row],[For Salary]])</f>
        <v>#N/A</v>
      </c>
      <c r="BD62" t="e">
        <f>IF(OR(Table1[[#This Row],[Teacher]]="Alex",Table1[[#This Row],[Teacher]]=""), "", Table1[[#This Row],[For Amount]])</f>
        <v>#N/A</v>
      </c>
      <c r="BE62" t="str">
        <f>IFERROR(IF(VLOOKUP(Table1[[#This Row],[Teacher]],'Teachers Salaries'!A:C,2,FALSE)="","",VLOOKUP(Table1[[#This Row],[Teacher]],'Teachers Salaries'!A:C,2,FALSE)),"")</f>
        <v>Hourly</v>
      </c>
      <c r="BF62">
        <f>IFERROR(IF(VLOOKUP(Table1[[#This Row],[Teacher]],'Teachers Salaries'!A:C,3,FALSE)="","",VLOOKUP(Table1[[#This Row],[Teacher]],'Teachers Salaries'!A:C,3,FALSE)),"")</f>
        <v>3000</v>
      </c>
      <c r="BG62">
        <f ca="1">IFERROR(IF(Table1[[#This Row],[Pay Type]]="Fixed","-",Table1[[#This Row],[Final Group Frequency2]]*Table1[[#This Row],[Salary / Hourly Rate]]),0)</f>
        <v>12000</v>
      </c>
      <c r="BH62">
        <f>IFERROR(IF(Table1[[#This Row],[Pay Type]]="Fixed","----",Table1[[#This Row],[Salary / Hourly Rate]]*Table1[[#This Row],[Final PrivateFrequency]]),0)</f>
        <v>0</v>
      </c>
      <c r="BI62">
        <f ca="1">IF(Table1[[#This Row],[Pay Type]]="Fixed","---",Table1[[#This Row],[Group Salary]]+Table1[[#This Row],[Private Salary]])</f>
        <v>12000</v>
      </c>
      <c r="BJ62" t="e">
        <f>IF(OR(J62="Alex", J62=""),"", Table1[[#This Row],[For Amount]])</f>
        <v>#N/A</v>
      </c>
      <c r="BK62">
        <f ca="1">IFERROR(Table1[[#This Row],[Fee]]-Table1[[#This Row],[Total Salary]],"")</f>
        <v>8500</v>
      </c>
      <c r="BL62" t="e">
        <f>IF(Table1[[#This Row],[Joining Date]]="","",IF(Table1[[#This Row],[Joining Date]]&lt;='KPI+Pivot'!$CP$1,Table1[[#This Row],[Fee]],""))</f>
        <v>#N/A</v>
      </c>
      <c r="BM6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2" t="e">
        <f>IF(Table1[[#This Row],[Joining Date]]="","",IF(Table1[[#This Row],[Joining Date]]&lt;='KPI+Pivot'!$CP$1,Table1[[#This Row],[Total Salary]],""))</f>
        <v>#N/A</v>
      </c>
      <c r="BO62" t="e">
        <f>IF(Table1[[#This Row],[Joining Date]]="","",IF(Table1[[#This Row],[Joining Date]]&lt;='KPI+Pivot'!$CP$1,Table1[[#This Row],[Frequency]],""))</f>
        <v>#N/A</v>
      </c>
      <c r="BP62" s="38" t="str">
        <f>IF(Table1[[#This Row],[Stop]]="","",(IF(Table1[[#This Row],[Joining Date]]="","",IF(Table1[[#This Row],[Joining Date]]&lt;='KPI+Pivot'!$CP$1,Table1[[#This Row],[Stop]],""))))</f>
        <v/>
      </c>
    </row>
    <row r="63" spans="1:68" ht="22.9" customHeight="1">
      <c r="B63" t="s">
        <v>66</v>
      </c>
      <c r="C63" t="s">
        <v>509</v>
      </c>
      <c r="D63" t="s">
        <v>510</v>
      </c>
      <c r="F63" t="s">
        <v>511</v>
      </c>
      <c r="G63" t="s">
        <v>512</v>
      </c>
      <c r="H63" t="s">
        <v>513</v>
      </c>
      <c r="I63" t="str">
        <f>IFERROR(HYPERLINK("#Finance!B" &amp; MATCH(A63, 'F 2025'!A:A, 0), "🔗 Go to finance"), "❌ ID introuvable")</f>
        <v>❌ ID introuvable</v>
      </c>
      <c r="L63" t="s">
        <v>90</v>
      </c>
      <c r="V63" t="s">
        <v>514</v>
      </c>
      <c r="Y63" t="s">
        <v>515</v>
      </c>
      <c r="Z63" t="s">
        <v>75</v>
      </c>
      <c r="AB63" t="s">
        <v>516</v>
      </c>
      <c r="AD63" s="130"/>
      <c r="AE63"/>
      <c r="AG63" t="s">
        <v>76</v>
      </c>
      <c r="AI63" t="s">
        <v>516</v>
      </c>
      <c r="AK63" t="s">
        <v>517</v>
      </c>
      <c r="AM63" s="38"/>
      <c r="AO63" t="s">
        <v>512</v>
      </c>
      <c r="AR63" t="str">
        <f t="shared" si="2"/>
        <v/>
      </c>
      <c r="AS63" t="str">
        <f t="shared" si="3"/>
        <v/>
      </c>
      <c r="AT63" t="str">
        <f>IF(Table1[[#This Row],[Joining Date]]="", "", TEXT(Table1[[#This Row],[Joining Date]], "mmm"))</f>
        <v/>
      </c>
      <c r="AU63" t="str">
        <f>IF(Table1[[#This Row],[Joining Date]]="", "", YEAR(Table1[[#This Row],[Joining Date]]))</f>
        <v/>
      </c>
      <c r="AV63" t="str">
        <f>IF(Table1[[#This Row],[Group Name]]="","", M63 &amp; Table1[[#This Row],[Teacher]])</f>
        <v/>
      </c>
      <c r="AW63" t="str">
        <f>IF(Table1[[#This Row],[Helper]]="","",IF(_xlfn.MAXIFS(AT:AT,AW:AW,Table1[[#This Row],[Helper]])=Table1[[#This Row],[Clean Frequency]],_xlfn.MAXIFS(AT:AT,AW:AW,Table1[[#This Row],[Helper]]),""))</f>
        <v/>
      </c>
      <c r="AX63" t="str">
        <f ca="1">IF(AND(AW63=_xlfn.MAXIFS(AX:AX, AW:AW, AV63), COUNTIFS(AV$3:AV63, AV63, AW$3:AW63, AW63)=1), 1, "")</f>
        <v/>
      </c>
      <c r="AY63" t="str">
        <f>IF(Table1[[#This Row],[lesson type]]="private",Table1[[#This Row],[Clean Frequency]],"")</f>
        <v/>
      </c>
      <c r="AZ63" t="str">
        <f ca="1">IF(Table1[[#This Row],[First Occurrence]]=1,Table1[[#This Row],[Group Frequency]],"")</f>
        <v/>
      </c>
      <c r="BA63" t="str">
        <f ca="1">IF(B63="Y", IF(Table1[[#This Row],[Stop]]="", TODAY() - Table1[[#This Row],[Joining Date]], Table1[[#This Row],[Stop]] - Table1[[#This Row],[Joining Date]]), "")</f>
        <v/>
      </c>
      <c r="BB63" t="str">
        <f>_xlfn.CONCAT(Table1[[#This Row],[t]]," ",Table1[[#This Row],[Last Name]])</f>
        <v>Katsuki Murakami</v>
      </c>
      <c r="BC63" t="str">
        <f>IF(OR(Table1[[#This Row],[Teacher]]="Alex",Table1[[#This Row],[Teacher]]=""), "", Table1[[#This Row],[For Salary]])</f>
        <v/>
      </c>
      <c r="BD63" t="str">
        <f>IF(OR(Table1[[#This Row],[Teacher]]="Alex",Table1[[#This Row],[Teacher]]=""), "", Table1[[#This Row],[For Amount]])</f>
        <v/>
      </c>
      <c r="BE63" t="str">
        <f>IFERROR(IF(VLOOKUP(Table1[[#This Row],[Teacher]],'Teachers Salaries'!A:C,2,FALSE)="","",VLOOKUP(Table1[[#This Row],[Teacher]],'Teachers Salaries'!A:C,2,FALSE)),"")</f>
        <v/>
      </c>
      <c r="BF63" t="str">
        <f>IFERROR(IF(VLOOKUP(Table1[[#This Row],[Teacher]],'Teachers Salaries'!A:C,3,FALSE)="","",VLOOKUP(Table1[[#This Row],[Teacher]],'Teachers Salaries'!A:C,3,FALSE)),"")</f>
        <v/>
      </c>
      <c r="BG63">
        <f ca="1">IFERROR(IF(Table1[[#This Row],[Pay Type]]="Fixed","-",Table1[[#This Row],[Final Group Frequency2]]*Table1[[#This Row],[Salary / Hourly Rate]]),0)</f>
        <v>0</v>
      </c>
      <c r="BH63">
        <f>IFERROR(IF(Table1[[#This Row],[Pay Type]]="Fixed","----",Table1[[#This Row],[Salary / Hourly Rate]]*Table1[[#This Row],[Final PrivateFrequency]]),0)</f>
        <v>0</v>
      </c>
      <c r="BI63">
        <f ca="1">IF(Table1[[#This Row],[Pay Type]]="Fixed","---",Table1[[#This Row],[Group Salary]]+Table1[[#This Row],[Private Salary]])</f>
        <v>0</v>
      </c>
      <c r="BJ63" t="str">
        <f>IF(OR(J63="Alex", J63=""),"", Table1[[#This Row],[For Amount]])</f>
        <v/>
      </c>
      <c r="BK63">
        <f ca="1">IFERROR(Table1[[#This Row],[Fee]]-Table1[[#This Row],[Total Salary]],"")</f>
        <v>0</v>
      </c>
      <c r="BL63" t="str">
        <f>IF(Table1[[#This Row],[Joining Date]]="","",IF(Table1[[#This Row],[Joining Date]]&lt;='KPI+Pivot'!$CP$1,Table1[[#This Row],[Fee]],""))</f>
        <v/>
      </c>
      <c r="BM6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63" t="str">
        <f>IF(Table1[[#This Row],[Joining Date]]="","",IF(Table1[[#This Row],[Joining Date]]&lt;='KPI+Pivot'!$CP$1,Table1[[#This Row],[Total Salary]],""))</f>
        <v/>
      </c>
      <c r="BO63" t="str">
        <f>IF(Table1[[#This Row],[Joining Date]]="","",IF(Table1[[#This Row],[Joining Date]]&lt;='KPI+Pivot'!$CP$1,Table1[[#This Row],[Frequency]],""))</f>
        <v/>
      </c>
      <c r="BP63" s="38" t="str">
        <f>IF(Table1[[#This Row],[Stop]]="","",(IF(Table1[[#This Row],[Joining Date]]="","",IF(Table1[[#This Row],[Joining Date]]&lt;='KPI+Pivot'!$CP$1,Table1[[#This Row],[Stop]],""))))</f>
        <v/>
      </c>
    </row>
    <row r="64" spans="1:68" ht="22.9" customHeight="1">
      <c r="A64">
        <v>124</v>
      </c>
      <c r="B64" t="s">
        <v>66</v>
      </c>
      <c r="C64" t="s">
        <v>518</v>
      </c>
      <c r="D64" t="s">
        <v>519</v>
      </c>
      <c r="F64" t="s">
        <v>520</v>
      </c>
      <c r="G64" t="s">
        <v>521</v>
      </c>
      <c r="H64" t="s">
        <v>522</v>
      </c>
      <c r="I64" t="str">
        <f>IFERROR(HYPERLINK("#Finance!B" &amp; MATCH(A64, 'F 2025'!A:A, 0), "🔗 Go to finance"), "❌ ID introuvable")</f>
        <v>🔗 Go to finance</v>
      </c>
      <c r="V64" t="s">
        <v>523</v>
      </c>
      <c r="Y64">
        <v>9074586973</v>
      </c>
      <c r="Z64" t="s">
        <v>75</v>
      </c>
      <c r="AB64" t="s">
        <v>524</v>
      </c>
      <c r="AD64" s="130"/>
      <c r="AE64"/>
      <c r="AG64" t="s">
        <v>76</v>
      </c>
      <c r="AI64" t="s">
        <v>524</v>
      </c>
      <c r="AK64" t="s">
        <v>84</v>
      </c>
      <c r="AM64" s="38"/>
      <c r="AO64" t="s">
        <v>521</v>
      </c>
      <c r="AP64">
        <v>124</v>
      </c>
      <c r="AQ64" t="s">
        <v>521</v>
      </c>
      <c r="AR64" t="str">
        <f t="shared" si="2"/>
        <v/>
      </c>
      <c r="AS64" t="str">
        <f t="shared" si="3"/>
        <v/>
      </c>
      <c r="AT64" t="str">
        <f>IF(Table1[[#This Row],[Joining Date]]="", "", TEXT(Table1[[#This Row],[Joining Date]], "mmm"))</f>
        <v/>
      </c>
      <c r="AU64" t="str">
        <f>IF(Table1[[#This Row],[Joining Date]]="", "", YEAR(Table1[[#This Row],[Joining Date]]))</f>
        <v/>
      </c>
      <c r="AV64" t="str">
        <f>IF(Table1[[#This Row],[Group Name]]="","", M64 &amp; Table1[[#This Row],[Teacher]])</f>
        <v/>
      </c>
      <c r="AW64" t="str">
        <f>IF(Table1[[#This Row],[Helper]]="","",IF(_xlfn.MAXIFS(AT:AT,AW:AW,Table1[[#This Row],[Helper]])=Table1[[#This Row],[Clean Frequency]],_xlfn.MAXIFS(AT:AT,AW:AW,Table1[[#This Row],[Helper]]),""))</f>
        <v/>
      </c>
      <c r="AX64" t="str">
        <f ca="1">IF(AND(AW64=_xlfn.MAXIFS(AX:AX, AW:AW, AV64), COUNTIFS(AV$3:AV64, AV64, AW$3:AW64, AW64)=1), 1, "")</f>
        <v/>
      </c>
      <c r="AY64" t="str">
        <f>IF(Table1[[#This Row],[lesson type]]="private",Table1[[#This Row],[Clean Frequency]],"")</f>
        <v/>
      </c>
      <c r="AZ64" t="str">
        <f ca="1">IF(Table1[[#This Row],[First Occurrence]]=1,Table1[[#This Row],[Group Frequency]],"")</f>
        <v/>
      </c>
      <c r="BA64" t="str">
        <f ca="1">IF(B64="Y", IF(Table1[[#This Row],[Stop]]="", TODAY() - Table1[[#This Row],[Joining Date]], Table1[[#This Row],[Stop]] - Table1[[#This Row],[Joining Date]]), "")</f>
        <v/>
      </c>
      <c r="BB64" t="str">
        <f>_xlfn.CONCAT(Table1[[#This Row],[t]]," ",Table1[[#This Row],[Last Name]])</f>
        <v>Katsumi Sugihara</v>
      </c>
      <c r="BC64" t="str">
        <f>IF(OR(Table1[[#This Row],[Teacher]]="Alex",Table1[[#This Row],[Teacher]]=""), "", Table1[[#This Row],[For Salary]])</f>
        <v/>
      </c>
      <c r="BD64" t="str">
        <f>IF(OR(Table1[[#This Row],[Teacher]]="Alex",Table1[[#This Row],[Teacher]]=""), "", Table1[[#This Row],[For Amount]])</f>
        <v/>
      </c>
      <c r="BE64" t="str">
        <f>IFERROR(IF(VLOOKUP(Table1[[#This Row],[Teacher]],'Teachers Salaries'!A:C,2,FALSE)="","",VLOOKUP(Table1[[#This Row],[Teacher]],'Teachers Salaries'!A:C,2,FALSE)),"")</f>
        <v/>
      </c>
      <c r="BF64" t="str">
        <f>IFERROR(IF(VLOOKUP(Table1[[#This Row],[Teacher]],'Teachers Salaries'!A:C,3,FALSE)="","",VLOOKUP(Table1[[#This Row],[Teacher]],'Teachers Salaries'!A:C,3,FALSE)),"")</f>
        <v/>
      </c>
      <c r="BG64">
        <f ca="1">IFERROR(IF(Table1[[#This Row],[Pay Type]]="Fixed","-",Table1[[#This Row],[Final Group Frequency2]]*Table1[[#This Row],[Salary / Hourly Rate]]),0)</f>
        <v>0</v>
      </c>
      <c r="BH64">
        <f>IFERROR(IF(Table1[[#This Row],[Pay Type]]="Fixed","----",Table1[[#This Row],[Salary / Hourly Rate]]*Table1[[#This Row],[Final PrivateFrequency]]),0)</f>
        <v>0</v>
      </c>
      <c r="BI64">
        <f ca="1">IF(Table1[[#This Row],[Pay Type]]="Fixed","---",Table1[[#This Row],[Group Salary]]+Table1[[#This Row],[Private Salary]])</f>
        <v>0</v>
      </c>
      <c r="BJ64" t="str">
        <f>IF(OR(J64="Alex", J64=""),"", Table1[[#This Row],[For Amount]])</f>
        <v/>
      </c>
      <c r="BK64">
        <f ca="1">IFERROR(Table1[[#This Row],[Fee]]-Table1[[#This Row],[Total Salary]],"")</f>
        <v>0</v>
      </c>
      <c r="BL64" t="str">
        <f>IF(Table1[[#This Row],[Joining Date]]="","",IF(Table1[[#This Row],[Joining Date]]&lt;='KPI+Pivot'!$CP$1,Table1[[#This Row],[Fee]],""))</f>
        <v/>
      </c>
      <c r="BM6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64" t="str">
        <f>IF(Table1[[#This Row],[Joining Date]]="","",IF(Table1[[#This Row],[Joining Date]]&lt;='KPI+Pivot'!$CP$1,Table1[[#This Row],[Total Salary]],""))</f>
        <v/>
      </c>
      <c r="BO64" t="str">
        <f>IF(Table1[[#This Row],[Joining Date]]="","",IF(Table1[[#This Row],[Joining Date]]&lt;='KPI+Pivot'!$CP$1,Table1[[#This Row],[Frequency]],""))</f>
        <v/>
      </c>
      <c r="BP64" s="38" t="str">
        <f>IF(Table1[[#This Row],[Stop]]="","",(IF(Table1[[#This Row],[Joining Date]]="","",IF(Table1[[#This Row],[Joining Date]]&lt;='KPI+Pivot'!$CP$1,Table1[[#This Row],[Stop]],""))))</f>
        <v/>
      </c>
    </row>
    <row r="65" spans="1:68" ht="22.9" customHeight="1">
      <c r="B65" t="s">
        <v>66</v>
      </c>
      <c r="C65" t="s">
        <v>525</v>
      </c>
      <c r="D65" t="s">
        <v>526</v>
      </c>
      <c r="F65" t="s">
        <v>527</v>
      </c>
      <c r="G65" t="s">
        <v>528</v>
      </c>
      <c r="H65" t="s">
        <v>529</v>
      </c>
      <c r="I65" t="str">
        <f>IFERROR(HYPERLINK("#Finance!B" &amp; MATCH(A65, 'F 2025'!A:A, 0), "🔗 Go to finance"), "❌ ID introuvable")</f>
        <v>❌ ID introuvable</v>
      </c>
      <c r="L65" t="s">
        <v>90</v>
      </c>
      <c r="V65" t="s">
        <v>530</v>
      </c>
      <c r="Y65" t="s">
        <v>531</v>
      </c>
      <c r="Z65" t="s">
        <v>75</v>
      </c>
      <c r="AB65" t="s">
        <v>532</v>
      </c>
      <c r="AD65" s="130">
        <v>43497</v>
      </c>
      <c r="AE65"/>
      <c r="AG65" t="s">
        <v>76</v>
      </c>
      <c r="AI65" t="s">
        <v>532</v>
      </c>
      <c r="AK65" t="s">
        <v>94</v>
      </c>
      <c r="AM65" s="38"/>
      <c r="AO65" t="s">
        <v>528</v>
      </c>
      <c r="AR65" t="str">
        <f t="shared" si="2"/>
        <v/>
      </c>
      <c r="AS65" t="str">
        <f t="shared" si="3"/>
        <v/>
      </c>
      <c r="AT65" t="str">
        <f>IF(Table1[[#This Row],[Joining Date]]="", "", TEXT(Table1[[#This Row],[Joining Date]], "mmm"))</f>
        <v>Feb</v>
      </c>
      <c r="AU65">
        <f>IF(Table1[[#This Row],[Joining Date]]="", "", YEAR(Table1[[#This Row],[Joining Date]]))</f>
        <v>2019</v>
      </c>
      <c r="AV65" t="str">
        <f>IF(Table1[[#This Row],[Group Name]]="","", M65 &amp; Table1[[#This Row],[Teacher]])</f>
        <v/>
      </c>
      <c r="AW65" t="str">
        <f>IF(Table1[[#This Row],[Helper]]="","",IF(_xlfn.MAXIFS(AT:AT,AW:AW,Table1[[#This Row],[Helper]])=Table1[[#This Row],[Clean Frequency]],_xlfn.MAXIFS(AT:AT,AW:AW,Table1[[#This Row],[Helper]]),""))</f>
        <v/>
      </c>
      <c r="AX65" t="str">
        <f ca="1">IF(AND(AW65=_xlfn.MAXIFS(AX:AX, AW:AW, AV65), COUNTIFS(AV$3:AV65, AV65, AW$3:AW65, AW65)=1), 1, "")</f>
        <v/>
      </c>
      <c r="AY65" t="str">
        <f>IF(Table1[[#This Row],[lesson type]]="private",Table1[[#This Row],[Clean Frequency]],"")</f>
        <v/>
      </c>
      <c r="AZ65" t="str">
        <f ca="1">IF(Table1[[#This Row],[First Occurrence]]=1,Table1[[#This Row],[Group Frequency]],"")</f>
        <v/>
      </c>
      <c r="BA65" t="str">
        <f ca="1">IF(B65="Y", IF(Table1[[#This Row],[Stop]]="", TODAY() - Table1[[#This Row],[Joining Date]], Table1[[#This Row],[Stop]] - Table1[[#This Row],[Joining Date]]), "")</f>
        <v/>
      </c>
      <c r="BB65" t="str">
        <f>_xlfn.CONCAT(Table1[[#This Row],[t]]," ",Table1[[#This Row],[Last Name]])</f>
        <v>Katsuyo Saitou</v>
      </c>
      <c r="BC65" t="str">
        <f>IF(OR(Table1[[#This Row],[Teacher]]="Alex",Table1[[#This Row],[Teacher]]=""), "", Table1[[#This Row],[For Salary]])</f>
        <v/>
      </c>
      <c r="BD65" t="str">
        <f>IF(OR(Table1[[#This Row],[Teacher]]="Alex",Table1[[#This Row],[Teacher]]=""), "", Table1[[#This Row],[For Amount]])</f>
        <v/>
      </c>
      <c r="BE65" t="str">
        <f>IFERROR(IF(VLOOKUP(Table1[[#This Row],[Teacher]],'Teachers Salaries'!A:C,2,FALSE)="","",VLOOKUP(Table1[[#This Row],[Teacher]],'Teachers Salaries'!A:C,2,FALSE)),"")</f>
        <v/>
      </c>
      <c r="BF65" t="str">
        <f>IFERROR(IF(VLOOKUP(Table1[[#This Row],[Teacher]],'Teachers Salaries'!A:C,3,FALSE)="","",VLOOKUP(Table1[[#This Row],[Teacher]],'Teachers Salaries'!A:C,3,FALSE)),"")</f>
        <v/>
      </c>
      <c r="BG65">
        <f ca="1">IFERROR(IF(Table1[[#This Row],[Pay Type]]="Fixed","-",Table1[[#This Row],[Final Group Frequency2]]*Table1[[#This Row],[Salary / Hourly Rate]]),0)</f>
        <v>0</v>
      </c>
      <c r="BH65">
        <f>IFERROR(IF(Table1[[#This Row],[Pay Type]]="Fixed","----",Table1[[#This Row],[Salary / Hourly Rate]]*Table1[[#This Row],[Final PrivateFrequency]]),0)</f>
        <v>0</v>
      </c>
      <c r="BI65">
        <f ca="1">IF(Table1[[#This Row],[Pay Type]]="Fixed","---",Table1[[#This Row],[Group Salary]]+Table1[[#This Row],[Private Salary]])</f>
        <v>0</v>
      </c>
      <c r="BJ65" t="str">
        <f>IF(OR(J65="Alex", J65=""),"", Table1[[#This Row],[For Amount]])</f>
        <v/>
      </c>
      <c r="BK65">
        <f ca="1">IFERROR(Table1[[#This Row],[Fee]]-Table1[[#This Row],[Total Salary]],"")</f>
        <v>0</v>
      </c>
      <c r="BL65" t="e">
        <f>IF(Table1[[#This Row],[Joining Date]]="","",IF(Table1[[#This Row],[Joining Date]]&lt;='KPI+Pivot'!$CP$1,Table1[[#This Row],[Fee]],""))</f>
        <v>#N/A</v>
      </c>
      <c r="BM6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5" t="e">
        <f>IF(Table1[[#This Row],[Joining Date]]="","",IF(Table1[[#This Row],[Joining Date]]&lt;='KPI+Pivot'!$CP$1,Table1[[#This Row],[Total Salary]],""))</f>
        <v>#N/A</v>
      </c>
      <c r="BO65" t="e">
        <f>IF(Table1[[#This Row],[Joining Date]]="","",IF(Table1[[#This Row],[Joining Date]]&lt;='KPI+Pivot'!$CP$1,Table1[[#This Row],[Frequency]],""))</f>
        <v>#N/A</v>
      </c>
      <c r="BP65" s="38" t="str">
        <f>IF(Table1[[#This Row],[Stop]]="","",(IF(Table1[[#This Row],[Joining Date]]="","",IF(Table1[[#This Row],[Joining Date]]&lt;='KPI+Pivot'!$CP$1,Table1[[#This Row],[Stop]],""))))</f>
        <v/>
      </c>
    </row>
    <row r="66" spans="1:68" ht="22.9" customHeight="1">
      <c r="B66" t="s">
        <v>66</v>
      </c>
      <c r="C66" t="s">
        <v>533</v>
      </c>
      <c r="D66" t="s">
        <v>534</v>
      </c>
      <c r="F66" t="s">
        <v>535</v>
      </c>
      <c r="G66" t="s">
        <v>536</v>
      </c>
      <c r="H66" t="s">
        <v>537</v>
      </c>
      <c r="I66" t="str">
        <f>IFERROR(HYPERLINK("#Finance!B" &amp; MATCH(A66, 'F 2025'!A:A, 0), "🔗 Go to finance"), "❌ ID introuvable")</f>
        <v>❌ ID introuvable</v>
      </c>
      <c r="L66" t="s">
        <v>90</v>
      </c>
      <c r="V66" t="s">
        <v>538</v>
      </c>
      <c r="Z66" t="s">
        <v>75</v>
      </c>
      <c r="AD66" s="130"/>
      <c r="AE66"/>
      <c r="AG66" t="s">
        <v>76</v>
      </c>
      <c r="AK66" t="s">
        <v>539</v>
      </c>
      <c r="AM66" s="38"/>
      <c r="AO66" t="s">
        <v>536</v>
      </c>
      <c r="AR66" t="str">
        <f t="shared" ref="AR66:AR97" si="4">IF(OR(ISNUMBER(SEARCH("private",K66)), ISNUMBER(SEARCH("プら",K66)), ISNUMBER(SEARCH("プら,大人",K66)), ISNUMBER(SEARCH("セミプラ",K66))), "private", IF(OR(ISNUMBER(SEARCH("group",K66)), ISNUMBER(SEARCH("グループ",K66)), ISNUMBER(SEARCH("gr",K66))), "group", ""))</f>
        <v/>
      </c>
      <c r="AS66" t="str">
        <f t="shared" ref="AS66:AS97" si="5">IF(J66&lt;&gt;"", IF(N66="", 4, N66), "")</f>
        <v/>
      </c>
      <c r="AT66" t="str">
        <f>IF(Table1[[#This Row],[Joining Date]]="", "", TEXT(Table1[[#This Row],[Joining Date]], "mmm"))</f>
        <v/>
      </c>
      <c r="AU66" t="str">
        <f>IF(Table1[[#This Row],[Joining Date]]="", "", YEAR(Table1[[#This Row],[Joining Date]]))</f>
        <v/>
      </c>
      <c r="AV66" t="str">
        <f>IF(Table1[[#This Row],[Group Name]]="","", M66 &amp; Table1[[#This Row],[Teacher]])</f>
        <v/>
      </c>
      <c r="AW66" t="str">
        <f>IF(Table1[[#This Row],[Helper]]="","",IF(_xlfn.MAXIFS(AT:AT,AW:AW,Table1[[#This Row],[Helper]])=Table1[[#This Row],[Clean Frequency]],_xlfn.MAXIFS(AT:AT,AW:AW,Table1[[#This Row],[Helper]]),""))</f>
        <v/>
      </c>
      <c r="AX66" t="str">
        <f ca="1">IF(AND(AW66=_xlfn.MAXIFS(AX:AX, AW:AW, AV66), COUNTIFS(AV$3:AV66, AV66, AW$3:AW66, AW66)=1), 1, "")</f>
        <v/>
      </c>
      <c r="AY66" t="str">
        <f>IF(Table1[[#This Row],[lesson type]]="private",Table1[[#This Row],[Clean Frequency]],"")</f>
        <v/>
      </c>
      <c r="AZ66" t="str">
        <f ca="1">IF(Table1[[#This Row],[First Occurrence]]=1,Table1[[#This Row],[Group Frequency]],"")</f>
        <v/>
      </c>
      <c r="BA66" t="str">
        <f ca="1">IF(B66="Y", IF(Table1[[#This Row],[Stop]]="", TODAY() - Table1[[#This Row],[Joining Date]], Table1[[#This Row],[Stop]] - Table1[[#This Row],[Joining Date]]), "")</f>
        <v/>
      </c>
      <c r="BB66" t="str">
        <f>_xlfn.CONCAT(Table1[[#This Row],[t]]," ",Table1[[#This Row],[Last Name]])</f>
        <v>Kazue Konishi</v>
      </c>
      <c r="BC66" t="str">
        <f>IF(OR(Table1[[#This Row],[Teacher]]="Alex",Table1[[#This Row],[Teacher]]=""), "", Table1[[#This Row],[For Salary]])</f>
        <v/>
      </c>
      <c r="BD66" t="str">
        <f>IF(OR(Table1[[#This Row],[Teacher]]="Alex",Table1[[#This Row],[Teacher]]=""), "", Table1[[#This Row],[For Amount]])</f>
        <v/>
      </c>
      <c r="BE66" t="str">
        <f>IFERROR(IF(VLOOKUP(Table1[[#This Row],[Teacher]],'Teachers Salaries'!A:C,2,FALSE)="","",VLOOKUP(Table1[[#This Row],[Teacher]],'Teachers Salaries'!A:C,2,FALSE)),"")</f>
        <v/>
      </c>
      <c r="BF66" t="str">
        <f>IFERROR(IF(VLOOKUP(Table1[[#This Row],[Teacher]],'Teachers Salaries'!A:C,3,FALSE)="","",VLOOKUP(Table1[[#This Row],[Teacher]],'Teachers Salaries'!A:C,3,FALSE)),"")</f>
        <v/>
      </c>
      <c r="BG66">
        <f ca="1">IFERROR(IF(Table1[[#This Row],[Pay Type]]="Fixed","-",Table1[[#This Row],[Final Group Frequency2]]*Table1[[#This Row],[Salary / Hourly Rate]]),0)</f>
        <v>0</v>
      </c>
      <c r="BH66">
        <f>IFERROR(IF(Table1[[#This Row],[Pay Type]]="Fixed","----",Table1[[#This Row],[Salary / Hourly Rate]]*Table1[[#This Row],[Final PrivateFrequency]]),0)</f>
        <v>0</v>
      </c>
      <c r="BI66">
        <f ca="1">IF(Table1[[#This Row],[Pay Type]]="Fixed","---",Table1[[#This Row],[Group Salary]]+Table1[[#This Row],[Private Salary]])</f>
        <v>0</v>
      </c>
      <c r="BJ66" t="str">
        <f>IF(OR(J66="Alex", J66=""),"", Table1[[#This Row],[For Amount]])</f>
        <v/>
      </c>
      <c r="BK66">
        <f ca="1">IFERROR(Table1[[#This Row],[Fee]]-Table1[[#This Row],[Total Salary]],"")</f>
        <v>0</v>
      </c>
      <c r="BL66" t="str">
        <f>IF(Table1[[#This Row],[Joining Date]]="","",IF(Table1[[#This Row],[Joining Date]]&lt;='KPI+Pivot'!$CP$1,Table1[[#This Row],[Fee]],""))</f>
        <v/>
      </c>
      <c r="BM6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66" t="str">
        <f>IF(Table1[[#This Row],[Joining Date]]="","",IF(Table1[[#This Row],[Joining Date]]&lt;='KPI+Pivot'!$CP$1,Table1[[#This Row],[Total Salary]],""))</f>
        <v/>
      </c>
      <c r="BO66" t="str">
        <f>IF(Table1[[#This Row],[Joining Date]]="","",IF(Table1[[#This Row],[Joining Date]]&lt;='KPI+Pivot'!$CP$1,Table1[[#This Row],[Frequency]],""))</f>
        <v/>
      </c>
      <c r="BP66" s="38" t="str">
        <f>IF(Table1[[#This Row],[Stop]]="","",(IF(Table1[[#This Row],[Joining Date]]="","",IF(Table1[[#This Row],[Joining Date]]&lt;='KPI+Pivot'!$CP$1,Table1[[#This Row],[Stop]],""))))</f>
        <v/>
      </c>
    </row>
    <row r="67" spans="1:68" ht="22.9" customHeight="1">
      <c r="A67">
        <v>89</v>
      </c>
      <c r="B67" t="s">
        <v>66</v>
      </c>
      <c r="C67" t="s">
        <v>540</v>
      </c>
      <c r="D67" t="s">
        <v>541</v>
      </c>
      <c r="F67" t="s">
        <v>542</v>
      </c>
      <c r="G67" t="s">
        <v>543</v>
      </c>
      <c r="H67" t="s">
        <v>544</v>
      </c>
      <c r="I67" t="str">
        <f>IFERROR(HYPERLINK("#Finance!B" &amp; MATCH(A67, 'F 2025'!A:A, 0), "🔗 Go to finance"), "❌ ID introuvable")</f>
        <v>🔗 Go to finance</v>
      </c>
      <c r="V67" s="13" t="s">
        <v>545</v>
      </c>
      <c r="W67" t="s">
        <v>546</v>
      </c>
      <c r="Y67">
        <v>9068954683</v>
      </c>
      <c r="Z67" t="s">
        <v>75</v>
      </c>
      <c r="AB67" t="s">
        <v>547</v>
      </c>
      <c r="AD67" s="130">
        <v>44714</v>
      </c>
      <c r="AE67"/>
      <c r="AG67" t="s">
        <v>76</v>
      </c>
      <c r="AI67" t="s">
        <v>547</v>
      </c>
      <c r="AK67" t="s">
        <v>102</v>
      </c>
      <c r="AM67" s="38"/>
      <c r="AO67" t="s">
        <v>543</v>
      </c>
      <c r="AR67" t="str">
        <f t="shared" si="4"/>
        <v/>
      </c>
      <c r="AS67" t="str">
        <f t="shared" si="5"/>
        <v/>
      </c>
      <c r="AT67" t="str">
        <f>IF(Table1[[#This Row],[Joining Date]]="", "", TEXT(Table1[[#This Row],[Joining Date]], "mmm"))</f>
        <v>Jun</v>
      </c>
      <c r="AU67">
        <f>IF(Table1[[#This Row],[Joining Date]]="", "", YEAR(Table1[[#This Row],[Joining Date]]))</f>
        <v>2022</v>
      </c>
      <c r="AV67" t="str">
        <f>IF(Table1[[#This Row],[Group Name]]="","", M67 &amp; Table1[[#This Row],[Teacher]])</f>
        <v/>
      </c>
      <c r="AW67" t="str">
        <f>IF(Table1[[#This Row],[Helper]]="","",IF(_xlfn.MAXIFS(AT:AT,AW:AW,Table1[[#This Row],[Helper]])=Table1[[#This Row],[Clean Frequency]],_xlfn.MAXIFS(AT:AT,AW:AW,Table1[[#This Row],[Helper]]),""))</f>
        <v/>
      </c>
      <c r="AX67" t="str">
        <f ca="1">IF(AND(AW67=_xlfn.MAXIFS(AX:AX, AW:AW, AV67), COUNTIFS(AV$3:AV67, AV67, AW$3:AW67, AW67)=1), 1, "")</f>
        <v/>
      </c>
      <c r="AY67" t="str">
        <f>IF(Table1[[#This Row],[lesson type]]="private",Table1[[#This Row],[Clean Frequency]],"")</f>
        <v/>
      </c>
      <c r="AZ67" t="str">
        <f ca="1">IF(Table1[[#This Row],[First Occurrence]]=1,Table1[[#This Row],[Group Frequency]],"")</f>
        <v/>
      </c>
      <c r="BA67" t="str">
        <f ca="1">IF(B67="Y", IF(Table1[[#This Row],[Stop]]="", TODAY() - Table1[[#This Row],[Joining Date]], Table1[[#This Row],[Stop]] - Table1[[#This Row],[Joining Date]]), "")</f>
        <v/>
      </c>
      <c r="BB67" t="str">
        <f>_xlfn.CONCAT(Table1[[#This Row],[t]]," ",Table1[[#This Row],[Last Name]])</f>
        <v>Kazuki Fujiwara</v>
      </c>
      <c r="BC67" t="str">
        <f>IF(OR(Table1[[#This Row],[Teacher]]="Alex",Table1[[#This Row],[Teacher]]=""), "", Table1[[#This Row],[For Salary]])</f>
        <v/>
      </c>
      <c r="BD67" t="str">
        <f>IF(OR(Table1[[#This Row],[Teacher]]="Alex",Table1[[#This Row],[Teacher]]=""), "", Table1[[#This Row],[For Amount]])</f>
        <v/>
      </c>
      <c r="BE67" t="str">
        <f>IFERROR(IF(VLOOKUP(Table1[[#This Row],[Teacher]],'Teachers Salaries'!A:C,2,FALSE)="","",VLOOKUP(Table1[[#This Row],[Teacher]],'Teachers Salaries'!A:C,2,FALSE)),"")</f>
        <v/>
      </c>
      <c r="BF67" t="str">
        <f>IFERROR(IF(VLOOKUP(Table1[[#This Row],[Teacher]],'Teachers Salaries'!A:C,3,FALSE)="","",VLOOKUP(Table1[[#This Row],[Teacher]],'Teachers Salaries'!A:C,3,FALSE)),"")</f>
        <v/>
      </c>
      <c r="BG67">
        <f ca="1">IFERROR(IF(Table1[[#This Row],[Pay Type]]="Fixed","-",Table1[[#This Row],[Final Group Frequency2]]*Table1[[#This Row],[Salary / Hourly Rate]]),0)</f>
        <v>0</v>
      </c>
      <c r="BH67">
        <f>IFERROR(IF(Table1[[#This Row],[Pay Type]]="Fixed","----",Table1[[#This Row],[Salary / Hourly Rate]]*Table1[[#This Row],[Final PrivateFrequency]]),0)</f>
        <v>0</v>
      </c>
      <c r="BI67">
        <f ca="1">IF(Table1[[#This Row],[Pay Type]]="Fixed","---",Table1[[#This Row],[Group Salary]]+Table1[[#This Row],[Private Salary]])</f>
        <v>0</v>
      </c>
      <c r="BJ67" t="str">
        <f>IF(OR(J67="Alex", J67=""),"", Table1[[#This Row],[For Amount]])</f>
        <v/>
      </c>
      <c r="BK67">
        <f ca="1">IFERROR(Table1[[#This Row],[Fee]]-Table1[[#This Row],[Total Salary]],"")</f>
        <v>0</v>
      </c>
      <c r="BL67" t="e">
        <f>IF(Table1[[#This Row],[Joining Date]]="","",IF(Table1[[#This Row],[Joining Date]]&lt;='KPI+Pivot'!$CP$1,Table1[[#This Row],[Fee]],""))</f>
        <v>#N/A</v>
      </c>
      <c r="BM6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7" t="e">
        <f>IF(Table1[[#This Row],[Joining Date]]="","",IF(Table1[[#This Row],[Joining Date]]&lt;='KPI+Pivot'!$CP$1,Table1[[#This Row],[Total Salary]],""))</f>
        <v>#N/A</v>
      </c>
      <c r="BO67" t="e">
        <f>IF(Table1[[#This Row],[Joining Date]]="","",IF(Table1[[#This Row],[Joining Date]]&lt;='KPI+Pivot'!$CP$1,Table1[[#This Row],[Frequency]],""))</f>
        <v>#N/A</v>
      </c>
      <c r="BP67" s="38" t="str">
        <f>IF(Table1[[#This Row],[Stop]]="","",(IF(Table1[[#This Row],[Joining Date]]="","",IF(Table1[[#This Row],[Joining Date]]&lt;='KPI+Pivot'!$CP$1,Table1[[#This Row],[Stop]],""))))</f>
        <v/>
      </c>
    </row>
    <row r="68" spans="1:68" ht="18" customHeight="1">
      <c r="A68">
        <v>15</v>
      </c>
      <c r="B68" t="s">
        <v>103</v>
      </c>
      <c r="C68" t="s">
        <v>548</v>
      </c>
      <c r="D68" t="s">
        <v>549</v>
      </c>
      <c r="F68" t="s">
        <v>550</v>
      </c>
      <c r="G68" t="s">
        <v>551</v>
      </c>
      <c r="H68" t="s">
        <v>552</v>
      </c>
      <c r="I68" t="str">
        <f>IFERROR(HYPERLINK("#Finance!B" &amp; MATCH(A68, 'F 2025'!A:A, 0), "🔗 Go to finance"), "❌ ID introuvable")</f>
        <v>🔗 Go to finance</v>
      </c>
      <c r="J68" t="s">
        <v>553</v>
      </c>
      <c r="K68" t="s">
        <v>117</v>
      </c>
      <c r="L68" t="s">
        <v>486</v>
      </c>
      <c r="N68">
        <v>2</v>
      </c>
      <c r="O68">
        <v>8800</v>
      </c>
      <c r="V68" t="s">
        <v>554</v>
      </c>
      <c r="W68" t="s">
        <v>555</v>
      </c>
      <c r="Y68" t="s">
        <v>556</v>
      </c>
      <c r="Z68" t="s">
        <v>75</v>
      </c>
      <c r="AB68" t="s">
        <v>557</v>
      </c>
      <c r="AD68" s="130">
        <v>43101</v>
      </c>
      <c r="AE68"/>
      <c r="AG68" t="s">
        <v>76</v>
      </c>
      <c r="AI68" t="s">
        <v>557</v>
      </c>
      <c r="AK68" t="s">
        <v>558</v>
      </c>
      <c r="AM68" s="38"/>
      <c r="AO68" t="s">
        <v>551</v>
      </c>
      <c r="AP68">
        <v>15</v>
      </c>
      <c r="AQ68" t="s">
        <v>551</v>
      </c>
      <c r="AR68" t="str">
        <f t="shared" si="4"/>
        <v>group</v>
      </c>
      <c r="AS68">
        <f t="shared" si="5"/>
        <v>2</v>
      </c>
      <c r="AT68" t="str">
        <f>IF(Table1[[#This Row],[Joining Date]]="", "", TEXT(Table1[[#This Row],[Joining Date]], "mmm"))</f>
        <v>Jan</v>
      </c>
      <c r="AU68">
        <f>IF(Table1[[#This Row],[Joining Date]]="", "", YEAR(Table1[[#This Row],[Joining Date]]))</f>
        <v>2018</v>
      </c>
      <c r="AV68" t="str">
        <f>IF(Table1[[#This Row],[Group Name]]="","", M68 &amp; Table1[[#This Row],[Teacher]])</f>
        <v/>
      </c>
      <c r="AW68" t="str">
        <f>IF(Table1[[#This Row],[Helper]]="","",IF(_xlfn.MAXIFS(AT:AT,AW:AW,Table1[[#This Row],[Helper]])=Table1[[#This Row],[Clean Frequency]],_xlfn.MAXIFS(AT:AT,AW:AW,Table1[[#This Row],[Helper]]),""))</f>
        <v/>
      </c>
      <c r="AX68" t="str">
        <f ca="1">IF(AND(AW68=_xlfn.MAXIFS(AX:AX, AW:AW, AV68), COUNTIFS(AV$3:AV68, AV68, AW$3:AW68, AW68)=1), 1, "")</f>
        <v/>
      </c>
      <c r="AY68" t="str">
        <f>IF(Table1[[#This Row],[lesson type]]="private",Table1[[#This Row],[Clean Frequency]],"")</f>
        <v/>
      </c>
      <c r="AZ68" t="str">
        <f ca="1">IF(Table1[[#This Row],[First Occurrence]]=1,Table1[[#This Row],[Group Frequency]],"")</f>
        <v/>
      </c>
      <c r="BA68">
        <f ca="1">IF(B68="Y", IF(Table1[[#This Row],[Stop]]="", TODAY() - Table1[[#This Row],[Joining Date]], Table1[[#This Row],[Stop]] - Table1[[#This Row],[Joining Date]]), "")</f>
        <v>3076</v>
      </c>
      <c r="BB68" t="str">
        <f>_xlfn.CONCAT(Table1[[#This Row],[t]]," ",Table1[[#This Row],[Last Name]])</f>
        <v>Kazuko Kusaba</v>
      </c>
      <c r="BC68" t="e">
        <f>IF(OR(Table1[[#This Row],[Teacher]]="Alex",Table1[[#This Row],[Teacher]]=""), "", Table1[[#This Row],[For Salary]])</f>
        <v>#N/A</v>
      </c>
      <c r="BD68" t="e">
        <f>IF(OR(Table1[[#This Row],[Teacher]]="Alex",Table1[[#This Row],[Teacher]]=""), "", Table1[[#This Row],[For Amount]])</f>
        <v>#N/A</v>
      </c>
      <c r="BE68" t="str">
        <f>IFERROR(IF(VLOOKUP(Table1[[#This Row],[Teacher]],'Teachers Salaries'!A:C,2,FALSE)="","",VLOOKUP(Table1[[#This Row],[Teacher]],'Teachers Salaries'!A:C,2,FALSE)),"")</f>
        <v/>
      </c>
      <c r="BF68" t="str">
        <f>IFERROR(IF(VLOOKUP(Table1[[#This Row],[Teacher]],'Teachers Salaries'!A:C,3,FALSE)="","",VLOOKUP(Table1[[#This Row],[Teacher]],'Teachers Salaries'!A:C,3,FALSE)),"")</f>
        <v/>
      </c>
      <c r="BG68">
        <f ca="1">IFERROR(IF(Table1[[#This Row],[Pay Type]]="Fixed","-",Table1[[#This Row],[Final Group Frequency2]]*Table1[[#This Row],[Salary / Hourly Rate]]),0)</f>
        <v>0</v>
      </c>
      <c r="BH68">
        <f>IFERROR(IF(Table1[[#This Row],[Pay Type]]="Fixed","----",Table1[[#This Row],[Salary / Hourly Rate]]*Table1[[#This Row],[Final PrivateFrequency]]),0)</f>
        <v>0</v>
      </c>
      <c r="BI68">
        <f ca="1">IF(Table1[[#This Row],[Pay Type]]="Fixed","---",Table1[[#This Row],[Group Salary]]+Table1[[#This Row],[Private Salary]])</f>
        <v>0</v>
      </c>
      <c r="BJ68" t="e">
        <f>IF(OR(J68="Alex", J68=""),"", Table1[[#This Row],[For Amount]])</f>
        <v>#N/A</v>
      </c>
      <c r="BK68">
        <f ca="1">IFERROR(Table1[[#This Row],[Fee]]-Table1[[#This Row],[Total Salary]],"")</f>
        <v>8800</v>
      </c>
      <c r="BL68" t="e">
        <f>IF(Table1[[#This Row],[Joining Date]]="","",IF(Table1[[#This Row],[Joining Date]]&lt;='KPI+Pivot'!$CP$1,Table1[[#This Row],[Fee]],""))</f>
        <v>#N/A</v>
      </c>
      <c r="BM6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8" t="e">
        <f>IF(Table1[[#This Row],[Joining Date]]="","",IF(Table1[[#This Row],[Joining Date]]&lt;='KPI+Pivot'!$CP$1,Table1[[#This Row],[Total Salary]],""))</f>
        <v>#N/A</v>
      </c>
      <c r="BO68" t="e">
        <f>IF(Table1[[#This Row],[Joining Date]]="","",IF(Table1[[#This Row],[Joining Date]]&lt;='KPI+Pivot'!$CP$1,Table1[[#This Row],[Frequency]],""))</f>
        <v>#N/A</v>
      </c>
      <c r="BP68" s="38" t="str">
        <f>IF(Table1[[#This Row],[Stop]]="","",(IF(Table1[[#This Row],[Joining Date]]="","",IF(Table1[[#This Row],[Joining Date]]&lt;='KPI+Pivot'!$CP$1,Table1[[#This Row],[Stop]],""))))</f>
        <v/>
      </c>
    </row>
    <row r="69" spans="1:68" ht="22.9" customHeight="1">
      <c r="B69" t="s">
        <v>66</v>
      </c>
      <c r="C69" t="s">
        <v>559</v>
      </c>
      <c r="D69" t="s">
        <v>560</v>
      </c>
      <c r="F69" t="s">
        <v>202</v>
      </c>
      <c r="G69" t="s">
        <v>561</v>
      </c>
      <c r="H69" t="s">
        <v>562</v>
      </c>
      <c r="I69" t="str">
        <f>IFERROR(HYPERLINK("#Finance!B" &amp; MATCH(A69, 'F 2025'!A:A, 0), "🔗 Go to finance"), "❌ ID introuvable")</f>
        <v>❌ ID introuvable</v>
      </c>
      <c r="L69" t="s">
        <v>90</v>
      </c>
      <c r="V69" t="s">
        <v>563</v>
      </c>
      <c r="Y69" t="s">
        <v>564</v>
      </c>
      <c r="Z69" t="s">
        <v>75</v>
      </c>
      <c r="AB69" t="s">
        <v>565</v>
      </c>
      <c r="AD69" s="130"/>
      <c r="AE69"/>
      <c r="AG69" t="s">
        <v>76</v>
      </c>
      <c r="AI69" t="s">
        <v>565</v>
      </c>
      <c r="AK69" t="s">
        <v>566</v>
      </c>
      <c r="AM69" s="38"/>
      <c r="AO69" t="s">
        <v>561</v>
      </c>
      <c r="AR69" t="str">
        <f t="shared" si="4"/>
        <v/>
      </c>
      <c r="AS69" t="str">
        <f t="shared" si="5"/>
        <v/>
      </c>
      <c r="AT69" t="str">
        <f>IF(Table1[[#This Row],[Joining Date]]="", "", TEXT(Table1[[#This Row],[Joining Date]], "mmm"))</f>
        <v/>
      </c>
      <c r="AU69" t="str">
        <f>IF(Table1[[#This Row],[Joining Date]]="", "", YEAR(Table1[[#This Row],[Joining Date]]))</f>
        <v/>
      </c>
      <c r="AV69" t="str">
        <f>IF(Table1[[#This Row],[Group Name]]="","", M69 &amp; Table1[[#This Row],[Teacher]])</f>
        <v/>
      </c>
      <c r="AW69" t="str">
        <f>IF(Table1[[#This Row],[Helper]]="","",IF(_xlfn.MAXIFS(AT:AT,AW:AW,Table1[[#This Row],[Helper]])=Table1[[#This Row],[Clean Frequency]],_xlfn.MAXIFS(AT:AT,AW:AW,Table1[[#This Row],[Helper]]),""))</f>
        <v/>
      </c>
      <c r="AX69" t="str">
        <f ca="1">IF(AND(AW69=_xlfn.MAXIFS(AX:AX, AW:AW, AV69), COUNTIFS(AV$3:AV69, AV69, AW$3:AW69, AW69)=1), 1, "")</f>
        <v/>
      </c>
      <c r="AY69" t="str">
        <f>IF(Table1[[#This Row],[lesson type]]="private",Table1[[#This Row],[Clean Frequency]],"")</f>
        <v/>
      </c>
      <c r="AZ69" t="str">
        <f ca="1">IF(Table1[[#This Row],[First Occurrence]]=1,Table1[[#This Row],[Group Frequency]],"")</f>
        <v/>
      </c>
      <c r="BA69" t="str">
        <f ca="1">IF(B69="Y", IF(Table1[[#This Row],[Stop]]="", TODAY() - Table1[[#This Row],[Joining Date]], Table1[[#This Row],[Stop]] - Table1[[#This Row],[Joining Date]]), "")</f>
        <v/>
      </c>
      <c r="BB69" t="str">
        <f>_xlfn.CONCAT(Table1[[#This Row],[t]]," ",Table1[[#This Row],[Last Name]])</f>
        <v>Keiko Sakamoto</v>
      </c>
      <c r="BC69" t="str">
        <f>IF(OR(Table1[[#This Row],[Teacher]]="Alex",Table1[[#This Row],[Teacher]]=""), "", Table1[[#This Row],[For Salary]])</f>
        <v/>
      </c>
      <c r="BD69" t="str">
        <f>IF(OR(Table1[[#This Row],[Teacher]]="Alex",Table1[[#This Row],[Teacher]]=""), "", Table1[[#This Row],[For Amount]])</f>
        <v/>
      </c>
      <c r="BE69" t="str">
        <f>IFERROR(IF(VLOOKUP(Table1[[#This Row],[Teacher]],'Teachers Salaries'!A:C,2,FALSE)="","",VLOOKUP(Table1[[#This Row],[Teacher]],'Teachers Salaries'!A:C,2,FALSE)),"")</f>
        <v/>
      </c>
      <c r="BF69" t="str">
        <f>IFERROR(IF(VLOOKUP(Table1[[#This Row],[Teacher]],'Teachers Salaries'!A:C,3,FALSE)="","",VLOOKUP(Table1[[#This Row],[Teacher]],'Teachers Salaries'!A:C,3,FALSE)),"")</f>
        <v/>
      </c>
      <c r="BG69">
        <f ca="1">IFERROR(IF(Table1[[#This Row],[Pay Type]]="Fixed","-",Table1[[#This Row],[Final Group Frequency2]]*Table1[[#This Row],[Salary / Hourly Rate]]),0)</f>
        <v>0</v>
      </c>
      <c r="BH69">
        <f>IFERROR(IF(Table1[[#This Row],[Pay Type]]="Fixed","----",Table1[[#This Row],[Salary / Hourly Rate]]*Table1[[#This Row],[Final PrivateFrequency]]),0)</f>
        <v>0</v>
      </c>
      <c r="BI69">
        <f ca="1">IF(Table1[[#This Row],[Pay Type]]="Fixed","---",Table1[[#This Row],[Group Salary]]+Table1[[#This Row],[Private Salary]])</f>
        <v>0</v>
      </c>
      <c r="BJ69" t="str">
        <f>IF(OR(J69="Alex", J69=""),"", Table1[[#This Row],[For Amount]])</f>
        <v/>
      </c>
      <c r="BK69">
        <f ca="1">IFERROR(Table1[[#This Row],[Fee]]-Table1[[#This Row],[Total Salary]],"")</f>
        <v>0</v>
      </c>
      <c r="BL69" t="str">
        <f>IF(Table1[[#This Row],[Joining Date]]="","",IF(Table1[[#This Row],[Joining Date]]&lt;='KPI+Pivot'!$CP$1,Table1[[#This Row],[Fee]],""))</f>
        <v/>
      </c>
      <c r="BM6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69" t="str">
        <f>IF(Table1[[#This Row],[Joining Date]]="","",IF(Table1[[#This Row],[Joining Date]]&lt;='KPI+Pivot'!$CP$1,Table1[[#This Row],[Total Salary]],""))</f>
        <v/>
      </c>
      <c r="BO69" t="str">
        <f>IF(Table1[[#This Row],[Joining Date]]="","",IF(Table1[[#This Row],[Joining Date]]&lt;='KPI+Pivot'!$CP$1,Table1[[#This Row],[Frequency]],""))</f>
        <v/>
      </c>
      <c r="BP69" s="38" t="str">
        <f>IF(Table1[[#This Row],[Stop]]="","",(IF(Table1[[#This Row],[Joining Date]]="","",IF(Table1[[#This Row],[Joining Date]]&lt;='KPI+Pivot'!$CP$1,Table1[[#This Row],[Stop]],""))))</f>
        <v/>
      </c>
    </row>
    <row r="70" spans="1:68" ht="22.9" customHeight="1">
      <c r="B70" t="s">
        <v>66</v>
      </c>
      <c r="C70" t="s">
        <v>567</v>
      </c>
      <c r="D70" t="s">
        <v>568</v>
      </c>
      <c r="F70" t="s">
        <v>569</v>
      </c>
      <c r="G70" t="s">
        <v>570</v>
      </c>
      <c r="H70" t="s">
        <v>571</v>
      </c>
      <c r="I70" t="str">
        <f>IFERROR(HYPERLINK("#Finance!B" &amp; MATCH(A70, 'F 2025'!A:A, 0), "🔗 Go to finance"), "❌ ID introuvable")</f>
        <v>❌ ID introuvable</v>
      </c>
      <c r="L70" t="s">
        <v>90</v>
      </c>
      <c r="V70" t="s">
        <v>572</v>
      </c>
      <c r="Y70" t="s">
        <v>573</v>
      </c>
      <c r="Z70" t="s">
        <v>75</v>
      </c>
      <c r="AB70" t="s">
        <v>574</v>
      </c>
      <c r="AD70" s="130"/>
      <c r="AE70"/>
      <c r="AG70" t="s">
        <v>76</v>
      </c>
      <c r="AI70" t="s">
        <v>574</v>
      </c>
      <c r="AK70" t="s">
        <v>94</v>
      </c>
      <c r="AM70" s="38"/>
      <c r="AO70" t="s">
        <v>570</v>
      </c>
      <c r="AR70" t="str">
        <f t="shared" si="4"/>
        <v/>
      </c>
      <c r="AS70" t="str">
        <f t="shared" si="5"/>
        <v/>
      </c>
      <c r="AT70" t="str">
        <f>IF(Table1[[#This Row],[Joining Date]]="", "", TEXT(Table1[[#This Row],[Joining Date]], "mmm"))</f>
        <v/>
      </c>
      <c r="AU70" t="str">
        <f>IF(Table1[[#This Row],[Joining Date]]="", "", YEAR(Table1[[#This Row],[Joining Date]]))</f>
        <v/>
      </c>
      <c r="AV70" t="str">
        <f>IF(Table1[[#This Row],[Group Name]]="","", M70 &amp; Table1[[#This Row],[Teacher]])</f>
        <v/>
      </c>
      <c r="AW70" t="str">
        <f>IF(Table1[[#This Row],[Helper]]="","",IF(_xlfn.MAXIFS(AT:AT,AW:AW,Table1[[#This Row],[Helper]])=Table1[[#This Row],[Clean Frequency]],_xlfn.MAXIFS(AT:AT,AW:AW,Table1[[#This Row],[Helper]]),""))</f>
        <v/>
      </c>
      <c r="AX70" t="str">
        <f ca="1">IF(AND(AW70=_xlfn.MAXIFS(AX:AX, AW:AW, AV70), COUNTIFS(AV$3:AV70, AV70, AW$3:AW70, AW70)=1), 1, "")</f>
        <v/>
      </c>
      <c r="AY70" t="str">
        <f>IF(Table1[[#This Row],[lesson type]]="private",Table1[[#This Row],[Clean Frequency]],"")</f>
        <v/>
      </c>
      <c r="AZ70" t="str">
        <f ca="1">IF(Table1[[#This Row],[First Occurrence]]=1,Table1[[#This Row],[Group Frequency]],"")</f>
        <v/>
      </c>
      <c r="BA70" t="str">
        <f ca="1">IF(B70="Y", IF(Table1[[#This Row],[Stop]]="", TODAY() - Table1[[#This Row],[Joining Date]], Table1[[#This Row],[Stop]] - Table1[[#This Row],[Joining Date]]), "")</f>
        <v/>
      </c>
      <c r="BB70" t="str">
        <f>_xlfn.CONCAT(Table1[[#This Row],[t]]," ",Table1[[#This Row],[Last Name]])</f>
        <v>Keishi Ueda</v>
      </c>
      <c r="BC70" t="str">
        <f>IF(OR(Table1[[#This Row],[Teacher]]="Alex",Table1[[#This Row],[Teacher]]=""), "", Table1[[#This Row],[For Salary]])</f>
        <v/>
      </c>
      <c r="BD70" t="str">
        <f>IF(OR(Table1[[#This Row],[Teacher]]="Alex",Table1[[#This Row],[Teacher]]=""), "", Table1[[#This Row],[For Amount]])</f>
        <v/>
      </c>
      <c r="BE70" t="str">
        <f>IFERROR(IF(VLOOKUP(Table1[[#This Row],[Teacher]],'Teachers Salaries'!A:C,2,FALSE)="","",VLOOKUP(Table1[[#This Row],[Teacher]],'Teachers Salaries'!A:C,2,FALSE)),"")</f>
        <v/>
      </c>
      <c r="BF70" t="str">
        <f>IFERROR(IF(VLOOKUP(Table1[[#This Row],[Teacher]],'Teachers Salaries'!A:C,3,FALSE)="","",VLOOKUP(Table1[[#This Row],[Teacher]],'Teachers Salaries'!A:C,3,FALSE)),"")</f>
        <v/>
      </c>
      <c r="BG70">
        <f ca="1">IFERROR(IF(Table1[[#This Row],[Pay Type]]="Fixed","-",Table1[[#This Row],[Final Group Frequency2]]*Table1[[#This Row],[Salary / Hourly Rate]]),0)</f>
        <v>0</v>
      </c>
      <c r="BH70">
        <f>IFERROR(IF(Table1[[#This Row],[Pay Type]]="Fixed","----",Table1[[#This Row],[Salary / Hourly Rate]]*Table1[[#This Row],[Final PrivateFrequency]]),0)</f>
        <v>0</v>
      </c>
      <c r="BI70">
        <f ca="1">IF(Table1[[#This Row],[Pay Type]]="Fixed","---",Table1[[#This Row],[Group Salary]]+Table1[[#This Row],[Private Salary]])</f>
        <v>0</v>
      </c>
      <c r="BJ70" t="str">
        <f>IF(OR(J70="Alex", J70=""),"", Table1[[#This Row],[For Amount]])</f>
        <v/>
      </c>
      <c r="BK70">
        <f ca="1">IFERROR(Table1[[#This Row],[Fee]]-Table1[[#This Row],[Total Salary]],"")</f>
        <v>0</v>
      </c>
      <c r="BL70" t="str">
        <f>IF(Table1[[#This Row],[Joining Date]]="","",IF(Table1[[#This Row],[Joining Date]]&lt;='KPI+Pivot'!$CP$1,Table1[[#This Row],[Fee]],""))</f>
        <v/>
      </c>
      <c r="BM7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70" t="str">
        <f>IF(Table1[[#This Row],[Joining Date]]="","",IF(Table1[[#This Row],[Joining Date]]&lt;='KPI+Pivot'!$CP$1,Table1[[#This Row],[Total Salary]],""))</f>
        <v/>
      </c>
      <c r="BO70" t="str">
        <f>IF(Table1[[#This Row],[Joining Date]]="","",IF(Table1[[#This Row],[Joining Date]]&lt;='KPI+Pivot'!$CP$1,Table1[[#This Row],[Frequency]],""))</f>
        <v/>
      </c>
      <c r="BP70" s="38" t="str">
        <f>IF(Table1[[#This Row],[Stop]]="","",(IF(Table1[[#This Row],[Joining Date]]="","",IF(Table1[[#This Row],[Joining Date]]&lt;='KPI+Pivot'!$CP$1,Table1[[#This Row],[Stop]],""))))</f>
        <v/>
      </c>
    </row>
    <row r="71" spans="1:68" ht="22.9" customHeight="1">
      <c r="B71" t="s">
        <v>66</v>
      </c>
      <c r="C71" t="s">
        <v>575</v>
      </c>
      <c r="D71" t="s">
        <v>444</v>
      </c>
      <c r="F71" t="s">
        <v>576</v>
      </c>
      <c r="G71" t="s">
        <v>577</v>
      </c>
      <c r="H71" t="s">
        <v>447</v>
      </c>
      <c r="I71" t="str">
        <f>IFERROR(HYPERLINK("#Finance!B" &amp; MATCH(A71, 'F 2025'!A:A, 0), "🔗 Go to finance"), "❌ ID introuvable")</f>
        <v>❌ ID introuvable</v>
      </c>
      <c r="L71" t="s">
        <v>102</v>
      </c>
      <c r="V71" t="s">
        <v>578</v>
      </c>
      <c r="Z71" t="s">
        <v>75</v>
      </c>
      <c r="AB71" t="s">
        <v>579</v>
      </c>
      <c r="AD71" s="130"/>
      <c r="AE71"/>
      <c r="AG71" t="s">
        <v>76</v>
      </c>
      <c r="AI71" t="s">
        <v>579</v>
      </c>
      <c r="AK71" t="s">
        <v>102</v>
      </c>
      <c r="AM71" s="38"/>
      <c r="AO71" t="s">
        <v>577</v>
      </c>
      <c r="AR71" t="str">
        <f t="shared" si="4"/>
        <v/>
      </c>
      <c r="AS71" t="str">
        <f t="shared" si="5"/>
        <v/>
      </c>
      <c r="AT71" t="str">
        <f>IF(Table1[[#This Row],[Joining Date]]="", "", TEXT(Table1[[#This Row],[Joining Date]], "mmm"))</f>
        <v/>
      </c>
      <c r="AU71" t="str">
        <f>IF(Table1[[#This Row],[Joining Date]]="", "", YEAR(Table1[[#This Row],[Joining Date]]))</f>
        <v/>
      </c>
      <c r="AV71" t="str">
        <f>IF(Table1[[#This Row],[Group Name]]="","", M71 &amp; Table1[[#This Row],[Teacher]])</f>
        <v/>
      </c>
      <c r="AW71" t="str">
        <f>IF(Table1[[#This Row],[Helper]]="","",IF(_xlfn.MAXIFS(AT:AT,AW:AW,Table1[[#This Row],[Helper]])=Table1[[#This Row],[Clean Frequency]],_xlfn.MAXIFS(AT:AT,AW:AW,Table1[[#This Row],[Helper]]),""))</f>
        <v/>
      </c>
      <c r="AX71" t="str">
        <f ca="1">IF(AND(AW71=_xlfn.MAXIFS(AX:AX, AW:AW, AV71), COUNTIFS(AV$3:AV71, AV71, AW$3:AW71, AW71)=1), 1, "")</f>
        <v/>
      </c>
      <c r="AY71" t="str">
        <f>IF(Table1[[#This Row],[lesson type]]="private",Table1[[#This Row],[Clean Frequency]],"")</f>
        <v/>
      </c>
      <c r="AZ71" t="str">
        <f ca="1">IF(Table1[[#This Row],[First Occurrence]]=1,Table1[[#This Row],[Group Frequency]],"")</f>
        <v/>
      </c>
      <c r="BA71" t="str">
        <f ca="1">IF(B71="Y", IF(Table1[[#This Row],[Stop]]="", TODAY() - Table1[[#This Row],[Joining Date]], Table1[[#This Row],[Stop]] - Table1[[#This Row],[Joining Date]]), "")</f>
        <v/>
      </c>
      <c r="BB71" t="str">
        <f>_xlfn.CONCAT(Table1[[#This Row],[t]]," ",Table1[[#This Row],[Last Name]])</f>
        <v>Kengo Takaji</v>
      </c>
      <c r="BC71" t="str">
        <f>IF(OR(Table1[[#This Row],[Teacher]]="Alex",Table1[[#This Row],[Teacher]]=""), "", Table1[[#This Row],[For Salary]])</f>
        <v/>
      </c>
      <c r="BD71" t="str">
        <f>IF(OR(Table1[[#This Row],[Teacher]]="Alex",Table1[[#This Row],[Teacher]]=""), "", Table1[[#This Row],[For Amount]])</f>
        <v/>
      </c>
      <c r="BE71" t="str">
        <f>IFERROR(IF(VLOOKUP(Table1[[#This Row],[Teacher]],'Teachers Salaries'!A:C,2,FALSE)="","",VLOOKUP(Table1[[#This Row],[Teacher]],'Teachers Salaries'!A:C,2,FALSE)),"")</f>
        <v/>
      </c>
      <c r="BF71" t="str">
        <f>IFERROR(IF(VLOOKUP(Table1[[#This Row],[Teacher]],'Teachers Salaries'!A:C,3,FALSE)="","",VLOOKUP(Table1[[#This Row],[Teacher]],'Teachers Salaries'!A:C,3,FALSE)),"")</f>
        <v/>
      </c>
      <c r="BG71">
        <f ca="1">IFERROR(IF(Table1[[#This Row],[Pay Type]]="Fixed","-",Table1[[#This Row],[Final Group Frequency2]]*Table1[[#This Row],[Salary / Hourly Rate]]),0)</f>
        <v>0</v>
      </c>
      <c r="BH71">
        <f>IFERROR(IF(Table1[[#This Row],[Pay Type]]="Fixed","----",Table1[[#This Row],[Salary / Hourly Rate]]*Table1[[#This Row],[Final PrivateFrequency]]),0)</f>
        <v>0</v>
      </c>
      <c r="BI71">
        <f ca="1">IF(Table1[[#This Row],[Pay Type]]="Fixed","---",Table1[[#This Row],[Group Salary]]+Table1[[#This Row],[Private Salary]])</f>
        <v>0</v>
      </c>
      <c r="BJ71" t="str">
        <f>IF(OR(J71="Alex", J71=""),"", Table1[[#This Row],[For Amount]])</f>
        <v/>
      </c>
      <c r="BK71">
        <f ca="1">IFERROR(Table1[[#This Row],[Fee]]-Table1[[#This Row],[Total Salary]],"")</f>
        <v>0</v>
      </c>
      <c r="BL71" t="str">
        <f>IF(Table1[[#This Row],[Joining Date]]="","",IF(Table1[[#This Row],[Joining Date]]&lt;='KPI+Pivot'!$CP$1,Table1[[#This Row],[Fee]],""))</f>
        <v/>
      </c>
      <c r="BM7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71" t="str">
        <f>IF(Table1[[#This Row],[Joining Date]]="","",IF(Table1[[#This Row],[Joining Date]]&lt;='KPI+Pivot'!$CP$1,Table1[[#This Row],[Total Salary]],""))</f>
        <v/>
      </c>
      <c r="BO71" t="str">
        <f>IF(Table1[[#This Row],[Joining Date]]="","",IF(Table1[[#This Row],[Joining Date]]&lt;='KPI+Pivot'!$CP$1,Table1[[#This Row],[Frequency]],""))</f>
        <v/>
      </c>
      <c r="BP71" s="38" t="str">
        <f>IF(Table1[[#This Row],[Stop]]="","",(IF(Table1[[#This Row],[Joining Date]]="","",IF(Table1[[#This Row],[Joining Date]]&lt;='KPI+Pivot'!$CP$1,Table1[[#This Row],[Stop]],""))))</f>
        <v/>
      </c>
    </row>
    <row r="72" spans="1:68" ht="18" customHeight="1">
      <c r="A72">
        <v>112</v>
      </c>
      <c r="B72" t="s">
        <v>103</v>
      </c>
      <c r="C72" t="s">
        <v>580</v>
      </c>
      <c r="D72" t="s">
        <v>581</v>
      </c>
      <c r="F72" t="s">
        <v>582</v>
      </c>
      <c r="G72" t="s">
        <v>583</v>
      </c>
      <c r="H72" t="s">
        <v>584</v>
      </c>
      <c r="I72" t="str">
        <f>IFERROR(HYPERLINK("#Finance!B" &amp; MATCH(A72, 'F 2025'!A:A, 0), "🔗 Go to finance"), "❌ ID introuvable")</f>
        <v>🔗 Go to finance</v>
      </c>
      <c r="J72" t="s">
        <v>494</v>
      </c>
      <c r="K72" t="s">
        <v>110</v>
      </c>
      <c r="L72" t="s">
        <v>486</v>
      </c>
      <c r="N72">
        <v>4</v>
      </c>
      <c r="O72">
        <v>19800</v>
      </c>
      <c r="T72" s="130">
        <v>45146</v>
      </c>
      <c r="V72" t="s">
        <v>585</v>
      </c>
      <c r="W72" t="s">
        <v>585</v>
      </c>
      <c r="Y72">
        <v>9062983915</v>
      </c>
      <c r="Z72" t="s">
        <v>75</v>
      </c>
      <c r="AD72" s="130">
        <v>45108</v>
      </c>
      <c r="AE72"/>
      <c r="AG72" t="s">
        <v>76</v>
      </c>
      <c r="AK72" t="s">
        <v>84</v>
      </c>
      <c r="AM72" s="38"/>
      <c r="AO72" t="s">
        <v>583</v>
      </c>
      <c r="AP72">
        <v>112</v>
      </c>
      <c r="AQ72" t="s">
        <v>583</v>
      </c>
      <c r="AR72" t="str">
        <f t="shared" si="4"/>
        <v>private</v>
      </c>
      <c r="AS72">
        <f t="shared" si="5"/>
        <v>4</v>
      </c>
      <c r="AT72" t="str">
        <f>IF(Table1[[#This Row],[Joining Date]]="", "", TEXT(Table1[[#This Row],[Joining Date]], "mmm"))</f>
        <v>Jul</v>
      </c>
      <c r="AU72">
        <f>IF(Table1[[#This Row],[Joining Date]]="", "", YEAR(Table1[[#This Row],[Joining Date]]))</f>
        <v>2023</v>
      </c>
      <c r="AV72" t="str">
        <f>IF(Table1[[#This Row],[Group Name]]="","", M72 &amp; Table1[[#This Row],[Teacher]])</f>
        <v/>
      </c>
      <c r="AW72" t="str">
        <f>IF(Table1[[#This Row],[Helper]]="","",IF(_xlfn.MAXIFS(AT:AT,AW:AW,Table1[[#This Row],[Helper]])=Table1[[#This Row],[Clean Frequency]],_xlfn.MAXIFS(AT:AT,AW:AW,Table1[[#This Row],[Helper]]),""))</f>
        <v/>
      </c>
      <c r="AX72" t="str">
        <f ca="1">IF(AND(AW72=_xlfn.MAXIFS(AX:AX, AW:AW, AV72), COUNTIFS(AV$3:AV72, AV72, AW$3:AW72, AW72)=1), 1, "")</f>
        <v/>
      </c>
      <c r="AY72">
        <f>IF(Table1[[#This Row],[lesson type]]="private",Table1[[#This Row],[Clean Frequency]],"")</f>
        <v>4</v>
      </c>
      <c r="AZ72" t="str">
        <f ca="1">IF(Table1[[#This Row],[First Occurrence]]=1,Table1[[#This Row],[Group Frequency]],"")</f>
        <v/>
      </c>
      <c r="BA72">
        <f ca="1">IF(B72="Y", IF(Table1[[#This Row],[Stop]]="", TODAY() - Table1[[#This Row],[Joining Date]], Table1[[#This Row],[Stop]] - Table1[[#This Row],[Joining Date]]), "")</f>
        <v>1069</v>
      </c>
      <c r="BB72" t="str">
        <f>_xlfn.CONCAT(Table1[[#This Row],[t]]," ",Table1[[#This Row],[Last Name]])</f>
        <v>Kenta Uemura</v>
      </c>
      <c r="BC72" t="e">
        <f>IF(OR(Table1[[#This Row],[Teacher]]="Alex",Table1[[#This Row],[Teacher]]=""), "", Table1[[#This Row],[For Salary]])</f>
        <v>#N/A</v>
      </c>
      <c r="BD72" t="e">
        <f>IF(OR(Table1[[#This Row],[Teacher]]="Alex",Table1[[#This Row],[Teacher]]=""), "", Table1[[#This Row],[For Amount]])</f>
        <v>#N/A</v>
      </c>
      <c r="BE72" t="str">
        <f>IFERROR(IF(VLOOKUP(Table1[[#This Row],[Teacher]],'Teachers Salaries'!A:C,2,FALSE)="","",VLOOKUP(Table1[[#This Row],[Teacher]],'Teachers Salaries'!A:C,2,FALSE)),"")</f>
        <v>Hourly</v>
      </c>
      <c r="BF72">
        <f>IFERROR(IF(VLOOKUP(Table1[[#This Row],[Teacher]],'Teachers Salaries'!A:C,3,FALSE)="","",VLOOKUP(Table1[[#This Row],[Teacher]],'Teachers Salaries'!A:C,3,FALSE)),"")</f>
        <v>3000</v>
      </c>
      <c r="BG72">
        <f ca="1">IFERROR(IF(Table1[[#This Row],[Pay Type]]="Fixed","-",Table1[[#This Row],[Final Group Frequency2]]*Table1[[#This Row],[Salary / Hourly Rate]]),0)</f>
        <v>0</v>
      </c>
      <c r="BH72">
        <f>IFERROR(IF(Table1[[#This Row],[Pay Type]]="Fixed","----",Table1[[#This Row],[Salary / Hourly Rate]]*Table1[[#This Row],[Final PrivateFrequency]]),0)</f>
        <v>12000</v>
      </c>
      <c r="BI72">
        <f ca="1">IF(Table1[[#This Row],[Pay Type]]="Fixed","---",Table1[[#This Row],[Group Salary]]+Table1[[#This Row],[Private Salary]])</f>
        <v>12000</v>
      </c>
      <c r="BJ72" t="e">
        <f>IF(OR(J72="Alex", J72=""),"", Table1[[#This Row],[For Amount]])</f>
        <v>#N/A</v>
      </c>
      <c r="BK72">
        <f ca="1">IFERROR(Table1[[#This Row],[Fee]]-Table1[[#This Row],[Total Salary]],"")</f>
        <v>7800</v>
      </c>
      <c r="BL72" t="e">
        <f>IF(Table1[[#This Row],[Joining Date]]="","",IF(Table1[[#This Row],[Joining Date]]&lt;='KPI+Pivot'!$CP$1,Table1[[#This Row],[Fee]],""))</f>
        <v>#N/A</v>
      </c>
      <c r="BM7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2" t="e">
        <f>IF(Table1[[#This Row],[Joining Date]]="","",IF(Table1[[#This Row],[Joining Date]]&lt;='KPI+Pivot'!$CP$1,Table1[[#This Row],[Total Salary]],""))</f>
        <v>#N/A</v>
      </c>
      <c r="BO72" t="e">
        <f>IF(Table1[[#This Row],[Joining Date]]="","",IF(Table1[[#This Row],[Joining Date]]&lt;='KPI+Pivot'!$CP$1,Table1[[#This Row],[Frequency]],""))</f>
        <v>#N/A</v>
      </c>
      <c r="BP72" s="38" t="str">
        <f>IF(Table1[[#This Row],[Stop]]="","",(IF(Table1[[#This Row],[Joining Date]]="","",IF(Table1[[#This Row],[Joining Date]]&lt;='KPI+Pivot'!$CP$1,Table1[[#This Row],[Stop]],""))))</f>
        <v/>
      </c>
    </row>
    <row r="73" spans="1:68" ht="22.9" customHeight="1">
      <c r="A73">
        <v>178</v>
      </c>
      <c r="B73" t="s">
        <v>66</v>
      </c>
      <c r="C73" t="s">
        <v>586</v>
      </c>
      <c r="D73" t="s">
        <v>587</v>
      </c>
      <c r="F73" t="s">
        <v>588</v>
      </c>
      <c r="G73" t="s">
        <v>589</v>
      </c>
      <c r="H73" t="s">
        <v>590</v>
      </c>
      <c r="I73" t="str">
        <f>IFERROR(HYPERLINK("#Finance!B" &amp; MATCH(A73, 'F 2025'!A:A, 0), "🔗 Go to finance"), "❌ ID introuvable")</f>
        <v>🔗 Go to finance</v>
      </c>
      <c r="T73" s="38">
        <v>45906</v>
      </c>
      <c r="V73" t="s">
        <v>591</v>
      </c>
      <c r="W73" t="s">
        <v>592</v>
      </c>
      <c r="Y73" t="s">
        <v>593</v>
      </c>
      <c r="Z73" t="s">
        <v>75</v>
      </c>
      <c r="AB73" t="s">
        <v>594</v>
      </c>
      <c r="AD73" s="130">
        <v>43928</v>
      </c>
      <c r="AE73"/>
      <c r="AG73" t="s">
        <v>76</v>
      </c>
      <c r="AI73" t="s">
        <v>594</v>
      </c>
      <c r="AK73" t="s">
        <v>102</v>
      </c>
      <c r="AM73" s="38"/>
      <c r="AO73" t="s">
        <v>589</v>
      </c>
      <c r="AR73" t="str">
        <f t="shared" si="4"/>
        <v/>
      </c>
      <c r="AS73" t="str">
        <f t="shared" si="5"/>
        <v/>
      </c>
      <c r="AT73" t="str">
        <f>IF(Table1[[#This Row],[Joining Date]]="", "", TEXT(Table1[[#This Row],[Joining Date]], "mmm"))</f>
        <v>Apr</v>
      </c>
      <c r="AU73">
        <f>IF(Table1[[#This Row],[Joining Date]]="", "", YEAR(Table1[[#This Row],[Joining Date]]))</f>
        <v>2020</v>
      </c>
      <c r="AV73" t="str">
        <f>IF(Table1[[#This Row],[Group Name]]="","", M73 &amp; Table1[[#This Row],[Teacher]])</f>
        <v/>
      </c>
      <c r="AW73" t="str">
        <f>IF(Table1[[#This Row],[Helper]]="","",IF(_xlfn.MAXIFS(AT:AT,AW:AW,Table1[[#This Row],[Helper]])=Table1[[#This Row],[Clean Frequency]],_xlfn.MAXIFS(AT:AT,AW:AW,Table1[[#This Row],[Helper]]),""))</f>
        <v/>
      </c>
      <c r="AX73" t="str">
        <f ca="1">IF(AND(AW73=_xlfn.MAXIFS(AX:AX, AW:AW, AV73), COUNTIFS(AV$3:AV73, AV73, AW$3:AW73, AW73)=1), 1, "")</f>
        <v/>
      </c>
      <c r="AY73" t="str">
        <f>IF(Table1[[#This Row],[lesson type]]="private",Table1[[#This Row],[Clean Frequency]],"")</f>
        <v/>
      </c>
      <c r="AZ73" t="str">
        <f ca="1">IF(Table1[[#This Row],[First Occurrence]]=1,Table1[[#This Row],[Group Frequency]],"")</f>
        <v/>
      </c>
      <c r="BA73" t="str">
        <f ca="1">IF(B73="Y", IF(Table1[[#This Row],[Stop]]="", TODAY() - Table1[[#This Row],[Joining Date]], Table1[[#This Row],[Stop]] - Table1[[#This Row],[Joining Date]]), "")</f>
        <v/>
      </c>
      <c r="BB73" t="str">
        <f>_xlfn.CONCAT(Table1[[#This Row],[t]]," ",Table1[[#This Row],[Last Name]])</f>
        <v>Kento Arisawa</v>
      </c>
      <c r="BC73" t="str">
        <f>IF(OR(Table1[[#This Row],[Teacher]]="Alex",Table1[[#This Row],[Teacher]]=""), "", Table1[[#This Row],[For Salary]])</f>
        <v/>
      </c>
      <c r="BD73" t="str">
        <f>IF(OR(Table1[[#This Row],[Teacher]]="Alex",Table1[[#This Row],[Teacher]]=""), "", Table1[[#This Row],[For Amount]])</f>
        <v/>
      </c>
      <c r="BE73" t="str">
        <f>IFERROR(IF(VLOOKUP(Table1[[#This Row],[Teacher]],'Teachers Salaries'!A:C,2,FALSE)="","",VLOOKUP(Table1[[#This Row],[Teacher]],'Teachers Salaries'!A:C,2,FALSE)),"")</f>
        <v/>
      </c>
      <c r="BF73" t="str">
        <f>IFERROR(IF(VLOOKUP(Table1[[#This Row],[Teacher]],'Teachers Salaries'!A:C,3,FALSE)="","",VLOOKUP(Table1[[#This Row],[Teacher]],'Teachers Salaries'!A:C,3,FALSE)),"")</f>
        <v/>
      </c>
      <c r="BG73">
        <f ca="1">IFERROR(IF(Table1[[#This Row],[Pay Type]]="Fixed","-",Table1[[#This Row],[Final Group Frequency2]]*Table1[[#This Row],[Salary / Hourly Rate]]),0)</f>
        <v>0</v>
      </c>
      <c r="BH73">
        <f>IFERROR(IF(Table1[[#This Row],[Pay Type]]="Fixed","----",Table1[[#This Row],[Salary / Hourly Rate]]*Table1[[#This Row],[Final PrivateFrequency]]),0)</f>
        <v>0</v>
      </c>
      <c r="BI73">
        <f ca="1">IF(Table1[[#This Row],[Pay Type]]="Fixed","---",Table1[[#This Row],[Group Salary]]+Table1[[#This Row],[Private Salary]])</f>
        <v>0</v>
      </c>
      <c r="BJ73" t="str">
        <f>IF(OR(J73="Alex", J73=""),"", Table1[[#This Row],[For Amount]])</f>
        <v/>
      </c>
      <c r="BK73">
        <f ca="1">IFERROR(Table1[[#This Row],[Fee]]-Table1[[#This Row],[Total Salary]],"")</f>
        <v>0</v>
      </c>
      <c r="BL73" t="e">
        <f>IF(Table1[[#This Row],[Joining Date]]="","",IF(Table1[[#This Row],[Joining Date]]&lt;='KPI+Pivot'!$CP$1,Table1[[#This Row],[Fee]],""))</f>
        <v>#N/A</v>
      </c>
      <c r="BM7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3" t="e">
        <f>IF(Table1[[#This Row],[Joining Date]]="","",IF(Table1[[#This Row],[Joining Date]]&lt;='KPI+Pivot'!$CP$1,Table1[[#This Row],[Total Salary]],""))</f>
        <v>#N/A</v>
      </c>
      <c r="BO73" t="e">
        <f>IF(Table1[[#This Row],[Joining Date]]="","",IF(Table1[[#This Row],[Joining Date]]&lt;='KPI+Pivot'!$CP$1,Table1[[#This Row],[Frequency]],""))</f>
        <v>#N/A</v>
      </c>
      <c r="BP73" s="38" t="str">
        <f>IF(Table1[[#This Row],[Stop]]="","",(IF(Table1[[#This Row],[Joining Date]]="","",IF(Table1[[#This Row],[Joining Date]]&lt;='KPI+Pivot'!$CP$1,Table1[[#This Row],[Stop]],""))))</f>
        <v/>
      </c>
    </row>
    <row r="74" spans="1:68" ht="22.9" customHeight="1">
      <c r="B74" t="s">
        <v>66</v>
      </c>
      <c r="C74" t="s">
        <v>595</v>
      </c>
      <c r="D74" t="s">
        <v>596</v>
      </c>
      <c r="F74" t="s">
        <v>597</v>
      </c>
      <c r="G74" t="s">
        <v>598</v>
      </c>
      <c r="H74" t="s">
        <v>599</v>
      </c>
      <c r="I74" t="str">
        <f>IFERROR(HYPERLINK("#Finance!B" &amp; MATCH(A74, 'F 2025'!A:A, 0), "🔗 Go to finance"), "❌ ID introuvable")</f>
        <v>❌ ID introuvable</v>
      </c>
      <c r="V74" t="s">
        <v>600</v>
      </c>
      <c r="Y74" t="s">
        <v>601</v>
      </c>
      <c r="Z74" t="s">
        <v>75</v>
      </c>
      <c r="AB74" t="s">
        <v>602</v>
      </c>
      <c r="AD74" s="130">
        <v>44301</v>
      </c>
      <c r="AE74"/>
      <c r="AG74" t="s">
        <v>76</v>
      </c>
      <c r="AI74" t="s">
        <v>602</v>
      </c>
      <c r="AK74" t="s">
        <v>362</v>
      </c>
      <c r="AM74" s="38"/>
      <c r="AO74" t="s">
        <v>598</v>
      </c>
      <c r="AR74" t="str">
        <f t="shared" si="4"/>
        <v/>
      </c>
      <c r="AS74" t="str">
        <f t="shared" si="5"/>
        <v/>
      </c>
      <c r="AT74" t="str">
        <f>IF(Table1[[#This Row],[Joining Date]]="", "", TEXT(Table1[[#This Row],[Joining Date]], "mmm"))</f>
        <v>Apr</v>
      </c>
      <c r="AU74">
        <f>IF(Table1[[#This Row],[Joining Date]]="", "", YEAR(Table1[[#This Row],[Joining Date]]))</f>
        <v>2021</v>
      </c>
      <c r="AV74" t="str">
        <f>IF(Table1[[#This Row],[Group Name]]="","", M74 &amp; Table1[[#This Row],[Teacher]])</f>
        <v/>
      </c>
      <c r="AW74" t="str">
        <f>IF(Table1[[#This Row],[Helper]]="","",IF(_xlfn.MAXIFS(AT:AT,AW:AW,Table1[[#This Row],[Helper]])=Table1[[#This Row],[Clean Frequency]],_xlfn.MAXIFS(AT:AT,AW:AW,Table1[[#This Row],[Helper]]),""))</f>
        <v/>
      </c>
      <c r="AX74" t="str">
        <f ca="1">IF(AND(AW74=_xlfn.MAXIFS(AX:AX, AW:AW, AV74), COUNTIFS(AV$3:AV74, AV74, AW$3:AW74, AW74)=1), 1, "")</f>
        <v/>
      </c>
      <c r="AY74" t="str">
        <f>IF(Table1[[#This Row],[lesson type]]="private",Table1[[#This Row],[Clean Frequency]],"")</f>
        <v/>
      </c>
      <c r="AZ74" t="str">
        <f ca="1">IF(Table1[[#This Row],[First Occurrence]]=1,Table1[[#This Row],[Group Frequency]],"")</f>
        <v/>
      </c>
      <c r="BA74" t="str">
        <f ca="1">IF(B74="Y", IF(Table1[[#This Row],[Stop]]="", TODAY() - Table1[[#This Row],[Joining Date]], Table1[[#This Row],[Stop]] - Table1[[#This Row],[Joining Date]]), "")</f>
        <v/>
      </c>
      <c r="BB74" t="str">
        <f>_xlfn.CONCAT(Table1[[#This Row],[t]]," ",Table1[[#This Row],[Last Name]])</f>
        <v>Kenya Sadasue</v>
      </c>
      <c r="BC74" t="str">
        <f>IF(OR(Table1[[#This Row],[Teacher]]="Alex",Table1[[#This Row],[Teacher]]=""), "", Table1[[#This Row],[For Salary]])</f>
        <v/>
      </c>
      <c r="BD74" t="str">
        <f>IF(OR(Table1[[#This Row],[Teacher]]="Alex",Table1[[#This Row],[Teacher]]=""), "", Table1[[#This Row],[For Amount]])</f>
        <v/>
      </c>
      <c r="BE74" t="str">
        <f>IFERROR(IF(VLOOKUP(Table1[[#This Row],[Teacher]],'Teachers Salaries'!A:C,2,FALSE)="","",VLOOKUP(Table1[[#This Row],[Teacher]],'Teachers Salaries'!A:C,2,FALSE)),"")</f>
        <v/>
      </c>
      <c r="BF74" t="str">
        <f>IFERROR(IF(VLOOKUP(Table1[[#This Row],[Teacher]],'Teachers Salaries'!A:C,3,FALSE)="","",VLOOKUP(Table1[[#This Row],[Teacher]],'Teachers Salaries'!A:C,3,FALSE)),"")</f>
        <v/>
      </c>
      <c r="BG74">
        <f ca="1">IFERROR(IF(Table1[[#This Row],[Pay Type]]="Fixed","-",Table1[[#This Row],[Final Group Frequency2]]*Table1[[#This Row],[Salary / Hourly Rate]]),0)</f>
        <v>0</v>
      </c>
      <c r="BH74">
        <f>IFERROR(IF(Table1[[#This Row],[Pay Type]]="Fixed","----",Table1[[#This Row],[Salary / Hourly Rate]]*Table1[[#This Row],[Final PrivateFrequency]]),0)</f>
        <v>0</v>
      </c>
      <c r="BI74">
        <f ca="1">IF(Table1[[#This Row],[Pay Type]]="Fixed","---",Table1[[#This Row],[Group Salary]]+Table1[[#This Row],[Private Salary]])</f>
        <v>0</v>
      </c>
      <c r="BJ74" t="str">
        <f>IF(OR(J74="Alex", J74=""),"", Table1[[#This Row],[For Amount]])</f>
        <v/>
      </c>
      <c r="BK74">
        <f ca="1">IFERROR(Table1[[#This Row],[Fee]]-Table1[[#This Row],[Total Salary]],"")</f>
        <v>0</v>
      </c>
      <c r="BL74" t="e">
        <f>IF(Table1[[#This Row],[Joining Date]]="","",IF(Table1[[#This Row],[Joining Date]]&lt;='KPI+Pivot'!$CP$1,Table1[[#This Row],[Fee]],""))</f>
        <v>#N/A</v>
      </c>
      <c r="BM7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4" t="e">
        <f>IF(Table1[[#This Row],[Joining Date]]="","",IF(Table1[[#This Row],[Joining Date]]&lt;='KPI+Pivot'!$CP$1,Table1[[#This Row],[Total Salary]],""))</f>
        <v>#N/A</v>
      </c>
      <c r="BO74" t="e">
        <f>IF(Table1[[#This Row],[Joining Date]]="","",IF(Table1[[#This Row],[Joining Date]]&lt;='KPI+Pivot'!$CP$1,Table1[[#This Row],[Frequency]],""))</f>
        <v>#N/A</v>
      </c>
      <c r="BP74" s="38" t="str">
        <f>IF(Table1[[#This Row],[Stop]]="","",(IF(Table1[[#This Row],[Joining Date]]="","",IF(Table1[[#This Row],[Joining Date]]&lt;='KPI+Pivot'!$CP$1,Table1[[#This Row],[Stop]],""))))</f>
        <v/>
      </c>
    </row>
    <row r="75" spans="1:68" ht="18" customHeight="1">
      <c r="A75">
        <v>104</v>
      </c>
      <c r="B75" t="s">
        <v>103</v>
      </c>
      <c r="C75" t="s">
        <v>603</v>
      </c>
      <c r="D75" t="s">
        <v>178</v>
      </c>
      <c r="F75" t="s">
        <v>604</v>
      </c>
      <c r="G75" t="s">
        <v>605</v>
      </c>
      <c r="H75" t="s">
        <v>181</v>
      </c>
      <c r="I75" t="str">
        <f>IFERROR(HYPERLINK("#Finance!B" &amp; MATCH(A75, 'F 2025'!A:A, 0), "🔗 Go to finance"), "❌ ID introuvable")</f>
        <v>🔗 Go to finance</v>
      </c>
      <c r="J75" t="s">
        <v>109</v>
      </c>
      <c r="K75" t="s">
        <v>117</v>
      </c>
      <c r="L75" t="s">
        <v>502</v>
      </c>
      <c r="N75">
        <v>4</v>
      </c>
      <c r="O75">
        <v>6050</v>
      </c>
      <c r="T75" s="130">
        <v>45020</v>
      </c>
      <c r="V75" t="s">
        <v>606</v>
      </c>
      <c r="W75" t="s">
        <v>607</v>
      </c>
      <c r="Y75" t="s">
        <v>1916</v>
      </c>
      <c r="Z75" t="s">
        <v>75</v>
      </c>
      <c r="AB75" t="s">
        <v>608</v>
      </c>
      <c r="AD75" s="130">
        <v>45020</v>
      </c>
      <c r="AE75"/>
      <c r="AG75" t="s">
        <v>76</v>
      </c>
      <c r="AI75" t="s">
        <v>608</v>
      </c>
      <c r="AK75" t="s">
        <v>102</v>
      </c>
      <c r="AM75" s="38"/>
      <c r="AO75" t="s">
        <v>605</v>
      </c>
      <c r="AR75" t="str">
        <f t="shared" si="4"/>
        <v>group</v>
      </c>
      <c r="AS75">
        <f t="shared" si="5"/>
        <v>4</v>
      </c>
      <c r="AT75" t="str">
        <f>IF(Table1[[#This Row],[Joining Date]]="", "", TEXT(Table1[[#This Row],[Joining Date]], "mmm"))</f>
        <v>Apr</v>
      </c>
      <c r="AU75">
        <f>IF(Table1[[#This Row],[Joining Date]]="", "", YEAR(Table1[[#This Row],[Joining Date]]))</f>
        <v>2023</v>
      </c>
      <c r="AV75" t="str">
        <f>IF(Table1[[#This Row],[Group Name]]="","", M75 &amp; Table1[[#This Row],[Teacher]])</f>
        <v/>
      </c>
      <c r="AW75" t="str">
        <f>IF(Table1[[#This Row],[Helper]]="","",IF(_xlfn.MAXIFS(AT:AT,AW:AW,Table1[[#This Row],[Helper]])=Table1[[#This Row],[Clean Frequency]],_xlfn.MAXIFS(AT:AT,AW:AW,Table1[[#This Row],[Helper]]),""))</f>
        <v/>
      </c>
      <c r="AX75" t="str">
        <f ca="1">IF(AND(AW75=_xlfn.MAXIFS(AX:AX, AW:AW, AV75), COUNTIFS(AV$3:AV75, AV75, AW$3:AW75, AW75)=1), 1, "")</f>
        <v/>
      </c>
      <c r="AY75" t="str">
        <f>IF(Table1[[#This Row],[lesson type]]="private",Table1[[#This Row],[Clean Frequency]],"")</f>
        <v/>
      </c>
      <c r="AZ75" t="str">
        <f ca="1">IF(Table1[[#This Row],[First Occurrence]]=1,Table1[[#This Row],[Group Frequency]],"")</f>
        <v/>
      </c>
      <c r="BA75">
        <f ca="1">IF(B75="Y", IF(Table1[[#This Row],[Stop]]="", TODAY() - Table1[[#This Row],[Joining Date]], Table1[[#This Row],[Stop]] - Table1[[#This Row],[Joining Date]]), "")</f>
        <v>1157</v>
      </c>
      <c r="BB75" t="str">
        <f>_xlfn.CONCAT(Table1[[#This Row],[t]]," ",Table1[[#This Row],[Last Name]])</f>
        <v>Kiho Baba</v>
      </c>
      <c r="BC75" t="str">
        <f>IF(OR(Table1[[#This Row],[Teacher]]="Alex",Table1[[#This Row],[Teacher]]=""), "", Table1[[#This Row],[For Salary]])</f>
        <v/>
      </c>
      <c r="BD75" t="str">
        <f>IF(OR(Table1[[#This Row],[Teacher]]="Alex",Table1[[#This Row],[Teacher]]=""), "", Table1[[#This Row],[For Amount]])</f>
        <v/>
      </c>
      <c r="BE75" t="str">
        <f>IFERROR(IF(VLOOKUP(Table1[[#This Row],[Teacher]],'Teachers Salaries'!A:C,2,FALSE)="","",VLOOKUP(Table1[[#This Row],[Teacher]],'Teachers Salaries'!A:C,2,FALSE)),"")</f>
        <v>Fixed</v>
      </c>
      <c r="BF75">
        <f>IFERROR(IF(VLOOKUP(Table1[[#This Row],[Teacher]],'Teachers Salaries'!A:C,3,FALSE)="","",VLOOKUP(Table1[[#This Row],[Teacher]],'Teachers Salaries'!A:C,3,FALSE)),"")</f>
        <v>210000</v>
      </c>
      <c r="BG75" t="str">
        <f>IFERROR(IF(Table1[[#This Row],[Pay Type]]="Fixed","-",Table1[[#This Row],[Final Group Frequency2]]*Table1[[#This Row],[Salary / Hourly Rate]]),0)</f>
        <v>-</v>
      </c>
      <c r="BH75" t="str">
        <f>IFERROR(IF(Table1[[#This Row],[Pay Type]]="Fixed","----",Table1[[#This Row],[Salary / Hourly Rate]]*Table1[[#This Row],[Final PrivateFrequency]]),0)</f>
        <v>----</v>
      </c>
      <c r="BI75" t="str">
        <f>IF(Table1[[#This Row],[Pay Type]]="Fixed","---",Table1[[#This Row],[Group Salary]]+Table1[[#This Row],[Private Salary]])</f>
        <v>---</v>
      </c>
      <c r="BJ75" t="str">
        <f>IF(OR(J75="Alex", J75=""),"", Table1[[#This Row],[For Amount]])</f>
        <v/>
      </c>
      <c r="BK75" t="str">
        <f>IFERROR(Table1[[#This Row],[Fee]]-Table1[[#This Row],[Total Salary]],"")</f>
        <v/>
      </c>
      <c r="BL75" t="e">
        <f>IF(Table1[[#This Row],[Joining Date]]="","",IF(Table1[[#This Row],[Joining Date]]&lt;='KPI+Pivot'!$CP$1,Table1[[#This Row],[Fee]],""))</f>
        <v>#N/A</v>
      </c>
      <c r="BM7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5" t="e">
        <f>IF(Table1[[#This Row],[Joining Date]]="","",IF(Table1[[#This Row],[Joining Date]]&lt;='KPI+Pivot'!$CP$1,Table1[[#This Row],[Total Salary]],""))</f>
        <v>#N/A</v>
      </c>
      <c r="BO75" t="e">
        <f>IF(Table1[[#This Row],[Joining Date]]="","",IF(Table1[[#This Row],[Joining Date]]&lt;='KPI+Pivot'!$CP$1,Table1[[#This Row],[Frequency]],""))</f>
        <v>#N/A</v>
      </c>
      <c r="BP75" s="38" t="str">
        <f>IF(Table1[[#This Row],[Stop]]="","",(IF(Table1[[#This Row],[Joining Date]]="","",IF(Table1[[#This Row],[Joining Date]]&lt;='KPI+Pivot'!$CP$1,Table1[[#This Row],[Stop]],""))))</f>
        <v/>
      </c>
    </row>
    <row r="76" spans="1:68" ht="22.9" customHeight="1">
      <c r="B76" t="s">
        <v>66</v>
      </c>
      <c r="C76" t="s">
        <v>609</v>
      </c>
      <c r="D76" t="s">
        <v>157</v>
      </c>
      <c r="F76" t="s">
        <v>610</v>
      </c>
      <c r="G76" t="s">
        <v>611</v>
      </c>
      <c r="H76" t="s">
        <v>612</v>
      </c>
      <c r="I76" t="str">
        <f>IFERROR(HYPERLINK("#Finance!B" &amp; MATCH(A76, 'F 2025'!A:A, 0), "🔗 Go to finance"), "❌ ID introuvable")</f>
        <v>❌ ID introuvable</v>
      </c>
      <c r="Y76" t="s">
        <v>613</v>
      </c>
      <c r="Z76" t="s">
        <v>75</v>
      </c>
      <c r="AD76" s="130"/>
      <c r="AE76"/>
      <c r="AG76" t="s">
        <v>76</v>
      </c>
      <c r="AM76" s="38"/>
      <c r="AO76" t="s">
        <v>611</v>
      </c>
      <c r="AR76" t="str">
        <f t="shared" si="4"/>
        <v/>
      </c>
      <c r="AS76" t="str">
        <f t="shared" si="5"/>
        <v/>
      </c>
      <c r="AT76" t="str">
        <f>IF(Table1[[#This Row],[Joining Date]]="", "", TEXT(Table1[[#This Row],[Joining Date]], "mmm"))</f>
        <v/>
      </c>
      <c r="AU76" t="str">
        <f>IF(Table1[[#This Row],[Joining Date]]="", "", YEAR(Table1[[#This Row],[Joining Date]]))</f>
        <v/>
      </c>
      <c r="AV76" t="str">
        <f>IF(Table1[[#This Row],[Group Name]]="","", M76 &amp; Table1[[#This Row],[Teacher]])</f>
        <v/>
      </c>
      <c r="AW76" t="str">
        <f>IF(Table1[[#This Row],[Helper]]="","",IF(_xlfn.MAXIFS(AT:AT,AW:AW,Table1[[#This Row],[Helper]])=Table1[[#This Row],[Clean Frequency]],_xlfn.MAXIFS(AT:AT,AW:AW,Table1[[#This Row],[Helper]]),""))</f>
        <v/>
      </c>
      <c r="AX76" t="str">
        <f ca="1">IF(AND(AW76=_xlfn.MAXIFS(AX:AX, AW:AW, AV76), COUNTIFS(AV$3:AV76, AV76, AW$3:AW76, AW76)=1), 1, "")</f>
        <v/>
      </c>
      <c r="AY76" t="str">
        <f>IF(Table1[[#This Row],[lesson type]]="private",Table1[[#This Row],[Clean Frequency]],"")</f>
        <v/>
      </c>
      <c r="AZ76" t="str">
        <f ca="1">IF(Table1[[#This Row],[First Occurrence]]=1,Table1[[#This Row],[Group Frequency]],"")</f>
        <v/>
      </c>
      <c r="BA76" t="str">
        <f ca="1">IF(B76="Y", IF(Table1[[#This Row],[Stop]]="", TODAY() - Table1[[#This Row],[Joining Date]], Table1[[#This Row],[Stop]] - Table1[[#This Row],[Joining Date]]), "")</f>
        <v/>
      </c>
      <c r="BB76" t="str">
        <f>_xlfn.CONCAT(Table1[[#This Row],[t]]," ",Table1[[#This Row],[Last Name]])</f>
        <v>Koji Kinoshita</v>
      </c>
      <c r="BC76" t="str">
        <f>IF(OR(Table1[[#This Row],[Teacher]]="Alex",Table1[[#This Row],[Teacher]]=""), "", Table1[[#This Row],[For Salary]])</f>
        <v/>
      </c>
      <c r="BD76" t="str">
        <f>IF(OR(Table1[[#This Row],[Teacher]]="Alex",Table1[[#This Row],[Teacher]]=""), "", Table1[[#This Row],[For Amount]])</f>
        <v/>
      </c>
      <c r="BE76" t="str">
        <f>IFERROR(IF(VLOOKUP(Table1[[#This Row],[Teacher]],'Teachers Salaries'!A:C,2,FALSE)="","",VLOOKUP(Table1[[#This Row],[Teacher]],'Teachers Salaries'!A:C,2,FALSE)),"")</f>
        <v/>
      </c>
      <c r="BF76" t="str">
        <f>IFERROR(IF(VLOOKUP(Table1[[#This Row],[Teacher]],'Teachers Salaries'!A:C,3,FALSE)="","",VLOOKUP(Table1[[#This Row],[Teacher]],'Teachers Salaries'!A:C,3,FALSE)),"")</f>
        <v/>
      </c>
      <c r="BG76">
        <f ca="1">IFERROR(IF(Table1[[#This Row],[Pay Type]]="Fixed","-",Table1[[#This Row],[Final Group Frequency2]]*Table1[[#This Row],[Salary / Hourly Rate]]),0)</f>
        <v>0</v>
      </c>
      <c r="BH76">
        <f>IFERROR(IF(Table1[[#This Row],[Pay Type]]="Fixed","----",Table1[[#This Row],[Salary / Hourly Rate]]*Table1[[#This Row],[Final PrivateFrequency]]),0)</f>
        <v>0</v>
      </c>
      <c r="BI76">
        <f ca="1">IF(Table1[[#This Row],[Pay Type]]="Fixed","---",Table1[[#This Row],[Group Salary]]+Table1[[#This Row],[Private Salary]])</f>
        <v>0</v>
      </c>
      <c r="BJ76" t="str">
        <f>IF(OR(J76="Alex", J76=""),"", Table1[[#This Row],[For Amount]])</f>
        <v/>
      </c>
      <c r="BK76">
        <f ca="1">IFERROR(Table1[[#This Row],[Fee]]-Table1[[#This Row],[Total Salary]],"")</f>
        <v>0</v>
      </c>
      <c r="BL76" t="str">
        <f>IF(Table1[[#This Row],[Joining Date]]="","",IF(Table1[[#This Row],[Joining Date]]&lt;='KPI+Pivot'!$CP$1,Table1[[#This Row],[Fee]],""))</f>
        <v/>
      </c>
      <c r="BM7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76" t="str">
        <f>IF(Table1[[#This Row],[Joining Date]]="","",IF(Table1[[#This Row],[Joining Date]]&lt;='KPI+Pivot'!$CP$1,Table1[[#This Row],[Total Salary]],""))</f>
        <v/>
      </c>
      <c r="BO76" t="str">
        <f>IF(Table1[[#This Row],[Joining Date]]="","",IF(Table1[[#This Row],[Joining Date]]&lt;='KPI+Pivot'!$CP$1,Table1[[#This Row],[Frequency]],""))</f>
        <v/>
      </c>
      <c r="BP76" s="38" t="str">
        <f>IF(Table1[[#This Row],[Stop]]="","",(IF(Table1[[#This Row],[Joining Date]]="","",IF(Table1[[#This Row],[Joining Date]]&lt;='KPI+Pivot'!$CP$1,Table1[[#This Row],[Stop]],""))))</f>
        <v/>
      </c>
    </row>
    <row r="77" spans="1:68" ht="22.9" customHeight="1">
      <c r="B77" t="s">
        <v>66</v>
      </c>
      <c r="C77" t="s">
        <v>614</v>
      </c>
      <c r="D77" t="s">
        <v>615</v>
      </c>
      <c r="F77" t="s">
        <v>616</v>
      </c>
      <c r="G77" t="s">
        <v>617</v>
      </c>
      <c r="H77" t="s">
        <v>618</v>
      </c>
      <c r="I77" t="str">
        <f>IFERROR(HYPERLINK("#Finance!B" &amp; MATCH(A77, 'F 2025'!A:A, 0), "🔗 Go to finance"), "❌ ID introuvable")</f>
        <v>❌ ID introuvable</v>
      </c>
      <c r="L77" t="s">
        <v>90</v>
      </c>
      <c r="V77" t="s">
        <v>619</v>
      </c>
      <c r="Y77" t="s">
        <v>620</v>
      </c>
      <c r="Z77" t="s">
        <v>75</v>
      </c>
      <c r="AB77" t="s">
        <v>621</v>
      </c>
      <c r="AD77" s="130"/>
      <c r="AE77"/>
      <c r="AG77" t="s">
        <v>76</v>
      </c>
      <c r="AI77" t="s">
        <v>621</v>
      </c>
      <c r="AK77" t="s">
        <v>94</v>
      </c>
      <c r="AM77" s="38"/>
      <c r="AO77" t="s">
        <v>617</v>
      </c>
      <c r="AR77" t="str">
        <f t="shared" si="4"/>
        <v/>
      </c>
      <c r="AS77" t="str">
        <f t="shared" si="5"/>
        <v/>
      </c>
      <c r="AT77" t="str">
        <f>IF(Table1[[#This Row],[Joining Date]]="", "", TEXT(Table1[[#This Row],[Joining Date]], "mmm"))</f>
        <v/>
      </c>
      <c r="AU77" t="str">
        <f>IF(Table1[[#This Row],[Joining Date]]="", "", YEAR(Table1[[#This Row],[Joining Date]]))</f>
        <v/>
      </c>
      <c r="AV77" t="str">
        <f>IF(Table1[[#This Row],[Group Name]]="","", M77 &amp; Table1[[#This Row],[Teacher]])</f>
        <v/>
      </c>
      <c r="AW77" t="str">
        <f>IF(Table1[[#This Row],[Helper]]="","",IF(_xlfn.MAXIFS(AT:AT,AW:AW,Table1[[#This Row],[Helper]])=Table1[[#This Row],[Clean Frequency]],_xlfn.MAXIFS(AT:AT,AW:AW,Table1[[#This Row],[Helper]]),""))</f>
        <v/>
      </c>
      <c r="AX77" t="str">
        <f ca="1">IF(AND(AW77=_xlfn.MAXIFS(AX:AX, AW:AW, AV77), COUNTIFS(AV$3:AV77, AV77, AW$3:AW77, AW77)=1), 1, "")</f>
        <v/>
      </c>
      <c r="AY77" t="str">
        <f>IF(Table1[[#This Row],[lesson type]]="private",Table1[[#This Row],[Clean Frequency]],"")</f>
        <v/>
      </c>
      <c r="AZ77" t="str">
        <f ca="1">IF(Table1[[#This Row],[First Occurrence]]=1,Table1[[#This Row],[Group Frequency]],"")</f>
        <v/>
      </c>
      <c r="BA77" t="str">
        <f ca="1">IF(B77="Y", IF(Table1[[#This Row],[Stop]]="", TODAY() - Table1[[#This Row],[Joining Date]], Table1[[#This Row],[Stop]] - Table1[[#This Row],[Joining Date]]), "")</f>
        <v/>
      </c>
      <c r="BB77" t="str">
        <f>_xlfn.CONCAT(Table1[[#This Row],[t]]," ",Table1[[#This Row],[Last Name]])</f>
        <v>Konomi Tokunaga</v>
      </c>
      <c r="BC77" t="str">
        <f>IF(OR(Table1[[#This Row],[Teacher]]="Alex",Table1[[#This Row],[Teacher]]=""), "", Table1[[#This Row],[For Salary]])</f>
        <v/>
      </c>
      <c r="BD77" t="str">
        <f>IF(OR(Table1[[#This Row],[Teacher]]="Alex",Table1[[#This Row],[Teacher]]=""), "", Table1[[#This Row],[For Amount]])</f>
        <v/>
      </c>
      <c r="BE77" t="str">
        <f>IFERROR(IF(VLOOKUP(Table1[[#This Row],[Teacher]],'Teachers Salaries'!A:C,2,FALSE)="","",VLOOKUP(Table1[[#This Row],[Teacher]],'Teachers Salaries'!A:C,2,FALSE)),"")</f>
        <v/>
      </c>
      <c r="BF77" t="str">
        <f>IFERROR(IF(VLOOKUP(Table1[[#This Row],[Teacher]],'Teachers Salaries'!A:C,3,FALSE)="","",VLOOKUP(Table1[[#This Row],[Teacher]],'Teachers Salaries'!A:C,3,FALSE)),"")</f>
        <v/>
      </c>
      <c r="BG77">
        <f ca="1">IFERROR(IF(Table1[[#This Row],[Pay Type]]="Fixed","-",Table1[[#This Row],[Final Group Frequency2]]*Table1[[#This Row],[Salary / Hourly Rate]]),0)</f>
        <v>0</v>
      </c>
      <c r="BH77">
        <f>IFERROR(IF(Table1[[#This Row],[Pay Type]]="Fixed","----",Table1[[#This Row],[Salary / Hourly Rate]]*Table1[[#This Row],[Final PrivateFrequency]]),0)</f>
        <v>0</v>
      </c>
      <c r="BI77">
        <f ca="1">IF(Table1[[#This Row],[Pay Type]]="Fixed","---",Table1[[#This Row],[Group Salary]]+Table1[[#This Row],[Private Salary]])</f>
        <v>0</v>
      </c>
      <c r="BJ77" t="str">
        <f>IF(OR(J77="Alex", J77=""),"", Table1[[#This Row],[For Amount]])</f>
        <v/>
      </c>
      <c r="BK77">
        <f ca="1">IFERROR(Table1[[#This Row],[Fee]]-Table1[[#This Row],[Total Salary]],"")</f>
        <v>0</v>
      </c>
      <c r="BL77" t="str">
        <f>IF(Table1[[#This Row],[Joining Date]]="","",IF(Table1[[#This Row],[Joining Date]]&lt;='KPI+Pivot'!$CP$1,Table1[[#This Row],[Fee]],""))</f>
        <v/>
      </c>
      <c r="BM7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77" t="str">
        <f>IF(Table1[[#This Row],[Joining Date]]="","",IF(Table1[[#This Row],[Joining Date]]&lt;='KPI+Pivot'!$CP$1,Table1[[#This Row],[Total Salary]],""))</f>
        <v/>
      </c>
      <c r="BO77" t="str">
        <f>IF(Table1[[#This Row],[Joining Date]]="","",IF(Table1[[#This Row],[Joining Date]]&lt;='KPI+Pivot'!$CP$1,Table1[[#This Row],[Frequency]],""))</f>
        <v/>
      </c>
      <c r="BP77" s="38" t="str">
        <f>IF(Table1[[#This Row],[Stop]]="","",(IF(Table1[[#This Row],[Joining Date]]="","",IF(Table1[[#This Row],[Joining Date]]&lt;='KPI+Pivot'!$CP$1,Table1[[#This Row],[Stop]],""))))</f>
        <v/>
      </c>
    </row>
    <row r="78" spans="1:68" ht="22.9" customHeight="1">
      <c r="B78" t="s">
        <v>66</v>
      </c>
      <c r="C78" t="s">
        <v>622</v>
      </c>
      <c r="D78" t="s">
        <v>623</v>
      </c>
      <c r="F78" t="s">
        <v>624</v>
      </c>
      <c r="G78" t="s">
        <v>625</v>
      </c>
      <c r="H78" t="s">
        <v>626</v>
      </c>
      <c r="I78" t="str">
        <f>IFERROR(HYPERLINK("#Finance!B" &amp; MATCH(A78, 'F 2025'!A:A, 0), "🔗 Go to finance"), "❌ ID introuvable")</f>
        <v>❌ ID introuvable</v>
      </c>
      <c r="L78" t="s">
        <v>102</v>
      </c>
      <c r="V78" t="s">
        <v>627</v>
      </c>
      <c r="Y78" t="s">
        <v>628</v>
      </c>
      <c r="Z78" t="s">
        <v>75</v>
      </c>
      <c r="AB78" t="s">
        <v>629</v>
      </c>
      <c r="AD78" s="130"/>
      <c r="AE78"/>
      <c r="AG78" t="s">
        <v>76</v>
      </c>
      <c r="AI78" t="s">
        <v>629</v>
      </c>
      <c r="AK78" t="s">
        <v>290</v>
      </c>
      <c r="AM78" s="38"/>
      <c r="AO78" t="s">
        <v>625</v>
      </c>
      <c r="AR78" t="str">
        <f t="shared" si="4"/>
        <v/>
      </c>
      <c r="AS78" t="str">
        <f t="shared" si="5"/>
        <v/>
      </c>
      <c r="AT78" t="str">
        <f>IF(Table1[[#This Row],[Joining Date]]="", "", TEXT(Table1[[#This Row],[Joining Date]], "mmm"))</f>
        <v/>
      </c>
      <c r="AU78" t="str">
        <f>IF(Table1[[#This Row],[Joining Date]]="", "", YEAR(Table1[[#This Row],[Joining Date]]))</f>
        <v/>
      </c>
      <c r="AV78" t="str">
        <f>IF(Table1[[#This Row],[Group Name]]="","", M78 &amp; Table1[[#This Row],[Teacher]])</f>
        <v/>
      </c>
      <c r="AW78" t="str">
        <f>IF(Table1[[#This Row],[Helper]]="","",IF(_xlfn.MAXIFS(AT:AT,AW:AW,Table1[[#This Row],[Helper]])=Table1[[#This Row],[Clean Frequency]],_xlfn.MAXIFS(AT:AT,AW:AW,Table1[[#This Row],[Helper]]),""))</f>
        <v/>
      </c>
      <c r="AX78" t="str">
        <f ca="1">IF(AND(AW78=_xlfn.MAXIFS(AX:AX, AW:AW, AV78), COUNTIFS(AV$3:AV78, AV78, AW$3:AW78, AW78)=1), 1, "")</f>
        <v/>
      </c>
      <c r="AY78" t="str">
        <f>IF(Table1[[#This Row],[lesson type]]="private",Table1[[#This Row],[Clean Frequency]],"")</f>
        <v/>
      </c>
      <c r="AZ78" t="str">
        <f ca="1">IF(Table1[[#This Row],[First Occurrence]]=1,Table1[[#This Row],[Group Frequency]],"")</f>
        <v/>
      </c>
      <c r="BA78" t="str">
        <f ca="1">IF(B78="Y", IF(Table1[[#This Row],[Stop]]="", TODAY() - Table1[[#This Row],[Joining Date]], Table1[[#This Row],[Stop]] - Table1[[#This Row],[Joining Date]]), "")</f>
        <v/>
      </c>
      <c r="BB78" t="str">
        <f>_xlfn.CONCAT(Table1[[#This Row],[t]]," ",Table1[[#This Row],[Last Name]])</f>
        <v>Korin Tomono</v>
      </c>
      <c r="BC78" t="str">
        <f>IF(OR(Table1[[#This Row],[Teacher]]="Alex",Table1[[#This Row],[Teacher]]=""), "", Table1[[#This Row],[For Salary]])</f>
        <v/>
      </c>
      <c r="BD78" t="str">
        <f>IF(OR(Table1[[#This Row],[Teacher]]="Alex",Table1[[#This Row],[Teacher]]=""), "", Table1[[#This Row],[For Amount]])</f>
        <v/>
      </c>
      <c r="BE78" t="str">
        <f>IFERROR(IF(VLOOKUP(Table1[[#This Row],[Teacher]],'Teachers Salaries'!A:C,2,FALSE)="","",VLOOKUP(Table1[[#This Row],[Teacher]],'Teachers Salaries'!A:C,2,FALSE)),"")</f>
        <v/>
      </c>
      <c r="BF78" t="str">
        <f>IFERROR(IF(VLOOKUP(Table1[[#This Row],[Teacher]],'Teachers Salaries'!A:C,3,FALSE)="","",VLOOKUP(Table1[[#This Row],[Teacher]],'Teachers Salaries'!A:C,3,FALSE)),"")</f>
        <v/>
      </c>
      <c r="BG78">
        <f ca="1">IFERROR(IF(Table1[[#This Row],[Pay Type]]="Fixed","-",Table1[[#This Row],[Final Group Frequency2]]*Table1[[#This Row],[Salary / Hourly Rate]]),0)</f>
        <v>0</v>
      </c>
      <c r="BH78">
        <f>IFERROR(IF(Table1[[#This Row],[Pay Type]]="Fixed","----",Table1[[#This Row],[Salary / Hourly Rate]]*Table1[[#This Row],[Final PrivateFrequency]]),0)</f>
        <v>0</v>
      </c>
      <c r="BI78">
        <f ca="1">IF(Table1[[#This Row],[Pay Type]]="Fixed","---",Table1[[#This Row],[Group Salary]]+Table1[[#This Row],[Private Salary]])</f>
        <v>0</v>
      </c>
      <c r="BJ78" t="str">
        <f>IF(OR(J78="Alex", J78=""),"", Table1[[#This Row],[For Amount]])</f>
        <v/>
      </c>
      <c r="BK78">
        <f ca="1">IFERROR(Table1[[#This Row],[Fee]]-Table1[[#This Row],[Total Salary]],"")</f>
        <v>0</v>
      </c>
      <c r="BL78" t="str">
        <f>IF(Table1[[#This Row],[Joining Date]]="","",IF(Table1[[#This Row],[Joining Date]]&lt;='KPI+Pivot'!$CP$1,Table1[[#This Row],[Fee]],""))</f>
        <v/>
      </c>
      <c r="BM7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78" t="str">
        <f>IF(Table1[[#This Row],[Joining Date]]="","",IF(Table1[[#This Row],[Joining Date]]&lt;='KPI+Pivot'!$CP$1,Table1[[#This Row],[Total Salary]],""))</f>
        <v/>
      </c>
      <c r="BO78" t="str">
        <f>IF(Table1[[#This Row],[Joining Date]]="","",IF(Table1[[#This Row],[Joining Date]]&lt;='KPI+Pivot'!$CP$1,Table1[[#This Row],[Frequency]],""))</f>
        <v/>
      </c>
      <c r="BP78" s="38" t="str">
        <f>IF(Table1[[#This Row],[Stop]]="","",(IF(Table1[[#This Row],[Joining Date]]="","",IF(Table1[[#This Row],[Joining Date]]&lt;='KPI+Pivot'!$CP$1,Table1[[#This Row],[Stop]],""))))</f>
        <v/>
      </c>
    </row>
    <row r="79" spans="1:68" ht="22.9" customHeight="1">
      <c r="B79" t="s">
        <v>66</v>
      </c>
      <c r="C79" t="s">
        <v>630</v>
      </c>
      <c r="D79" t="s">
        <v>631</v>
      </c>
      <c r="F79" t="s">
        <v>632</v>
      </c>
      <c r="G79" t="s">
        <v>633</v>
      </c>
      <c r="H79" t="s">
        <v>634</v>
      </c>
      <c r="I79" t="str">
        <f>IFERROR(HYPERLINK("#Finance!B" &amp; MATCH(A79, 'F 2025'!A:A, 0), "🔗 Go to finance"), "❌ ID introuvable")</f>
        <v>❌ ID introuvable</v>
      </c>
      <c r="V79" s="13" t="s">
        <v>2138</v>
      </c>
      <c r="W79" t="s">
        <v>635</v>
      </c>
      <c r="Y79" t="s">
        <v>2137</v>
      </c>
      <c r="Z79" t="s">
        <v>75</v>
      </c>
      <c r="AB79" t="s">
        <v>636</v>
      </c>
      <c r="AD79" s="130">
        <v>45450</v>
      </c>
      <c r="AE79"/>
      <c r="AG79" t="s">
        <v>76</v>
      </c>
      <c r="AI79" t="s">
        <v>636</v>
      </c>
      <c r="AK79" t="s">
        <v>102</v>
      </c>
      <c r="AM79" s="38"/>
      <c r="AO79" t="s">
        <v>633</v>
      </c>
      <c r="AR79" t="str">
        <f t="shared" si="4"/>
        <v/>
      </c>
      <c r="AS79" t="str">
        <f t="shared" si="5"/>
        <v/>
      </c>
      <c r="AT79" t="str">
        <f>IF(Table1[[#This Row],[Joining Date]]="", "", TEXT(Table1[[#This Row],[Joining Date]], "mmm"))</f>
        <v>Jun</v>
      </c>
      <c r="AU79">
        <f>IF(Table1[[#This Row],[Joining Date]]="", "", YEAR(Table1[[#This Row],[Joining Date]]))</f>
        <v>2024</v>
      </c>
      <c r="AV79" t="str">
        <f>IF(Table1[[#This Row],[Group Name]]="","", M79 &amp; Table1[[#This Row],[Teacher]])</f>
        <v/>
      </c>
      <c r="AW79" t="str">
        <f>IF(Table1[[#This Row],[Helper]]="","",IF(_xlfn.MAXIFS(AT:AT,AW:AW,Table1[[#This Row],[Helper]])=Table1[[#This Row],[Clean Frequency]],_xlfn.MAXIFS(AT:AT,AW:AW,Table1[[#This Row],[Helper]]),""))</f>
        <v/>
      </c>
      <c r="AX79" t="str">
        <f ca="1">IF(AND(AW79=_xlfn.MAXIFS(AX:AX, AW:AW, AV79), COUNTIFS(AV$3:AV79, AV79, AW$3:AW79, AW79)=1), 1, "")</f>
        <v/>
      </c>
      <c r="AY79" t="str">
        <f>IF(Table1[[#This Row],[lesson type]]="private",Table1[[#This Row],[Clean Frequency]],"")</f>
        <v/>
      </c>
      <c r="AZ79" t="str">
        <f ca="1">IF(Table1[[#This Row],[First Occurrence]]=1,Table1[[#This Row],[Group Frequency]],"")</f>
        <v/>
      </c>
      <c r="BA79" t="str">
        <f ca="1">IF(B79="Y", IF(Table1[[#This Row],[Stop]]="", TODAY() - Table1[[#This Row],[Joining Date]], Table1[[#This Row],[Stop]] - Table1[[#This Row],[Joining Date]]), "")</f>
        <v/>
      </c>
      <c r="BB79" t="str">
        <f>_xlfn.CONCAT(Table1[[#This Row],[t]]," ",Table1[[#This Row],[Last Name]])</f>
        <v>Kosuke Takada</v>
      </c>
      <c r="BC79" t="str">
        <f>IF(OR(Table1[[#This Row],[Teacher]]="Alex",Table1[[#This Row],[Teacher]]=""), "", Table1[[#This Row],[For Salary]])</f>
        <v/>
      </c>
      <c r="BD79" t="str">
        <f>IF(OR(Table1[[#This Row],[Teacher]]="Alex",Table1[[#This Row],[Teacher]]=""), "", Table1[[#This Row],[For Amount]])</f>
        <v/>
      </c>
      <c r="BE79" t="str">
        <f>IFERROR(IF(VLOOKUP(Table1[[#This Row],[Teacher]],'Teachers Salaries'!A:C,2,FALSE)="","",VLOOKUP(Table1[[#This Row],[Teacher]],'Teachers Salaries'!A:C,2,FALSE)),"")</f>
        <v/>
      </c>
      <c r="BF79" t="str">
        <f>IFERROR(IF(VLOOKUP(Table1[[#This Row],[Teacher]],'Teachers Salaries'!A:C,3,FALSE)="","",VLOOKUP(Table1[[#This Row],[Teacher]],'Teachers Salaries'!A:C,3,FALSE)),"")</f>
        <v/>
      </c>
      <c r="BG79">
        <f ca="1">IFERROR(IF(Table1[[#This Row],[Pay Type]]="Fixed","-",Table1[[#This Row],[Final Group Frequency2]]*Table1[[#This Row],[Salary / Hourly Rate]]),0)</f>
        <v>0</v>
      </c>
      <c r="BH79">
        <f>IFERROR(IF(Table1[[#This Row],[Pay Type]]="Fixed","----",Table1[[#This Row],[Salary / Hourly Rate]]*Table1[[#This Row],[Final PrivateFrequency]]),0)</f>
        <v>0</v>
      </c>
      <c r="BI79">
        <f ca="1">IF(Table1[[#This Row],[Pay Type]]="Fixed","---",Table1[[#This Row],[Group Salary]]+Table1[[#This Row],[Private Salary]])</f>
        <v>0</v>
      </c>
      <c r="BJ79" t="str">
        <f>IF(OR(J79="Alex", J79=""),"", Table1[[#This Row],[For Amount]])</f>
        <v/>
      </c>
      <c r="BK79">
        <f ca="1">IFERROR(Table1[[#This Row],[Fee]]-Table1[[#This Row],[Total Salary]],"")</f>
        <v>0</v>
      </c>
      <c r="BL79" t="e">
        <f>IF(Table1[[#This Row],[Joining Date]]="","",IF(Table1[[#This Row],[Joining Date]]&lt;='KPI+Pivot'!$CP$1,Table1[[#This Row],[Fee]],""))</f>
        <v>#N/A</v>
      </c>
      <c r="BM7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9" t="e">
        <f>IF(Table1[[#This Row],[Joining Date]]="","",IF(Table1[[#This Row],[Joining Date]]&lt;='KPI+Pivot'!$CP$1,Table1[[#This Row],[Total Salary]],""))</f>
        <v>#N/A</v>
      </c>
      <c r="BO79" t="e">
        <f>IF(Table1[[#This Row],[Joining Date]]="","",IF(Table1[[#This Row],[Joining Date]]&lt;='KPI+Pivot'!$CP$1,Table1[[#This Row],[Frequency]],""))</f>
        <v>#N/A</v>
      </c>
      <c r="BP79" s="38" t="str">
        <f>IF(Table1[[#This Row],[Stop]]="","",(IF(Table1[[#This Row],[Joining Date]]="","",IF(Table1[[#This Row],[Joining Date]]&lt;='KPI+Pivot'!$CP$1,Table1[[#This Row],[Stop]],""))))</f>
        <v/>
      </c>
    </row>
    <row r="80" spans="1:68" ht="22.9" customHeight="1">
      <c r="A80">
        <v>156</v>
      </c>
      <c r="B80" t="s">
        <v>66</v>
      </c>
      <c r="C80" t="s">
        <v>637</v>
      </c>
      <c r="D80" t="s">
        <v>638</v>
      </c>
      <c r="F80" t="s">
        <v>639</v>
      </c>
      <c r="G80" t="s">
        <v>640</v>
      </c>
      <c r="H80" t="s">
        <v>641</v>
      </c>
      <c r="I80" t="str">
        <f>IFERROR(HYPERLINK("#Finance!B" &amp; MATCH(A80, 'F 2025'!A:A, 0), "🔗 Go to finance"), "❌ ID introuvable")</f>
        <v>🔗 Go to finance</v>
      </c>
      <c r="V80" t="s">
        <v>642</v>
      </c>
      <c r="Y80">
        <v>8017659160</v>
      </c>
      <c r="Z80" t="s">
        <v>75</v>
      </c>
      <c r="AD80" s="130"/>
      <c r="AE80"/>
      <c r="AG80" t="s">
        <v>76</v>
      </c>
      <c r="AK80" t="s">
        <v>362</v>
      </c>
      <c r="AM80" s="38">
        <v>45748</v>
      </c>
      <c r="AO80" t="s">
        <v>640</v>
      </c>
      <c r="AR80" t="str">
        <f t="shared" si="4"/>
        <v/>
      </c>
      <c r="AS80" t="str">
        <f t="shared" si="5"/>
        <v/>
      </c>
      <c r="AT80" t="str">
        <f>IF(Table1[[#This Row],[Joining Date]]="", "", TEXT(Table1[[#This Row],[Joining Date]], "mmm"))</f>
        <v/>
      </c>
      <c r="AU80" t="str">
        <f>IF(Table1[[#This Row],[Joining Date]]="", "", YEAR(Table1[[#This Row],[Joining Date]]))</f>
        <v/>
      </c>
      <c r="AV80" t="str">
        <f>IF(Table1[[#This Row],[Group Name]]="","", M80 &amp; Table1[[#This Row],[Teacher]])</f>
        <v/>
      </c>
      <c r="AW80" t="str">
        <f>IF(Table1[[#This Row],[Helper]]="","",IF(_xlfn.MAXIFS(AT:AT,AW:AW,Table1[[#This Row],[Helper]])=Table1[[#This Row],[Clean Frequency]],_xlfn.MAXIFS(AT:AT,AW:AW,Table1[[#This Row],[Helper]]),""))</f>
        <v/>
      </c>
      <c r="AX80" t="str">
        <f ca="1">IF(AND(AW80=_xlfn.MAXIFS(AX:AX, AW:AW, AV80), COUNTIFS(AV$3:AV80, AV80, AW$3:AW80, AW80)=1), 1, "")</f>
        <v/>
      </c>
      <c r="AY80" t="str">
        <f>IF(Table1[[#This Row],[lesson type]]="private",Table1[[#This Row],[Clean Frequency]],"")</f>
        <v/>
      </c>
      <c r="AZ80" t="str">
        <f ca="1">IF(Table1[[#This Row],[First Occurrence]]=1,Table1[[#This Row],[Group Frequency]],"")</f>
        <v/>
      </c>
      <c r="BA80" t="str">
        <f ca="1">IF(B80="Y", IF(Table1[[#This Row],[Stop]]="", TODAY() - Table1[[#This Row],[Joining Date]], Table1[[#This Row],[Stop]] - Table1[[#This Row],[Joining Date]]), "")</f>
        <v/>
      </c>
      <c r="BB80" t="str">
        <f>_xlfn.CONCAT(Table1[[#This Row],[t]]," ",Table1[[#This Row],[Last Name]])</f>
        <v>koudai hato</v>
      </c>
      <c r="BC80" t="str">
        <f>IF(OR(Table1[[#This Row],[Teacher]]="Alex",Table1[[#This Row],[Teacher]]=""), "", Table1[[#This Row],[For Salary]])</f>
        <v/>
      </c>
      <c r="BD80" t="str">
        <f>IF(OR(Table1[[#This Row],[Teacher]]="Alex",Table1[[#This Row],[Teacher]]=""), "", Table1[[#This Row],[For Amount]])</f>
        <v/>
      </c>
      <c r="BE80" t="str">
        <f>IFERROR(IF(VLOOKUP(Table1[[#This Row],[Teacher]],'Teachers Salaries'!A:C,2,FALSE)="","",VLOOKUP(Table1[[#This Row],[Teacher]],'Teachers Salaries'!A:C,2,FALSE)),"")</f>
        <v/>
      </c>
      <c r="BF80" t="str">
        <f>IFERROR(IF(VLOOKUP(Table1[[#This Row],[Teacher]],'Teachers Salaries'!A:C,3,FALSE)="","",VLOOKUP(Table1[[#This Row],[Teacher]],'Teachers Salaries'!A:C,3,FALSE)),"")</f>
        <v/>
      </c>
      <c r="BG80">
        <f ca="1">IFERROR(IF(Table1[[#This Row],[Pay Type]]="Fixed","-",Table1[[#This Row],[Final Group Frequency2]]*Table1[[#This Row],[Salary / Hourly Rate]]),0)</f>
        <v>0</v>
      </c>
      <c r="BH80">
        <f>IFERROR(IF(Table1[[#This Row],[Pay Type]]="Fixed","----",Table1[[#This Row],[Salary / Hourly Rate]]*Table1[[#This Row],[Final PrivateFrequency]]),0)</f>
        <v>0</v>
      </c>
      <c r="BI80">
        <f ca="1">IF(Table1[[#This Row],[Pay Type]]="Fixed","---",Table1[[#This Row],[Group Salary]]+Table1[[#This Row],[Private Salary]])</f>
        <v>0</v>
      </c>
      <c r="BJ80" t="str">
        <f>IF(OR(J80="Alex", J80=""),"", Table1[[#This Row],[For Amount]])</f>
        <v/>
      </c>
      <c r="BK80">
        <f ca="1">IFERROR(Table1[[#This Row],[Fee]]-Table1[[#This Row],[Total Salary]],"")</f>
        <v>0</v>
      </c>
      <c r="BL80" t="str">
        <f>IF(Table1[[#This Row],[Joining Date]]="","",IF(Table1[[#This Row],[Joining Date]]&lt;='KPI+Pivot'!$CP$1,Table1[[#This Row],[Fee]],""))</f>
        <v/>
      </c>
      <c r="BM8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0" t="str">
        <f>IF(Table1[[#This Row],[Joining Date]]="","",IF(Table1[[#This Row],[Joining Date]]&lt;='KPI+Pivot'!$CP$1,Table1[[#This Row],[Total Salary]],""))</f>
        <v/>
      </c>
      <c r="BO80" t="str">
        <f>IF(Table1[[#This Row],[Joining Date]]="","",IF(Table1[[#This Row],[Joining Date]]&lt;='KPI+Pivot'!$CP$1,Table1[[#This Row],[Frequency]],""))</f>
        <v/>
      </c>
      <c r="BP80" s="38" t="str">
        <f>IF(Table1[[#This Row],[Stop]]="","",(IF(Table1[[#This Row],[Joining Date]]="","",IF(Table1[[#This Row],[Joining Date]]&lt;='KPI+Pivot'!$CP$1,Table1[[#This Row],[Stop]],""))))</f>
        <v/>
      </c>
    </row>
    <row r="81" spans="1:68" ht="18" customHeight="1">
      <c r="A81">
        <v>152</v>
      </c>
      <c r="B81" t="s">
        <v>66</v>
      </c>
      <c r="C81" t="s">
        <v>643</v>
      </c>
      <c r="D81" t="s">
        <v>644</v>
      </c>
      <c r="F81" t="s">
        <v>645</v>
      </c>
      <c r="G81" t="s">
        <v>646</v>
      </c>
      <c r="H81" t="s">
        <v>647</v>
      </c>
      <c r="I81" t="str">
        <f>IFERROR(HYPERLINK("#Finance!B" &amp; MATCH(A81, 'F 2025'!A:A, 0), "🔗 Go to finance"), "❌ ID introuvable")</f>
        <v>🔗 Go to finance</v>
      </c>
      <c r="J81" t="s">
        <v>109</v>
      </c>
      <c r="K81" t="s">
        <v>117</v>
      </c>
      <c r="L81" t="s">
        <v>238</v>
      </c>
      <c r="O81">
        <v>6050</v>
      </c>
      <c r="T81" s="130">
        <v>45528</v>
      </c>
      <c r="V81" t="s">
        <v>648</v>
      </c>
      <c r="W81" t="s">
        <v>649</v>
      </c>
      <c r="X81" t="s">
        <v>648</v>
      </c>
      <c r="Y81" t="s">
        <v>650</v>
      </c>
      <c r="Z81" t="s">
        <v>75</v>
      </c>
      <c r="AD81" s="130">
        <v>45444</v>
      </c>
      <c r="AE81"/>
      <c r="AG81" t="s">
        <v>76</v>
      </c>
      <c r="AK81" t="s">
        <v>102</v>
      </c>
      <c r="AM81" s="38" t="s">
        <v>2341</v>
      </c>
      <c r="AO81" t="s">
        <v>651</v>
      </c>
      <c r="AR81" t="str">
        <f t="shared" si="4"/>
        <v>group</v>
      </c>
      <c r="AS81">
        <f t="shared" si="5"/>
        <v>4</v>
      </c>
      <c r="AT81" t="str">
        <f>IF(Table1[[#This Row],[Joining Date]]="", "", TEXT(Table1[[#This Row],[Joining Date]], "mmm"))</f>
        <v>Jun</v>
      </c>
      <c r="AU81">
        <f>IF(Table1[[#This Row],[Joining Date]]="", "", YEAR(Table1[[#This Row],[Joining Date]]))</f>
        <v>2024</v>
      </c>
      <c r="AV81" t="str">
        <f>IF(Table1[[#This Row],[Group Name]]="","", M81 &amp; Table1[[#This Row],[Teacher]])</f>
        <v/>
      </c>
      <c r="AW81" t="str">
        <f>IF(Table1[[#This Row],[Helper]]="","",IF(_xlfn.MAXIFS(AT:AT,AW:AW,Table1[[#This Row],[Helper]])=Table1[[#This Row],[Clean Frequency]],_xlfn.MAXIFS(AT:AT,AW:AW,Table1[[#This Row],[Helper]]),""))</f>
        <v/>
      </c>
      <c r="AX81" t="str">
        <f ca="1">IF(AND(AW81=_xlfn.MAXIFS(AX:AX, AW:AW, AV81), COUNTIFS(AV$3:AV81, AV81, AW$3:AW81, AW81)=1), 1, "")</f>
        <v/>
      </c>
      <c r="AY81" t="str">
        <f>IF(Table1[[#This Row],[lesson type]]="private",Table1[[#This Row],[Clean Frequency]],"")</f>
        <v/>
      </c>
      <c r="AZ81" t="str">
        <f ca="1">IF(Table1[[#This Row],[First Occurrence]]=1,Table1[[#This Row],[Group Frequency]],"")</f>
        <v/>
      </c>
      <c r="BA81" t="str">
        <f ca="1">IF(B81="Y", IF(Table1[[#This Row],[Stop]]="", TODAY() - Table1[[#This Row],[Joining Date]], Table1[[#This Row],[Stop]] - Table1[[#This Row],[Joining Date]]), "")</f>
        <v/>
      </c>
      <c r="BB81" t="str">
        <f>_xlfn.CONCAT(Table1[[#This Row],[t]]," ",Table1[[#This Row],[Last Name]])</f>
        <v>Kouki Ushijima</v>
      </c>
      <c r="BC81" t="str">
        <f>IF(OR(Table1[[#This Row],[Teacher]]="Alex",Table1[[#This Row],[Teacher]]=""), "", Table1[[#This Row],[For Salary]])</f>
        <v/>
      </c>
      <c r="BD81" t="str">
        <f>IF(OR(Table1[[#This Row],[Teacher]]="Alex",Table1[[#This Row],[Teacher]]=""), "", Table1[[#This Row],[For Amount]])</f>
        <v/>
      </c>
      <c r="BE81" t="str">
        <f>IFERROR(IF(VLOOKUP(Table1[[#This Row],[Teacher]],'Teachers Salaries'!A:C,2,FALSE)="","",VLOOKUP(Table1[[#This Row],[Teacher]],'Teachers Salaries'!A:C,2,FALSE)),"")</f>
        <v>Fixed</v>
      </c>
      <c r="BF81">
        <f>IFERROR(IF(VLOOKUP(Table1[[#This Row],[Teacher]],'Teachers Salaries'!A:C,3,FALSE)="","",VLOOKUP(Table1[[#This Row],[Teacher]],'Teachers Salaries'!A:C,3,FALSE)),"")</f>
        <v>210000</v>
      </c>
      <c r="BG81" t="str">
        <f>IFERROR(IF(Table1[[#This Row],[Pay Type]]="Fixed","-",Table1[[#This Row],[Final Group Frequency2]]*Table1[[#This Row],[Salary / Hourly Rate]]),0)</f>
        <v>-</v>
      </c>
      <c r="BH81" t="str">
        <f>IFERROR(IF(Table1[[#This Row],[Pay Type]]="Fixed","----",Table1[[#This Row],[Salary / Hourly Rate]]*Table1[[#This Row],[Final PrivateFrequency]]),0)</f>
        <v>----</v>
      </c>
      <c r="BI81" t="str">
        <f>IF(Table1[[#This Row],[Pay Type]]="Fixed","---",Table1[[#This Row],[Group Salary]]+Table1[[#This Row],[Private Salary]])</f>
        <v>---</v>
      </c>
      <c r="BJ81" t="str">
        <f>IF(OR(J81="Alex", J81=""),"", Table1[[#This Row],[For Amount]])</f>
        <v/>
      </c>
      <c r="BK81" t="str">
        <f>IFERROR(Table1[[#This Row],[Fee]]-Table1[[#This Row],[Total Salary]],"")</f>
        <v/>
      </c>
      <c r="BL81" t="e">
        <f>IF(Table1[[#This Row],[Joining Date]]="","",IF(Table1[[#This Row],[Joining Date]]&lt;='KPI+Pivot'!$CP$1,Table1[[#This Row],[Fee]],""))</f>
        <v>#N/A</v>
      </c>
      <c r="BM8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81" t="e">
        <f>IF(Table1[[#This Row],[Joining Date]]="","",IF(Table1[[#This Row],[Joining Date]]&lt;='KPI+Pivot'!$CP$1,Table1[[#This Row],[Total Salary]],""))</f>
        <v>#N/A</v>
      </c>
      <c r="BO81" t="e">
        <f>IF(Table1[[#This Row],[Joining Date]]="","",IF(Table1[[#This Row],[Joining Date]]&lt;='KPI+Pivot'!$CP$1,Table1[[#This Row],[Frequency]],""))</f>
        <v>#N/A</v>
      </c>
      <c r="BP81" s="38" t="e">
        <f>IF(Table1[[#This Row],[Stop]]="","",(IF(Table1[[#This Row],[Joining Date]]="","",IF(Table1[[#This Row],[Joining Date]]&lt;='KPI+Pivot'!$CP$1,Table1[[#This Row],[Stop]],""))))</f>
        <v>#N/A</v>
      </c>
    </row>
    <row r="82" spans="1:68" ht="18" customHeight="1">
      <c r="A82">
        <v>152</v>
      </c>
      <c r="B82" t="s">
        <v>66</v>
      </c>
      <c r="C82" t="s">
        <v>652</v>
      </c>
      <c r="D82" t="s">
        <v>644</v>
      </c>
      <c r="F82" t="s">
        <v>653</v>
      </c>
      <c r="G82" t="s">
        <v>654</v>
      </c>
      <c r="H82" t="s">
        <v>647</v>
      </c>
      <c r="I82" t="str">
        <f>IFERROR(HYPERLINK("#Finance!B" &amp; MATCH(A82, 'F 2025'!A:A, 0), "🔗 Go to finance"), "❌ ID introuvable")</f>
        <v>🔗 Go to finance</v>
      </c>
      <c r="J82" t="s">
        <v>109</v>
      </c>
      <c r="K82" t="s">
        <v>117</v>
      </c>
      <c r="L82" t="s">
        <v>238</v>
      </c>
      <c r="O82">
        <v>6050</v>
      </c>
      <c r="T82" s="130">
        <v>45528</v>
      </c>
      <c r="V82" t="s">
        <v>655</v>
      </c>
      <c r="W82" t="s">
        <v>649</v>
      </c>
      <c r="X82" t="s">
        <v>648</v>
      </c>
      <c r="Y82" t="s">
        <v>650</v>
      </c>
      <c r="Z82" t="s">
        <v>75</v>
      </c>
      <c r="AD82" s="130">
        <v>45444</v>
      </c>
      <c r="AE82"/>
      <c r="AG82" t="s">
        <v>76</v>
      </c>
      <c r="AK82" t="s">
        <v>102</v>
      </c>
      <c r="AM82" s="38" t="s">
        <v>2341</v>
      </c>
      <c r="AO82" t="s">
        <v>651</v>
      </c>
      <c r="AR82" t="str">
        <f t="shared" si="4"/>
        <v>group</v>
      </c>
      <c r="AS82">
        <f t="shared" si="5"/>
        <v>4</v>
      </c>
      <c r="AT82" t="str">
        <f>IF(Table1[[#This Row],[Joining Date]]="", "", TEXT(Table1[[#This Row],[Joining Date]], "mmm"))</f>
        <v>Jun</v>
      </c>
      <c r="AU82">
        <f>IF(Table1[[#This Row],[Joining Date]]="", "", YEAR(Table1[[#This Row],[Joining Date]]))</f>
        <v>2024</v>
      </c>
      <c r="AV82" t="str">
        <f>IF(Table1[[#This Row],[Group Name]]="","", M82 &amp; Table1[[#This Row],[Teacher]])</f>
        <v/>
      </c>
      <c r="AW82" t="str">
        <f>IF(Table1[[#This Row],[Helper]]="","",IF(_xlfn.MAXIFS(AT:AT,AW:AW,Table1[[#This Row],[Helper]])=Table1[[#This Row],[Clean Frequency]],_xlfn.MAXIFS(AT:AT,AW:AW,Table1[[#This Row],[Helper]]),""))</f>
        <v/>
      </c>
      <c r="AX82" t="str">
        <f ca="1">IF(AND(AW82=_xlfn.MAXIFS(AX:AX, AW:AW, AV82), COUNTIFS(AV$3:AV82, AV82, AW$3:AW82, AW82)=1), 1, "")</f>
        <v/>
      </c>
      <c r="AY82" t="str">
        <f>IF(Table1[[#This Row],[lesson type]]="private",Table1[[#This Row],[Clean Frequency]],"")</f>
        <v/>
      </c>
      <c r="AZ82" t="str">
        <f ca="1">IF(Table1[[#This Row],[First Occurrence]]=1,Table1[[#This Row],[Group Frequency]],"")</f>
        <v/>
      </c>
      <c r="BA82" t="str">
        <f ca="1">IF(B82="Y", IF(Table1[[#This Row],[Stop]]="", TODAY() - Table1[[#This Row],[Joining Date]], Table1[[#This Row],[Stop]] - Table1[[#This Row],[Joining Date]]), "")</f>
        <v/>
      </c>
      <c r="BB82" t="str">
        <f>_xlfn.CONCAT(Table1[[#This Row],[t]]," ",Table1[[#This Row],[Last Name]])</f>
        <v>Haruto Ushijima</v>
      </c>
      <c r="BC82" t="str">
        <f>IF(OR(Table1[[#This Row],[Teacher]]="Alex",Table1[[#This Row],[Teacher]]=""), "", Table1[[#This Row],[For Salary]])</f>
        <v/>
      </c>
      <c r="BD82" t="str">
        <f>IF(OR(Table1[[#This Row],[Teacher]]="Alex",Table1[[#This Row],[Teacher]]=""), "", Table1[[#This Row],[For Amount]])</f>
        <v/>
      </c>
      <c r="BE82" t="str">
        <f>IFERROR(IF(VLOOKUP(Table1[[#This Row],[Teacher]],'Teachers Salaries'!A:C,2,FALSE)="","",VLOOKUP(Table1[[#This Row],[Teacher]],'Teachers Salaries'!A:C,2,FALSE)),"")</f>
        <v>Fixed</v>
      </c>
      <c r="BF82">
        <f>IFERROR(IF(VLOOKUP(Table1[[#This Row],[Teacher]],'Teachers Salaries'!A:C,3,FALSE)="","",VLOOKUP(Table1[[#This Row],[Teacher]],'Teachers Salaries'!A:C,3,FALSE)),"")</f>
        <v>210000</v>
      </c>
      <c r="BG82" t="str">
        <f>IFERROR(IF(Table1[[#This Row],[Pay Type]]="Fixed","-",Table1[[#This Row],[Final Group Frequency2]]*Table1[[#This Row],[Salary / Hourly Rate]]),0)</f>
        <v>-</v>
      </c>
      <c r="BH82" t="str">
        <f>IFERROR(IF(Table1[[#This Row],[Pay Type]]="Fixed","----",Table1[[#This Row],[Salary / Hourly Rate]]*Table1[[#This Row],[Final PrivateFrequency]]),0)</f>
        <v>----</v>
      </c>
      <c r="BI82" t="str">
        <f>IF(Table1[[#This Row],[Pay Type]]="Fixed","---",Table1[[#This Row],[Group Salary]]+Table1[[#This Row],[Private Salary]])</f>
        <v>---</v>
      </c>
      <c r="BJ82" t="str">
        <f>IF(OR(J82="Alex", J82=""),"", Table1[[#This Row],[For Amount]])</f>
        <v/>
      </c>
      <c r="BK82" t="str">
        <f>IFERROR(Table1[[#This Row],[Fee]]-Table1[[#This Row],[Total Salary]],"")</f>
        <v/>
      </c>
      <c r="BL82" t="e">
        <f>IF(Table1[[#This Row],[Joining Date]]="","",IF(Table1[[#This Row],[Joining Date]]&lt;='KPI+Pivot'!$CP$1,Table1[[#This Row],[Fee]],""))</f>
        <v>#N/A</v>
      </c>
      <c r="BM8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82" t="e">
        <f>IF(Table1[[#This Row],[Joining Date]]="","",IF(Table1[[#This Row],[Joining Date]]&lt;='KPI+Pivot'!$CP$1,Table1[[#This Row],[Total Salary]],""))</f>
        <v>#N/A</v>
      </c>
      <c r="BO82" t="e">
        <f>IF(Table1[[#This Row],[Joining Date]]="","",IF(Table1[[#This Row],[Joining Date]]&lt;='KPI+Pivot'!$CP$1,Table1[[#This Row],[Frequency]],""))</f>
        <v>#N/A</v>
      </c>
      <c r="BP82" s="38" t="e">
        <f>IF(Table1[[#This Row],[Stop]]="","",(IF(Table1[[#This Row],[Joining Date]]="","",IF(Table1[[#This Row],[Joining Date]]&lt;='KPI+Pivot'!$CP$1,Table1[[#This Row],[Stop]],""))))</f>
        <v>#N/A</v>
      </c>
    </row>
    <row r="83" spans="1:68" ht="22.9" customHeight="1">
      <c r="B83" t="s">
        <v>66</v>
      </c>
      <c r="C83" t="s">
        <v>656</v>
      </c>
      <c r="D83" t="s">
        <v>657</v>
      </c>
      <c r="F83" t="s">
        <v>658</v>
      </c>
      <c r="G83" t="s">
        <v>659</v>
      </c>
      <c r="H83" t="s">
        <v>660</v>
      </c>
      <c r="I83" t="str">
        <f>IFERROR(HYPERLINK("#Finance!B" &amp; MATCH(A83, 'F 2025'!A:A, 0), "🔗 Go to finance"), "❌ ID introuvable")</f>
        <v>❌ ID introuvable</v>
      </c>
      <c r="L83" t="s">
        <v>661</v>
      </c>
      <c r="V83" t="s">
        <v>662</v>
      </c>
      <c r="Y83" t="s">
        <v>663</v>
      </c>
      <c r="Z83" t="s">
        <v>75</v>
      </c>
      <c r="AB83" t="s">
        <v>664</v>
      </c>
      <c r="AD83" s="130"/>
      <c r="AE83"/>
      <c r="AG83" t="s">
        <v>76</v>
      </c>
      <c r="AI83" t="s">
        <v>664</v>
      </c>
      <c r="AK83" t="s">
        <v>182</v>
      </c>
      <c r="AM83" s="38"/>
      <c r="AO83" t="s">
        <v>659</v>
      </c>
      <c r="AR83" t="str">
        <f t="shared" si="4"/>
        <v/>
      </c>
      <c r="AS83" t="str">
        <f t="shared" si="5"/>
        <v/>
      </c>
      <c r="AT83" t="str">
        <f>IF(Table1[[#This Row],[Joining Date]]="", "", TEXT(Table1[[#This Row],[Joining Date]], "mmm"))</f>
        <v/>
      </c>
      <c r="AU83" t="str">
        <f>IF(Table1[[#This Row],[Joining Date]]="", "", YEAR(Table1[[#This Row],[Joining Date]]))</f>
        <v/>
      </c>
      <c r="AV83" t="str">
        <f>IF(Table1[[#This Row],[Group Name]]="","", M83 &amp; Table1[[#This Row],[Teacher]])</f>
        <v/>
      </c>
      <c r="AW83" t="str">
        <f>IF(Table1[[#This Row],[Helper]]="","",IF(_xlfn.MAXIFS(AT:AT,AW:AW,Table1[[#This Row],[Helper]])=Table1[[#This Row],[Clean Frequency]],_xlfn.MAXIFS(AT:AT,AW:AW,Table1[[#This Row],[Helper]]),""))</f>
        <v/>
      </c>
      <c r="AX83" t="str">
        <f ca="1">IF(AND(AW83=_xlfn.MAXIFS(AX:AX, AW:AW, AV83), COUNTIFS(AV$3:AV83, AV83, AW$3:AW83, AW83)=1), 1, "")</f>
        <v/>
      </c>
      <c r="AY83" t="str">
        <f>IF(Table1[[#This Row],[lesson type]]="private",Table1[[#This Row],[Clean Frequency]],"")</f>
        <v/>
      </c>
      <c r="AZ83" t="str">
        <f ca="1">IF(Table1[[#This Row],[First Occurrence]]=1,Table1[[#This Row],[Group Frequency]],"")</f>
        <v/>
      </c>
      <c r="BA83" t="str">
        <f ca="1">IF(B83="Y", IF(Table1[[#This Row],[Stop]]="", TODAY() - Table1[[#This Row],[Joining Date]], Table1[[#This Row],[Stop]] - Table1[[#This Row],[Joining Date]]), "")</f>
        <v/>
      </c>
      <c r="BB83" t="str">
        <f>_xlfn.CONCAT(Table1[[#This Row],[t]]," ",Table1[[#This Row],[Last Name]])</f>
        <v>Kouta Yamaguchi</v>
      </c>
      <c r="BC83" t="str">
        <f>IF(OR(Table1[[#This Row],[Teacher]]="Alex",Table1[[#This Row],[Teacher]]=""), "", Table1[[#This Row],[For Salary]])</f>
        <v/>
      </c>
      <c r="BD83" t="str">
        <f>IF(OR(Table1[[#This Row],[Teacher]]="Alex",Table1[[#This Row],[Teacher]]=""), "", Table1[[#This Row],[For Amount]])</f>
        <v/>
      </c>
      <c r="BE83" t="str">
        <f>IFERROR(IF(VLOOKUP(Table1[[#This Row],[Teacher]],'Teachers Salaries'!A:C,2,FALSE)="","",VLOOKUP(Table1[[#This Row],[Teacher]],'Teachers Salaries'!A:C,2,FALSE)),"")</f>
        <v/>
      </c>
      <c r="BF83" t="str">
        <f>IFERROR(IF(VLOOKUP(Table1[[#This Row],[Teacher]],'Teachers Salaries'!A:C,3,FALSE)="","",VLOOKUP(Table1[[#This Row],[Teacher]],'Teachers Salaries'!A:C,3,FALSE)),"")</f>
        <v/>
      </c>
      <c r="BG83">
        <f ca="1">IFERROR(IF(Table1[[#This Row],[Pay Type]]="Fixed","-",Table1[[#This Row],[Final Group Frequency2]]*Table1[[#This Row],[Salary / Hourly Rate]]),0)</f>
        <v>0</v>
      </c>
      <c r="BH83">
        <f>IFERROR(IF(Table1[[#This Row],[Pay Type]]="Fixed","----",Table1[[#This Row],[Salary / Hourly Rate]]*Table1[[#This Row],[Final PrivateFrequency]]),0)</f>
        <v>0</v>
      </c>
      <c r="BI83">
        <f ca="1">IF(Table1[[#This Row],[Pay Type]]="Fixed","---",Table1[[#This Row],[Group Salary]]+Table1[[#This Row],[Private Salary]])</f>
        <v>0</v>
      </c>
      <c r="BJ83" t="str">
        <f>IF(OR(J83="Alex", J83=""),"", Table1[[#This Row],[For Amount]])</f>
        <v/>
      </c>
      <c r="BK83">
        <f ca="1">IFERROR(Table1[[#This Row],[Fee]]-Table1[[#This Row],[Total Salary]],"")</f>
        <v>0</v>
      </c>
      <c r="BL83" t="str">
        <f>IF(Table1[[#This Row],[Joining Date]]="","",IF(Table1[[#This Row],[Joining Date]]&lt;='KPI+Pivot'!$CP$1,Table1[[#This Row],[Fee]],""))</f>
        <v/>
      </c>
      <c r="BM8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3" t="str">
        <f>IF(Table1[[#This Row],[Joining Date]]="","",IF(Table1[[#This Row],[Joining Date]]&lt;='KPI+Pivot'!$CP$1,Table1[[#This Row],[Total Salary]],""))</f>
        <v/>
      </c>
      <c r="BO83" t="str">
        <f>IF(Table1[[#This Row],[Joining Date]]="","",IF(Table1[[#This Row],[Joining Date]]&lt;='KPI+Pivot'!$CP$1,Table1[[#This Row],[Frequency]],""))</f>
        <v/>
      </c>
      <c r="BP83" s="38" t="str">
        <f>IF(Table1[[#This Row],[Stop]]="","",(IF(Table1[[#This Row],[Joining Date]]="","",IF(Table1[[#This Row],[Joining Date]]&lt;='KPI+Pivot'!$CP$1,Table1[[#This Row],[Stop]],""))))</f>
        <v/>
      </c>
    </row>
    <row r="84" spans="1:68" ht="22.9" customHeight="1">
      <c r="B84" t="s">
        <v>66</v>
      </c>
      <c r="C84" t="s">
        <v>665</v>
      </c>
      <c r="D84" t="s">
        <v>666</v>
      </c>
      <c r="F84" t="s">
        <v>667</v>
      </c>
      <c r="G84" t="s">
        <v>668</v>
      </c>
      <c r="H84" t="s">
        <v>669</v>
      </c>
      <c r="I84" t="str">
        <f>IFERROR(HYPERLINK("#Finance!B" &amp; MATCH(A84, 'F 2025'!A:A, 0), "🔗 Go to finance"), "❌ ID introuvable")</f>
        <v>❌ ID introuvable</v>
      </c>
      <c r="L84" t="s">
        <v>90</v>
      </c>
      <c r="V84" t="s">
        <v>670</v>
      </c>
      <c r="Y84" t="s">
        <v>671</v>
      </c>
      <c r="Z84" t="s">
        <v>75</v>
      </c>
      <c r="AB84" t="s">
        <v>672</v>
      </c>
      <c r="AD84" s="130"/>
      <c r="AE84"/>
      <c r="AG84" t="s">
        <v>76</v>
      </c>
      <c r="AI84" t="s">
        <v>672</v>
      </c>
      <c r="AK84" t="s">
        <v>126</v>
      </c>
      <c r="AM84" s="38"/>
      <c r="AO84" t="s">
        <v>668</v>
      </c>
      <c r="AR84" t="str">
        <f t="shared" si="4"/>
        <v/>
      </c>
      <c r="AS84" t="str">
        <f t="shared" si="5"/>
        <v/>
      </c>
      <c r="AT84" t="str">
        <f>IF(Table1[[#This Row],[Joining Date]]="", "", TEXT(Table1[[#This Row],[Joining Date]], "mmm"))</f>
        <v/>
      </c>
      <c r="AU84" t="str">
        <f>IF(Table1[[#This Row],[Joining Date]]="", "", YEAR(Table1[[#This Row],[Joining Date]]))</f>
        <v/>
      </c>
      <c r="AV84" t="str">
        <f>IF(Table1[[#This Row],[Group Name]]="","", M84 &amp; Table1[[#This Row],[Teacher]])</f>
        <v/>
      </c>
      <c r="AW84" t="str">
        <f>IF(Table1[[#This Row],[Helper]]="","",IF(_xlfn.MAXIFS(AT:AT,AW:AW,Table1[[#This Row],[Helper]])=Table1[[#This Row],[Clean Frequency]],_xlfn.MAXIFS(AT:AT,AW:AW,Table1[[#This Row],[Helper]]),""))</f>
        <v/>
      </c>
      <c r="AX84" t="str">
        <f ca="1">IF(AND(AW84=_xlfn.MAXIFS(AX:AX, AW:AW, AV84), COUNTIFS(AV$3:AV84, AV84, AW$3:AW84, AW84)=1), 1, "")</f>
        <v/>
      </c>
      <c r="AY84" t="str">
        <f>IF(Table1[[#This Row],[lesson type]]="private",Table1[[#This Row],[Clean Frequency]],"")</f>
        <v/>
      </c>
      <c r="AZ84" t="str">
        <f ca="1">IF(Table1[[#This Row],[First Occurrence]]=1,Table1[[#This Row],[Group Frequency]],"")</f>
        <v/>
      </c>
      <c r="BA84" t="str">
        <f ca="1">IF(B84="Y", IF(Table1[[#This Row],[Stop]]="", TODAY() - Table1[[#This Row],[Joining Date]], Table1[[#This Row],[Stop]] - Table1[[#This Row],[Joining Date]]), "")</f>
        <v/>
      </c>
      <c r="BB84" t="str">
        <f>_xlfn.CONCAT(Table1[[#This Row],[t]]," ",Table1[[#This Row],[Last Name]])</f>
        <v>Kumiko Okusako</v>
      </c>
      <c r="BC84" t="str">
        <f>IF(OR(Table1[[#This Row],[Teacher]]="Alex",Table1[[#This Row],[Teacher]]=""), "", Table1[[#This Row],[For Salary]])</f>
        <v/>
      </c>
      <c r="BD84" t="str">
        <f>IF(OR(Table1[[#This Row],[Teacher]]="Alex",Table1[[#This Row],[Teacher]]=""), "", Table1[[#This Row],[For Amount]])</f>
        <v/>
      </c>
      <c r="BE84" t="str">
        <f>IFERROR(IF(VLOOKUP(Table1[[#This Row],[Teacher]],'Teachers Salaries'!A:C,2,FALSE)="","",VLOOKUP(Table1[[#This Row],[Teacher]],'Teachers Salaries'!A:C,2,FALSE)),"")</f>
        <v/>
      </c>
      <c r="BF84" t="str">
        <f>IFERROR(IF(VLOOKUP(Table1[[#This Row],[Teacher]],'Teachers Salaries'!A:C,3,FALSE)="","",VLOOKUP(Table1[[#This Row],[Teacher]],'Teachers Salaries'!A:C,3,FALSE)),"")</f>
        <v/>
      </c>
      <c r="BG84">
        <f ca="1">IFERROR(IF(Table1[[#This Row],[Pay Type]]="Fixed","-",Table1[[#This Row],[Final Group Frequency2]]*Table1[[#This Row],[Salary / Hourly Rate]]),0)</f>
        <v>0</v>
      </c>
      <c r="BH84">
        <f>IFERROR(IF(Table1[[#This Row],[Pay Type]]="Fixed","----",Table1[[#This Row],[Salary / Hourly Rate]]*Table1[[#This Row],[Final PrivateFrequency]]),0)</f>
        <v>0</v>
      </c>
      <c r="BI84">
        <f ca="1">IF(Table1[[#This Row],[Pay Type]]="Fixed","---",Table1[[#This Row],[Group Salary]]+Table1[[#This Row],[Private Salary]])</f>
        <v>0</v>
      </c>
      <c r="BJ84" t="str">
        <f>IF(OR(J84="Alex", J84=""),"", Table1[[#This Row],[For Amount]])</f>
        <v/>
      </c>
      <c r="BK84">
        <f ca="1">IFERROR(Table1[[#This Row],[Fee]]-Table1[[#This Row],[Total Salary]],"")</f>
        <v>0</v>
      </c>
      <c r="BL84" t="str">
        <f>IF(Table1[[#This Row],[Joining Date]]="","",IF(Table1[[#This Row],[Joining Date]]&lt;='KPI+Pivot'!$CP$1,Table1[[#This Row],[Fee]],""))</f>
        <v/>
      </c>
      <c r="BM8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4" t="str">
        <f>IF(Table1[[#This Row],[Joining Date]]="","",IF(Table1[[#This Row],[Joining Date]]&lt;='KPI+Pivot'!$CP$1,Table1[[#This Row],[Total Salary]],""))</f>
        <v/>
      </c>
      <c r="BO84" t="str">
        <f>IF(Table1[[#This Row],[Joining Date]]="","",IF(Table1[[#This Row],[Joining Date]]&lt;='KPI+Pivot'!$CP$1,Table1[[#This Row],[Frequency]],""))</f>
        <v/>
      </c>
      <c r="BP84" s="38" t="str">
        <f>IF(Table1[[#This Row],[Stop]]="","",(IF(Table1[[#This Row],[Joining Date]]="","",IF(Table1[[#This Row],[Joining Date]]&lt;='KPI+Pivot'!$CP$1,Table1[[#This Row],[Stop]],""))))</f>
        <v/>
      </c>
    </row>
    <row r="85" spans="1:68" ht="18" customHeight="1">
      <c r="A85">
        <v>2</v>
      </c>
      <c r="B85" t="s">
        <v>103</v>
      </c>
      <c r="C85" t="s">
        <v>673</v>
      </c>
      <c r="D85" t="s">
        <v>674</v>
      </c>
      <c r="F85" t="s">
        <v>675</v>
      </c>
      <c r="G85" t="s">
        <v>676</v>
      </c>
      <c r="H85" t="s">
        <v>677</v>
      </c>
      <c r="I85" t="str">
        <f>IFERROR(HYPERLINK("#Finance!B" &amp; MATCH(A85, 'F 2025'!A:A, 0), "🔗 Go to finance"), "❌ ID introuvable")</f>
        <v>🔗 Go to finance</v>
      </c>
      <c r="J85" t="s">
        <v>196</v>
      </c>
      <c r="K85" t="s">
        <v>117</v>
      </c>
      <c r="L85" t="s">
        <v>486</v>
      </c>
      <c r="M85" t="s">
        <v>678</v>
      </c>
      <c r="N85">
        <v>2</v>
      </c>
      <c r="O85">
        <v>6050</v>
      </c>
      <c r="T85" s="130">
        <v>43101</v>
      </c>
      <c r="Y85" t="s">
        <v>679</v>
      </c>
      <c r="Z85" t="s">
        <v>75</v>
      </c>
      <c r="AB85" t="s">
        <v>680</v>
      </c>
      <c r="AD85" s="130">
        <v>43101</v>
      </c>
      <c r="AE85"/>
      <c r="AG85" t="s">
        <v>76</v>
      </c>
      <c r="AI85" t="s">
        <v>680</v>
      </c>
      <c r="AK85" t="s">
        <v>681</v>
      </c>
      <c r="AM85" s="38"/>
      <c r="AO85" t="s">
        <v>676</v>
      </c>
      <c r="AP85">
        <v>2</v>
      </c>
      <c r="AQ85" t="s">
        <v>676</v>
      </c>
      <c r="AR85" t="str">
        <f t="shared" si="4"/>
        <v>group</v>
      </c>
      <c r="AS85">
        <f t="shared" si="5"/>
        <v>2</v>
      </c>
      <c r="AT85" t="str">
        <f>IF(Table1[[#This Row],[Joining Date]]="", "", TEXT(Table1[[#This Row],[Joining Date]], "mmm"))</f>
        <v>Jan</v>
      </c>
      <c r="AU85">
        <f>IF(Table1[[#This Row],[Joining Date]]="", "", YEAR(Table1[[#This Row],[Joining Date]]))</f>
        <v>2018</v>
      </c>
      <c r="AV85" t="str">
        <f>IF(Table1[[#This Row],[Group Name]]="","", M85 &amp; Table1[[#This Row],[Teacher]])</f>
        <v>Group CNao</v>
      </c>
      <c r="AW85">
        <f ca="1">IF(Table1[[#This Row],[Helper]]="","",IF(_xlfn.MAXIFS(AT:AT,AW:AW,Table1[[#This Row],[Helper]])=Table1[[#This Row],[Clean Frequency]],_xlfn.MAXIFS(AT:AT,AW:AW,Table1[[#This Row],[Helper]]),""))</f>
        <v>2</v>
      </c>
      <c r="AX85">
        <f ca="1">IF(AND(AW85=_xlfn.MAXIFS(AX:AX, AW:AW, AV85), COUNTIFS(AV$3:AV85, AV85, AW$3:AW85, AW85)=1), 1, "")</f>
        <v>1</v>
      </c>
      <c r="AY85" t="str">
        <f>IF(Table1[[#This Row],[lesson type]]="private",Table1[[#This Row],[Clean Frequency]],"")</f>
        <v/>
      </c>
      <c r="AZ85">
        <f ca="1">IF(Table1[[#This Row],[First Occurrence]]=1,Table1[[#This Row],[Group Frequency]],"")</f>
        <v>2</v>
      </c>
      <c r="BA85">
        <f ca="1">IF(B85="Y", IF(Table1[[#This Row],[Stop]]="", TODAY() - Table1[[#This Row],[Joining Date]], Table1[[#This Row],[Stop]] - Table1[[#This Row],[Joining Date]]), "")</f>
        <v>3076</v>
      </c>
      <c r="BB85" t="str">
        <f>_xlfn.CONCAT(Table1[[#This Row],[t]]," ",Table1[[#This Row],[Last Name]])</f>
        <v>Kyoko Akama</v>
      </c>
      <c r="BC85" t="e">
        <f>IF(OR(Table1[[#This Row],[Teacher]]="Alex",Table1[[#This Row],[Teacher]]=""), "", Table1[[#This Row],[For Salary]])</f>
        <v>#N/A</v>
      </c>
      <c r="BD85" t="e">
        <f>IF(OR(Table1[[#This Row],[Teacher]]="Alex",Table1[[#This Row],[Teacher]]=""), "", Table1[[#This Row],[For Amount]])</f>
        <v>#N/A</v>
      </c>
      <c r="BE85" t="str">
        <f>IFERROR(IF(VLOOKUP(Table1[[#This Row],[Teacher]],'Teachers Salaries'!A:C,2,FALSE)="","",VLOOKUP(Table1[[#This Row],[Teacher]],'Teachers Salaries'!A:C,2,FALSE)),"")</f>
        <v>Hourly</v>
      </c>
      <c r="BF85">
        <f>IFERROR(IF(VLOOKUP(Table1[[#This Row],[Teacher]],'Teachers Salaries'!A:C,3,FALSE)="","",VLOOKUP(Table1[[#This Row],[Teacher]],'Teachers Salaries'!A:C,3,FALSE)),"")</f>
        <v>2600</v>
      </c>
      <c r="BG85">
        <f ca="1">IFERROR(IF(Table1[[#This Row],[Pay Type]]="Fixed","-",Table1[[#This Row],[Final Group Frequency2]]*Table1[[#This Row],[Salary / Hourly Rate]]),0)</f>
        <v>5200</v>
      </c>
      <c r="BH85">
        <f>IFERROR(IF(Table1[[#This Row],[Pay Type]]="Fixed","----",Table1[[#This Row],[Salary / Hourly Rate]]*Table1[[#This Row],[Final PrivateFrequency]]),0)</f>
        <v>0</v>
      </c>
      <c r="BI85">
        <f ca="1">IF(Table1[[#This Row],[Pay Type]]="Fixed","---",Table1[[#This Row],[Group Salary]]+Table1[[#This Row],[Private Salary]])</f>
        <v>5200</v>
      </c>
      <c r="BJ85" t="e">
        <f>IF(OR(J85="Alex", J85=""),"", Table1[[#This Row],[For Amount]])</f>
        <v>#N/A</v>
      </c>
      <c r="BK85">
        <f ca="1">IFERROR(Table1[[#This Row],[Fee]]-Table1[[#This Row],[Total Salary]],"")</f>
        <v>850</v>
      </c>
      <c r="BL85" t="e">
        <f>IF(Table1[[#This Row],[Joining Date]]="","",IF(Table1[[#This Row],[Joining Date]]&lt;='KPI+Pivot'!$CP$1,Table1[[#This Row],[Fee]],""))</f>
        <v>#N/A</v>
      </c>
      <c r="BM8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85" t="e">
        <f>IF(Table1[[#This Row],[Joining Date]]="","",IF(Table1[[#This Row],[Joining Date]]&lt;='KPI+Pivot'!$CP$1,Table1[[#This Row],[Total Salary]],""))</f>
        <v>#N/A</v>
      </c>
      <c r="BO85" t="e">
        <f>IF(Table1[[#This Row],[Joining Date]]="","",IF(Table1[[#This Row],[Joining Date]]&lt;='KPI+Pivot'!$CP$1,Table1[[#This Row],[Frequency]],""))</f>
        <v>#N/A</v>
      </c>
      <c r="BP85" s="38" t="str">
        <f>IF(Table1[[#This Row],[Stop]]="","",(IF(Table1[[#This Row],[Joining Date]]="","",IF(Table1[[#This Row],[Joining Date]]&lt;='KPI+Pivot'!$CP$1,Table1[[#This Row],[Stop]],""))))</f>
        <v/>
      </c>
    </row>
    <row r="86" spans="1:68" ht="22.9" customHeight="1">
      <c r="B86" t="s">
        <v>66</v>
      </c>
      <c r="C86" t="s">
        <v>682</v>
      </c>
      <c r="D86" t="s">
        <v>683</v>
      </c>
      <c r="F86" t="s">
        <v>684</v>
      </c>
      <c r="G86" t="s">
        <v>685</v>
      </c>
      <c r="H86" t="s">
        <v>686</v>
      </c>
      <c r="I86" t="str">
        <f>IFERROR(HYPERLINK("#Finance!B" &amp; MATCH(A86, 'F 2025'!A:A, 0), "🔗 Go to finance"), "❌ ID introuvable")</f>
        <v>❌ ID introuvable</v>
      </c>
      <c r="L86" t="s">
        <v>132</v>
      </c>
      <c r="V86" t="s">
        <v>687</v>
      </c>
      <c r="W86" t="s">
        <v>688</v>
      </c>
      <c r="Y86" t="s">
        <v>689</v>
      </c>
      <c r="Z86" t="s">
        <v>75</v>
      </c>
      <c r="AB86" t="s">
        <v>690</v>
      </c>
      <c r="AD86" s="130"/>
      <c r="AE86"/>
      <c r="AG86" t="s">
        <v>76</v>
      </c>
      <c r="AI86" t="s">
        <v>690</v>
      </c>
      <c r="AK86" t="s">
        <v>132</v>
      </c>
      <c r="AM86" s="38"/>
      <c r="AO86" t="s">
        <v>685</v>
      </c>
      <c r="AR86" t="str">
        <f t="shared" si="4"/>
        <v/>
      </c>
      <c r="AS86" t="str">
        <f t="shared" si="5"/>
        <v/>
      </c>
      <c r="AT86" t="str">
        <f>IF(Table1[[#This Row],[Joining Date]]="", "", TEXT(Table1[[#This Row],[Joining Date]], "mmm"))</f>
        <v/>
      </c>
      <c r="AU86" t="str">
        <f>IF(Table1[[#This Row],[Joining Date]]="", "", YEAR(Table1[[#This Row],[Joining Date]]))</f>
        <v/>
      </c>
      <c r="AV86" t="str">
        <f>IF(Table1[[#This Row],[Group Name]]="","", M86 &amp; Table1[[#This Row],[Teacher]])</f>
        <v/>
      </c>
      <c r="AW86" t="str">
        <f>IF(Table1[[#This Row],[Helper]]="","",IF(_xlfn.MAXIFS(AT:AT,AW:AW,Table1[[#This Row],[Helper]])=Table1[[#This Row],[Clean Frequency]],_xlfn.MAXIFS(AT:AT,AW:AW,Table1[[#This Row],[Helper]]),""))</f>
        <v/>
      </c>
      <c r="AX86" t="str">
        <f ca="1">IF(AND(AW86=_xlfn.MAXIFS(AX:AX, AW:AW, AV86), COUNTIFS(AV$3:AV86, AV86, AW$3:AW86, AW86)=1), 1, "")</f>
        <v/>
      </c>
      <c r="AY86" t="str">
        <f>IF(Table1[[#This Row],[lesson type]]="private",Table1[[#This Row],[Clean Frequency]],"")</f>
        <v/>
      </c>
      <c r="AZ86" t="str">
        <f ca="1">IF(Table1[[#This Row],[First Occurrence]]=1,Table1[[#This Row],[Group Frequency]],"")</f>
        <v/>
      </c>
      <c r="BA86" t="str">
        <f ca="1">IF(B86="Y", IF(Table1[[#This Row],[Stop]]="", TODAY() - Table1[[#This Row],[Joining Date]], Table1[[#This Row],[Stop]] - Table1[[#This Row],[Joining Date]]), "")</f>
        <v/>
      </c>
      <c r="BB86" t="str">
        <f>_xlfn.CONCAT(Table1[[#This Row],[t]]," ",Table1[[#This Row],[Last Name]])</f>
        <v>Kyosuke Saita</v>
      </c>
      <c r="BC86" t="str">
        <f>IF(OR(Table1[[#This Row],[Teacher]]="Alex",Table1[[#This Row],[Teacher]]=""), "", Table1[[#This Row],[For Salary]])</f>
        <v/>
      </c>
      <c r="BD86" t="str">
        <f>IF(OR(Table1[[#This Row],[Teacher]]="Alex",Table1[[#This Row],[Teacher]]=""), "", Table1[[#This Row],[For Amount]])</f>
        <v/>
      </c>
      <c r="BE86" t="str">
        <f>IFERROR(IF(VLOOKUP(Table1[[#This Row],[Teacher]],'Teachers Salaries'!A:C,2,FALSE)="","",VLOOKUP(Table1[[#This Row],[Teacher]],'Teachers Salaries'!A:C,2,FALSE)),"")</f>
        <v/>
      </c>
      <c r="BF86" t="str">
        <f>IFERROR(IF(VLOOKUP(Table1[[#This Row],[Teacher]],'Teachers Salaries'!A:C,3,FALSE)="","",VLOOKUP(Table1[[#This Row],[Teacher]],'Teachers Salaries'!A:C,3,FALSE)),"")</f>
        <v/>
      </c>
      <c r="BG86">
        <f ca="1">IFERROR(IF(Table1[[#This Row],[Pay Type]]="Fixed","-",Table1[[#This Row],[Final Group Frequency2]]*Table1[[#This Row],[Salary / Hourly Rate]]),0)</f>
        <v>0</v>
      </c>
      <c r="BH86">
        <f>IFERROR(IF(Table1[[#This Row],[Pay Type]]="Fixed","----",Table1[[#This Row],[Salary / Hourly Rate]]*Table1[[#This Row],[Final PrivateFrequency]]),0)</f>
        <v>0</v>
      </c>
      <c r="BI86">
        <f ca="1">IF(Table1[[#This Row],[Pay Type]]="Fixed","---",Table1[[#This Row],[Group Salary]]+Table1[[#This Row],[Private Salary]])</f>
        <v>0</v>
      </c>
      <c r="BJ86" t="str">
        <f>IF(OR(J86="Alex", J86=""),"", Table1[[#This Row],[For Amount]])</f>
        <v/>
      </c>
      <c r="BK86">
        <f ca="1">IFERROR(Table1[[#This Row],[Fee]]-Table1[[#This Row],[Total Salary]],"")</f>
        <v>0</v>
      </c>
      <c r="BL86" t="str">
        <f>IF(Table1[[#This Row],[Joining Date]]="","",IF(Table1[[#This Row],[Joining Date]]&lt;='KPI+Pivot'!$CP$1,Table1[[#This Row],[Fee]],""))</f>
        <v/>
      </c>
      <c r="BM8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6" t="str">
        <f>IF(Table1[[#This Row],[Joining Date]]="","",IF(Table1[[#This Row],[Joining Date]]&lt;='KPI+Pivot'!$CP$1,Table1[[#This Row],[Total Salary]],""))</f>
        <v/>
      </c>
      <c r="BO86" t="str">
        <f>IF(Table1[[#This Row],[Joining Date]]="","",IF(Table1[[#This Row],[Joining Date]]&lt;='KPI+Pivot'!$CP$1,Table1[[#This Row],[Frequency]],""))</f>
        <v/>
      </c>
      <c r="BP86" s="38" t="str">
        <f>IF(Table1[[#This Row],[Stop]]="","",(IF(Table1[[#This Row],[Joining Date]]="","",IF(Table1[[#This Row],[Joining Date]]&lt;='KPI+Pivot'!$CP$1,Table1[[#This Row],[Stop]],""))))</f>
        <v/>
      </c>
    </row>
    <row r="87" spans="1:68" ht="22.9" customHeight="1">
      <c r="B87" t="s">
        <v>66</v>
      </c>
      <c r="C87" t="s">
        <v>691</v>
      </c>
      <c r="D87" t="s">
        <v>692</v>
      </c>
      <c r="F87" t="s">
        <v>693</v>
      </c>
      <c r="G87" t="s">
        <v>694</v>
      </c>
      <c r="H87" t="s">
        <v>695</v>
      </c>
      <c r="I87" t="str">
        <f>IFERROR(HYPERLINK("#Finance!B" &amp; MATCH(A87, 'F 2025'!A:A, 0), "🔗 Go to finance"), "❌ ID introuvable")</f>
        <v>❌ ID introuvable</v>
      </c>
      <c r="L87" t="s">
        <v>90</v>
      </c>
      <c r="V87" t="s">
        <v>696</v>
      </c>
      <c r="Y87" t="s">
        <v>697</v>
      </c>
      <c r="Z87" t="s">
        <v>75</v>
      </c>
      <c r="AB87" t="s">
        <v>698</v>
      </c>
      <c r="AD87" s="130"/>
      <c r="AE87"/>
      <c r="AG87" t="s">
        <v>76</v>
      </c>
      <c r="AI87" t="s">
        <v>698</v>
      </c>
      <c r="AK87" t="s">
        <v>148</v>
      </c>
      <c r="AM87" s="38">
        <v>45745</v>
      </c>
      <c r="AO87" t="s">
        <v>694</v>
      </c>
      <c r="AR87" t="str">
        <f t="shared" si="4"/>
        <v/>
      </c>
      <c r="AS87" t="str">
        <f t="shared" si="5"/>
        <v/>
      </c>
      <c r="AT87" t="str">
        <f>IF(Table1[[#This Row],[Joining Date]]="", "", TEXT(Table1[[#This Row],[Joining Date]], "mmm"))</f>
        <v/>
      </c>
      <c r="AU87" t="str">
        <f>IF(Table1[[#This Row],[Joining Date]]="", "", YEAR(Table1[[#This Row],[Joining Date]]))</f>
        <v/>
      </c>
      <c r="AV87" t="str">
        <f>IF(Table1[[#This Row],[Group Name]]="","", M87 &amp; Table1[[#This Row],[Teacher]])</f>
        <v/>
      </c>
      <c r="AW87" t="str">
        <f>IF(Table1[[#This Row],[Helper]]="","",IF(_xlfn.MAXIFS(AT:AT,AW:AW,Table1[[#This Row],[Helper]])=Table1[[#This Row],[Clean Frequency]],_xlfn.MAXIFS(AT:AT,AW:AW,Table1[[#This Row],[Helper]]),""))</f>
        <v/>
      </c>
      <c r="AX87" t="str">
        <f ca="1">IF(AND(AW87=_xlfn.MAXIFS(AX:AX, AW:AW, AV87), COUNTIFS(AV$3:AV87, AV87, AW$3:AW87, AW87)=1), 1, "")</f>
        <v/>
      </c>
      <c r="AY87" t="str">
        <f>IF(Table1[[#This Row],[lesson type]]="private",Table1[[#This Row],[Clean Frequency]],"")</f>
        <v/>
      </c>
      <c r="AZ87" t="str">
        <f ca="1">IF(Table1[[#This Row],[First Occurrence]]=1,Table1[[#This Row],[Group Frequency]],"")</f>
        <v/>
      </c>
      <c r="BA87" t="str">
        <f ca="1">IF(B87="Y", IF(Table1[[#This Row],[Stop]]="", TODAY() - Table1[[#This Row],[Joining Date]], Table1[[#This Row],[Stop]] - Table1[[#This Row],[Joining Date]]), "")</f>
        <v/>
      </c>
      <c r="BB87" t="str">
        <f>_xlfn.CONCAT(Table1[[#This Row],[t]]," ",Table1[[#This Row],[Last Name]])</f>
        <v>Maho Akiyama</v>
      </c>
      <c r="BC87" t="str">
        <f>IF(OR(Table1[[#This Row],[Teacher]]="Alex",Table1[[#This Row],[Teacher]]=""), "", Table1[[#This Row],[For Salary]])</f>
        <v/>
      </c>
      <c r="BD87" t="str">
        <f>IF(OR(Table1[[#This Row],[Teacher]]="Alex",Table1[[#This Row],[Teacher]]=""), "", Table1[[#This Row],[For Amount]])</f>
        <v/>
      </c>
      <c r="BE87" t="str">
        <f>IFERROR(IF(VLOOKUP(Table1[[#This Row],[Teacher]],'Teachers Salaries'!A:C,2,FALSE)="","",VLOOKUP(Table1[[#This Row],[Teacher]],'Teachers Salaries'!A:C,2,FALSE)),"")</f>
        <v/>
      </c>
      <c r="BF87" t="str">
        <f>IFERROR(IF(VLOOKUP(Table1[[#This Row],[Teacher]],'Teachers Salaries'!A:C,3,FALSE)="","",VLOOKUP(Table1[[#This Row],[Teacher]],'Teachers Salaries'!A:C,3,FALSE)),"")</f>
        <v/>
      </c>
      <c r="BG87">
        <f ca="1">IFERROR(IF(Table1[[#This Row],[Pay Type]]="Fixed","-",Table1[[#This Row],[Final Group Frequency2]]*Table1[[#This Row],[Salary / Hourly Rate]]),0)</f>
        <v>0</v>
      </c>
      <c r="BH87">
        <f>IFERROR(IF(Table1[[#This Row],[Pay Type]]="Fixed","----",Table1[[#This Row],[Salary / Hourly Rate]]*Table1[[#This Row],[Final PrivateFrequency]]),0)</f>
        <v>0</v>
      </c>
      <c r="BI87">
        <f ca="1">IF(Table1[[#This Row],[Pay Type]]="Fixed","---",Table1[[#This Row],[Group Salary]]+Table1[[#This Row],[Private Salary]])</f>
        <v>0</v>
      </c>
      <c r="BJ87" t="str">
        <f>IF(OR(J87="Alex", J87=""),"", Table1[[#This Row],[For Amount]])</f>
        <v/>
      </c>
      <c r="BK87">
        <f ca="1">IFERROR(Table1[[#This Row],[Fee]]-Table1[[#This Row],[Total Salary]],"")</f>
        <v>0</v>
      </c>
      <c r="BL87" t="str">
        <f>IF(Table1[[#This Row],[Joining Date]]="","",IF(Table1[[#This Row],[Joining Date]]&lt;='KPI+Pivot'!$CP$1,Table1[[#This Row],[Fee]],""))</f>
        <v/>
      </c>
      <c r="BM8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7" t="str">
        <f>IF(Table1[[#This Row],[Joining Date]]="","",IF(Table1[[#This Row],[Joining Date]]&lt;='KPI+Pivot'!$CP$1,Table1[[#This Row],[Total Salary]],""))</f>
        <v/>
      </c>
      <c r="BO87" t="str">
        <f>IF(Table1[[#This Row],[Joining Date]]="","",IF(Table1[[#This Row],[Joining Date]]&lt;='KPI+Pivot'!$CP$1,Table1[[#This Row],[Frequency]],""))</f>
        <v/>
      </c>
      <c r="BP87" s="38" t="str">
        <f>IF(Table1[[#This Row],[Stop]]="","",(IF(Table1[[#This Row],[Joining Date]]="","",IF(Table1[[#This Row],[Joining Date]]&lt;='KPI+Pivot'!$CP$1,Table1[[#This Row],[Stop]],""))))</f>
        <v/>
      </c>
    </row>
    <row r="88" spans="1:68" ht="22.9" customHeight="1">
      <c r="C88" t="s">
        <v>699</v>
      </c>
      <c r="D88" t="s">
        <v>700</v>
      </c>
      <c r="F88" t="s">
        <v>701</v>
      </c>
      <c r="G88" t="s">
        <v>702</v>
      </c>
      <c r="H88" t="s">
        <v>703</v>
      </c>
      <c r="I88" t="str">
        <f>IFERROR(HYPERLINK("#Finance!B" &amp; MATCH(A88, 'F 2025'!A:A, 0), "🔗 Go to finance"), "❌ ID introuvable")</f>
        <v>❌ ID introuvable</v>
      </c>
      <c r="L88" t="s">
        <v>661</v>
      </c>
      <c r="V88" t="s">
        <v>704</v>
      </c>
      <c r="Y88" t="s">
        <v>705</v>
      </c>
      <c r="Z88" t="s">
        <v>75</v>
      </c>
      <c r="AB88" t="s">
        <v>706</v>
      </c>
      <c r="AD88" s="130"/>
      <c r="AE88"/>
      <c r="AG88" t="s">
        <v>76</v>
      </c>
      <c r="AI88" t="s">
        <v>706</v>
      </c>
      <c r="AK88" t="s">
        <v>182</v>
      </c>
      <c r="AM88" s="38"/>
      <c r="AO88" t="s">
        <v>702</v>
      </c>
      <c r="AR88" t="str">
        <f t="shared" si="4"/>
        <v/>
      </c>
      <c r="AS88" t="str">
        <f t="shared" si="5"/>
        <v/>
      </c>
      <c r="AT88" t="str">
        <f>IF(Table1[[#This Row],[Joining Date]]="", "", TEXT(Table1[[#This Row],[Joining Date]], "mmm"))</f>
        <v/>
      </c>
      <c r="AU88" t="str">
        <f>IF(Table1[[#This Row],[Joining Date]]="", "", YEAR(Table1[[#This Row],[Joining Date]]))</f>
        <v/>
      </c>
      <c r="AV88" t="str">
        <f>IF(Table1[[#This Row],[Group Name]]="","", M88 &amp; Table1[[#This Row],[Teacher]])</f>
        <v/>
      </c>
      <c r="AW88" t="str">
        <f>IF(Table1[[#This Row],[Helper]]="","",IF(_xlfn.MAXIFS(AT:AT,AW:AW,Table1[[#This Row],[Helper]])=Table1[[#This Row],[Clean Frequency]],_xlfn.MAXIFS(AT:AT,AW:AW,Table1[[#This Row],[Helper]]),""))</f>
        <v/>
      </c>
      <c r="AX88" t="str">
        <f ca="1">IF(AND(AW88=_xlfn.MAXIFS(AX:AX, AW:AW, AV88), COUNTIFS(AV$3:AV88, AV88, AW$3:AW88, AW88)=1), 1, "")</f>
        <v/>
      </c>
      <c r="AY88" t="str">
        <f>IF(Table1[[#This Row],[lesson type]]="private",Table1[[#This Row],[Clean Frequency]],"")</f>
        <v/>
      </c>
      <c r="AZ88" t="str">
        <f ca="1">IF(Table1[[#This Row],[First Occurrence]]=1,Table1[[#This Row],[Group Frequency]],"")</f>
        <v/>
      </c>
      <c r="BA88" t="str">
        <f ca="1">IF(B88="Y", IF(Table1[[#This Row],[Stop]]="", TODAY() - Table1[[#This Row],[Joining Date]], Table1[[#This Row],[Stop]] - Table1[[#This Row],[Joining Date]]), "")</f>
        <v/>
      </c>
      <c r="BB88" t="str">
        <f>_xlfn.CONCAT(Table1[[#This Row],[t]]," ",Table1[[#This Row],[Last Name]])</f>
        <v>Maki Yamauchi</v>
      </c>
      <c r="BC88" t="str">
        <f>IF(OR(Table1[[#This Row],[Teacher]]="Alex",Table1[[#This Row],[Teacher]]=""), "", Table1[[#This Row],[For Salary]])</f>
        <v/>
      </c>
      <c r="BD88" t="str">
        <f>IF(OR(Table1[[#This Row],[Teacher]]="Alex",Table1[[#This Row],[Teacher]]=""), "", Table1[[#This Row],[For Amount]])</f>
        <v/>
      </c>
      <c r="BE88" t="str">
        <f>IFERROR(IF(VLOOKUP(Table1[[#This Row],[Teacher]],'Teachers Salaries'!A:C,2,FALSE)="","",VLOOKUP(Table1[[#This Row],[Teacher]],'Teachers Salaries'!A:C,2,FALSE)),"")</f>
        <v/>
      </c>
      <c r="BF88" t="str">
        <f>IFERROR(IF(VLOOKUP(Table1[[#This Row],[Teacher]],'Teachers Salaries'!A:C,3,FALSE)="","",VLOOKUP(Table1[[#This Row],[Teacher]],'Teachers Salaries'!A:C,3,FALSE)),"")</f>
        <v/>
      </c>
      <c r="BG88">
        <f ca="1">IFERROR(IF(Table1[[#This Row],[Pay Type]]="Fixed","-",Table1[[#This Row],[Final Group Frequency2]]*Table1[[#This Row],[Salary / Hourly Rate]]),0)</f>
        <v>0</v>
      </c>
      <c r="BH88">
        <f>IFERROR(IF(Table1[[#This Row],[Pay Type]]="Fixed","----",Table1[[#This Row],[Salary / Hourly Rate]]*Table1[[#This Row],[Final PrivateFrequency]]),0)</f>
        <v>0</v>
      </c>
      <c r="BI88">
        <f ca="1">IF(Table1[[#This Row],[Pay Type]]="Fixed","---",Table1[[#This Row],[Group Salary]]+Table1[[#This Row],[Private Salary]])</f>
        <v>0</v>
      </c>
      <c r="BJ88" t="str">
        <f>IF(OR(J88="Alex", J88=""),"", Table1[[#This Row],[For Amount]])</f>
        <v/>
      </c>
      <c r="BK88">
        <f ca="1">IFERROR(Table1[[#This Row],[Fee]]-Table1[[#This Row],[Total Salary]],"")</f>
        <v>0</v>
      </c>
      <c r="BL88" t="str">
        <f>IF(Table1[[#This Row],[Joining Date]]="","",IF(Table1[[#This Row],[Joining Date]]&lt;='KPI+Pivot'!$CP$1,Table1[[#This Row],[Fee]],""))</f>
        <v/>
      </c>
      <c r="BM8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8" t="str">
        <f>IF(Table1[[#This Row],[Joining Date]]="","",IF(Table1[[#This Row],[Joining Date]]&lt;='KPI+Pivot'!$CP$1,Table1[[#This Row],[Total Salary]],""))</f>
        <v/>
      </c>
      <c r="BO88" t="str">
        <f>IF(Table1[[#This Row],[Joining Date]]="","",IF(Table1[[#This Row],[Joining Date]]&lt;='KPI+Pivot'!$CP$1,Table1[[#This Row],[Frequency]],""))</f>
        <v/>
      </c>
      <c r="BP88" s="38" t="str">
        <f>IF(Table1[[#This Row],[Stop]]="","",(IF(Table1[[#This Row],[Joining Date]]="","",IF(Table1[[#This Row],[Joining Date]]&lt;='KPI+Pivot'!$CP$1,Table1[[#This Row],[Stop]],""))))</f>
        <v/>
      </c>
    </row>
    <row r="89" spans="1:68" ht="22.9" customHeight="1">
      <c r="A89">
        <v>147</v>
      </c>
      <c r="B89" t="s">
        <v>66</v>
      </c>
      <c r="C89" t="s">
        <v>707</v>
      </c>
      <c r="D89" t="s">
        <v>348</v>
      </c>
      <c r="F89" t="s">
        <v>708</v>
      </c>
      <c r="G89" t="s">
        <v>709</v>
      </c>
      <c r="H89" t="s">
        <v>351</v>
      </c>
      <c r="I89" t="str">
        <f>IFERROR(HYPERLINK("#Finance!B" &amp; MATCH(A89, 'F 2025'!A:A, 0), "🔗 Go to finance"), "❌ ID introuvable")</f>
        <v>🔗 Go to finance</v>
      </c>
      <c r="V89" t="s">
        <v>710</v>
      </c>
      <c r="Y89">
        <v>9098708927</v>
      </c>
      <c r="Z89" t="s">
        <v>75</v>
      </c>
      <c r="AB89" t="s">
        <v>711</v>
      </c>
      <c r="AD89" s="130">
        <v>45462</v>
      </c>
      <c r="AE89"/>
      <c r="AG89" t="s">
        <v>76</v>
      </c>
      <c r="AI89" t="s">
        <v>711</v>
      </c>
      <c r="AK89" t="s">
        <v>182</v>
      </c>
      <c r="AM89" s="38">
        <v>45747</v>
      </c>
      <c r="AO89" t="s">
        <v>709</v>
      </c>
      <c r="AP89">
        <v>147</v>
      </c>
      <c r="AQ89" t="s">
        <v>709</v>
      </c>
      <c r="AR89" t="str">
        <f t="shared" si="4"/>
        <v/>
      </c>
      <c r="AS89" t="str">
        <f t="shared" si="5"/>
        <v/>
      </c>
      <c r="AT89" t="str">
        <f>IF(Table1[[#This Row],[Joining Date]]="", "", TEXT(Table1[[#This Row],[Joining Date]], "mmm"))</f>
        <v>Jun</v>
      </c>
      <c r="AU89">
        <f>IF(Table1[[#This Row],[Joining Date]]="", "", YEAR(Table1[[#This Row],[Joining Date]]))</f>
        <v>2024</v>
      </c>
      <c r="AV89" t="str">
        <f>IF(Table1[[#This Row],[Group Name]]="","", M89 &amp; Table1[[#This Row],[Teacher]])</f>
        <v/>
      </c>
      <c r="AW89" t="str">
        <f>IF(Table1[[#This Row],[Helper]]="","",IF(_xlfn.MAXIFS(AT:AT,AW:AW,Table1[[#This Row],[Helper]])=Table1[[#This Row],[Clean Frequency]],_xlfn.MAXIFS(AT:AT,AW:AW,Table1[[#This Row],[Helper]]),""))</f>
        <v/>
      </c>
      <c r="AX89" t="str">
        <f ca="1">IF(AND(AW89=_xlfn.MAXIFS(AX:AX, AW:AW, AV89), COUNTIFS(AV$3:AV89, AV89, AW$3:AW89, AW89)=1), 1, "")</f>
        <v/>
      </c>
      <c r="AY89" t="str">
        <f>IF(Table1[[#This Row],[lesson type]]="private",Table1[[#This Row],[Clean Frequency]],"")</f>
        <v/>
      </c>
      <c r="AZ89" t="str">
        <f ca="1">IF(Table1[[#This Row],[First Occurrence]]=1,Table1[[#This Row],[Group Frequency]],"")</f>
        <v/>
      </c>
      <c r="BA89" t="str">
        <f ca="1">IF(B89="Y", IF(Table1[[#This Row],[Stop]]="", TODAY() - Table1[[#This Row],[Joining Date]], Table1[[#This Row],[Stop]] - Table1[[#This Row],[Joining Date]]), "")</f>
        <v/>
      </c>
      <c r="BB89" t="str">
        <f>_xlfn.CONCAT(Table1[[#This Row],[t]]," ",Table1[[#This Row],[Last Name]])</f>
        <v>Mao Miyazaki</v>
      </c>
      <c r="BC89" t="str">
        <f>IF(OR(Table1[[#This Row],[Teacher]]="Alex",Table1[[#This Row],[Teacher]]=""), "", Table1[[#This Row],[For Salary]])</f>
        <v/>
      </c>
      <c r="BD89" t="str">
        <f>IF(OR(Table1[[#This Row],[Teacher]]="Alex",Table1[[#This Row],[Teacher]]=""), "", Table1[[#This Row],[For Amount]])</f>
        <v/>
      </c>
      <c r="BE89" t="str">
        <f>IFERROR(IF(VLOOKUP(Table1[[#This Row],[Teacher]],'Teachers Salaries'!A:C,2,FALSE)="","",VLOOKUP(Table1[[#This Row],[Teacher]],'Teachers Salaries'!A:C,2,FALSE)),"")</f>
        <v/>
      </c>
      <c r="BF89" t="str">
        <f>IFERROR(IF(VLOOKUP(Table1[[#This Row],[Teacher]],'Teachers Salaries'!A:C,3,FALSE)="","",VLOOKUP(Table1[[#This Row],[Teacher]],'Teachers Salaries'!A:C,3,FALSE)),"")</f>
        <v/>
      </c>
      <c r="BG89">
        <f ca="1">IFERROR(IF(Table1[[#This Row],[Pay Type]]="Fixed","-",Table1[[#This Row],[Final Group Frequency2]]*Table1[[#This Row],[Salary / Hourly Rate]]),0)</f>
        <v>0</v>
      </c>
      <c r="BH89">
        <f>IFERROR(IF(Table1[[#This Row],[Pay Type]]="Fixed","----",Table1[[#This Row],[Salary / Hourly Rate]]*Table1[[#This Row],[Final PrivateFrequency]]),0)</f>
        <v>0</v>
      </c>
      <c r="BI89">
        <f ca="1">IF(Table1[[#This Row],[Pay Type]]="Fixed","---",Table1[[#This Row],[Group Salary]]+Table1[[#This Row],[Private Salary]])</f>
        <v>0</v>
      </c>
      <c r="BJ89" t="str">
        <f>IF(OR(J89="Alex", J89=""),"", Table1[[#This Row],[For Amount]])</f>
        <v/>
      </c>
      <c r="BK89">
        <f ca="1">IFERROR(Table1[[#This Row],[Fee]]-Table1[[#This Row],[Total Salary]],"")</f>
        <v>0</v>
      </c>
      <c r="BL89" t="e">
        <f>IF(Table1[[#This Row],[Joining Date]]="","",IF(Table1[[#This Row],[Joining Date]]&lt;='KPI+Pivot'!$CP$1,Table1[[#This Row],[Fee]],""))</f>
        <v>#N/A</v>
      </c>
      <c r="BM8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89" t="e">
        <f>IF(Table1[[#This Row],[Joining Date]]="","",IF(Table1[[#This Row],[Joining Date]]&lt;='KPI+Pivot'!$CP$1,Table1[[#This Row],[Total Salary]],""))</f>
        <v>#N/A</v>
      </c>
      <c r="BO89" t="e">
        <f>IF(Table1[[#This Row],[Joining Date]]="","",IF(Table1[[#This Row],[Joining Date]]&lt;='KPI+Pivot'!$CP$1,Table1[[#This Row],[Frequency]],""))</f>
        <v>#N/A</v>
      </c>
      <c r="BP89" s="38" t="e">
        <f>IF(Table1[[#This Row],[Stop]]="","",(IF(Table1[[#This Row],[Joining Date]]="","",IF(Table1[[#This Row],[Joining Date]]&lt;='KPI+Pivot'!$CP$1,Table1[[#This Row],[Stop]],""))))</f>
        <v>#N/A</v>
      </c>
    </row>
    <row r="90" spans="1:68" ht="22.9" customHeight="1">
      <c r="B90" t="s">
        <v>66</v>
      </c>
      <c r="C90" t="s">
        <v>712</v>
      </c>
      <c r="D90" t="s">
        <v>713</v>
      </c>
      <c r="F90" t="s">
        <v>714</v>
      </c>
      <c r="G90" t="s">
        <v>715</v>
      </c>
      <c r="H90" t="s">
        <v>716</v>
      </c>
      <c r="I90" t="str">
        <f>IFERROR(HYPERLINK("#Finance!B" &amp; MATCH(A90, 'F 2025'!A:A, 0), "🔗 Go to finance"), "❌ ID introuvable")</f>
        <v>❌ ID introuvable</v>
      </c>
      <c r="L90" t="s">
        <v>717</v>
      </c>
      <c r="V90" t="s">
        <v>718</v>
      </c>
      <c r="Y90">
        <v>9059615590</v>
      </c>
      <c r="Z90" t="s">
        <v>75</v>
      </c>
      <c r="AD90" s="130"/>
      <c r="AE90"/>
      <c r="AG90" t="s">
        <v>76</v>
      </c>
      <c r="AK90" t="s">
        <v>719</v>
      </c>
      <c r="AM90" s="38"/>
      <c r="AO90" t="s">
        <v>715</v>
      </c>
      <c r="AR90" t="str">
        <f t="shared" si="4"/>
        <v/>
      </c>
      <c r="AS90" t="str">
        <f t="shared" si="5"/>
        <v/>
      </c>
      <c r="AT90" t="str">
        <f>IF(Table1[[#This Row],[Joining Date]]="", "", TEXT(Table1[[#This Row],[Joining Date]], "mmm"))</f>
        <v/>
      </c>
      <c r="AU90" t="str">
        <f>IF(Table1[[#This Row],[Joining Date]]="", "", YEAR(Table1[[#This Row],[Joining Date]]))</f>
        <v/>
      </c>
      <c r="AV90" t="str">
        <f>IF(Table1[[#This Row],[Group Name]]="","", M90 &amp; Table1[[#This Row],[Teacher]])</f>
        <v/>
      </c>
      <c r="AW90" t="str">
        <f>IF(Table1[[#This Row],[Helper]]="","",IF(_xlfn.MAXIFS(AT:AT,AW:AW,Table1[[#This Row],[Helper]])=Table1[[#This Row],[Clean Frequency]],_xlfn.MAXIFS(AT:AT,AW:AW,Table1[[#This Row],[Helper]]),""))</f>
        <v/>
      </c>
      <c r="AX90" t="str">
        <f ca="1">IF(AND(AW90=_xlfn.MAXIFS(AX:AX, AW:AW, AV90), COUNTIFS(AV$3:AV90, AV90, AW$3:AW90, AW90)=1), 1, "")</f>
        <v/>
      </c>
      <c r="AY90" t="str">
        <f>IF(Table1[[#This Row],[lesson type]]="private",Table1[[#This Row],[Clean Frequency]],"")</f>
        <v/>
      </c>
      <c r="AZ90" t="str">
        <f ca="1">IF(Table1[[#This Row],[First Occurrence]]=1,Table1[[#This Row],[Group Frequency]],"")</f>
        <v/>
      </c>
      <c r="BA90" t="str">
        <f ca="1">IF(B90="Y", IF(Table1[[#This Row],[Stop]]="", TODAY() - Table1[[#This Row],[Joining Date]], Table1[[#This Row],[Stop]] - Table1[[#This Row],[Joining Date]]), "")</f>
        <v/>
      </c>
      <c r="BB90" t="str">
        <f>_xlfn.CONCAT(Table1[[#This Row],[t]]," ",Table1[[#This Row],[Last Name]])</f>
        <v>Mariko Hiroshima</v>
      </c>
      <c r="BC90" t="str">
        <f>IF(OR(Table1[[#This Row],[Teacher]]="Alex",Table1[[#This Row],[Teacher]]=""), "", Table1[[#This Row],[For Salary]])</f>
        <v/>
      </c>
      <c r="BD90" t="str">
        <f>IF(OR(Table1[[#This Row],[Teacher]]="Alex",Table1[[#This Row],[Teacher]]=""), "", Table1[[#This Row],[For Amount]])</f>
        <v/>
      </c>
      <c r="BE90" t="str">
        <f>IFERROR(IF(VLOOKUP(Table1[[#This Row],[Teacher]],'Teachers Salaries'!A:C,2,FALSE)="","",VLOOKUP(Table1[[#This Row],[Teacher]],'Teachers Salaries'!A:C,2,FALSE)),"")</f>
        <v/>
      </c>
      <c r="BF90" t="str">
        <f>IFERROR(IF(VLOOKUP(Table1[[#This Row],[Teacher]],'Teachers Salaries'!A:C,3,FALSE)="","",VLOOKUP(Table1[[#This Row],[Teacher]],'Teachers Salaries'!A:C,3,FALSE)),"")</f>
        <v/>
      </c>
      <c r="BG90">
        <f ca="1">IFERROR(IF(Table1[[#This Row],[Pay Type]]="Fixed","-",Table1[[#This Row],[Final Group Frequency2]]*Table1[[#This Row],[Salary / Hourly Rate]]),0)</f>
        <v>0</v>
      </c>
      <c r="BH90">
        <f>IFERROR(IF(Table1[[#This Row],[Pay Type]]="Fixed","----",Table1[[#This Row],[Salary / Hourly Rate]]*Table1[[#This Row],[Final PrivateFrequency]]),0)</f>
        <v>0</v>
      </c>
      <c r="BI90">
        <f ca="1">IF(Table1[[#This Row],[Pay Type]]="Fixed","---",Table1[[#This Row],[Group Salary]]+Table1[[#This Row],[Private Salary]])</f>
        <v>0</v>
      </c>
      <c r="BJ90" t="str">
        <f>IF(OR(J90="Alex", J90=""),"", Table1[[#This Row],[For Amount]])</f>
        <v/>
      </c>
      <c r="BK90">
        <f ca="1">IFERROR(Table1[[#This Row],[Fee]]-Table1[[#This Row],[Total Salary]],"")</f>
        <v>0</v>
      </c>
      <c r="BL90" t="str">
        <f>IF(Table1[[#This Row],[Joining Date]]="","",IF(Table1[[#This Row],[Joining Date]]&lt;='KPI+Pivot'!$CP$1,Table1[[#This Row],[Fee]],""))</f>
        <v/>
      </c>
      <c r="BM9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0" t="str">
        <f>IF(Table1[[#This Row],[Joining Date]]="","",IF(Table1[[#This Row],[Joining Date]]&lt;='KPI+Pivot'!$CP$1,Table1[[#This Row],[Total Salary]],""))</f>
        <v/>
      </c>
      <c r="BO90" t="str">
        <f>IF(Table1[[#This Row],[Joining Date]]="","",IF(Table1[[#This Row],[Joining Date]]&lt;='KPI+Pivot'!$CP$1,Table1[[#This Row],[Frequency]],""))</f>
        <v/>
      </c>
      <c r="BP90" s="38" t="str">
        <f>IF(Table1[[#This Row],[Stop]]="","",(IF(Table1[[#This Row],[Joining Date]]="","",IF(Table1[[#This Row],[Joining Date]]&lt;='KPI+Pivot'!$CP$1,Table1[[#This Row],[Stop]],""))))</f>
        <v/>
      </c>
    </row>
    <row r="91" spans="1:68" ht="18" customHeight="1">
      <c r="A91">
        <v>119</v>
      </c>
      <c r="B91" t="s">
        <v>103</v>
      </c>
      <c r="C91" t="s">
        <v>720</v>
      </c>
      <c r="D91" t="s">
        <v>721</v>
      </c>
      <c r="F91" t="s">
        <v>722</v>
      </c>
      <c r="G91" t="s">
        <v>723</v>
      </c>
      <c r="H91" t="s">
        <v>724</v>
      </c>
      <c r="I91" t="str">
        <f>IFERROR(HYPERLINK("#Finance!B" &amp; MATCH(A91, 'F 2025'!A:A, 0), "🔗 Go to finance"), "❌ ID introuvable")</f>
        <v>🔗 Go to finance</v>
      </c>
      <c r="J91" t="s">
        <v>196</v>
      </c>
      <c r="K91" t="s">
        <v>110</v>
      </c>
      <c r="L91" t="s">
        <v>486</v>
      </c>
      <c r="N91">
        <v>12</v>
      </c>
      <c r="O91">
        <v>59400</v>
      </c>
      <c r="V91" t="s">
        <v>725</v>
      </c>
      <c r="W91" t="s">
        <v>725</v>
      </c>
      <c r="Z91" t="s">
        <v>75</v>
      </c>
      <c r="AB91" t="s">
        <v>726</v>
      </c>
      <c r="AD91" s="130">
        <v>45204</v>
      </c>
      <c r="AE91"/>
      <c r="AG91" t="s">
        <v>76</v>
      </c>
      <c r="AI91" t="s">
        <v>726</v>
      </c>
      <c r="AK91" t="s">
        <v>84</v>
      </c>
      <c r="AM91" s="38"/>
      <c r="AO91" t="s">
        <v>723</v>
      </c>
      <c r="AP91">
        <v>119</v>
      </c>
      <c r="AQ91" t="s">
        <v>723</v>
      </c>
      <c r="AR91" t="str">
        <f t="shared" si="4"/>
        <v>private</v>
      </c>
      <c r="AS91">
        <f t="shared" si="5"/>
        <v>12</v>
      </c>
      <c r="AT91" t="str">
        <f>IF(Table1[[#This Row],[Joining Date]]="", "", TEXT(Table1[[#This Row],[Joining Date]], "mmm"))</f>
        <v>Oct</v>
      </c>
      <c r="AU91">
        <f>IF(Table1[[#This Row],[Joining Date]]="", "", YEAR(Table1[[#This Row],[Joining Date]]))</f>
        <v>2023</v>
      </c>
      <c r="AV91" t="str">
        <f>IF(Table1[[#This Row],[Group Name]]="","", M91 &amp; Table1[[#This Row],[Teacher]])</f>
        <v/>
      </c>
      <c r="AW91" t="str">
        <f>IF(Table1[[#This Row],[Helper]]="","",IF(_xlfn.MAXIFS(AT:AT,AW:AW,Table1[[#This Row],[Helper]])=Table1[[#This Row],[Clean Frequency]],_xlfn.MAXIFS(AT:AT,AW:AW,Table1[[#This Row],[Helper]]),""))</f>
        <v/>
      </c>
      <c r="AX91" t="str">
        <f ca="1">IF(AND(AW91=_xlfn.MAXIFS(AX:AX, AW:AW, AV91), COUNTIFS(AV$3:AV91, AV91, AW$3:AW91, AW91)=1), 1, "")</f>
        <v/>
      </c>
      <c r="AY91">
        <f>IF(Table1[[#This Row],[lesson type]]="private",Table1[[#This Row],[Clean Frequency]],"")</f>
        <v>12</v>
      </c>
      <c r="AZ91" t="str">
        <f ca="1">IF(Table1[[#This Row],[First Occurrence]]=1,Table1[[#This Row],[Group Frequency]],"")</f>
        <v/>
      </c>
      <c r="BA91">
        <f ca="1">IF(B91="Y", IF(Table1[[#This Row],[Stop]]="", TODAY() - Table1[[#This Row],[Joining Date]], Table1[[#This Row],[Stop]] - Table1[[#This Row],[Joining Date]]), "")</f>
        <v>973</v>
      </c>
      <c r="BB91" t="str">
        <f>_xlfn.CONCAT(Table1[[#This Row],[t]]," ",Table1[[#This Row],[Last Name]])</f>
        <v>Masahiro Nishikawa</v>
      </c>
      <c r="BC91" t="e">
        <f>IF(OR(Table1[[#This Row],[Teacher]]="Alex",Table1[[#This Row],[Teacher]]=""), "", Table1[[#This Row],[For Salary]])</f>
        <v>#N/A</v>
      </c>
      <c r="BD91" t="e">
        <f>IF(OR(Table1[[#This Row],[Teacher]]="Alex",Table1[[#This Row],[Teacher]]=""), "", Table1[[#This Row],[For Amount]])</f>
        <v>#N/A</v>
      </c>
      <c r="BE91" t="str">
        <f>IFERROR(IF(VLOOKUP(Table1[[#This Row],[Teacher]],'Teachers Salaries'!A:C,2,FALSE)="","",VLOOKUP(Table1[[#This Row],[Teacher]],'Teachers Salaries'!A:C,2,FALSE)),"")</f>
        <v>Hourly</v>
      </c>
      <c r="BF91">
        <f>IFERROR(IF(VLOOKUP(Table1[[#This Row],[Teacher]],'Teachers Salaries'!A:C,3,FALSE)="","",VLOOKUP(Table1[[#This Row],[Teacher]],'Teachers Salaries'!A:C,3,FALSE)),"")</f>
        <v>2600</v>
      </c>
      <c r="BG91">
        <f ca="1">IFERROR(IF(Table1[[#This Row],[Pay Type]]="Fixed","-",Table1[[#This Row],[Final Group Frequency2]]*Table1[[#This Row],[Salary / Hourly Rate]]),0)</f>
        <v>0</v>
      </c>
      <c r="BH91">
        <f>IFERROR(IF(Table1[[#This Row],[Pay Type]]="Fixed","----",Table1[[#This Row],[Salary / Hourly Rate]]*Table1[[#This Row],[Final PrivateFrequency]]),0)</f>
        <v>31200</v>
      </c>
      <c r="BI91">
        <f ca="1">IF(Table1[[#This Row],[Pay Type]]="Fixed","---",Table1[[#This Row],[Group Salary]]+Table1[[#This Row],[Private Salary]])</f>
        <v>31200</v>
      </c>
      <c r="BJ91" t="e">
        <f>IF(OR(J91="Alex", J91=""),"", Table1[[#This Row],[For Amount]])</f>
        <v>#N/A</v>
      </c>
      <c r="BK91">
        <f ca="1">IFERROR(Table1[[#This Row],[Fee]]-Table1[[#This Row],[Total Salary]],"")</f>
        <v>28200</v>
      </c>
      <c r="BL91" t="e">
        <f>IF(Table1[[#This Row],[Joining Date]]="","",IF(Table1[[#This Row],[Joining Date]]&lt;='KPI+Pivot'!$CP$1,Table1[[#This Row],[Fee]],""))</f>
        <v>#N/A</v>
      </c>
      <c r="BM9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91" t="e">
        <f>IF(Table1[[#This Row],[Joining Date]]="","",IF(Table1[[#This Row],[Joining Date]]&lt;='KPI+Pivot'!$CP$1,Table1[[#This Row],[Total Salary]],""))</f>
        <v>#N/A</v>
      </c>
      <c r="BO91" t="e">
        <f>IF(Table1[[#This Row],[Joining Date]]="","",IF(Table1[[#This Row],[Joining Date]]&lt;='KPI+Pivot'!$CP$1,Table1[[#This Row],[Frequency]],""))</f>
        <v>#N/A</v>
      </c>
      <c r="BP91" s="38" t="str">
        <f>IF(Table1[[#This Row],[Stop]]="","",(IF(Table1[[#This Row],[Joining Date]]="","",IF(Table1[[#This Row],[Joining Date]]&lt;='KPI+Pivot'!$CP$1,Table1[[#This Row],[Stop]],""))))</f>
        <v/>
      </c>
    </row>
    <row r="92" spans="1:68" ht="22.9" customHeight="1">
      <c r="B92" t="s">
        <v>66</v>
      </c>
      <c r="C92" t="s">
        <v>727</v>
      </c>
      <c r="D92" t="s">
        <v>293</v>
      </c>
      <c r="F92" t="s">
        <v>728</v>
      </c>
      <c r="G92" t="s">
        <v>729</v>
      </c>
      <c r="H92" t="s">
        <v>296</v>
      </c>
      <c r="I92" t="str">
        <f>IFERROR(HYPERLINK("#Finance!B" &amp; MATCH(A92, 'F 2025'!A:A, 0), "🔗 Go to finance"), "❌ ID introuvable")</f>
        <v>❌ ID introuvable</v>
      </c>
      <c r="V92" t="s">
        <v>730</v>
      </c>
      <c r="Z92" t="s">
        <v>75</v>
      </c>
      <c r="AB92" t="s">
        <v>731</v>
      </c>
      <c r="AD92" s="130"/>
      <c r="AE92"/>
      <c r="AG92" t="s">
        <v>76</v>
      </c>
      <c r="AI92" t="s">
        <v>731</v>
      </c>
      <c r="AK92" t="s">
        <v>84</v>
      </c>
      <c r="AM92" s="38">
        <v>46022</v>
      </c>
      <c r="AO92" t="s">
        <v>729</v>
      </c>
      <c r="AR92" t="str">
        <f t="shared" si="4"/>
        <v/>
      </c>
      <c r="AS92" t="str">
        <f t="shared" si="5"/>
        <v/>
      </c>
      <c r="AT92" t="str">
        <f>IF(Table1[[#This Row],[Joining Date]]="", "", TEXT(Table1[[#This Row],[Joining Date]], "mmm"))</f>
        <v/>
      </c>
      <c r="AU92" t="str">
        <f>IF(Table1[[#This Row],[Joining Date]]="", "", YEAR(Table1[[#This Row],[Joining Date]]))</f>
        <v/>
      </c>
      <c r="AV92" t="str">
        <f>IF(Table1[[#This Row],[Group Name]]="","", M92 &amp; Table1[[#This Row],[Teacher]])</f>
        <v/>
      </c>
      <c r="AW92" t="str">
        <f>IF(Table1[[#This Row],[Helper]]="","",IF(_xlfn.MAXIFS(AT:AT,AW:AW,Table1[[#This Row],[Helper]])=Table1[[#This Row],[Clean Frequency]],_xlfn.MAXIFS(AT:AT,AW:AW,Table1[[#This Row],[Helper]]),""))</f>
        <v/>
      </c>
      <c r="AX92" t="str">
        <f ca="1">IF(AND(AW92=_xlfn.MAXIFS(AX:AX, AW:AW, AV92), COUNTIFS(AV$3:AV92, AV92, AW$3:AW92, AW92)=1), 1, "")</f>
        <v/>
      </c>
      <c r="AY92" t="str">
        <f>IF(Table1[[#This Row],[lesson type]]="private",Table1[[#This Row],[Clean Frequency]],"")</f>
        <v/>
      </c>
      <c r="AZ92" t="str">
        <f ca="1">IF(Table1[[#This Row],[First Occurrence]]=1,Table1[[#This Row],[Group Frequency]],"")</f>
        <v/>
      </c>
      <c r="BA92" t="str">
        <f ca="1">IF(B92="Y", IF(Table1[[#This Row],[Stop]]="", TODAY() - Table1[[#This Row],[Joining Date]], Table1[[#This Row],[Stop]] - Table1[[#This Row],[Joining Date]]), "")</f>
        <v/>
      </c>
      <c r="BB92" t="str">
        <f>_xlfn.CONCAT(Table1[[#This Row],[t]]," ",Table1[[#This Row],[Last Name]])</f>
        <v>Masako Higuchi</v>
      </c>
      <c r="BC92" t="str">
        <f>IF(OR(Table1[[#This Row],[Teacher]]="Alex",Table1[[#This Row],[Teacher]]=""), "", Table1[[#This Row],[For Salary]])</f>
        <v/>
      </c>
      <c r="BD92" t="str">
        <f>IF(OR(Table1[[#This Row],[Teacher]]="Alex",Table1[[#This Row],[Teacher]]=""), "", Table1[[#This Row],[For Amount]])</f>
        <v/>
      </c>
      <c r="BE92" t="str">
        <f>IFERROR(IF(VLOOKUP(Table1[[#This Row],[Teacher]],'Teachers Salaries'!A:C,2,FALSE)="","",VLOOKUP(Table1[[#This Row],[Teacher]],'Teachers Salaries'!A:C,2,FALSE)),"")</f>
        <v/>
      </c>
      <c r="BF92" t="str">
        <f>IFERROR(IF(VLOOKUP(Table1[[#This Row],[Teacher]],'Teachers Salaries'!A:C,3,FALSE)="","",VLOOKUP(Table1[[#This Row],[Teacher]],'Teachers Salaries'!A:C,3,FALSE)),"")</f>
        <v/>
      </c>
      <c r="BG92">
        <f ca="1">IFERROR(IF(Table1[[#This Row],[Pay Type]]="Fixed","-",Table1[[#This Row],[Final Group Frequency2]]*Table1[[#This Row],[Salary / Hourly Rate]]),0)</f>
        <v>0</v>
      </c>
      <c r="BH92">
        <f>IFERROR(IF(Table1[[#This Row],[Pay Type]]="Fixed","----",Table1[[#This Row],[Salary / Hourly Rate]]*Table1[[#This Row],[Final PrivateFrequency]]),0)</f>
        <v>0</v>
      </c>
      <c r="BI92">
        <f ca="1">IF(Table1[[#This Row],[Pay Type]]="Fixed","---",Table1[[#This Row],[Group Salary]]+Table1[[#This Row],[Private Salary]])</f>
        <v>0</v>
      </c>
      <c r="BJ92" t="str">
        <f>IF(OR(J92="Alex", J92=""),"", Table1[[#This Row],[For Amount]])</f>
        <v/>
      </c>
      <c r="BK92">
        <f ca="1">IFERROR(Table1[[#This Row],[Fee]]-Table1[[#This Row],[Total Salary]],"")</f>
        <v>0</v>
      </c>
      <c r="BL92" t="str">
        <f>IF(Table1[[#This Row],[Joining Date]]="","",IF(Table1[[#This Row],[Joining Date]]&lt;='KPI+Pivot'!$CP$1,Table1[[#This Row],[Fee]],""))</f>
        <v/>
      </c>
      <c r="BM9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2" t="str">
        <f>IF(Table1[[#This Row],[Joining Date]]="","",IF(Table1[[#This Row],[Joining Date]]&lt;='KPI+Pivot'!$CP$1,Table1[[#This Row],[Total Salary]],""))</f>
        <v/>
      </c>
      <c r="BO92" t="str">
        <f>IF(Table1[[#This Row],[Joining Date]]="","",IF(Table1[[#This Row],[Joining Date]]&lt;='KPI+Pivot'!$CP$1,Table1[[#This Row],[Frequency]],""))</f>
        <v/>
      </c>
      <c r="BP92" s="38" t="str">
        <f>IF(Table1[[#This Row],[Stop]]="","",(IF(Table1[[#This Row],[Joining Date]]="","",IF(Table1[[#This Row],[Joining Date]]&lt;='KPI+Pivot'!$CP$1,Table1[[#This Row],[Stop]],""))))</f>
        <v/>
      </c>
    </row>
    <row r="93" spans="1:68" ht="22.9" customHeight="1">
      <c r="A93">
        <v>70</v>
      </c>
      <c r="B93" t="s">
        <v>66</v>
      </c>
      <c r="C93" t="s">
        <v>732</v>
      </c>
      <c r="D93" t="s">
        <v>733</v>
      </c>
      <c r="F93" t="s">
        <v>734</v>
      </c>
      <c r="G93" t="s">
        <v>735</v>
      </c>
      <c r="H93" t="s">
        <v>736</v>
      </c>
      <c r="I93" t="str">
        <f>IFERROR(HYPERLINK("#Finance!B" &amp; MATCH(A93, 'F 2025'!A:A, 0), "🔗 Go to finance"), "❌ ID introuvable")</f>
        <v>🔗 Go to finance</v>
      </c>
      <c r="L93" t="s">
        <v>72</v>
      </c>
      <c r="V93" t="s">
        <v>737</v>
      </c>
      <c r="Z93" t="s">
        <v>75</v>
      </c>
      <c r="AB93" t="s">
        <v>738</v>
      </c>
      <c r="AD93" s="130"/>
      <c r="AE93"/>
      <c r="AG93" t="s">
        <v>76</v>
      </c>
      <c r="AI93" t="s">
        <v>738</v>
      </c>
      <c r="AK93" t="s">
        <v>102</v>
      </c>
      <c r="AM93" s="38">
        <v>45716</v>
      </c>
      <c r="AO93" t="s">
        <v>735</v>
      </c>
      <c r="AR93" t="str">
        <f t="shared" si="4"/>
        <v/>
      </c>
      <c r="AS93" t="str">
        <f t="shared" si="5"/>
        <v/>
      </c>
      <c r="AT93" t="str">
        <f>IF(Table1[[#This Row],[Joining Date]]="", "", TEXT(Table1[[#This Row],[Joining Date]], "mmm"))</f>
        <v/>
      </c>
      <c r="AU93" t="str">
        <f>IF(Table1[[#This Row],[Joining Date]]="", "", YEAR(Table1[[#This Row],[Joining Date]]))</f>
        <v/>
      </c>
      <c r="AV93" t="str">
        <f>IF(Table1[[#This Row],[Group Name]]="","", M93 &amp; Table1[[#This Row],[Teacher]])</f>
        <v/>
      </c>
      <c r="AW93" t="str">
        <f>IF(Table1[[#This Row],[Helper]]="","",IF(_xlfn.MAXIFS(AT:AT,AW:AW,Table1[[#This Row],[Helper]])=Table1[[#This Row],[Clean Frequency]],_xlfn.MAXIFS(AT:AT,AW:AW,Table1[[#This Row],[Helper]]),""))</f>
        <v/>
      </c>
      <c r="AX93" t="str">
        <f ca="1">IF(AND(AW93=_xlfn.MAXIFS(AX:AX, AW:AW, AV93), COUNTIFS(AV$3:AV93, AV93, AW$3:AW93, AW93)=1), 1, "")</f>
        <v/>
      </c>
      <c r="AY93" t="str">
        <f>IF(Table1[[#This Row],[lesson type]]="private",Table1[[#This Row],[Clean Frequency]],"")</f>
        <v/>
      </c>
      <c r="AZ93" t="str">
        <f ca="1">IF(Table1[[#This Row],[First Occurrence]]=1,Table1[[#This Row],[Group Frequency]],"")</f>
        <v/>
      </c>
      <c r="BA93" t="str">
        <f ca="1">IF(B93="Y", IF(Table1[[#This Row],[Stop]]="", TODAY() - Table1[[#This Row],[Joining Date]], Table1[[#This Row],[Stop]] - Table1[[#This Row],[Joining Date]]), "")</f>
        <v/>
      </c>
      <c r="BB93" t="str">
        <f>_xlfn.CONCAT(Table1[[#This Row],[t]]," ",Table1[[#This Row],[Last Name]])</f>
        <v>Masanori Adachi</v>
      </c>
      <c r="BC93" t="str">
        <f>IF(OR(Table1[[#This Row],[Teacher]]="Alex",Table1[[#This Row],[Teacher]]=""), "", Table1[[#This Row],[For Salary]])</f>
        <v/>
      </c>
      <c r="BD93" t="str">
        <f>IF(OR(Table1[[#This Row],[Teacher]]="Alex",Table1[[#This Row],[Teacher]]=""), "", Table1[[#This Row],[For Amount]])</f>
        <v/>
      </c>
      <c r="BE93" t="str">
        <f>IFERROR(IF(VLOOKUP(Table1[[#This Row],[Teacher]],'Teachers Salaries'!A:C,2,FALSE)="","",VLOOKUP(Table1[[#This Row],[Teacher]],'Teachers Salaries'!A:C,2,FALSE)),"")</f>
        <v/>
      </c>
      <c r="BF93" t="str">
        <f>IFERROR(IF(VLOOKUP(Table1[[#This Row],[Teacher]],'Teachers Salaries'!A:C,3,FALSE)="","",VLOOKUP(Table1[[#This Row],[Teacher]],'Teachers Salaries'!A:C,3,FALSE)),"")</f>
        <v/>
      </c>
      <c r="BG93">
        <f ca="1">IFERROR(IF(Table1[[#This Row],[Pay Type]]="Fixed","-",Table1[[#This Row],[Final Group Frequency2]]*Table1[[#This Row],[Salary / Hourly Rate]]),0)</f>
        <v>0</v>
      </c>
      <c r="BH93">
        <f>IFERROR(IF(Table1[[#This Row],[Pay Type]]="Fixed","----",Table1[[#This Row],[Salary / Hourly Rate]]*Table1[[#This Row],[Final PrivateFrequency]]),0)</f>
        <v>0</v>
      </c>
      <c r="BI93">
        <f ca="1">IF(Table1[[#This Row],[Pay Type]]="Fixed","---",Table1[[#This Row],[Group Salary]]+Table1[[#This Row],[Private Salary]])</f>
        <v>0</v>
      </c>
      <c r="BJ93" t="str">
        <f>IF(OR(J93="Alex", J93=""),"", Table1[[#This Row],[For Amount]])</f>
        <v/>
      </c>
      <c r="BK93">
        <f ca="1">IFERROR(Table1[[#This Row],[Fee]]-Table1[[#This Row],[Total Salary]],"")</f>
        <v>0</v>
      </c>
      <c r="BL93" t="str">
        <f>IF(Table1[[#This Row],[Joining Date]]="","",IF(Table1[[#This Row],[Joining Date]]&lt;='KPI+Pivot'!$CP$1,Table1[[#This Row],[Fee]],""))</f>
        <v/>
      </c>
      <c r="BM9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3" t="str">
        <f>IF(Table1[[#This Row],[Joining Date]]="","",IF(Table1[[#This Row],[Joining Date]]&lt;='KPI+Pivot'!$CP$1,Table1[[#This Row],[Total Salary]],""))</f>
        <v/>
      </c>
      <c r="BO93" t="str">
        <f>IF(Table1[[#This Row],[Joining Date]]="","",IF(Table1[[#This Row],[Joining Date]]&lt;='KPI+Pivot'!$CP$1,Table1[[#This Row],[Frequency]],""))</f>
        <v/>
      </c>
      <c r="BP93" s="38" t="str">
        <f>IF(Table1[[#This Row],[Stop]]="","",(IF(Table1[[#This Row],[Joining Date]]="","",IF(Table1[[#This Row],[Joining Date]]&lt;='KPI+Pivot'!$CP$1,Table1[[#This Row],[Stop]],""))))</f>
        <v/>
      </c>
    </row>
    <row r="94" spans="1:68" ht="22.9" customHeight="1">
      <c r="B94" t="s">
        <v>66</v>
      </c>
      <c r="C94" t="s">
        <v>739</v>
      </c>
      <c r="D94" t="s">
        <v>740</v>
      </c>
      <c r="F94" t="s">
        <v>741</v>
      </c>
      <c r="G94" t="s">
        <v>742</v>
      </c>
      <c r="H94" t="s">
        <v>743</v>
      </c>
      <c r="I94" t="str">
        <f>IFERROR(HYPERLINK("#Finance!B" &amp; MATCH(A94, 'F 2025'!A:A, 0), "🔗 Go to finance"), "❌ ID introuvable")</f>
        <v>❌ ID introuvable</v>
      </c>
      <c r="L94" t="s">
        <v>90</v>
      </c>
      <c r="V94" t="s">
        <v>744</v>
      </c>
      <c r="W94" t="s">
        <v>744</v>
      </c>
      <c r="Y94" t="s">
        <v>745</v>
      </c>
      <c r="Z94" t="s">
        <v>75</v>
      </c>
      <c r="AB94" t="s">
        <v>746</v>
      </c>
      <c r="AD94" s="130"/>
      <c r="AE94"/>
      <c r="AG94" t="s">
        <v>76</v>
      </c>
      <c r="AI94" t="s">
        <v>746</v>
      </c>
      <c r="AK94" t="s">
        <v>747</v>
      </c>
      <c r="AM94" s="38"/>
      <c r="AO94" t="s">
        <v>742</v>
      </c>
      <c r="AR94" t="str">
        <f t="shared" si="4"/>
        <v/>
      </c>
      <c r="AS94" t="str">
        <f t="shared" si="5"/>
        <v/>
      </c>
      <c r="AT94" t="str">
        <f>IF(Table1[[#This Row],[Joining Date]]="", "", TEXT(Table1[[#This Row],[Joining Date]], "mmm"))</f>
        <v/>
      </c>
      <c r="AU94" t="str">
        <f>IF(Table1[[#This Row],[Joining Date]]="", "", YEAR(Table1[[#This Row],[Joining Date]]))</f>
        <v/>
      </c>
      <c r="AV94" t="str">
        <f>IF(Table1[[#This Row],[Group Name]]="","", M94 &amp; Table1[[#This Row],[Teacher]])</f>
        <v/>
      </c>
      <c r="AW94" t="str">
        <f>IF(Table1[[#This Row],[Helper]]="","",IF(_xlfn.MAXIFS(AT:AT,AW:AW,Table1[[#This Row],[Helper]])=Table1[[#This Row],[Clean Frequency]],_xlfn.MAXIFS(AT:AT,AW:AW,Table1[[#This Row],[Helper]]),""))</f>
        <v/>
      </c>
      <c r="AX94" t="str">
        <f ca="1">IF(AND(AW94=_xlfn.MAXIFS(AX:AX, AW:AW, AV94), COUNTIFS(AV$3:AV94, AV94, AW$3:AW94, AW94)=1), 1, "")</f>
        <v/>
      </c>
      <c r="AY94" t="str">
        <f>IF(Table1[[#This Row],[lesson type]]="private",Table1[[#This Row],[Clean Frequency]],"")</f>
        <v/>
      </c>
      <c r="AZ94" t="str">
        <f ca="1">IF(Table1[[#This Row],[First Occurrence]]=1,Table1[[#This Row],[Group Frequency]],"")</f>
        <v/>
      </c>
      <c r="BA94" t="str">
        <f ca="1">IF(B94="Y", IF(Table1[[#This Row],[Stop]]="", TODAY() - Table1[[#This Row],[Joining Date]], Table1[[#This Row],[Stop]] - Table1[[#This Row],[Joining Date]]), "")</f>
        <v/>
      </c>
      <c r="BB94" t="str">
        <f>_xlfn.CONCAT(Table1[[#This Row],[t]]," ",Table1[[#This Row],[Last Name]])</f>
        <v>Masateru &amp; Sechiko Yamashita</v>
      </c>
      <c r="BC94" t="str">
        <f>IF(OR(Table1[[#This Row],[Teacher]]="Alex",Table1[[#This Row],[Teacher]]=""), "", Table1[[#This Row],[For Salary]])</f>
        <v/>
      </c>
      <c r="BD94" t="str">
        <f>IF(OR(Table1[[#This Row],[Teacher]]="Alex",Table1[[#This Row],[Teacher]]=""), "", Table1[[#This Row],[For Amount]])</f>
        <v/>
      </c>
      <c r="BE94" t="str">
        <f>IFERROR(IF(VLOOKUP(Table1[[#This Row],[Teacher]],'Teachers Salaries'!A:C,2,FALSE)="","",VLOOKUP(Table1[[#This Row],[Teacher]],'Teachers Salaries'!A:C,2,FALSE)),"")</f>
        <v/>
      </c>
      <c r="BF94" t="str">
        <f>IFERROR(IF(VLOOKUP(Table1[[#This Row],[Teacher]],'Teachers Salaries'!A:C,3,FALSE)="","",VLOOKUP(Table1[[#This Row],[Teacher]],'Teachers Salaries'!A:C,3,FALSE)),"")</f>
        <v/>
      </c>
      <c r="BG94">
        <f ca="1">IFERROR(IF(Table1[[#This Row],[Pay Type]]="Fixed","-",Table1[[#This Row],[Final Group Frequency2]]*Table1[[#This Row],[Salary / Hourly Rate]]),0)</f>
        <v>0</v>
      </c>
      <c r="BH94">
        <f>IFERROR(IF(Table1[[#This Row],[Pay Type]]="Fixed","----",Table1[[#This Row],[Salary / Hourly Rate]]*Table1[[#This Row],[Final PrivateFrequency]]),0)</f>
        <v>0</v>
      </c>
      <c r="BI94">
        <f ca="1">IF(Table1[[#This Row],[Pay Type]]="Fixed","---",Table1[[#This Row],[Group Salary]]+Table1[[#This Row],[Private Salary]])</f>
        <v>0</v>
      </c>
      <c r="BJ94" t="str">
        <f>IF(OR(J94="Alex", J94=""),"", Table1[[#This Row],[For Amount]])</f>
        <v/>
      </c>
      <c r="BK94">
        <f ca="1">IFERROR(Table1[[#This Row],[Fee]]-Table1[[#This Row],[Total Salary]],"")</f>
        <v>0</v>
      </c>
      <c r="BL94" t="str">
        <f>IF(Table1[[#This Row],[Joining Date]]="","",IF(Table1[[#This Row],[Joining Date]]&lt;='KPI+Pivot'!$CP$1,Table1[[#This Row],[Fee]],""))</f>
        <v/>
      </c>
      <c r="BM9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4" t="str">
        <f>IF(Table1[[#This Row],[Joining Date]]="","",IF(Table1[[#This Row],[Joining Date]]&lt;='KPI+Pivot'!$CP$1,Table1[[#This Row],[Total Salary]],""))</f>
        <v/>
      </c>
      <c r="BO94" t="str">
        <f>IF(Table1[[#This Row],[Joining Date]]="","",IF(Table1[[#This Row],[Joining Date]]&lt;='KPI+Pivot'!$CP$1,Table1[[#This Row],[Frequency]],""))</f>
        <v/>
      </c>
      <c r="BP94" s="38" t="str">
        <f>IF(Table1[[#This Row],[Stop]]="","",(IF(Table1[[#This Row],[Joining Date]]="","",IF(Table1[[#This Row],[Joining Date]]&lt;='KPI+Pivot'!$CP$1,Table1[[#This Row],[Stop]],""))))</f>
        <v/>
      </c>
    </row>
    <row r="95" spans="1:68" ht="22.9" customHeight="1">
      <c r="B95" t="s">
        <v>66</v>
      </c>
      <c r="C95" t="s">
        <v>748</v>
      </c>
      <c r="D95" t="s">
        <v>749</v>
      </c>
      <c r="F95" t="s">
        <v>750</v>
      </c>
      <c r="G95" t="s">
        <v>751</v>
      </c>
      <c r="H95" t="s">
        <v>752</v>
      </c>
      <c r="I95" t="str">
        <f>IFERROR(HYPERLINK("#Finance!B" &amp; MATCH(A95, 'F 2025'!A:A, 0), "🔗 Go to finance"), "❌ ID introuvable")</f>
        <v>❌ ID introuvable</v>
      </c>
      <c r="L95" t="s">
        <v>102</v>
      </c>
      <c r="V95" t="s">
        <v>753</v>
      </c>
      <c r="Y95" t="s">
        <v>754</v>
      </c>
      <c r="Z95" t="s">
        <v>75</v>
      </c>
      <c r="AB95" t="s">
        <v>755</v>
      </c>
      <c r="AD95" s="130">
        <v>43927</v>
      </c>
      <c r="AE95"/>
      <c r="AG95" t="s">
        <v>76</v>
      </c>
      <c r="AI95" t="s">
        <v>755</v>
      </c>
      <c r="AK95" t="s">
        <v>290</v>
      </c>
      <c r="AM95" s="38"/>
      <c r="AO95" t="s">
        <v>751</v>
      </c>
      <c r="AR95" t="str">
        <f t="shared" si="4"/>
        <v/>
      </c>
      <c r="AS95" t="str">
        <f t="shared" si="5"/>
        <v/>
      </c>
      <c r="AT95" t="str">
        <f>IF(Table1[[#This Row],[Joining Date]]="", "", TEXT(Table1[[#This Row],[Joining Date]], "mmm"))</f>
        <v>Apr</v>
      </c>
      <c r="AU95">
        <f>IF(Table1[[#This Row],[Joining Date]]="", "", YEAR(Table1[[#This Row],[Joining Date]]))</f>
        <v>2020</v>
      </c>
      <c r="AV95" t="str">
        <f>IF(Table1[[#This Row],[Group Name]]="","", M95 &amp; Table1[[#This Row],[Teacher]])</f>
        <v/>
      </c>
      <c r="AW95" t="str">
        <f>IF(Table1[[#This Row],[Helper]]="","",IF(_xlfn.MAXIFS(AT:AT,AW:AW,Table1[[#This Row],[Helper]])=Table1[[#This Row],[Clean Frequency]],_xlfn.MAXIFS(AT:AT,AW:AW,Table1[[#This Row],[Helper]]),""))</f>
        <v/>
      </c>
      <c r="AX95" t="str">
        <f ca="1">IF(AND(AW95=_xlfn.MAXIFS(AX:AX, AW:AW, AV95), COUNTIFS(AV$3:AV95, AV95, AW$3:AW95, AW95)=1), 1, "")</f>
        <v/>
      </c>
      <c r="AY95" t="str">
        <f>IF(Table1[[#This Row],[lesson type]]="private",Table1[[#This Row],[Clean Frequency]],"")</f>
        <v/>
      </c>
      <c r="AZ95" t="str">
        <f ca="1">IF(Table1[[#This Row],[First Occurrence]]=1,Table1[[#This Row],[Group Frequency]],"")</f>
        <v/>
      </c>
      <c r="BA95" t="str">
        <f ca="1">IF(B95="Y", IF(Table1[[#This Row],[Stop]]="", TODAY() - Table1[[#This Row],[Joining Date]], Table1[[#This Row],[Stop]] - Table1[[#This Row],[Joining Date]]), "")</f>
        <v/>
      </c>
      <c r="BB95" t="str">
        <f>_xlfn.CONCAT(Table1[[#This Row],[t]]," ",Table1[[#This Row],[Last Name]])</f>
        <v>Masateru Wada</v>
      </c>
      <c r="BC95" t="str">
        <f>IF(OR(Table1[[#This Row],[Teacher]]="Alex",Table1[[#This Row],[Teacher]]=""), "", Table1[[#This Row],[For Salary]])</f>
        <v/>
      </c>
      <c r="BD95" t="str">
        <f>IF(OR(Table1[[#This Row],[Teacher]]="Alex",Table1[[#This Row],[Teacher]]=""), "", Table1[[#This Row],[For Amount]])</f>
        <v/>
      </c>
      <c r="BE95" t="str">
        <f>IFERROR(IF(VLOOKUP(Table1[[#This Row],[Teacher]],'Teachers Salaries'!A:C,2,FALSE)="","",VLOOKUP(Table1[[#This Row],[Teacher]],'Teachers Salaries'!A:C,2,FALSE)),"")</f>
        <v/>
      </c>
      <c r="BF95" t="str">
        <f>IFERROR(IF(VLOOKUP(Table1[[#This Row],[Teacher]],'Teachers Salaries'!A:C,3,FALSE)="","",VLOOKUP(Table1[[#This Row],[Teacher]],'Teachers Salaries'!A:C,3,FALSE)),"")</f>
        <v/>
      </c>
      <c r="BG95">
        <f ca="1">IFERROR(IF(Table1[[#This Row],[Pay Type]]="Fixed","-",Table1[[#This Row],[Final Group Frequency2]]*Table1[[#This Row],[Salary / Hourly Rate]]),0)</f>
        <v>0</v>
      </c>
      <c r="BH95">
        <f>IFERROR(IF(Table1[[#This Row],[Pay Type]]="Fixed","----",Table1[[#This Row],[Salary / Hourly Rate]]*Table1[[#This Row],[Final PrivateFrequency]]),0)</f>
        <v>0</v>
      </c>
      <c r="BI95">
        <f ca="1">IF(Table1[[#This Row],[Pay Type]]="Fixed","---",Table1[[#This Row],[Group Salary]]+Table1[[#This Row],[Private Salary]])</f>
        <v>0</v>
      </c>
      <c r="BJ95" t="str">
        <f>IF(OR(J95="Alex", J95=""),"", Table1[[#This Row],[For Amount]])</f>
        <v/>
      </c>
      <c r="BK95">
        <f ca="1">IFERROR(Table1[[#This Row],[Fee]]-Table1[[#This Row],[Total Salary]],"")</f>
        <v>0</v>
      </c>
      <c r="BL95" t="e">
        <f>IF(Table1[[#This Row],[Joining Date]]="","",IF(Table1[[#This Row],[Joining Date]]&lt;='KPI+Pivot'!$CP$1,Table1[[#This Row],[Fee]],""))</f>
        <v>#N/A</v>
      </c>
      <c r="BM9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95" t="e">
        <f>IF(Table1[[#This Row],[Joining Date]]="","",IF(Table1[[#This Row],[Joining Date]]&lt;='KPI+Pivot'!$CP$1,Table1[[#This Row],[Total Salary]],""))</f>
        <v>#N/A</v>
      </c>
      <c r="BO95" t="e">
        <f>IF(Table1[[#This Row],[Joining Date]]="","",IF(Table1[[#This Row],[Joining Date]]&lt;='KPI+Pivot'!$CP$1,Table1[[#This Row],[Frequency]],""))</f>
        <v>#N/A</v>
      </c>
      <c r="BP95" s="38" t="str">
        <f>IF(Table1[[#This Row],[Stop]]="","",(IF(Table1[[#This Row],[Joining Date]]="","",IF(Table1[[#This Row],[Joining Date]]&lt;='KPI+Pivot'!$CP$1,Table1[[#This Row],[Stop]],""))))</f>
        <v/>
      </c>
    </row>
    <row r="96" spans="1:68" ht="22.9" customHeight="1">
      <c r="B96" t="s">
        <v>66</v>
      </c>
      <c r="C96" t="s">
        <v>756</v>
      </c>
      <c r="D96" t="s">
        <v>683</v>
      </c>
      <c r="F96" t="s">
        <v>757</v>
      </c>
      <c r="G96" t="s">
        <v>758</v>
      </c>
      <c r="H96" t="s">
        <v>686</v>
      </c>
      <c r="I96" t="str">
        <f>IFERROR(HYPERLINK("#Finance!B" &amp; MATCH(A96, 'F 2025'!A:A, 0), "🔗 Go to finance"), "❌ ID introuvable")</f>
        <v>❌ ID introuvable</v>
      </c>
      <c r="V96" t="s">
        <v>759</v>
      </c>
      <c r="Y96" t="s">
        <v>760</v>
      </c>
      <c r="Z96" t="s">
        <v>75</v>
      </c>
      <c r="AD96" s="130"/>
      <c r="AE96"/>
      <c r="AG96" t="s">
        <v>76</v>
      </c>
      <c r="AM96" s="38"/>
      <c r="AO96" t="s">
        <v>758</v>
      </c>
      <c r="AR96" t="str">
        <f t="shared" si="4"/>
        <v/>
      </c>
      <c r="AS96" t="str">
        <f t="shared" si="5"/>
        <v/>
      </c>
      <c r="AT96" t="str">
        <f>IF(Table1[[#This Row],[Joining Date]]="", "", TEXT(Table1[[#This Row],[Joining Date]], "mmm"))</f>
        <v/>
      </c>
      <c r="AU96" t="str">
        <f>IF(Table1[[#This Row],[Joining Date]]="", "", YEAR(Table1[[#This Row],[Joining Date]]))</f>
        <v/>
      </c>
      <c r="AV96" t="str">
        <f>IF(Table1[[#This Row],[Group Name]]="","", M96 &amp; Table1[[#This Row],[Teacher]])</f>
        <v/>
      </c>
      <c r="AW96" t="str">
        <f>IF(Table1[[#This Row],[Helper]]="","",IF(_xlfn.MAXIFS(AT:AT,AW:AW,Table1[[#This Row],[Helper]])=Table1[[#This Row],[Clean Frequency]],_xlfn.MAXIFS(AT:AT,AW:AW,Table1[[#This Row],[Helper]]),""))</f>
        <v/>
      </c>
      <c r="AX96" t="str">
        <f ca="1">IF(AND(AW96=_xlfn.MAXIFS(AX:AX, AW:AW, AV96), COUNTIFS(AV$3:AV96, AV96, AW$3:AW96, AW96)=1), 1, "")</f>
        <v/>
      </c>
      <c r="AY96" t="str">
        <f>IF(Table1[[#This Row],[lesson type]]="private",Table1[[#This Row],[Clean Frequency]],"")</f>
        <v/>
      </c>
      <c r="AZ96" t="str">
        <f ca="1">IF(Table1[[#This Row],[First Occurrence]]=1,Table1[[#This Row],[Group Frequency]],"")</f>
        <v/>
      </c>
      <c r="BA96" t="str">
        <f ca="1">IF(B96="Y", IF(Table1[[#This Row],[Stop]]="", TODAY() - Table1[[#This Row],[Joining Date]], Table1[[#This Row],[Stop]] - Table1[[#This Row],[Joining Date]]), "")</f>
        <v/>
      </c>
      <c r="BB96" t="str">
        <f>_xlfn.CONCAT(Table1[[#This Row],[t]]," ",Table1[[#This Row],[Last Name]])</f>
        <v>Mayu Saita</v>
      </c>
      <c r="BC96" t="str">
        <f>IF(OR(Table1[[#This Row],[Teacher]]="Alex",Table1[[#This Row],[Teacher]]=""), "", Table1[[#This Row],[For Salary]])</f>
        <v/>
      </c>
      <c r="BD96" t="str">
        <f>IF(OR(Table1[[#This Row],[Teacher]]="Alex",Table1[[#This Row],[Teacher]]=""), "", Table1[[#This Row],[For Amount]])</f>
        <v/>
      </c>
      <c r="BE96" t="str">
        <f>IFERROR(IF(VLOOKUP(Table1[[#This Row],[Teacher]],'Teachers Salaries'!A:C,2,FALSE)="","",VLOOKUP(Table1[[#This Row],[Teacher]],'Teachers Salaries'!A:C,2,FALSE)),"")</f>
        <v/>
      </c>
      <c r="BF96" t="str">
        <f>IFERROR(IF(VLOOKUP(Table1[[#This Row],[Teacher]],'Teachers Salaries'!A:C,3,FALSE)="","",VLOOKUP(Table1[[#This Row],[Teacher]],'Teachers Salaries'!A:C,3,FALSE)),"")</f>
        <v/>
      </c>
      <c r="BG96">
        <f ca="1">IFERROR(IF(Table1[[#This Row],[Pay Type]]="Fixed","-",Table1[[#This Row],[Final Group Frequency2]]*Table1[[#This Row],[Salary / Hourly Rate]]),0)</f>
        <v>0</v>
      </c>
      <c r="BH96">
        <f>IFERROR(IF(Table1[[#This Row],[Pay Type]]="Fixed","----",Table1[[#This Row],[Salary / Hourly Rate]]*Table1[[#This Row],[Final PrivateFrequency]]),0)</f>
        <v>0</v>
      </c>
      <c r="BI96">
        <f ca="1">IF(Table1[[#This Row],[Pay Type]]="Fixed","---",Table1[[#This Row],[Group Salary]]+Table1[[#This Row],[Private Salary]])</f>
        <v>0</v>
      </c>
      <c r="BJ96" t="str">
        <f>IF(OR(J96="Alex", J96=""),"", Table1[[#This Row],[For Amount]])</f>
        <v/>
      </c>
      <c r="BK96">
        <f ca="1">IFERROR(Table1[[#This Row],[Fee]]-Table1[[#This Row],[Total Salary]],"")</f>
        <v>0</v>
      </c>
      <c r="BL96" t="str">
        <f>IF(Table1[[#This Row],[Joining Date]]="","",IF(Table1[[#This Row],[Joining Date]]&lt;='KPI+Pivot'!$CP$1,Table1[[#This Row],[Fee]],""))</f>
        <v/>
      </c>
      <c r="BM9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6" t="str">
        <f>IF(Table1[[#This Row],[Joining Date]]="","",IF(Table1[[#This Row],[Joining Date]]&lt;='KPI+Pivot'!$CP$1,Table1[[#This Row],[Total Salary]],""))</f>
        <v/>
      </c>
      <c r="BO96" t="str">
        <f>IF(Table1[[#This Row],[Joining Date]]="","",IF(Table1[[#This Row],[Joining Date]]&lt;='KPI+Pivot'!$CP$1,Table1[[#This Row],[Frequency]],""))</f>
        <v/>
      </c>
      <c r="BP96" s="38" t="str">
        <f>IF(Table1[[#This Row],[Stop]]="","",(IF(Table1[[#This Row],[Joining Date]]="","",IF(Table1[[#This Row],[Joining Date]]&lt;='KPI+Pivot'!$CP$1,Table1[[#This Row],[Stop]],""))))</f>
        <v/>
      </c>
    </row>
    <row r="97" spans="1:68" ht="18" customHeight="1">
      <c r="A97">
        <v>129</v>
      </c>
      <c r="B97" t="s">
        <v>66</v>
      </c>
      <c r="C97" t="s">
        <v>761</v>
      </c>
      <c r="D97" t="s">
        <v>762</v>
      </c>
      <c r="F97" t="s">
        <v>763</v>
      </c>
      <c r="G97" t="s">
        <v>764</v>
      </c>
      <c r="H97" t="s">
        <v>765</v>
      </c>
      <c r="I97" t="str">
        <f>IFERROR(HYPERLINK("#Finance!B" &amp; MATCH(A97, 'F 2025'!A:A, 0), "🔗 Go to finance"), "❌ ID introuvable")</f>
        <v>🔗 Go to finance</v>
      </c>
      <c r="J97" t="s">
        <v>109</v>
      </c>
      <c r="K97" t="s">
        <v>117</v>
      </c>
      <c r="L97" t="s">
        <v>111</v>
      </c>
      <c r="O97">
        <v>6600</v>
      </c>
      <c r="T97" s="130">
        <v>45476</v>
      </c>
      <c r="V97" t="s">
        <v>766</v>
      </c>
      <c r="Y97">
        <v>9028509461</v>
      </c>
      <c r="Z97" t="s">
        <v>75</v>
      </c>
      <c r="AB97" t="s">
        <v>767</v>
      </c>
      <c r="AD97" s="130">
        <v>45476</v>
      </c>
      <c r="AE97"/>
      <c r="AG97" t="s">
        <v>76</v>
      </c>
      <c r="AI97" t="s">
        <v>767</v>
      </c>
      <c r="AK97" t="s">
        <v>111</v>
      </c>
      <c r="AM97" s="38">
        <v>46112</v>
      </c>
      <c r="AO97" t="s">
        <v>764</v>
      </c>
      <c r="AR97" t="str">
        <f t="shared" si="4"/>
        <v>group</v>
      </c>
      <c r="AS97">
        <f t="shared" si="5"/>
        <v>4</v>
      </c>
      <c r="AT97" t="str">
        <f>IF(Table1[[#This Row],[Joining Date]]="", "", TEXT(Table1[[#This Row],[Joining Date]], "mmm"))</f>
        <v>Jul</v>
      </c>
      <c r="AU97">
        <f>IF(Table1[[#This Row],[Joining Date]]="", "", YEAR(Table1[[#This Row],[Joining Date]]))</f>
        <v>2024</v>
      </c>
      <c r="AV97" t="str">
        <f>IF(Table1[[#This Row],[Group Name]]="","", M97 &amp; Table1[[#This Row],[Teacher]])</f>
        <v/>
      </c>
      <c r="AW97" t="str">
        <f>IF(Table1[[#This Row],[Helper]]="","",IF(_xlfn.MAXIFS(AT:AT,AW:AW,Table1[[#This Row],[Helper]])=Table1[[#This Row],[Clean Frequency]],_xlfn.MAXIFS(AT:AT,AW:AW,Table1[[#This Row],[Helper]]),""))</f>
        <v/>
      </c>
      <c r="AX97" t="str">
        <f ca="1">IF(AND(AW97=_xlfn.MAXIFS(AX:AX, AW:AW, AV97), COUNTIFS(AV$3:AV97, AV97, AW$3:AW97, AW97)=1), 1, "")</f>
        <v/>
      </c>
      <c r="AY97" t="str">
        <f>IF(Table1[[#This Row],[lesson type]]="private",Table1[[#This Row],[Clean Frequency]],"")</f>
        <v/>
      </c>
      <c r="AZ97" t="str">
        <f ca="1">IF(Table1[[#This Row],[First Occurrence]]=1,Table1[[#This Row],[Group Frequency]],"")</f>
        <v/>
      </c>
      <c r="BA97" t="str">
        <f ca="1">IF(B97="Y", IF(Table1[[#This Row],[Stop]]="", TODAY() - Table1[[#This Row],[Joining Date]], Table1[[#This Row],[Stop]] - Table1[[#This Row],[Joining Date]]), "")</f>
        <v/>
      </c>
      <c r="BB97" t="str">
        <f>_xlfn.CONCAT(Table1[[#This Row],[t]]," ",Table1[[#This Row],[Last Name]])</f>
        <v>Mei Nakamura</v>
      </c>
      <c r="BC97" t="str">
        <f>IF(OR(Table1[[#This Row],[Teacher]]="Alex",Table1[[#This Row],[Teacher]]=""), "", Table1[[#This Row],[For Salary]])</f>
        <v/>
      </c>
      <c r="BD97" t="str">
        <f>IF(OR(Table1[[#This Row],[Teacher]]="Alex",Table1[[#This Row],[Teacher]]=""), "", Table1[[#This Row],[For Amount]])</f>
        <v/>
      </c>
      <c r="BE97" t="str">
        <f>IFERROR(IF(VLOOKUP(Table1[[#This Row],[Teacher]],'Teachers Salaries'!A:C,2,FALSE)="","",VLOOKUP(Table1[[#This Row],[Teacher]],'Teachers Salaries'!A:C,2,FALSE)),"")</f>
        <v>Fixed</v>
      </c>
      <c r="BF97">
        <f>IFERROR(IF(VLOOKUP(Table1[[#This Row],[Teacher]],'Teachers Salaries'!A:C,3,FALSE)="","",VLOOKUP(Table1[[#This Row],[Teacher]],'Teachers Salaries'!A:C,3,FALSE)),"")</f>
        <v>210000</v>
      </c>
      <c r="BG97" t="str">
        <f>IFERROR(IF(Table1[[#This Row],[Pay Type]]="Fixed","-",Table1[[#This Row],[Final Group Frequency2]]*Table1[[#This Row],[Salary / Hourly Rate]]),0)</f>
        <v>-</v>
      </c>
      <c r="BH97" t="str">
        <f>IFERROR(IF(Table1[[#This Row],[Pay Type]]="Fixed","----",Table1[[#This Row],[Salary / Hourly Rate]]*Table1[[#This Row],[Final PrivateFrequency]]),0)</f>
        <v>----</v>
      </c>
      <c r="BI97" t="str">
        <f>IF(Table1[[#This Row],[Pay Type]]="Fixed","---",Table1[[#This Row],[Group Salary]]+Table1[[#This Row],[Private Salary]])</f>
        <v>---</v>
      </c>
      <c r="BJ97" t="str">
        <f>IF(OR(J97="Alex", J97=""),"", Table1[[#This Row],[For Amount]])</f>
        <v/>
      </c>
      <c r="BK97" t="str">
        <f>IFERROR(Table1[[#This Row],[Fee]]-Table1[[#This Row],[Total Salary]],"")</f>
        <v/>
      </c>
      <c r="BL97" t="e">
        <f>IF(Table1[[#This Row],[Joining Date]]="","",IF(Table1[[#This Row],[Joining Date]]&lt;='KPI+Pivot'!$CP$1,Table1[[#This Row],[Fee]],""))</f>
        <v>#N/A</v>
      </c>
      <c r="BM9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97" t="e">
        <f>IF(Table1[[#This Row],[Joining Date]]="","",IF(Table1[[#This Row],[Joining Date]]&lt;='KPI+Pivot'!$CP$1,Table1[[#This Row],[Total Salary]],""))</f>
        <v>#N/A</v>
      </c>
      <c r="BO97" t="e">
        <f>IF(Table1[[#This Row],[Joining Date]]="","",IF(Table1[[#This Row],[Joining Date]]&lt;='KPI+Pivot'!$CP$1,Table1[[#This Row],[Frequency]],""))</f>
        <v>#N/A</v>
      </c>
      <c r="BP97" s="38" t="e">
        <f>IF(Table1[[#This Row],[Stop]]="","",(IF(Table1[[#This Row],[Joining Date]]="","",IF(Table1[[#This Row],[Joining Date]]&lt;='KPI+Pivot'!$CP$1,Table1[[#This Row],[Stop]],""))))</f>
        <v>#N/A</v>
      </c>
    </row>
    <row r="98" spans="1:68" ht="22.9" customHeight="1">
      <c r="B98" t="s">
        <v>66</v>
      </c>
      <c r="C98" t="s">
        <v>768</v>
      </c>
      <c r="D98" t="s">
        <v>157</v>
      </c>
      <c r="F98" t="s">
        <v>769</v>
      </c>
      <c r="G98" t="s">
        <v>770</v>
      </c>
      <c r="H98" t="s">
        <v>771</v>
      </c>
      <c r="I98" t="str">
        <f>IFERROR(HYPERLINK("#Finance!B" &amp; MATCH(A98, 'F 2025'!A:A, 0), "🔗 Go to finance"), "❌ ID introuvable")</f>
        <v>❌ ID introuvable</v>
      </c>
      <c r="Y98" t="s">
        <v>772</v>
      </c>
      <c r="Z98" t="s">
        <v>75</v>
      </c>
      <c r="AD98" s="130"/>
      <c r="AE98"/>
      <c r="AG98" t="s">
        <v>76</v>
      </c>
      <c r="AM98" s="38"/>
      <c r="AO98" t="s">
        <v>770</v>
      </c>
      <c r="AR98" t="str">
        <f t="shared" ref="AR98:AR129" si="6">IF(OR(ISNUMBER(SEARCH("private",K98)), ISNUMBER(SEARCH("プら",K98)), ISNUMBER(SEARCH("プら,大人",K98)), ISNUMBER(SEARCH("セミプラ",K98))), "private", IF(OR(ISNUMBER(SEARCH("group",K98)), ISNUMBER(SEARCH("グループ",K98)), ISNUMBER(SEARCH("gr",K98))), "group", ""))</f>
        <v/>
      </c>
      <c r="AS98" t="str">
        <f t="shared" ref="AS98:AS129" si="7">IF(J98&lt;&gt;"", IF(N98="", 4, N98), "")</f>
        <v/>
      </c>
      <c r="AT98" t="str">
        <f>IF(Table1[[#This Row],[Joining Date]]="", "", TEXT(Table1[[#This Row],[Joining Date]], "mmm"))</f>
        <v/>
      </c>
      <c r="AU98" t="str">
        <f>IF(Table1[[#This Row],[Joining Date]]="", "", YEAR(Table1[[#This Row],[Joining Date]]))</f>
        <v/>
      </c>
      <c r="AV98" t="str">
        <f>IF(Table1[[#This Row],[Group Name]]="","", M98 &amp; Table1[[#This Row],[Teacher]])</f>
        <v/>
      </c>
      <c r="AW98" t="str">
        <f>IF(Table1[[#This Row],[Helper]]="","",IF(_xlfn.MAXIFS(AT:AT,AW:AW,Table1[[#This Row],[Helper]])=Table1[[#This Row],[Clean Frequency]],_xlfn.MAXIFS(AT:AT,AW:AW,Table1[[#This Row],[Helper]]),""))</f>
        <v/>
      </c>
      <c r="AX98" t="str">
        <f ca="1">IF(AND(AW98=_xlfn.MAXIFS(AX:AX, AW:AW, AV98), COUNTIFS(AV$3:AV98, AV98, AW$3:AW98, AW98)=1), 1, "")</f>
        <v/>
      </c>
      <c r="AY98" t="str">
        <f>IF(Table1[[#This Row],[lesson type]]="private",Table1[[#This Row],[Clean Frequency]],"")</f>
        <v/>
      </c>
      <c r="AZ98" t="str">
        <f ca="1">IF(Table1[[#This Row],[First Occurrence]]=1,Table1[[#This Row],[Group Frequency]],"")</f>
        <v/>
      </c>
      <c r="BA98" t="str">
        <f ca="1">IF(B98="Y", IF(Table1[[#This Row],[Stop]]="", TODAY() - Table1[[#This Row],[Joining Date]], Table1[[#This Row],[Stop]] - Table1[[#This Row],[Joining Date]]), "")</f>
        <v/>
      </c>
      <c r="BB98" t="str">
        <f>_xlfn.CONCAT(Table1[[#This Row],[t]]," ",Table1[[#This Row],[Last Name]])</f>
        <v>Michiko Kinoshita</v>
      </c>
      <c r="BC98" t="str">
        <f>IF(OR(Table1[[#This Row],[Teacher]]="Alex",Table1[[#This Row],[Teacher]]=""), "", Table1[[#This Row],[For Salary]])</f>
        <v/>
      </c>
      <c r="BD98" t="str">
        <f>IF(OR(Table1[[#This Row],[Teacher]]="Alex",Table1[[#This Row],[Teacher]]=""), "", Table1[[#This Row],[For Amount]])</f>
        <v/>
      </c>
      <c r="BE98" t="str">
        <f>IFERROR(IF(VLOOKUP(Table1[[#This Row],[Teacher]],'Teachers Salaries'!A:C,2,FALSE)="","",VLOOKUP(Table1[[#This Row],[Teacher]],'Teachers Salaries'!A:C,2,FALSE)),"")</f>
        <v/>
      </c>
      <c r="BF98" t="str">
        <f>IFERROR(IF(VLOOKUP(Table1[[#This Row],[Teacher]],'Teachers Salaries'!A:C,3,FALSE)="","",VLOOKUP(Table1[[#This Row],[Teacher]],'Teachers Salaries'!A:C,3,FALSE)),"")</f>
        <v/>
      </c>
      <c r="BG98">
        <f ca="1">IFERROR(IF(Table1[[#This Row],[Pay Type]]="Fixed","-",Table1[[#This Row],[Final Group Frequency2]]*Table1[[#This Row],[Salary / Hourly Rate]]),0)</f>
        <v>0</v>
      </c>
      <c r="BH98">
        <f>IFERROR(IF(Table1[[#This Row],[Pay Type]]="Fixed","----",Table1[[#This Row],[Salary / Hourly Rate]]*Table1[[#This Row],[Final PrivateFrequency]]),0)</f>
        <v>0</v>
      </c>
      <c r="BI98">
        <f ca="1">IF(Table1[[#This Row],[Pay Type]]="Fixed","---",Table1[[#This Row],[Group Salary]]+Table1[[#This Row],[Private Salary]])</f>
        <v>0</v>
      </c>
      <c r="BJ98" t="str">
        <f>IF(OR(J98="Alex", J98=""),"", Table1[[#This Row],[For Amount]])</f>
        <v/>
      </c>
      <c r="BK98">
        <f ca="1">IFERROR(Table1[[#This Row],[Fee]]-Table1[[#This Row],[Total Salary]],"")</f>
        <v>0</v>
      </c>
      <c r="BL98" t="str">
        <f>IF(Table1[[#This Row],[Joining Date]]="","",IF(Table1[[#This Row],[Joining Date]]&lt;='KPI+Pivot'!$CP$1,Table1[[#This Row],[Fee]],""))</f>
        <v/>
      </c>
      <c r="BM9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8" t="str">
        <f>IF(Table1[[#This Row],[Joining Date]]="","",IF(Table1[[#This Row],[Joining Date]]&lt;='KPI+Pivot'!$CP$1,Table1[[#This Row],[Total Salary]],""))</f>
        <v/>
      </c>
      <c r="BO98" t="str">
        <f>IF(Table1[[#This Row],[Joining Date]]="","",IF(Table1[[#This Row],[Joining Date]]&lt;='KPI+Pivot'!$CP$1,Table1[[#This Row],[Frequency]],""))</f>
        <v/>
      </c>
      <c r="BP98" s="38" t="str">
        <f>IF(Table1[[#This Row],[Stop]]="","",(IF(Table1[[#This Row],[Joining Date]]="","",IF(Table1[[#This Row],[Joining Date]]&lt;='KPI+Pivot'!$CP$1,Table1[[#This Row],[Stop]],""))))</f>
        <v/>
      </c>
    </row>
    <row r="99" spans="1:68" ht="22.9" customHeight="1">
      <c r="B99" t="s">
        <v>66</v>
      </c>
      <c r="C99" t="s">
        <v>773</v>
      </c>
      <c r="D99" t="s">
        <v>774</v>
      </c>
      <c r="F99" t="s">
        <v>775</v>
      </c>
      <c r="G99" t="s">
        <v>776</v>
      </c>
      <c r="H99" t="s">
        <v>777</v>
      </c>
      <c r="I99" t="str">
        <f>IFERROR(HYPERLINK("#Finance!B" &amp; MATCH(A99, 'F 2025'!A:A, 0), "🔗 Go to finance"), "❌ ID introuvable")</f>
        <v>❌ ID introuvable</v>
      </c>
      <c r="V99" t="s">
        <v>778</v>
      </c>
      <c r="Z99" t="s">
        <v>75</v>
      </c>
      <c r="AB99" t="s">
        <v>779</v>
      </c>
      <c r="AD99" s="130">
        <v>44652</v>
      </c>
      <c r="AE99"/>
      <c r="AG99" t="s">
        <v>76</v>
      </c>
      <c r="AI99" t="s">
        <v>779</v>
      </c>
      <c r="AK99" t="s">
        <v>102</v>
      </c>
      <c r="AM99" s="38"/>
      <c r="AO99" t="s">
        <v>776</v>
      </c>
      <c r="AR99" t="str">
        <f t="shared" si="6"/>
        <v/>
      </c>
      <c r="AS99" t="str">
        <f t="shared" si="7"/>
        <v/>
      </c>
      <c r="AT99" t="str">
        <f>IF(Table1[[#This Row],[Joining Date]]="", "", TEXT(Table1[[#This Row],[Joining Date]], "mmm"))</f>
        <v>Apr</v>
      </c>
      <c r="AU99">
        <f>IF(Table1[[#This Row],[Joining Date]]="", "", YEAR(Table1[[#This Row],[Joining Date]]))</f>
        <v>2022</v>
      </c>
      <c r="AV99" t="str">
        <f>IF(Table1[[#This Row],[Group Name]]="","", M99 &amp; Table1[[#This Row],[Teacher]])</f>
        <v/>
      </c>
      <c r="AW99" t="str">
        <f>IF(Table1[[#This Row],[Helper]]="","",IF(_xlfn.MAXIFS(AT:AT,AW:AW,Table1[[#This Row],[Helper]])=Table1[[#This Row],[Clean Frequency]],_xlfn.MAXIFS(AT:AT,AW:AW,Table1[[#This Row],[Helper]]),""))</f>
        <v/>
      </c>
      <c r="AX99" t="str">
        <f ca="1">IF(AND(AW99=_xlfn.MAXIFS(AX:AX, AW:AW, AV99), COUNTIFS(AV$3:AV99, AV99, AW$3:AW99, AW99)=1), 1, "")</f>
        <v/>
      </c>
      <c r="AY99" t="str">
        <f>IF(Table1[[#This Row],[lesson type]]="private",Table1[[#This Row],[Clean Frequency]],"")</f>
        <v/>
      </c>
      <c r="AZ99" t="str">
        <f ca="1">IF(Table1[[#This Row],[First Occurrence]]=1,Table1[[#This Row],[Group Frequency]],"")</f>
        <v/>
      </c>
      <c r="BA99" t="str">
        <f ca="1">IF(B99="Y", IF(Table1[[#This Row],[Stop]]="", TODAY() - Table1[[#This Row],[Joining Date]], Table1[[#This Row],[Stop]] - Table1[[#This Row],[Joining Date]]), "")</f>
        <v/>
      </c>
      <c r="BB99" t="str">
        <f>_xlfn.CONCAT(Table1[[#This Row],[t]]," ",Table1[[#This Row],[Last Name]])</f>
        <v>Miharu Horimoto</v>
      </c>
      <c r="BC99" t="str">
        <f>IF(OR(Table1[[#This Row],[Teacher]]="Alex",Table1[[#This Row],[Teacher]]=""), "", Table1[[#This Row],[For Salary]])</f>
        <v/>
      </c>
      <c r="BD99" t="str">
        <f>IF(OR(Table1[[#This Row],[Teacher]]="Alex",Table1[[#This Row],[Teacher]]=""), "", Table1[[#This Row],[For Amount]])</f>
        <v/>
      </c>
      <c r="BE99" t="str">
        <f>IFERROR(IF(VLOOKUP(Table1[[#This Row],[Teacher]],'Teachers Salaries'!A:C,2,FALSE)="","",VLOOKUP(Table1[[#This Row],[Teacher]],'Teachers Salaries'!A:C,2,FALSE)),"")</f>
        <v/>
      </c>
      <c r="BF99" t="str">
        <f>IFERROR(IF(VLOOKUP(Table1[[#This Row],[Teacher]],'Teachers Salaries'!A:C,3,FALSE)="","",VLOOKUP(Table1[[#This Row],[Teacher]],'Teachers Salaries'!A:C,3,FALSE)),"")</f>
        <v/>
      </c>
      <c r="BG99">
        <f ca="1">IFERROR(IF(Table1[[#This Row],[Pay Type]]="Fixed","-",Table1[[#This Row],[Final Group Frequency2]]*Table1[[#This Row],[Salary / Hourly Rate]]),0)</f>
        <v>0</v>
      </c>
      <c r="BH99">
        <f>IFERROR(IF(Table1[[#This Row],[Pay Type]]="Fixed","----",Table1[[#This Row],[Salary / Hourly Rate]]*Table1[[#This Row],[Final PrivateFrequency]]),0)</f>
        <v>0</v>
      </c>
      <c r="BI99">
        <f ca="1">IF(Table1[[#This Row],[Pay Type]]="Fixed","---",Table1[[#This Row],[Group Salary]]+Table1[[#This Row],[Private Salary]])</f>
        <v>0</v>
      </c>
      <c r="BJ99" t="str">
        <f>IF(OR(J99="Alex", J99=""),"", Table1[[#This Row],[For Amount]])</f>
        <v/>
      </c>
      <c r="BK99">
        <f ca="1">IFERROR(Table1[[#This Row],[Fee]]-Table1[[#This Row],[Total Salary]],"")</f>
        <v>0</v>
      </c>
      <c r="BL99" t="e">
        <f>IF(Table1[[#This Row],[Joining Date]]="","",IF(Table1[[#This Row],[Joining Date]]&lt;='KPI+Pivot'!$CP$1,Table1[[#This Row],[Fee]],""))</f>
        <v>#N/A</v>
      </c>
      <c r="BM9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99" t="e">
        <f>IF(Table1[[#This Row],[Joining Date]]="","",IF(Table1[[#This Row],[Joining Date]]&lt;='KPI+Pivot'!$CP$1,Table1[[#This Row],[Total Salary]],""))</f>
        <v>#N/A</v>
      </c>
      <c r="BO99" t="e">
        <f>IF(Table1[[#This Row],[Joining Date]]="","",IF(Table1[[#This Row],[Joining Date]]&lt;='KPI+Pivot'!$CP$1,Table1[[#This Row],[Frequency]],""))</f>
        <v>#N/A</v>
      </c>
      <c r="BP99" s="38" t="str">
        <f>IF(Table1[[#This Row],[Stop]]="","",(IF(Table1[[#This Row],[Joining Date]]="","",IF(Table1[[#This Row],[Joining Date]]&lt;='KPI+Pivot'!$CP$1,Table1[[#This Row],[Stop]],""))))</f>
        <v/>
      </c>
    </row>
    <row r="100" spans="1:68" ht="22.9" customHeight="1">
      <c r="B100" t="s">
        <v>66</v>
      </c>
      <c r="C100" t="s">
        <v>780</v>
      </c>
      <c r="F100" t="s">
        <v>781</v>
      </c>
      <c r="G100" t="s">
        <v>782</v>
      </c>
      <c r="H100" t="s">
        <v>783</v>
      </c>
      <c r="I100" t="str">
        <f>IFERROR(HYPERLINK("#Finance!B" &amp; MATCH(A100, 'F 2025'!A:A, 0), "🔗 Go to finance"), "❌ ID introuvable")</f>
        <v>❌ ID introuvable</v>
      </c>
      <c r="V100" t="s">
        <v>784</v>
      </c>
      <c r="W100" t="s">
        <v>784</v>
      </c>
      <c r="Z100" t="s">
        <v>75</v>
      </c>
      <c r="AD100" s="130"/>
      <c r="AE100"/>
      <c r="AG100" t="s">
        <v>76</v>
      </c>
      <c r="AK100" t="s">
        <v>401</v>
      </c>
      <c r="AM100" s="38">
        <v>45742</v>
      </c>
      <c r="AO100" t="s">
        <v>782</v>
      </c>
      <c r="AR100" t="str">
        <f t="shared" si="6"/>
        <v/>
      </c>
      <c r="AS100" t="str">
        <f t="shared" si="7"/>
        <v/>
      </c>
      <c r="AT100" t="str">
        <f>IF(Table1[[#This Row],[Joining Date]]="", "", TEXT(Table1[[#This Row],[Joining Date]], "mmm"))</f>
        <v/>
      </c>
      <c r="AU100" t="str">
        <f>IF(Table1[[#This Row],[Joining Date]]="", "", YEAR(Table1[[#This Row],[Joining Date]]))</f>
        <v/>
      </c>
      <c r="AV100" t="str">
        <f>IF(Table1[[#This Row],[Group Name]]="","", M100 &amp; Table1[[#This Row],[Teacher]])</f>
        <v/>
      </c>
      <c r="AW100" t="str">
        <f>IF(Table1[[#This Row],[Helper]]="","",IF(_xlfn.MAXIFS(AT:AT,AW:AW,Table1[[#This Row],[Helper]])=Table1[[#This Row],[Clean Frequency]],_xlfn.MAXIFS(AT:AT,AW:AW,Table1[[#This Row],[Helper]]),""))</f>
        <v/>
      </c>
      <c r="AX100" t="str">
        <f ca="1">IF(AND(AW100=_xlfn.MAXIFS(AX:AX, AW:AW, AV100), COUNTIFS(AV$3:AV100, AV100, AW$3:AW100, AW100)=1), 1, "")</f>
        <v/>
      </c>
      <c r="AY100" t="str">
        <f>IF(Table1[[#This Row],[lesson type]]="private",Table1[[#This Row],[Clean Frequency]],"")</f>
        <v/>
      </c>
      <c r="AZ100" t="str">
        <f ca="1">IF(Table1[[#This Row],[First Occurrence]]=1,Table1[[#This Row],[Group Frequency]],"")</f>
        <v/>
      </c>
      <c r="BA100" t="str">
        <f ca="1">IF(B100="Y", IF(Table1[[#This Row],[Stop]]="", TODAY() - Table1[[#This Row],[Joining Date]], Table1[[#This Row],[Stop]] - Table1[[#This Row],[Joining Date]]), "")</f>
        <v/>
      </c>
      <c r="BB100" t="str">
        <f>_xlfn.CONCAT(Table1[[#This Row],[t]]," ",Table1[[#This Row],[Last Name]])</f>
        <v xml:space="preserve">miho </v>
      </c>
      <c r="BC100" t="str">
        <f>IF(OR(Table1[[#This Row],[Teacher]]="Alex",Table1[[#This Row],[Teacher]]=""), "", Table1[[#This Row],[For Salary]])</f>
        <v/>
      </c>
      <c r="BD100" t="str">
        <f>IF(OR(Table1[[#This Row],[Teacher]]="Alex",Table1[[#This Row],[Teacher]]=""), "", Table1[[#This Row],[For Amount]])</f>
        <v/>
      </c>
      <c r="BE100" t="str">
        <f>IFERROR(IF(VLOOKUP(Table1[[#This Row],[Teacher]],'Teachers Salaries'!A:C,2,FALSE)="","",VLOOKUP(Table1[[#This Row],[Teacher]],'Teachers Salaries'!A:C,2,FALSE)),"")</f>
        <v/>
      </c>
      <c r="BF100" t="str">
        <f>IFERROR(IF(VLOOKUP(Table1[[#This Row],[Teacher]],'Teachers Salaries'!A:C,3,FALSE)="","",VLOOKUP(Table1[[#This Row],[Teacher]],'Teachers Salaries'!A:C,3,FALSE)),"")</f>
        <v/>
      </c>
      <c r="BG100">
        <f ca="1">IFERROR(IF(Table1[[#This Row],[Pay Type]]="Fixed","-",Table1[[#This Row],[Final Group Frequency2]]*Table1[[#This Row],[Salary / Hourly Rate]]),0)</f>
        <v>0</v>
      </c>
      <c r="BH100">
        <f>IFERROR(IF(Table1[[#This Row],[Pay Type]]="Fixed","----",Table1[[#This Row],[Salary / Hourly Rate]]*Table1[[#This Row],[Final PrivateFrequency]]),0)</f>
        <v>0</v>
      </c>
      <c r="BI100">
        <f ca="1">IF(Table1[[#This Row],[Pay Type]]="Fixed","---",Table1[[#This Row],[Group Salary]]+Table1[[#This Row],[Private Salary]])</f>
        <v>0</v>
      </c>
      <c r="BJ100" t="str">
        <f>IF(OR(J100="Alex", J100=""),"", Table1[[#This Row],[For Amount]])</f>
        <v/>
      </c>
      <c r="BK100">
        <f ca="1">IFERROR(Table1[[#This Row],[Fee]]-Table1[[#This Row],[Total Salary]],"")</f>
        <v>0</v>
      </c>
      <c r="BL100" t="str">
        <f>IF(Table1[[#This Row],[Joining Date]]="","",IF(Table1[[#This Row],[Joining Date]]&lt;='KPI+Pivot'!$CP$1,Table1[[#This Row],[Fee]],""))</f>
        <v/>
      </c>
      <c r="BM10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0" t="str">
        <f>IF(Table1[[#This Row],[Joining Date]]="","",IF(Table1[[#This Row],[Joining Date]]&lt;='KPI+Pivot'!$CP$1,Table1[[#This Row],[Total Salary]],""))</f>
        <v/>
      </c>
      <c r="BO100" t="str">
        <f>IF(Table1[[#This Row],[Joining Date]]="","",IF(Table1[[#This Row],[Joining Date]]&lt;='KPI+Pivot'!$CP$1,Table1[[#This Row],[Frequency]],""))</f>
        <v/>
      </c>
      <c r="BP100" s="38" t="str">
        <f>IF(Table1[[#This Row],[Stop]]="","",(IF(Table1[[#This Row],[Joining Date]]="","",IF(Table1[[#This Row],[Joining Date]]&lt;='KPI+Pivot'!$CP$1,Table1[[#This Row],[Stop]],""))))</f>
        <v/>
      </c>
    </row>
    <row r="101" spans="1:68" ht="22.9" customHeight="1">
      <c r="B101" t="s">
        <v>66</v>
      </c>
      <c r="C101" t="s">
        <v>780</v>
      </c>
      <c r="F101" t="s">
        <v>781</v>
      </c>
      <c r="G101" t="s">
        <v>782</v>
      </c>
      <c r="H101" t="s">
        <v>783</v>
      </c>
      <c r="I101" t="str">
        <f>IFERROR(HYPERLINK("#Finance!B" &amp; MATCH(A101, 'F 2025'!A:A, 0), "🔗 Go to finance"), "❌ ID introuvable")</f>
        <v>❌ ID introuvable</v>
      </c>
      <c r="V101" t="s">
        <v>784</v>
      </c>
      <c r="W101" t="s">
        <v>784</v>
      </c>
      <c r="Z101" t="s">
        <v>75</v>
      </c>
      <c r="AD101" s="130"/>
      <c r="AE101"/>
      <c r="AG101" t="s">
        <v>76</v>
      </c>
      <c r="AK101" t="s">
        <v>401</v>
      </c>
      <c r="AM101" s="38"/>
      <c r="AO101" t="s">
        <v>782</v>
      </c>
      <c r="AR101" t="str">
        <f t="shared" si="6"/>
        <v/>
      </c>
      <c r="AS101" t="str">
        <f t="shared" si="7"/>
        <v/>
      </c>
      <c r="AT101" t="str">
        <f>IF(Table1[[#This Row],[Joining Date]]="", "", TEXT(Table1[[#This Row],[Joining Date]], "mmm"))</f>
        <v/>
      </c>
      <c r="AU101" t="str">
        <f>IF(Table1[[#This Row],[Joining Date]]="", "", YEAR(Table1[[#This Row],[Joining Date]]))</f>
        <v/>
      </c>
      <c r="AV101" t="str">
        <f>IF(Table1[[#This Row],[Group Name]]="","", M101 &amp; Table1[[#This Row],[Teacher]])</f>
        <v/>
      </c>
      <c r="AW101" t="str">
        <f>IF(Table1[[#This Row],[Helper]]="","",IF(_xlfn.MAXIFS(AT:AT,AW:AW,Table1[[#This Row],[Helper]])=Table1[[#This Row],[Clean Frequency]],_xlfn.MAXIFS(AT:AT,AW:AW,Table1[[#This Row],[Helper]]),""))</f>
        <v/>
      </c>
      <c r="AX101" t="str">
        <f ca="1">IF(AND(AW101=_xlfn.MAXIFS(AX:AX, AW:AW, AV101), COUNTIFS(AV$3:AV101, AV101, AW$3:AW101, AW101)=1), 1, "")</f>
        <v/>
      </c>
      <c r="AY101" t="str">
        <f>IF(Table1[[#This Row],[lesson type]]="private",Table1[[#This Row],[Clean Frequency]],"")</f>
        <v/>
      </c>
      <c r="AZ101" t="str">
        <f ca="1">IF(Table1[[#This Row],[First Occurrence]]=1,Table1[[#This Row],[Group Frequency]],"")</f>
        <v/>
      </c>
      <c r="BA101" t="str">
        <f ca="1">IF(B101="Y", IF(Table1[[#This Row],[Stop]]="", TODAY() - Table1[[#This Row],[Joining Date]], Table1[[#This Row],[Stop]] - Table1[[#This Row],[Joining Date]]), "")</f>
        <v/>
      </c>
      <c r="BB101" t="str">
        <f>_xlfn.CONCAT(Table1[[#This Row],[t]]," ",Table1[[#This Row],[Last Name]])</f>
        <v xml:space="preserve">miho </v>
      </c>
      <c r="BC101" t="str">
        <f>IF(OR(Table1[[#This Row],[Teacher]]="Alex",Table1[[#This Row],[Teacher]]=""), "", Table1[[#This Row],[For Salary]])</f>
        <v/>
      </c>
      <c r="BD101" t="str">
        <f>IF(OR(Table1[[#This Row],[Teacher]]="Alex",Table1[[#This Row],[Teacher]]=""), "", Table1[[#This Row],[For Amount]])</f>
        <v/>
      </c>
      <c r="BE101" t="str">
        <f>IFERROR(IF(VLOOKUP(Table1[[#This Row],[Teacher]],'Teachers Salaries'!A:C,2,FALSE)="","",VLOOKUP(Table1[[#This Row],[Teacher]],'Teachers Salaries'!A:C,2,FALSE)),"")</f>
        <v/>
      </c>
      <c r="BF101" t="str">
        <f>IFERROR(IF(VLOOKUP(Table1[[#This Row],[Teacher]],'Teachers Salaries'!A:C,3,FALSE)="","",VLOOKUP(Table1[[#This Row],[Teacher]],'Teachers Salaries'!A:C,3,FALSE)),"")</f>
        <v/>
      </c>
      <c r="BG101">
        <f ca="1">IFERROR(IF(Table1[[#This Row],[Pay Type]]="Fixed","-",Table1[[#This Row],[Final Group Frequency2]]*Table1[[#This Row],[Salary / Hourly Rate]]),0)</f>
        <v>0</v>
      </c>
      <c r="BH101">
        <f>IFERROR(IF(Table1[[#This Row],[Pay Type]]="Fixed","----",Table1[[#This Row],[Salary / Hourly Rate]]*Table1[[#This Row],[Final PrivateFrequency]]),0)</f>
        <v>0</v>
      </c>
      <c r="BI101">
        <f ca="1">IF(Table1[[#This Row],[Pay Type]]="Fixed","---",Table1[[#This Row],[Group Salary]]+Table1[[#This Row],[Private Salary]])</f>
        <v>0</v>
      </c>
      <c r="BJ101" t="str">
        <f>IF(OR(J101="Alex", J101=""),"", Table1[[#This Row],[For Amount]])</f>
        <v/>
      </c>
      <c r="BK101">
        <f ca="1">IFERROR(Table1[[#This Row],[Fee]]-Table1[[#This Row],[Total Salary]],"")</f>
        <v>0</v>
      </c>
      <c r="BL101" t="str">
        <f>IF(Table1[[#This Row],[Joining Date]]="","",IF(Table1[[#This Row],[Joining Date]]&lt;='KPI+Pivot'!$CP$1,Table1[[#This Row],[Fee]],""))</f>
        <v/>
      </c>
      <c r="BM10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1" t="str">
        <f>IF(Table1[[#This Row],[Joining Date]]="","",IF(Table1[[#This Row],[Joining Date]]&lt;='KPI+Pivot'!$CP$1,Table1[[#This Row],[Total Salary]],""))</f>
        <v/>
      </c>
      <c r="BO101" t="str">
        <f>IF(Table1[[#This Row],[Joining Date]]="","",IF(Table1[[#This Row],[Joining Date]]&lt;='KPI+Pivot'!$CP$1,Table1[[#This Row],[Frequency]],""))</f>
        <v/>
      </c>
      <c r="BP101" s="38" t="str">
        <f>IF(Table1[[#This Row],[Stop]]="","",(IF(Table1[[#This Row],[Joining Date]]="","",IF(Table1[[#This Row],[Joining Date]]&lt;='KPI+Pivot'!$CP$1,Table1[[#This Row],[Stop]],""))))</f>
        <v/>
      </c>
    </row>
    <row r="102" spans="1:68" ht="18" customHeight="1">
      <c r="A102">
        <v>104</v>
      </c>
      <c r="B102" t="s">
        <v>103</v>
      </c>
      <c r="C102" t="s">
        <v>785</v>
      </c>
      <c r="D102" t="s">
        <v>178</v>
      </c>
      <c r="F102" t="s">
        <v>604</v>
      </c>
      <c r="G102" t="s">
        <v>605</v>
      </c>
      <c r="H102" t="s">
        <v>181</v>
      </c>
      <c r="I102" t="str">
        <f>IFERROR(HYPERLINK("#Finance!B" &amp; MATCH(A102, 'F 2025'!A:A, 0), "🔗 Go to finance"), "❌ ID introuvable")</f>
        <v>🔗 Go to finance</v>
      </c>
      <c r="J102" t="s">
        <v>109</v>
      </c>
      <c r="K102" t="s">
        <v>117</v>
      </c>
      <c r="L102" t="s">
        <v>502</v>
      </c>
      <c r="O102">
        <v>6050</v>
      </c>
      <c r="T102" s="130">
        <v>45019</v>
      </c>
      <c r="V102" t="s">
        <v>607</v>
      </c>
      <c r="W102" t="s">
        <v>607</v>
      </c>
      <c r="Y102">
        <v>8085582012</v>
      </c>
      <c r="Z102" t="s">
        <v>75</v>
      </c>
      <c r="AB102" t="s">
        <v>608</v>
      </c>
      <c r="AD102" s="130">
        <v>45019</v>
      </c>
      <c r="AE102"/>
      <c r="AG102" t="s">
        <v>76</v>
      </c>
      <c r="AI102" t="s">
        <v>608</v>
      </c>
      <c r="AK102" t="s">
        <v>102</v>
      </c>
      <c r="AM102" s="38"/>
      <c r="AO102" t="s">
        <v>605</v>
      </c>
      <c r="AR102" t="str">
        <f t="shared" si="6"/>
        <v>group</v>
      </c>
      <c r="AS102">
        <f t="shared" si="7"/>
        <v>4</v>
      </c>
      <c r="AT102" t="str">
        <f>IF(Table1[[#This Row],[Joining Date]]="", "", TEXT(Table1[[#This Row],[Joining Date]], "mmm"))</f>
        <v>Apr</v>
      </c>
      <c r="AU102">
        <f>IF(Table1[[#This Row],[Joining Date]]="", "", YEAR(Table1[[#This Row],[Joining Date]]))</f>
        <v>2023</v>
      </c>
      <c r="AV102" t="str">
        <f>IF(Table1[[#This Row],[Group Name]]="","", M102 &amp; Table1[[#This Row],[Teacher]])</f>
        <v/>
      </c>
      <c r="AW102" t="str">
        <f>IF(Table1[[#This Row],[Helper]]="","",IF(_xlfn.MAXIFS(AT:AT,AW:AW,Table1[[#This Row],[Helper]])=Table1[[#This Row],[Clean Frequency]],_xlfn.MAXIFS(AT:AT,AW:AW,Table1[[#This Row],[Helper]]),""))</f>
        <v/>
      </c>
      <c r="AX102" t="str">
        <f ca="1">IF(AND(AW102=_xlfn.MAXIFS(AX:AX, AW:AW, AV102), COUNTIFS(AV$3:AV102, AV102, AW$3:AW102, AW102)=1), 1, "")</f>
        <v/>
      </c>
      <c r="AY102" t="str">
        <f>IF(Table1[[#This Row],[lesson type]]="private",Table1[[#This Row],[Clean Frequency]],"")</f>
        <v/>
      </c>
      <c r="AZ102" t="str">
        <f ca="1">IF(Table1[[#This Row],[First Occurrence]]=1,Table1[[#This Row],[Group Frequency]],"")</f>
        <v/>
      </c>
      <c r="BA102">
        <f ca="1">IF(B102="Y", IF(Table1[[#This Row],[Stop]]="", TODAY() - Table1[[#This Row],[Joining Date]], Table1[[#This Row],[Stop]] - Table1[[#This Row],[Joining Date]]), "")</f>
        <v>1158</v>
      </c>
      <c r="BB102" t="str">
        <f>_xlfn.CONCAT(Table1[[#This Row],[t]]," ",Table1[[#This Row],[Last Name]])</f>
        <v>Mina Baba</v>
      </c>
      <c r="BC102" t="str">
        <f>IF(OR(Table1[[#This Row],[Teacher]]="Alex",Table1[[#This Row],[Teacher]]=""), "", Table1[[#This Row],[For Salary]])</f>
        <v/>
      </c>
      <c r="BD102" t="str">
        <f>IF(OR(Table1[[#This Row],[Teacher]]="Alex",Table1[[#This Row],[Teacher]]=""), "", Table1[[#This Row],[For Amount]])</f>
        <v/>
      </c>
      <c r="BE102" t="str">
        <f>IFERROR(IF(VLOOKUP(Table1[[#This Row],[Teacher]],'Teachers Salaries'!A:C,2,FALSE)="","",VLOOKUP(Table1[[#This Row],[Teacher]],'Teachers Salaries'!A:C,2,FALSE)),"")</f>
        <v>Fixed</v>
      </c>
      <c r="BF102">
        <f>IFERROR(IF(VLOOKUP(Table1[[#This Row],[Teacher]],'Teachers Salaries'!A:C,3,FALSE)="","",VLOOKUP(Table1[[#This Row],[Teacher]],'Teachers Salaries'!A:C,3,FALSE)),"")</f>
        <v>210000</v>
      </c>
      <c r="BG102" t="str">
        <f>IFERROR(IF(Table1[[#This Row],[Pay Type]]="Fixed","-",Table1[[#This Row],[Final Group Frequency2]]*Table1[[#This Row],[Salary / Hourly Rate]]),0)</f>
        <v>-</v>
      </c>
      <c r="BH102" t="str">
        <f>IFERROR(IF(Table1[[#This Row],[Pay Type]]="Fixed","----",Table1[[#This Row],[Salary / Hourly Rate]]*Table1[[#This Row],[Final PrivateFrequency]]),0)</f>
        <v>----</v>
      </c>
      <c r="BI102" t="str">
        <f>IF(Table1[[#This Row],[Pay Type]]="Fixed","---",Table1[[#This Row],[Group Salary]]+Table1[[#This Row],[Private Salary]])</f>
        <v>---</v>
      </c>
      <c r="BJ102" t="str">
        <f>IF(OR(J102="Alex", J102=""),"", Table1[[#This Row],[For Amount]])</f>
        <v/>
      </c>
      <c r="BK102" t="str">
        <f>IFERROR(Table1[[#This Row],[Fee]]-Table1[[#This Row],[Total Salary]],"")</f>
        <v/>
      </c>
      <c r="BL102" t="e">
        <f>IF(Table1[[#This Row],[Joining Date]]="","",IF(Table1[[#This Row],[Joining Date]]&lt;='KPI+Pivot'!$CP$1,Table1[[#This Row],[Fee]],""))</f>
        <v>#N/A</v>
      </c>
      <c r="BM10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02" t="e">
        <f>IF(Table1[[#This Row],[Joining Date]]="","",IF(Table1[[#This Row],[Joining Date]]&lt;='KPI+Pivot'!$CP$1,Table1[[#This Row],[Total Salary]],""))</f>
        <v>#N/A</v>
      </c>
      <c r="BO102" t="e">
        <f>IF(Table1[[#This Row],[Joining Date]]="","",IF(Table1[[#This Row],[Joining Date]]&lt;='KPI+Pivot'!$CP$1,Table1[[#This Row],[Frequency]],""))</f>
        <v>#N/A</v>
      </c>
      <c r="BP102" s="38" t="str">
        <f>IF(Table1[[#This Row],[Stop]]="","",(IF(Table1[[#This Row],[Joining Date]]="","",IF(Table1[[#This Row],[Joining Date]]&lt;='KPI+Pivot'!$CP$1,Table1[[#This Row],[Stop]],""))))</f>
        <v/>
      </c>
    </row>
    <row r="103" spans="1:68" ht="22.9" customHeight="1">
      <c r="B103" t="s">
        <v>66</v>
      </c>
      <c r="C103" t="s">
        <v>786</v>
      </c>
      <c r="D103" t="s">
        <v>787</v>
      </c>
      <c r="F103" t="s">
        <v>788</v>
      </c>
      <c r="G103" t="s">
        <v>789</v>
      </c>
      <c r="H103" t="s">
        <v>790</v>
      </c>
      <c r="I103" t="str">
        <f>IFERROR(HYPERLINK("#Finance!B" &amp; MATCH(A103, 'F 2025'!A:A, 0), "🔗 Go to finance"), "❌ ID introuvable")</f>
        <v>❌ ID introuvable</v>
      </c>
      <c r="L103" t="s">
        <v>90</v>
      </c>
      <c r="V103" t="s">
        <v>791</v>
      </c>
      <c r="Y103" t="s">
        <v>792</v>
      </c>
      <c r="Z103" t="s">
        <v>75</v>
      </c>
      <c r="AB103" t="s">
        <v>793</v>
      </c>
      <c r="AD103" s="130"/>
      <c r="AE103"/>
      <c r="AG103" t="s">
        <v>76</v>
      </c>
      <c r="AI103" t="s">
        <v>793</v>
      </c>
      <c r="AK103" t="s">
        <v>354</v>
      </c>
      <c r="AM103" s="38"/>
      <c r="AO103" t="s">
        <v>789</v>
      </c>
      <c r="AR103" t="str">
        <f t="shared" si="6"/>
        <v/>
      </c>
      <c r="AS103" t="str">
        <f t="shared" si="7"/>
        <v/>
      </c>
      <c r="AT103" t="str">
        <f>IF(Table1[[#This Row],[Joining Date]]="", "", TEXT(Table1[[#This Row],[Joining Date]], "mmm"))</f>
        <v/>
      </c>
      <c r="AU103" t="str">
        <f>IF(Table1[[#This Row],[Joining Date]]="", "", YEAR(Table1[[#This Row],[Joining Date]]))</f>
        <v/>
      </c>
      <c r="AV103" t="str">
        <f>IF(Table1[[#This Row],[Group Name]]="","", M103 &amp; Table1[[#This Row],[Teacher]])</f>
        <v/>
      </c>
      <c r="AW103" t="str">
        <f>IF(Table1[[#This Row],[Helper]]="","",IF(_xlfn.MAXIFS(AT:AT,AW:AW,Table1[[#This Row],[Helper]])=Table1[[#This Row],[Clean Frequency]],_xlfn.MAXIFS(AT:AT,AW:AW,Table1[[#This Row],[Helper]]),""))</f>
        <v/>
      </c>
      <c r="AX103" t="str">
        <f ca="1">IF(AND(AW103=_xlfn.MAXIFS(AX:AX, AW:AW, AV103), COUNTIFS(AV$3:AV103, AV103, AW$3:AW103, AW103)=1), 1, "")</f>
        <v/>
      </c>
      <c r="AY103" t="str">
        <f>IF(Table1[[#This Row],[lesson type]]="private",Table1[[#This Row],[Clean Frequency]],"")</f>
        <v/>
      </c>
      <c r="AZ103" t="str">
        <f ca="1">IF(Table1[[#This Row],[First Occurrence]]=1,Table1[[#This Row],[Group Frequency]],"")</f>
        <v/>
      </c>
      <c r="BA103" t="str">
        <f ca="1">IF(B103="Y", IF(Table1[[#This Row],[Stop]]="", TODAY() - Table1[[#This Row],[Joining Date]], Table1[[#This Row],[Stop]] - Table1[[#This Row],[Joining Date]]), "")</f>
        <v/>
      </c>
      <c r="BB103" t="str">
        <f>_xlfn.CONCAT(Table1[[#This Row],[t]]," ",Table1[[#This Row],[Last Name]])</f>
        <v>Minami Nagatomo</v>
      </c>
      <c r="BC103" t="str">
        <f>IF(OR(Table1[[#This Row],[Teacher]]="Alex",Table1[[#This Row],[Teacher]]=""), "", Table1[[#This Row],[For Salary]])</f>
        <v/>
      </c>
      <c r="BD103" t="str">
        <f>IF(OR(Table1[[#This Row],[Teacher]]="Alex",Table1[[#This Row],[Teacher]]=""), "", Table1[[#This Row],[For Amount]])</f>
        <v/>
      </c>
      <c r="BE103" t="str">
        <f>IFERROR(IF(VLOOKUP(Table1[[#This Row],[Teacher]],'Teachers Salaries'!A:C,2,FALSE)="","",VLOOKUP(Table1[[#This Row],[Teacher]],'Teachers Salaries'!A:C,2,FALSE)),"")</f>
        <v/>
      </c>
      <c r="BF103" t="str">
        <f>IFERROR(IF(VLOOKUP(Table1[[#This Row],[Teacher]],'Teachers Salaries'!A:C,3,FALSE)="","",VLOOKUP(Table1[[#This Row],[Teacher]],'Teachers Salaries'!A:C,3,FALSE)),"")</f>
        <v/>
      </c>
      <c r="BG103">
        <f ca="1">IFERROR(IF(Table1[[#This Row],[Pay Type]]="Fixed","-",Table1[[#This Row],[Final Group Frequency2]]*Table1[[#This Row],[Salary / Hourly Rate]]),0)</f>
        <v>0</v>
      </c>
      <c r="BH103">
        <f>IFERROR(IF(Table1[[#This Row],[Pay Type]]="Fixed","----",Table1[[#This Row],[Salary / Hourly Rate]]*Table1[[#This Row],[Final PrivateFrequency]]),0)</f>
        <v>0</v>
      </c>
      <c r="BI103">
        <f ca="1">IF(Table1[[#This Row],[Pay Type]]="Fixed","---",Table1[[#This Row],[Group Salary]]+Table1[[#This Row],[Private Salary]])</f>
        <v>0</v>
      </c>
      <c r="BJ103" t="str">
        <f>IF(OR(J103="Alex", J103=""),"", Table1[[#This Row],[For Amount]])</f>
        <v/>
      </c>
      <c r="BK103">
        <f ca="1">IFERROR(Table1[[#This Row],[Fee]]-Table1[[#This Row],[Total Salary]],"")</f>
        <v>0</v>
      </c>
      <c r="BL103" t="str">
        <f>IF(Table1[[#This Row],[Joining Date]]="","",IF(Table1[[#This Row],[Joining Date]]&lt;='KPI+Pivot'!$CP$1,Table1[[#This Row],[Fee]],""))</f>
        <v/>
      </c>
      <c r="BM10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3" t="str">
        <f>IF(Table1[[#This Row],[Joining Date]]="","",IF(Table1[[#This Row],[Joining Date]]&lt;='KPI+Pivot'!$CP$1,Table1[[#This Row],[Total Salary]],""))</f>
        <v/>
      </c>
      <c r="BO103" t="str">
        <f>IF(Table1[[#This Row],[Joining Date]]="","",IF(Table1[[#This Row],[Joining Date]]&lt;='KPI+Pivot'!$CP$1,Table1[[#This Row],[Frequency]],""))</f>
        <v/>
      </c>
      <c r="BP103" s="38" t="str">
        <f>IF(Table1[[#This Row],[Stop]]="","",(IF(Table1[[#This Row],[Joining Date]]="","",IF(Table1[[#This Row],[Joining Date]]&lt;='KPI+Pivot'!$CP$1,Table1[[#This Row],[Stop]],""))))</f>
        <v/>
      </c>
    </row>
    <row r="104" spans="1:68" ht="22.9" customHeight="1">
      <c r="B104" t="s">
        <v>66</v>
      </c>
      <c r="C104" t="s">
        <v>794</v>
      </c>
      <c r="D104" t="s">
        <v>795</v>
      </c>
      <c r="F104" t="s">
        <v>796</v>
      </c>
      <c r="G104" t="s">
        <v>797</v>
      </c>
      <c r="H104" t="s">
        <v>798</v>
      </c>
      <c r="I104" t="str">
        <f>IFERROR(HYPERLINK("#Finance!B" &amp; MATCH(A104, 'F 2025'!A:A, 0), "🔗 Go to finance"), "❌ ID introuvable")</f>
        <v>❌ ID introuvable</v>
      </c>
      <c r="L104" t="s">
        <v>72</v>
      </c>
      <c r="V104" t="s">
        <v>799</v>
      </c>
      <c r="Y104">
        <v>8039758545</v>
      </c>
      <c r="Z104" t="s">
        <v>75</v>
      </c>
      <c r="AB104" t="s">
        <v>800</v>
      </c>
      <c r="AD104" s="130">
        <v>44348</v>
      </c>
      <c r="AE104"/>
      <c r="AG104" t="s">
        <v>76</v>
      </c>
      <c r="AI104" t="s">
        <v>800</v>
      </c>
      <c r="AK104" t="s">
        <v>72</v>
      </c>
      <c r="AM104" s="38"/>
      <c r="AO104" t="s">
        <v>797</v>
      </c>
      <c r="AR104" t="str">
        <f t="shared" si="6"/>
        <v/>
      </c>
      <c r="AS104" t="str">
        <f t="shared" si="7"/>
        <v/>
      </c>
      <c r="AT104" t="str">
        <f>IF(Table1[[#This Row],[Joining Date]]="", "", TEXT(Table1[[#This Row],[Joining Date]], "mmm"))</f>
        <v>Jun</v>
      </c>
      <c r="AU104">
        <f>IF(Table1[[#This Row],[Joining Date]]="", "", YEAR(Table1[[#This Row],[Joining Date]]))</f>
        <v>2021</v>
      </c>
      <c r="AV104" t="str">
        <f>IF(Table1[[#This Row],[Group Name]]="","", M104 &amp; Table1[[#This Row],[Teacher]])</f>
        <v/>
      </c>
      <c r="AW104" t="str">
        <f>IF(Table1[[#This Row],[Helper]]="","",IF(_xlfn.MAXIFS(AT:AT,AW:AW,Table1[[#This Row],[Helper]])=Table1[[#This Row],[Clean Frequency]],_xlfn.MAXIFS(AT:AT,AW:AW,Table1[[#This Row],[Helper]]),""))</f>
        <v/>
      </c>
      <c r="AX104" t="str">
        <f ca="1">IF(AND(AW104=_xlfn.MAXIFS(AX:AX, AW:AW, AV104), COUNTIFS(AV$3:AV104, AV104, AW$3:AW104, AW104)=1), 1, "")</f>
        <v/>
      </c>
      <c r="AY104" t="str">
        <f>IF(Table1[[#This Row],[lesson type]]="private",Table1[[#This Row],[Clean Frequency]],"")</f>
        <v/>
      </c>
      <c r="AZ104" t="str">
        <f ca="1">IF(Table1[[#This Row],[First Occurrence]]=1,Table1[[#This Row],[Group Frequency]],"")</f>
        <v/>
      </c>
      <c r="BA104" t="str">
        <f ca="1">IF(B104="Y", IF(Table1[[#This Row],[Stop]]="", TODAY() - Table1[[#This Row],[Joining Date]], Table1[[#This Row],[Stop]] - Table1[[#This Row],[Joining Date]]), "")</f>
        <v/>
      </c>
      <c r="BB104" t="str">
        <f>_xlfn.CONCAT(Table1[[#This Row],[t]]," ",Table1[[#This Row],[Last Name]])</f>
        <v>Minato Koshino</v>
      </c>
      <c r="BC104" t="str">
        <f>IF(OR(Table1[[#This Row],[Teacher]]="Alex",Table1[[#This Row],[Teacher]]=""), "", Table1[[#This Row],[For Salary]])</f>
        <v/>
      </c>
      <c r="BD104" t="str">
        <f>IF(OR(Table1[[#This Row],[Teacher]]="Alex",Table1[[#This Row],[Teacher]]=""), "", Table1[[#This Row],[For Amount]])</f>
        <v/>
      </c>
      <c r="BE104" t="str">
        <f>IFERROR(IF(VLOOKUP(Table1[[#This Row],[Teacher]],'Teachers Salaries'!A:C,2,FALSE)="","",VLOOKUP(Table1[[#This Row],[Teacher]],'Teachers Salaries'!A:C,2,FALSE)),"")</f>
        <v/>
      </c>
      <c r="BF104" t="str">
        <f>IFERROR(IF(VLOOKUP(Table1[[#This Row],[Teacher]],'Teachers Salaries'!A:C,3,FALSE)="","",VLOOKUP(Table1[[#This Row],[Teacher]],'Teachers Salaries'!A:C,3,FALSE)),"")</f>
        <v/>
      </c>
      <c r="BG104">
        <f ca="1">IFERROR(IF(Table1[[#This Row],[Pay Type]]="Fixed","-",Table1[[#This Row],[Final Group Frequency2]]*Table1[[#This Row],[Salary / Hourly Rate]]),0)</f>
        <v>0</v>
      </c>
      <c r="BH104">
        <f>IFERROR(IF(Table1[[#This Row],[Pay Type]]="Fixed","----",Table1[[#This Row],[Salary / Hourly Rate]]*Table1[[#This Row],[Final PrivateFrequency]]),0)</f>
        <v>0</v>
      </c>
      <c r="BI104">
        <f ca="1">IF(Table1[[#This Row],[Pay Type]]="Fixed","---",Table1[[#This Row],[Group Salary]]+Table1[[#This Row],[Private Salary]])</f>
        <v>0</v>
      </c>
      <c r="BJ104" t="str">
        <f>IF(OR(J104="Alex", J104=""),"", Table1[[#This Row],[For Amount]])</f>
        <v/>
      </c>
      <c r="BK104">
        <f ca="1">IFERROR(Table1[[#This Row],[Fee]]-Table1[[#This Row],[Total Salary]],"")</f>
        <v>0</v>
      </c>
      <c r="BL104" t="e">
        <f>IF(Table1[[#This Row],[Joining Date]]="","",IF(Table1[[#This Row],[Joining Date]]&lt;='KPI+Pivot'!$CP$1,Table1[[#This Row],[Fee]],""))</f>
        <v>#N/A</v>
      </c>
      <c r="BM10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04" t="e">
        <f>IF(Table1[[#This Row],[Joining Date]]="","",IF(Table1[[#This Row],[Joining Date]]&lt;='KPI+Pivot'!$CP$1,Table1[[#This Row],[Total Salary]],""))</f>
        <v>#N/A</v>
      </c>
      <c r="BO104" t="e">
        <f>IF(Table1[[#This Row],[Joining Date]]="","",IF(Table1[[#This Row],[Joining Date]]&lt;='KPI+Pivot'!$CP$1,Table1[[#This Row],[Frequency]],""))</f>
        <v>#N/A</v>
      </c>
      <c r="BP104" s="38" t="str">
        <f>IF(Table1[[#This Row],[Stop]]="","",(IF(Table1[[#This Row],[Joining Date]]="","",IF(Table1[[#This Row],[Joining Date]]&lt;='KPI+Pivot'!$CP$1,Table1[[#This Row],[Stop]],""))))</f>
        <v/>
      </c>
    </row>
    <row r="105" spans="1:68" ht="22.9" customHeight="1">
      <c r="B105" t="s">
        <v>66</v>
      </c>
      <c r="C105" t="s">
        <v>801</v>
      </c>
      <c r="D105" t="s">
        <v>802</v>
      </c>
      <c r="F105" t="s">
        <v>803</v>
      </c>
      <c r="G105" t="s">
        <v>804</v>
      </c>
      <c r="H105" t="s">
        <v>562</v>
      </c>
      <c r="I105" t="str">
        <f>IFERROR(HYPERLINK("#Finance!B" &amp; MATCH(A105, 'F 2025'!A:A, 0), "🔗 Go to finance"), "❌ ID introuvable")</f>
        <v>❌ ID introuvable</v>
      </c>
      <c r="V105" t="s">
        <v>805</v>
      </c>
      <c r="Y105" t="s">
        <v>806</v>
      </c>
      <c r="Z105" t="s">
        <v>75</v>
      </c>
      <c r="AB105" t="s">
        <v>807</v>
      </c>
      <c r="AD105" s="130"/>
      <c r="AE105"/>
      <c r="AG105" t="s">
        <v>76</v>
      </c>
      <c r="AI105" t="s">
        <v>807</v>
      </c>
      <c r="AK105" t="s">
        <v>84</v>
      </c>
      <c r="AM105" s="38"/>
      <c r="AO105" t="s">
        <v>804</v>
      </c>
      <c r="AR105" t="str">
        <f t="shared" si="6"/>
        <v/>
      </c>
      <c r="AS105" t="str">
        <f t="shared" si="7"/>
        <v/>
      </c>
      <c r="AT105" t="str">
        <f>IF(Table1[[#This Row],[Joining Date]]="", "", TEXT(Table1[[#This Row],[Joining Date]], "mmm"))</f>
        <v/>
      </c>
      <c r="AU105" t="str">
        <f>IF(Table1[[#This Row],[Joining Date]]="", "", YEAR(Table1[[#This Row],[Joining Date]]))</f>
        <v/>
      </c>
      <c r="AV105" t="str">
        <f>IF(Table1[[#This Row],[Group Name]]="","", M105 &amp; Table1[[#This Row],[Teacher]])</f>
        <v/>
      </c>
      <c r="AW105" t="str">
        <f>IF(Table1[[#This Row],[Helper]]="","",IF(_xlfn.MAXIFS(AT:AT,AW:AW,Table1[[#This Row],[Helper]])=Table1[[#This Row],[Clean Frequency]],_xlfn.MAXIFS(AT:AT,AW:AW,Table1[[#This Row],[Helper]]),""))</f>
        <v/>
      </c>
      <c r="AX105" t="str">
        <f ca="1">IF(AND(AW105=_xlfn.MAXIFS(AX:AX, AW:AW, AV105), COUNTIFS(AV$3:AV105, AV105, AW$3:AW105, AW105)=1), 1, "")</f>
        <v/>
      </c>
      <c r="AY105" t="str">
        <f>IF(Table1[[#This Row],[lesson type]]="private",Table1[[#This Row],[Clean Frequency]],"")</f>
        <v/>
      </c>
      <c r="AZ105" t="str">
        <f ca="1">IF(Table1[[#This Row],[First Occurrence]]=1,Table1[[#This Row],[Group Frequency]],"")</f>
        <v/>
      </c>
      <c r="BA105" t="str">
        <f ca="1">IF(B105="Y", IF(Table1[[#This Row],[Stop]]="", TODAY() - Table1[[#This Row],[Joining Date]], Table1[[#This Row],[Stop]] - Table1[[#This Row],[Joining Date]]), "")</f>
        <v/>
      </c>
      <c r="BB105" t="str">
        <f>_xlfn.CONCAT(Table1[[#This Row],[t]]," ",Table1[[#This Row],[Last Name]])</f>
        <v>Mio Miyamoto</v>
      </c>
      <c r="BC105" t="str">
        <f>IF(OR(Table1[[#This Row],[Teacher]]="Alex",Table1[[#This Row],[Teacher]]=""), "", Table1[[#This Row],[For Salary]])</f>
        <v/>
      </c>
      <c r="BD105" t="str">
        <f>IF(OR(Table1[[#This Row],[Teacher]]="Alex",Table1[[#This Row],[Teacher]]=""), "", Table1[[#This Row],[For Amount]])</f>
        <v/>
      </c>
      <c r="BE105" t="str">
        <f>IFERROR(IF(VLOOKUP(Table1[[#This Row],[Teacher]],'Teachers Salaries'!A:C,2,FALSE)="","",VLOOKUP(Table1[[#This Row],[Teacher]],'Teachers Salaries'!A:C,2,FALSE)),"")</f>
        <v/>
      </c>
      <c r="BF105" t="str">
        <f>IFERROR(IF(VLOOKUP(Table1[[#This Row],[Teacher]],'Teachers Salaries'!A:C,3,FALSE)="","",VLOOKUP(Table1[[#This Row],[Teacher]],'Teachers Salaries'!A:C,3,FALSE)),"")</f>
        <v/>
      </c>
      <c r="BG105">
        <f ca="1">IFERROR(IF(Table1[[#This Row],[Pay Type]]="Fixed","-",Table1[[#This Row],[Final Group Frequency2]]*Table1[[#This Row],[Salary / Hourly Rate]]),0)</f>
        <v>0</v>
      </c>
      <c r="BH105">
        <f>IFERROR(IF(Table1[[#This Row],[Pay Type]]="Fixed","----",Table1[[#This Row],[Salary / Hourly Rate]]*Table1[[#This Row],[Final PrivateFrequency]]),0)</f>
        <v>0</v>
      </c>
      <c r="BI105">
        <f ca="1">IF(Table1[[#This Row],[Pay Type]]="Fixed","---",Table1[[#This Row],[Group Salary]]+Table1[[#This Row],[Private Salary]])</f>
        <v>0</v>
      </c>
      <c r="BJ105" t="str">
        <f>IF(OR(J105="Alex", J105=""),"", Table1[[#This Row],[For Amount]])</f>
        <v/>
      </c>
      <c r="BK105">
        <f ca="1">IFERROR(Table1[[#This Row],[Fee]]-Table1[[#This Row],[Total Salary]],"")</f>
        <v>0</v>
      </c>
      <c r="BL105" t="str">
        <f>IF(Table1[[#This Row],[Joining Date]]="","",IF(Table1[[#This Row],[Joining Date]]&lt;='KPI+Pivot'!$CP$1,Table1[[#This Row],[Fee]],""))</f>
        <v/>
      </c>
      <c r="BM10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5" t="str">
        <f>IF(Table1[[#This Row],[Joining Date]]="","",IF(Table1[[#This Row],[Joining Date]]&lt;='KPI+Pivot'!$CP$1,Table1[[#This Row],[Total Salary]],""))</f>
        <v/>
      </c>
      <c r="BO105" t="str">
        <f>IF(Table1[[#This Row],[Joining Date]]="","",IF(Table1[[#This Row],[Joining Date]]&lt;='KPI+Pivot'!$CP$1,Table1[[#This Row],[Frequency]],""))</f>
        <v/>
      </c>
      <c r="BP105" s="38" t="str">
        <f>IF(Table1[[#This Row],[Stop]]="","",(IF(Table1[[#This Row],[Joining Date]]="","",IF(Table1[[#This Row],[Joining Date]]&lt;='KPI+Pivot'!$CP$1,Table1[[#This Row],[Stop]],""))))</f>
        <v/>
      </c>
    </row>
    <row r="106" spans="1:68" ht="22.9" customHeight="1">
      <c r="A106">
        <v>70</v>
      </c>
      <c r="B106" t="s">
        <v>66</v>
      </c>
      <c r="C106" t="s">
        <v>808</v>
      </c>
      <c r="D106" t="s">
        <v>733</v>
      </c>
      <c r="F106" t="s">
        <v>809</v>
      </c>
      <c r="G106" t="s">
        <v>810</v>
      </c>
      <c r="H106" t="s">
        <v>736</v>
      </c>
      <c r="I106" t="str">
        <f>IFERROR(HYPERLINK("#Finance!B" &amp; MATCH(A106, 'F 2025'!A:A, 0), "🔗 Go to finance"), "❌ ID introuvable")</f>
        <v>🔗 Go to finance</v>
      </c>
      <c r="L106" t="s">
        <v>102</v>
      </c>
      <c r="V106" t="s">
        <v>737</v>
      </c>
      <c r="Y106" t="s">
        <v>811</v>
      </c>
      <c r="Z106" t="s">
        <v>75</v>
      </c>
      <c r="AB106" t="s">
        <v>738</v>
      </c>
      <c r="AD106" s="130"/>
      <c r="AE106"/>
      <c r="AG106" t="s">
        <v>76</v>
      </c>
      <c r="AI106" t="s">
        <v>738</v>
      </c>
      <c r="AK106" t="s">
        <v>102</v>
      </c>
      <c r="AM106" s="38">
        <v>45716</v>
      </c>
      <c r="AO106" t="s">
        <v>810</v>
      </c>
      <c r="AR106" t="str">
        <f t="shared" si="6"/>
        <v/>
      </c>
      <c r="AS106" t="str">
        <f t="shared" si="7"/>
        <v/>
      </c>
      <c r="AT106" t="str">
        <f>IF(Table1[[#This Row],[Joining Date]]="", "", TEXT(Table1[[#This Row],[Joining Date]], "mmm"))</f>
        <v/>
      </c>
      <c r="AU106" t="str">
        <f>IF(Table1[[#This Row],[Joining Date]]="", "", YEAR(Table1[[#This Row],[Joining Date]]))</f>
        <v/>
      </c>
      <c r="AV106" t="str">
        <f>IF(Table1[[#This Row],[Group Name]]="","", M106 &amp; Table1[[#This Row],[Teacher]])</f>
        <v/>
      </c>
      <c r="AW106" t="str">
        <f>IF(Table1[[#This Row],[Helper]]="","",IF(_xlfn.MAXIFS(AT:AT,AW:AW,Table1[[#This Row],[Helper]])=Table1[[#This Row],[Clean Frequency]],_xlfn.MAXIFS(AT:AT,AW:AW,Table1[[#This Row],[Helper]]),""))</f>
        <v/>
      </c>
      <c r="AX106" t="str">
        <f ca="1">IF(AND(AW106=_xlfn.MAXIFS(AX:AX, AW:AW, AV106), COUNTIFS(AV$3:AV106, AV106, AW$3:AW106, AW106)=1), 1, "")</f>
        <v/>
      </c>
      <c r="AY106" t="str">
        <f>IF(Table1[[#This Row],[lesson type]]="private",Table1[[#This Row],[Clean Frequency]],"")</f>
        <v/>
      </c>
      <c r="AZ106" t="str">
        <f ca="1">IF(Table1[[#This Row],[First Occurrence]]=1,Table1[[#This Row],[Group Frequency]],"")</f>
        <v/>
      </c>
      <c r="BA106" t="str">
        <f ca="1">IF(B106="Y", IF(Table1[[#This Row],[Stop]]="", TODAY() - Table1[[#This Row],[Joining Date]], Table1[[#This Row],[Stop]] - Table1[[#This Row],[Joining Date]]), "")</f>
        <v/>
      </c>
      <c r="BB106" t="str">
        <f>_xlfn.CONCAT(Table1[[#This Row],[t]]," ",Table1[[#This Row],[Last Name]])</f>
        <v>Mirei Adachi</v>
      </c>
      <c r="BC106" t="str">
        <f>IF(OR(Table1[[#This Row],[Teacher]]="Alex",Table1[[#This Row],[Teacher]]=""), "", Table1[[#This Row],[For Salary]])</f>
        <v/>
      </c>
      <c r="BD106" t="str">
        <f>IF(OR(Table1[[#This Row],[Teacher]]="Alex",Table1[[#This Row],[Teacher]]=""), "", Table1[[#This Row],[For Amount]])</f>
        <v/>
      </c>
      <c r="BE106" t="str">
        <f>IFERROR(IF(VLOOKUP(Table1[[#This Row],[Teacher]],'Teachers Salaries'!A:C,2,FALSE)="","",VLOOKUP(Table1[[#This Row],[Teacher]],'Teachers Salaries'!A:C,2,FALSE)),"")</f>
        <v/>
      </c>
      <c r="BF106" t="str">
        <f>IFERROR(IF(VLOOKUP(Table1[[#This Row],[Teacher]],'Teachers Salaries'!A:C,3,FALSE)="","",VLOOKUP(Table1[[#This Row],[Teacher]],'Teachers Salaries'!A:C,3,FALSE)),"")</f>
        <v/>
      </c>
      <c r="BG106">
        <f ca="1">IFERROR(IF(Table1[[#This Row],[Pay Type]]="Fixed","-",Table1[[#This Row],[Final Group Frequency2]]*Table1[[#This Row],[Salary / Hourly Rate]]),0)</f>
        <v>0</v>
      </c>
      <c r="BH106">
        <f>IFERROR(IF(Table1[[#This Row],[Pay Type]]="Fixed","----",Table1[[#This Row],[Salary / Hourly Rate]]*Table1[[#This Row],[Final PrivateFrequency]]),0)</f>
        <v>0</v>
      </c>
      <c r="BI106">
        <f ca="1">IF(Table1[[#This Row],[Pay Type]]="Fixed","---",Table1[[#This Row],[Group Salary]]+Table1[[#This Row],[Private Salary]])</f>
        <v>0</v>
      </c>
      <c r="BJ106" t="str">
        <f>IF(OR(J106="Alex", J106=""),"", Table1[[#This Row],[For Amount]])</f>
        <v/>
      </c>
      <c r="BK106">
        <f ca="1">IFERROR(Table1[[#This Row],[Fee]]-Table1[[#This Row],[Total Salary]],"")</f>
        <v>0</v>
      </c>
      <c r="BL106" t="str">
        <f>IF(Table1[[#This Row],[Joining Date]]="","",IF(Table1[[#This Row],[Joining Date]]&lt;='KPI+Pivot'!$CP$1,Table1[[#This Row],[Fee]],""))</f>
        <v/>
      </c>
      <c r="BM10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6" t="str">
        <f>IF(Table1[[#This Row],[Joining Date]]="","",IF(Table1[[#This Row],[Joining Date]]&lt;='KPI+Pivot'!$CP$1,Table1[[#This Row],[Total Salary]],""))</f>
        <v/>
      </c>
      <c r="BO106" t="str">
        <f>IF(Table1[[#This Row],[Joining Date]]="","",IF(Table1[[#This Row],[Joining Date]]&lt;='KPI+Pivot'!$CP$1,Table1[[#This Row],[Frequency]],""))</f>
        <v/>
      </c>
      <c r="BP106" s="38" t="str">
        <f>IF(Table1[[#This Row],[Stop]]="","",(IF(Table1[[#This Row],[Joining Date]]="","",IF(Table1[[#This Row],[Joining Date]]&lt;='KPI+Pivot'!$CP$1,Table1[[#This Row],[Stop]],""))))</f>
        <v/>
      </c>
    </row>
    <row r="107" spans="1:68" ht="22.9" customHeight="1">
      <c r="B107" t="s">
        <v>66</v>
      </c>
      <c r="C107" t="s">
        <v>812</v>
      </c>
      <c r="D107" t="s">
        <v>813</v>
      </c>
      <c r="F107" t="s">
        <v>814</v>
      </c>
      <c r="G107" t="s">
        <v>815</v>
      </c>
      <c r="H107" t="s">
        <v>816</v>
      </c>
      <c r="I107" t="str">
        <f>IFERROR(HYPERLINK("#Finance!B" &amp; MATCH(A107, 'F 2025'!A:A, 0), "🔗 Go to finance"), "❌ ID introuvable")</f>
        <v>❌ ID introuvable</v>
      </c>
      <c r="V107" t="s">
        <v>817</v>
      </c>
      <c r="Z107" t="s">
        <v>75</v>
      </c>
      <c r="AB107" t="s">
        <v>818</v>
      </c>
      <c r="AD107" s="130">
        <v>44930</v>
      </c>
      <c r="AE107"/>
      <c r="AG107" t="s">
        <v>76</v>
      </c>
      <c r="AI107" t="s">
        <v>818</v>
      </c>
      <c r="AK107" t="s">
        <v>362</v>
      </c>
      <c r="AM107" s="38"/>
      <c r="AO107" t="s">
        <v>815</v>
      </c>
      <c r="AR107" t="str">
        <f t="shared" si="6"/>
        <v/>
      </c>
      <c r="AS107" t="str">
        <f t="shared" si="7"/>
        <v/>
      </c>
      <c r="AT107" t="str">
        <f>IF(Table1[[#This Row],[Joining Date]]="", "", TEXT(Table1[[#This Row],[Joining Date]], "mmm"))</f>
        <v>Jan</v>
      </c>
      <c r="AU107">
        <f>IF(Table1[[#This Row],[Joining Date]]="", "", YEAR(Table1[[#This Row],[Joining Date]]))</f>
        <v>2023</v>
      </c>
      <c r="AV107" t="str">
        <f>IF(Table1[[#This Row],[Group Name]]="","", M107 &amp; Table1[[#This Row],[Teacher]])</f>
        <v/>
      </c>
      <c r="AW107" t="str">
        <f>IF(Table1[[#This Row],[Helper]]="","",IF(_xlfn.MAXIFS(AT:AT,AW:AW,Table1[[#This Row],[Helper]])=Table1[[#This Row],[Clean Frequency]],_xlfn.MAXIFS(AT:AT,AW:AW,Table1[[#This Row],[Helper]]),""))</f>
        <v/>
      </c>
      <c r="AX107" t="str">
        <f ca="1">IF(AND(AW107=_xlfn.MAXIFS(AX:AX, AW:AW, AV107), COUNTIFS(AV$3:AV107, AV107, AW$3:AW107, AW107)=1), 1, "")</f>
        <v/>
      </c>
      <c r="AY107" t="str">
        <f>IF(Table1[[#This Row],[lesson type]]="private",Table1[[#This Row],[Clean Frequency]],"")</f>
        <v/>
      </c>
      <c r="AZ107" t="str">
        <f ca="1">IF(Table1[[#This Row],[First Occurrence]]=1,Table1[[#This Row],[Group Frequency]],"")</f>
        <v/>
      </c>
      <c r="BA107" t="str">
        <f ca="1">IF(B107="Y", IF(Table1[[#This Row],[Stop]]="", TODAY() - Table1[[#This Row],[Joining Date]], Table1[[#This Row],[Stop]] - Table1[[#This Row],[Joining Date]]), "")</f>
        <v/>
      </c>
      <c r="BB107" t="str">
        <f>_xlfn.CONCAT(Table1[[#This Row],[t]]," ",Table1[[#This Row],[Last Name]])</f>
        <v>Misora kuroki</v>
      </c>
      <c r="BC107" t="str">
        <f>IF(OR(Table1[[#This Row],[Teacher]]="Alex",Table1[[#This Row],[Teacher]]=""), "", Table1[[#This Row],[For Salary]])</f>
        <v/>
      </c>
      <c r="BD107" t="str">
        <f>IF(OR(Table1[[#This Row],[Teacher]]="Alex",Table1[[#This Row],[Teacher]]=""), "", Table1[[#This Row],[For Amount]])</f>
        <v/>
      </c>
      <c r="BE107" t="str">
        <f>IFERROR(IF(VLOOKUP(Table1[[#This Row],[Teacher]],'Teachers Salaries'!A:C,2,FALSE)="","",VLOOKUP(Table1[[#This Row],[Teacher]],'Teachers Salaries'!A:C,2,FALSE)),"")</f>
        <v/>
      </c>
      <c r="BF107" t="str">
        <f>IFERROR(IF(VLOOKUP(Table1[[#This Row],[Teacher]],'Teachers Salaries'!A:C,3,FALSE)="","",VLOOKUP(Table1[[#This Row],[Teacher]],'Teachers Salaries'!A:C,3,FALSE)),"")</f>
        <v/>
      </c>
      <c r="BG107">
        <f ca="1">IFERROR(IF(Table1[[#This Row],[Pay Type]]="Fixed","-",Table1[[#This Row],[Final Group Frequency2]]*Table1[[#This Row],[Salary / Hourly Rate]]),0)</f>
        <v>0</v>
      </c>
      <c r="BH107">
        <f>IFERROR(IF(Table1[[#This Row],[Pay Type]]="Fixed","----",Table1[[#This Row],[Salary / Hourly Rate]]*Table1[[#This Row],[Final PrivateFrequency]]),0)</f>
        <v>0</v>
      </c>
      <c r="BI107">
        <f ca="1">IF(Table1[[#This Row],[Pay Type]]="Fixed","---",Table1[[#This Row],[Group Salary]]+Table1[[#This Row],[Private Salary]])</f>
        <v>0</v>
      </c>
      <c r="BJ107" t="str">
        <f>IF(OR(J107="Alex", J107=""),"", Table1[[#This Row],[For Amount]])</f>
        <v/>
      </c>
      <c r="BK107">
        <f ca="1">IFERROR(Table1[[#This Row],[Fee]]-Table1[[#This Row],[Total Salary]],"")</f>
        <v>0</v>
      </c>
      <c r="BL107" t="e">
        <f>IF(Table1[[#This Row],[Joining Date]]="","",IF(Table1[[#This Row],[Joining Date]]&lt;='KPI+Pivot'!$CP$1,Table1[[#This Row],[Fee]],""))</f>
        <v>#N/A</v>
      </c>
      <c r="BM10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07" t="e">
        <f>IF(Table1[[#This Row],[Joining Date]]="","",IF(Table1[[#This Row],[Joining Date]]&lt;='KPI+Pivot'!$CP$1,Table1[[#This Row],[Total Salary]],""))</f>
        <v>#N/A</v>
      </c>
      <c r="BO107" t="e">
        <f>IF(Table1[[#This Row],[Joining Date]]="","",IF(Table1[[#This Row],[Joining Date]]&lt;='KPI+Pivot'!$CP$1,Table1[[#This Row],[Frequency]],""))</f>
        <v>#N/A</v>
      </c>
      <c r="BP107" s="38" t="str">
        <f>IF(Table1[[#This Row],[Stop]]="","",(IF(Table1[[#This Row],[Joining Date]]="","",IF(Table1[[#This Row],[Joining Date]]&lt;='KPI+Pivot'!$CP$1,Table1[[#This Row],[Stop]],""))))</f>
        <v/>
      </c>
    </row>
    <row r="108" spans="1:68" ht="22.9" customHeight="1">
      <c r="B108" t="s">
        <v>66</v>
      </c>
      <c r="C108" t="s">
        <v>819</v>
      </c>
      <c r="D108" t="s">
        <v>820</v>
      </c>
      <c r="F108" t="s">
        <v>821</v>
      </c>
      <c r="G108" t="s">
        <v>822</v>
      </c>
      <c r="H108" t="s">
        <v>823</v>
      </c>
      <c r="I108" t="str">
        <f>IFERROR(HYPERLINK("#Finance!B" &amp; MATCH(A108, 'F 2025'!A:A, 0), "🔗 Go to finance"), "❌ ID introuvable")</f>
        <v>❌ ID introuvable</v>
      </c>
      <c r="Z108" t="s">
        <v>75</v>
      </c>
      <c r="AB108" t="s">
        <v>824</v>
      </c>
      <c r="AD108" s="130"/>
      <c r="AE108"/>
      <c r="AG108" t="s">
        <v>76</v>
      </c>
      <c r="AI108" t="s">
        <v>824</v>
      </c>
      <c r="AK108" t="s">
        <v>72</v>
      </c>
      <c r="AM108" s="38">
        <v>45716</v>
      </c>
      <c r="AO108" t="s">
        <v>822</v>
      </c>
      <c r="AR108" t="str">
        <f t="shared" si="6"/>
        <v/>
      </c>
      <c r="AS108" t="str">
        <f t="shared" si="7"/>
        <v/>
      </c>
      <c r="AT108" t="str">
        <f>IF(Table1[[#This Row],[Joining Date]]="", "", TEXT(Table1[[#This Row],[Joining Date]], "mmm"))</f>
        <v/>
      </c>
      <c r="AU108" t="str">
        <f>IF(Table1[[#This Row],[Joining Date]]="", "", YEAR(Table1[[#This Row],[Joining Date]]))</f>
        <v/>
      </c>
      <c r="AV108" t="str">
        <f>IF(Table1[[#This Row],[Group Name]]="","", M108 &amp; Table1[[#This Row],[Teacher]])</f>
        <v/>
      </c>
      <c r="AW108" t="str">
        <f>IF(Table1[[#This Row],[Helper]]="","",IF(_xlfn.MAXIFS(AT:AT,AW:AW,Table1[[#This Row],[Helper]])=Table1[[#This Row],[Clean Frequency]],_xlfn.MAXIFS(AT:AT,AW:AW,Table1[[#This Row],[Helper]]),""))</f>
        <v/>
      </c>
      <c r="AX108" t="str">
        <f ca="1">IF(AND(AW108=_xlfn.MAXIFS(AX:AX, AW:AW, AV108), COUNTIFS(AV$3:AV108, AV108, AW$3:AW108, AW108)=1), 1, "")</f>
        <v/>
      </c>
      <c r="AY108" t="str">
        <f>IF(Table1[[#This Row],[lesson type]]="private",Table1[[#This Row],[Clean Frequency]],"")</f>
        <v/>
      </c>
      <c r="AZ108" t="str">
        <f ca="1">IF(Table1[[#This Row],[First Occurrence]]=1,Table1[[#This Row],[Group Frequency]],"")</f>
        <v/>
      </c>
      <c r="BA108" t="str">
        <f ca="1">IF(B108="Y", IF(Table1[[#This Row],[Stop]]="", TODAY() - Table1[[#This Row],[Joining Date]], Table1[[#This Row],[Stop]] - Table1[[#This Row],[Joining Date]]), "")</f>
        <v/>
      </c>
      <c r="BB108" t="str">
        <f>_xlfn.CONCAT(Table1[[#This Row],[t]]," ",Table1[[#This Row],[Last Name]])</f>
        <v>Mitsuki Furusho</v>
      </c>
      <c r="BC108" t="str">
        <f>IF(OR(Table1[[#This Row],[Teacher]]="Alex",Table1[[#This Row],[Teacher]]=""), "", Table1[[#This Row],[For Salary]])</f>
        <v/>
      </c>
      <c r="BD108" t="str">
        <f>IF(OR(Table1[[#This Row],[Teacher]]="Alex",Table1[[#This Row],[Teacher]]=""), "", Table1[[#This Row],[For Amount]])</f>
        <v/>
      </c>
      <c r="BE108" t="str">
        <f>IFERROR(IF(VLOOKUP(Table1[[#This Row],[Teacher]],'Teachers Salaries'!A:C,2,FALSE)="","",VLOOKUP(Table1[[#This Row],[Teacher]],'Teachers Salaries'!A:C,2,FALSE)),"")</f>
        <v/>
      </c>
      <c r="BF108" t="str">
        <f>IFERROR(IF(VLOOKUP(Table1[[#This Row],[Teacher]],'Teachers Salaries'!A:C,3,FALSE)="","",VLOOKUP(Table1[[#This Row],[Teacher]],'Teachers Salaries'!A:C,3,FALSE)),"")</f>
        <v/>
      </c>
      <c r="BG108">
        <f ca="1">IFERROR(IF(Table1[[#This Row],[Pay Type]]="Fixed","-",Table1[[#This Row],[Final Group Frequency2]]*Table1[[#This Row],[Salary / Hourly Rate]]),0)</f>
        <v>0</v>
      </c>
      <c r="BH108">
        <f>IFERROR(IF(Table1[[#This Row],[Pay Type]]="Fixed","----",Table1[[#This Row],[Salary / Hourly Rate]]*Table1[[#This Row],[Final PrivateFrequency]]),0)</f>
        <v>0</v>
      </c>
      <c r="BI108">
        <f ca="1">IF(Table1[[#This Row],[Pay Type]]="Fixed","---",Table1[[#This Row],[Group Salary]]+Table1[[#This Row],[Private Salary]])</f>
        <v>0</v>
      </c>
      <c r="BJ108" t="str">
        <f>IF(OR(J108="Alex", J108=""),"", Table1[[#This Row],[For Amount]])</f>
        <v/>
      </c>
      <c r="BK108">
        <f ca="1">IFERROR(Table1[[#This Row],[Fee]]-Table1[[#This Row],[Total Salary]],"")</f>
        <v>0</v>
      </c>
      <c r="BL108" t="str">
        <f>IF(Table1[[#This Row],[Joining Date]]="","",IF(Table1[[#This Row],[Joining Date]]&lt;='KPI+Pivot'!$CP$1,Table1[[#This Row],[Fee]],""))</f>
        <v/>
      </c>
      <c r="BM10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8" t="str">
        <f>IF(Table1[[#This Row],[Joining Date]]="","",IF(Table1[[#This Row],[Joining Date]]&lt;='KPI+Pivot'!$CP$1,Table1[[#This Row],[Total Salary]],""))</f>
        <v/>
      </c>
      <c r="BO108" t="str">
        <f>IF(Table1[[#This Row],[Joining Date]]="","",IF(Table1[[#This Row],[Joining Date]]&lt;='KPI+Pivot'!$CP$1,Table1[[#This Row],[Frequency]],""))</f>
        <v/>
      </c>
      <c r="BP108" s="38" t="str">
        <f>IF(Table1[[#This Row],[Stop]]="","",(IF(Table1[[#This Row],[Joining Date]]="","",IF(Table1[[#This Row],[Joining Date]]&lt;='KPI+Pivot'!$CP$1,Table1[[#This Row],[Stop]],""))))</f>
        <v/>
      </c>
    </row>
    <row r="109" spans="1:68" ht="22.9" customHeight="1">
      <c r="B109" t="s">
        <v>66</v>
      </c>
      <c r="C109" t="s">
        <v>819</v>
      </c>
      <c r="D109" t="s">
        <v>541</v>
      </c>
      <c r="F109" t="s">
        <v>825</v>
      </c>
      <c r="G109" t="s">
        <v>826</v>
      </c>
      <c r="H109" t="s">
        <v>544</v>
      </c>
      <c r="I109" t="str">
        <f>IFERROR(HYPERLINK("#Finance!B" &amp; MATCH(A109, 'F 2025'!A:A, 0), "🔗 Go to finance"), "❌ ID introuvable")</f>
        <v>❌ ID introuvable</v>
      </c>
      <c r="V109" t="s">
        <v>827</v>
      </c>
      <c r="W109" t="s">
        <v>546</v>
      </c>
      <c r="Y109">
        <v>9068954683</v>
      </c>
      <c r="Z109" t="s">
        <v>75</v>
      </c>
      <c r="AB109" t="s">
        <v>828</v>
      </c>
      <c r="AD109" s="130">
        <v>44714</v>
      </c>
      <c r="AE109"/>
      <c r="AG109" t="s">
        <v>76</v>
      </c>
      <c r="AI109" t="s">
        <v>828</v>
      </c>
      <c r="AK109" t="s">
        <v>102</v>
      </c>
      <c r="AM109" s="38"/>
      <c r="AO109" t="s">
        <v>826</v>
      </c>
      <c r="AR109" t="str">
        <f t="shared" si="6"/>
        <v/>
      </c>
      <c r="AS109" t="str">
        <f t="shared" si="7"/>
        <v/>
      </c>
      <c r="AT109" t="str">
        <f>IF(Table1[[#This Row],[Joining Date]]="", "", TEXT(Table1[[#This Row],[Joining Date]], "mmm"))</f>
        <v>Jun</v>
      </c>
      <c r="AU109">
        <f>IF(Table1[[#This Row],[Joining Date]]="", "", YEAR(Table1[[#This Row],[Joining Date]]))</f>
        <v>2022</v>
      </c>
      <c r="AV109" t="str">
        <f>IF(Table1[[#This Row],[Group Name]]="","", M109 &amp; Table1[[#This Row],[Teacher]])</f>
        <v/>
      </c>
      <c r="AW109" t="str">
        <f>IF(Table1[[#This Row],[Helper]]="","",IF(_xlfn.MAXIFS(AT:AT,AW:AW,Table1[[#This Row],[Helper]])=Table1[[#This Row],[Clean Frequency]],_xlfn.MAXIFS(AT:AT,AW:AW,Table1[[#This Row],[Helper]]),""))</f>
        <v/>
      </c>
      <c r="AX109" t="str">
        <f ca="1">IF(AND(AW109=_xlfn.MAXIFS(AX:AX, AW:AW, AV109), COUNTIFS(AV$3:AV109, AV109, AW$3:AW109, AW109)=1), 1, "")</f>
        <v/>
      </c>
      <c r="AY109" t="str">
        <f>IF(Table1[[#This Row],[lesson type]]="private",Table1[[#This Row],[Clean Frequency]],"")</f>
        <v/>
      </c>
      <c r="AZ109" t="str">
        <f ca="1">IF(Table1[[#This Row],[First Occurrence]]=1,Table1[[#This Row],[Group Frequency]],"")</f>
        <v/>
      </c>
      <c r="BA109" t="str">
        <f ca="1">IF(B109="Y", IF(Table1[[#This Row],[Stop]]="", TODAY() - Table1[[#This Row],[Joining Date]], Table1[[#This Row],[Stop]] - Table1[[#This Row],[Joining Date]]), "")</f>
        <v/>
      </c>
      <c r="BB109" t="str">
        <f>_xlfn.CONCAT(Table1[[#This Row],[t]]," ",Table1[[#This Row],[Last Name]])</f>
        <v>Mitsuki Fujiwara</v>
      </c>
      <c r="BC109" t="str">
        <f>IF(OR(Table1[[#This Row],[Teacher]]="Alex",Table1[[#This Row],[Teacher]]=""), "", Table1[[#This Row],[For Salary]])</f>
        <v/>
      </c>
      <c r="BD109" t="str">
        <f>IF(OR(Table1[[#This Row],[Teacher]]="Alex",Table1[[#This Row],[Teacher]]=""), "", Table1[[#This Row],[For Amount]])</f>
        <v/>
      </c>
      <c r="BE109" t="str">
        <f>IFERROR(IF(VLOOKUP(Table1[[#This Row],[Teacher]],'Teachers Salaries'!A:C,2,FALSE)="","",VLOOKUP(Table1[[#This Row],[Teacher]],'Teachers Salaries'!A:C,2,FALSE)),"")</f>
        <v/>
      </c>
      <c r="BF109" t="str">
        <f>IFERROR(IF(VLOOKUP(Table1[[#This Row],[Teacher]],'Teachers Salaries'!A:C,3,FALSE)="","",VLOOKUP(Table1[[#This Row],[Teacher]],'Teachers Salaries'!A:C,3,FALSE)),"")</f>
        <v/>
      </c>
      <c r="BG109">
        <f ca="1">IFERROR(IF(Table1[[#This Row],[Pay Type]]="Fixed","-",Table1[[#This Row],[Final Group Frequency2]]*Table1[[#This Row],[Salary / Hourly Rate]]),0)</f>
        <v>0</v>
      </c>
      <c r="BH109">
        <f>IFERROR(IF(Table1[[#This Row],[Pay Type]]="Fixed","----",Table1[[#This Row],[Salary / Hourly Rate]]*Table1[[#This Row],[Final PrivateFrequency]]),0)</f>
        <v>0</v>
      </c>
      <c r="BI109">
        <f ca="1">IF(Table1[[#This Row],[Pay Type]]="Fixed","---",Table1[[#This Row],[Group Salary]]+Table1[[#This Row],[Private Salary]])</f>
        <v>0</v>
      </c>
      <c r="BJ109" t="str">
        <f>IF(OR(J109="Alex", J109=""),"", Table1[[#This Row],[For Amount]])</f>
        <v/>
      </c>
      <c r="BK109">
        <f ca="1">IFERROR(Table1[[#This Row],[Fee]]-Table1[[#This Row],[Total Salary]],"")</f>
        <v>0</v>
      </c>
      <c r="BL109" t="e">
        <f>IF(Table1[[#This Row],[Joining Date]]="","",IF(Table1[[#This Row],[Joining Date]]&lt;='KPI+Pivot'!$CP$1,Table1[[#This Row],[Fee]],""))</f>
        <v>#N/A</v>
      </c>
      <c r="BM10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09" t="e">
        <f>IF(Table1[[#This Row],[Joining Date]]="","",IF(Table1[[#This Row],[Joining Date]]&lt;='KPI+Pivot'!$CP$1,Table1[[#This Row],[Total Salary]],""))</f>
        <v>#N/A</v>
      </c>
      <c r="BO109" t="e">
        <f>IF(Table1[[#This Row],[Joining Date]]="","",IF(Table1[[#This Row],[Joining Date]]&lt;='KPI+Pivot'!$CP$1,Table1[[#This Row],[Frequency]],""))</f>
        <v>#N/A</v>
      </c>
      <c r="BP109" s="38" t="str">
        <f>IF(Table1[[#This Row],[Stop]]="","",(IF(Table1[[#This Row],[Joining Date]]="","",IF(Table1[[#This Row],[Joining Date]]&lt;='KPI+Pivot'!$CP$1,Table1[[#This Row],[Stop]],""))))</f>
        <v/>
      </c>
    </row>
    <row r="110" spans="1:68" ht="22.9" customHeight="1">
      <c r="A110">
        <v>137</v>
      </c>
      <c r="B110" t="s">
        <v>66</v>
      </c>
      <c r="C110" t="s">
        <v>819</v>
      </c>
      <c r="D110" t="s">
        <v>829</v>
      </c>
      <c r="F110" t="s">
        <v>830</v>
      </c>
      <c r="G110" t="s">
        <v>831</v>
      </c>
      <c r="H110" t="s">
        <v>832</v>
      </c>
      <c r="I110" t="str">
        <f>IFERROR(HYPERLINK("#Finance!B" &amp; MATCH(A110, 'F 2025'!A:A, 0), "🔗 Go to finance"), "❌ ID introuvable")</f>
        <v>🔗 Go to finance</v>
      </c>
      <c r="V110" t="s">
        <v>833</v>
      </c>
      <c r="W110" t="s">
        <v>834</v>
      </c>
      <c r="Y110" t="s">
        <v>835</v>
      </c>
      <c r="Z110" t="s">
        <v>75</v>
      </c>
      <c r="AB110" t="s">
        <v>836</v>
      </c>
      <c r="AD110" s="130"/>
      <c r="AE110"/>
      <c r="AG110" t="s">
        <v>76</v>
      </c>
      <c r="AI110" t="s">
        <v>836</v>
      </c>
      <c r="AK110" t="s">
        <v>362</v>
      </c>
      <c r="AM110" s="38"/>
      <c r="AO110" t="s">
        <v>831</v>
      </c>
      <c r="AR110" t="str">
        <f t="shared" si="6"/>
        <v/>
      </c>
      <c r="AS110" t="str">
        <f t="shared" si="7"/>
        <v/>
      </c>
      <c r="AT110" t="str">
        <f>IF(Table1[[#This Row],[Joining Date]]="", "", TEXT(Table1[[#This Row],[Joining Date]], "mmm"))</f>
        <v/>
      </c>
      <c r="AU110" t="str">
        <f>IF(Table1[[#This Row],[Joining Date]]="", "", YEAR(Table1[[#This Row],[Joining Date]]))</f>
        <v/>
      </c>
      <c r="AV110" t="str">
        <f>IF(Table1[[#This Row],[Group Name]]="","", M110 &amp; Table1[[#This Row],[Teacher]])</f>
        <v/>
      </c>
      <c r="AW110" t="str">
        <f>IF(Table1[[#This Row],[Helper]]="","",IF(_xlfn.MAXIFS(AT:AT,AW:AW,Table1[[#This Row],[Helper]])=Table1[[#This Row],[Clean Frequency]],_xlfn.MAXIFS(AT:AT,AW:AW,Table1[[#This Row],[Helper]]),""))</f>
        <v/>
      </c>
      <c r="AX110" t="str">
        <f ca="1">IF(AND(AW110=_xlfn.MAXIFS(AX:AX, AW:AW, AV110), COUNTIFS(AV$3:AV110, AV110, AW$3:AW110, AW110)=1), 1, "")</f>
        <v/>
      </c>
      <c r="AY110" t="str">
        <f>IF(Table1[[#This Row],[lesson type]]="private",Table1[[#This Row],[Clean Frequency]],"")</f>
        <v/>
      </c>
      <c r="AZ110" t="str">
        <f ca="1">IF(Table1[[#This Row],[First Occurrence]]=1,Table1[[#This Row],[Group Frequency]],"")</f>
        <v/>
      </c>
      <c r="BA110" t="str">
        <f ca="1">IF(B110="Y", IF(Table1[[#This Row],[Stop]]="", TODAY() - Table1[[#This Row],[Joining Date]], Table1[[#This Row],[Stop]] - Table1[[#This Row],[Joining Date]]), "")</f>
        <v/>
      </c>
      <c r="BB110" t="str">
        <f>_xlfn.CONCAT(Table1[[#This Row],[t]]," ",Table1[[#This Row],[Last Name]])</f>
        <v>Mitsuki Kuroishi</v>
      </c>
      <c r="BC110" t="str">
        <f>IF(OR(Table1[[#This Row],[Teacher]]="Alex",Table1[[#This Row],[Teacher]]=""), "", Table1[[#This Row],[For Salary]])</f>
        <v/>
      </c>
      <c r="BD110" t="str">
        <f>IF(OR(Table1[[#This Row],[Teacher]]="Alex",Table1[[#This Row],[Teacher]]=""), "", Table1[[#This Row],[For Amount]])</f>
        <v/>
      </c>
      <c r="BE110" t="str">
        <f>IFERROR(IF(VLOOKUP(Table1[[#This Row],[Teacher]],'Teachers Salaries'!A:C,2,FALSE)="","",VLOOKUP(Table1[[#This Row],[Teacher]],'Teachers Salaries'!A:C,2,FALSE)),"")</f>
        <v/>
      </c>
      <c r="BF110" t="str">
        <f>IFERROR(IF(VLOOKUP(Table1[[#This Row],[Teacher]],'Teachers Salaries'!A:C,3,FALSE)="","",VLOOKUP(Table1[[#This Row],[Teacher]],'Teachers Salaries'!A:C,3,FALSE)),"")</f>
        <v/>
      </c>
      <c r="BG110">
        <f ca="1">IFERROR(IF(Table1[[#This Row],[Pay Type]]="Fixed","-",Table1[[#This Row],[Final Group Frequency2]]*Table1[[#This Row],[Salary / Hourly Rate]]),0)</f>
        <v>0</v>
      </c>
      <c r="BH110">
        <f>IFERROR(IF(Table1[[#This Row],[Pay Type]]="Fixed","----",Table1[[#This Row],[Salary / Hourly Rate]]*Table1[[#This Row],[Final PrivateFrequency]]),0)</f>
        <v>0</v>
      </c>
      <c r="BI110">
        <f ca="1">IF(Table1[[#This Row],[Pay Type]]="Fixed","---",Table1[[#This Row],[Group Salary]]+Table1[[#This Row],[Private Salary]])</f>
        <v>0</v>
      </c>
      <c r="BJ110" t="str">
        <f>IF(OR(J110="Alex", J110=""),"", Table1[[#This Row],[For Amount]])</f>
        <v/>
      </c>
      <c r="BK110">
        <f ca="1">IFERROR(Table1[[#This Row],[Fee]]-Table1[[#This Row],[Total Salary]],"")</f>
        <v>0</v>
      </c>
      <c r="BL110" t="str">
        <f>IF(Table1[[#This Row],[Joining Date]]="","",IF(Table1[[#This Row],[Joining Date]]&lt;='KPI+Pivot'!$CP$1,Table1[[#This Row],[Fee]],""))</f>
        <v/>
      </c>
      <c r="BM11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10" t="str">
        <f>IF(Table1[[#This Row],[Joining Date]]="","",IF(Table1[[#This Row],[Joining Date]]&lt;='KPI+Pivot'!$CP$1,Table1[[#This Row],[Total Salary]],""))</f>
        <v/>
      </c>
      <c r="BO110" t="str">
        <f>IF(Table1[[#This Row],[Joining Date]]="","",IF(Table1[[#This Row],[Joining Date]]&lt;='KPI+Pivot'!$CP$1,Table1[[#This Row],[Frequency]],""))</f>
        <v/>
      </c>
      <c r="BP110" s="38" t="str">
        <f>IF(Table1[[#This Row],[Stop]]="","",(IF(Table1[[#This Row],[Joining Date]]="","",IF(Table1[[#This Row],[Joining Date]]&lt;='KPI+Pivot'!$CP$1,Table1[[#This Row],[Stop]],""))))</f>
        <v/>
      </c>
    </row>
    <row r="111" spans="1:68" ht="18" customHeight="1">
      <c r="A111">
        <v>29</v>
      </c>
      <c r="B111" t="s">
        <v>66</v>
      </c>
      <c r="C111" t="s">
        <v>837</v>
      </c>
      <c r="D111" t="s">
        <v>838</v>
      </c>
      <c r="F111" t="s">
        <v>839</v>
      </c>
      <c r="G111" t="s">
        <v>840</v>
      </c>
      <c r="H111" t="s">
        <v>841</v>
      </c>
      <c r="I111" t="str">
        <f>IFERROR(HYPERLINK("#Finance!B" &amp; MATCH(A111, 'F 2025'!A:A, 0), "🔗 Go to finance"), "❌ ID introuvable")</f>
        <v>🔗 Go to finance</v>
      </c>
      <c r="J111" t="s">
        <v>196</v>
      </c>
      <c r="K111" t="s">
        <v>110</v>
      </c>
      <c r="L111" t="s">
        <v>197</v>
      </c>
      <c r="N111">
        <v>4</v>
      </c>
      <c r="O111">
        <v>17600</v>
      </c>
      <c r="R111">
        <v>17600</v>
      </c>
      <c r="T111" s="130">
        <v>43101</v>
      </c>
      <c r="V111" t="s">
        <v>842</v>
      </c>
      <c r="Y111" t="s">
        <v>843</v>
      </c>
      <c r="Z111" t="s">
        <v>75</v>
      </c>
      <c r="AB111" t="s">
        <v>844</v>
      </c>
      <c r="AD111" s="130">
        <v>43101</v>
      </c>
      <c r="AE111"/>
      <c r="AG111" t="s">
        <v>76</v>
      </c>
      <c r="AI111" t="s">
        <v>844</v>
      </c>
      <c r="AK111" t="s">
        <v>845</v>
      </c>
      <c r="AM111" s="38"/>
      <c r="AO111" t="s">
        <v>840</v>
      </c>
      <c r="AP111">
        <v>29</v>
      </c>
      <c r="AQ111" t="s">
        <v>840</v>
      </c>
      <c r="AR111" t="str">
        <f t="shared" si="6"/>
        <v>private</v>
      </c>
      <c r="AS111">
        <f t="shared" si="7"/>
        <v>4</v>
      </c>
      <c r="AT111" t="str">
        <f>IF(Table1[[#This Row],[Joining Date]]="", "", TEXT(Table1[[#This Row],[Joining Date]], "mmm"))</f>
        <v>Jan</v>
      </c>
      <c r="AU111">
        <f>IF(Table1[[#This Row],[Joining Date]]="", "", YEAR(Table1[[#This Row],[Joining Date]]))</f>
        <v>2018</v>
      </c>
      <c r="AV111" t="str">
        <f>IF(Table1[[#This Row],[Group Name]]="","", M111 &amp; Table1[[#This Row],[Teacher]])</f>
        <v/>
      </c>
      <c r="AW111" t="str">
        <f>IF(Table1[[#This Row],[Helper]]="","",IF(_xlfn.MAXIFS(AT:AT,AW:AW,Table1[[#This Row],[Helper]])=Table1[[#This Row],[Clean Frequency]],_xlfn.MAXIFS(AT:AT,AW:AW,Table1[[#This Row],[Helper]]),""))</f>
        <v/>
      </c>
      <c r="AX111" t="str">
        <f ca="1">IF(AND(AW111=_xlfn.MAXIFS(AX:AX, AW:AW, AV111), COUNTIFS(AV$3:AV111, AV111, AW$3:AW111, AW111)=1), 1, "")</f>
        <v/>
      </c>
      <c r="AY111">
        <f>IF(Table1[[#This Row],[lesson type]]="private",Table1[[#This Row],[Clean Frequency]],"")</f>
        <v>4</v>
      </c>
      <c r="AZ111" t="str">
        <f ca="1">IF(Table1[[#This Row],[First Occurrence]]=1,Table1[[#This Row],[Group Frequency]],"")</f>
        <v/>
      </c>
      <c r="BA111" t="str">
        <f ca="1">IF(B111="Y", IF(Table1[[#This Row],[Stop]]="", TODAY() - Table1[[#This Row],[Joining Date]], Table1[[#This Row],[Stop]] - Table1[[#This Row],[Joining Date]]), "")</f>
        <v/>
      </c>
      <c r="BB111" t="str">
        <f>_xlfn.CONCAT(Table1[[#This Row],[t]]," ",Table1[[#This Row],[Last Name]])</f>
        <v>Miyuki Hama</v>
      </c>
      <c r="BC111" t="e">
        <f>IF(OR(Table1[[#This Row],[Teacher]]="Alex",Table1[[#This Row],[Teacher]]=""), "", Table1[[#This Row],[For Salary]])</f>
        <v>#N/A</v>
      </c>
      <c r="BD111" t="e">
        <f>IF(OR(Table1[[#This Row],[Teacher]]="Alex",Table1[[#This Row],[Teacher]]=""), "", Table1[[#This Row],[For Amount]])</f>
        <v>#N/A</v>
      </c>
      <c r="BE111" t="str">
        <f>IFERROR(IF(VLOOKUP(Table1[[#This Row],[Teacher]],'Teachers Salaries'!A:C,2,FALSE)="","",VLOOKUP(Table1[[#This Row],[Teacher]],'Teachers Salaries'!A:C,2,FALSE)),"")</f>
        <v>Hourly</v>
      </c>
      <c r="BF111">
        <f>IFERROR(IF(VLOOKUP(Table1[[#This Row],[Teacher]],'Teachers Salaries'!A:C,3,FALSE)="","",VLOOKUP(Table1[[#This Row],[Teacher]],'Teachers Salaries'!A:C,3,FALSE)),"")</f>
        <v>2600</v>
      </c>
      <c r="BG111">
        <f ca="1">IFERROR(IF(Table1[[#This Row],[Pay Type]]="Fixed","-",Table1[[#This Row],[Final Group Frequency2]]*Table1[[#This Row],[Salary / Hourly Rate]]),0)</f>
        <v>0</v>
      </c>
      <c r="BH111">
        <f>IFERROR(IF(Table1[[#This Row],[Pay Type]]="Fixed","----",Table1[[#This Row],[Salary / Hourly Rate]]*Table1[[#This Row],[Final PrivateFrequency]]),0)</f>
        <v>10400</v>
      </c>
      <c r="BI111">
        <f ca="1">IF(Table1[[#This Row],[Pay Type]]="Fixed","---",Table1[[#This Row],[Group Salary]]+Table1[[#This Row],[Private Salary]])</f>
        <v>10400</v>
      </c>
      <c r="BJ111" t="e">
        <f>IF(OR(J111="Alex", J111=""),"", Table1[[#This Row],[For Amount]])</f>
        <v>#N/A</v>
      </c>
      <c r="BK111">
        <f ca="1">IFERROR(Table1[[#This Row],[Fee]]-Table1[[#This Row],[Total Salary]],"")</f>
        <v>7200</v>
      </c>
      <c r="BL111" t="e">
        <f>IF(Table1[[#This Row],[Joining Date]]="","",IF(Table1[[#This Row],[Joining Date]]&lt;='KPI+Pivot'!$CP$1,Table1[[#This Row],[Fee]],""))</f>
        <v>#N/A</v>
      </c>
      <c r="BM11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1" t="e">
        <f>IF(Table1[[#This Row],[Joining Date]]="","",IF(Table1[[#This Row],[Joining Date]]&lt;='KPI+Pivot'!$CP$1,Table1[[#This Row],[Total Salary]],""))</f>
        <v>#N/A</v>
      </c>
      <c r="BO111" t="e">
        <f>IF(Table1[[#This Row],[Joining Date]]="","",IF(Table1[[#This Row],[Joining Date]]&lt;='KPI+Pivot'!$CP$1,Table1[[#This Row],[Frequency]],""))</f>
        <v>#N/A</v>
      </c>
      <c r="BP111" s="38" t="str">
        <f>IF(Table1[[#This Row],[Stop]]="","",(IF(Table1[[#This Row],[Joining Date]]="","",IF(Table1[[#This Row],[Joining Date]]&lt;='KPI+Pivot'!$CP$1,Table1[[#This Row],[Stop]],""))))</f>
        <v/>
      </c>
    </row>
    <row r="112" spans="1:68" ht="22.9" customHeight="1">
      <c r="B112" t="s">
        <v>66</v>
      </c>
      <c r="C112" t="s">
        <v>846</v>
      </c>
      <c r="D112" t="s">
        <v>847</v>
      </c>
      <c r="F112" t="s">
        <v>848</v>
      </c>
      <c r="G112" t="s">
        <v>849</v>
      </c>
      <c r="H112" t="s">
        <v>850</v>
      </c>
      <c r="I112" t="str">
        <f>IFERROR(HYPERLINK("#Finance!B" &amp; MATCH(A112, 'F 2025'!A:A, 0), "🔗 Go to finance"), "❌ ID introuvable")</f>
        <v>❌ ID introuvable</v>
      </c>
      <c r="V112" t="s">
        <v>851</v>
      </c>
      <c r="W112" t="s">
        <v>851</v>
      </c>
      <c r="Y112">
        <v>8015389137</v>
      </c>
      <c r="Z112" t="s">
        <v>75</v>
      </c>
      <c r="AB112" t="s">
        <v>852</v>
      </c>
      <c r="AD112" s="130"/>
      <c r="AE112"/>
      <c r="AG112" t="s">
        <v>76</v>
      </c>
      <c r="AI112" t="s">
        <v>852</v>
      </c>
      <c r="AK112" t="s">
        <v>84</v>
      </c>
      <c r="AM112" s="38"/>
      <c r="AO112" t="s">
        <v>849</v>
      </c>
      <c r="AR112" t="str">
        <f t="shared" si="6"/>
        <v/>
      </c>
      <c r="AS112" t="str">
        <f t="shared" si="7"/>
        <v/>
      </c>
      <c r="AT112" t="str">
        <f>IF(Table1[[#This Row],[Joining Date]]="", "", TEXT(Table1[[#This Row],[Joining Date]], "mmm"))</f>
        <v/>
      </c>
      <c r="AU112" t="str">
        <f>IF(Table1[[#This Row],[Joining Date]]="", "", YEAR(Table1[[#This Row],[Joining Date]]))</f>
        <v/>
      </c>
      <c r="AV112" t="str">
        <f>IF(Table1[[#This Row],[Group Name]]="","", M112 &amp; Table1[[#This Row],[Teacher]])</f>
        <v/>
      </c>
      <c r="AW112" t="str">
        <f>IF(Table1[[#This Row],[Helper]]="","",IF(_xlfn.MAXIFS(AT:AT,AW:AW,Table1[[#This Row],[Helper]])=Table1[[#This Row],[Clean Frequency]],_xlfn.MAXIFS(AT:AT,AW:AW,Table1[[#This Row],[Helper]]),""))</f>
        <v/>
      </c>
      <c r="AX112" t="str">
        <f ca="1">IF(AND(AW112=_xlfn.MAXIFS(AX:AX, AW:AW, AV112), COUNTIFS(AV$3:AV112, AV112, AW$3:AW112, AW112)=1), 1, "")</f>
        <v/>
      </c>
      <c r="AY112" t="str">
        <f>IF(Table1[[#This Row],[lesson type]]="private",Table1[[#This Row],[Clean Frequency]],"")</f>
        <v/>
      </c>
      <c r="AZ112" t="str">
        <f ca="1">IF(Table1[[#This Row],[First Occurrence]]=1,Table1[[#This Row],[Group Frequency]],"")</f>
        <v/>
      </c>
      <c r="BA112" t="str">
        <f ca="1">IF(B112="Y", IF(Table1[[#This Row],[Stop]]="", TODAY() - Table1[[#This Row],[Joining Date]], Table1[[#This Row],[Stop]] - Table1[[#This Row],[Joining Date]]), "")</f>
        <v/>
      </c>
      <c r="BB112" t="str">
        <f>_xlfn.CONCAT(Table1[[#This Row],[t]]," ",Table1[[#This Row],[Last Name]])</f>
        <v>Mizuki Futagawa</v>
      </c>
      <c r="BC112" t="str">
        <f>IF(OR(Table1[[#This Row],[Teacher]]="Alex",Table1[[#This Row],[Teacher]]=""), "", Table1[[#This Row],[For Salary]])</f>
        <v/>
      </c>
      <c r="BD112" t="str">
        <f>IF(OR(Table1[[#This Row],[Teacher]]="Alex",Table1[[#This Row],[Teacher]]=""), "", Table1[[#This Row],[For Amount]])</f>
        <v/>
      </c>
      <c r="BE112" t="str">
        <f>IFERROR(IF(VLOOKUP(Table1[[#This Row],[Teacher]],'Teachers Salaries'!A:C,2,FALSE)="","",VLOOKUP(Table1[[#This Row],[Teacher]],'Teachers Salaries'!A:C,2,FALSE)),"")</f>
        <v/>
      </c>
      <c r="BF112" t="str">
        <f>IFERROR(IF(VLOOKUP(Table1[[#This Row],[Teacher]],'Teachers Salaries'!A:C,3,FALSE)="","",VLOOKUP(Table1[[#This Row],[Teacher]],'Teachers Salaries'!A:C,3,FALSE)),"")</f>
        <v/>
      </c>
      <c r="BG112">
        <f ca="1">IFERROR(IF(Table1[[#This Row],[Pay Type]]="Fixed","-",Table1[[#This Row],[Final Group Frequency2]]*Table1[[#This Row],[Salary / Hourly Rate]]),0)</f>
        <v>0</v>
      </c>
      <c r="BH112">
        <f>IFERROR(IF(Table1[[#This Row],[Pay Type]]="Fixed","----",Table1[[#This Row],[Salary / Hourly Rate]]*Table1[[#This Row],[Final PrivateFrequency]]),0)</f>
        <v>0</v>
      </c>
      <c r="BI112">
        <f ca="1">IF(Table1[[#This Row],[Pay Type]]="Fixed","---",Table1[[#This Row],[Group Salary]]+Table1[[#This Row],[Private Salary]])</f>
        <v>0</v>
      </c>
      <c r="BJ112" t="str">
        <f>IF(OR(J112="Alex", J112=""),"", Table1[[#This Row],[For Amount]])</f>
        <v/>
      </c>
      <c r="BK112">
        <f ca="1">IFERROR(Table1[[#This Row],[Fee]]-Table1[[#This Row],[Total Salary]],"")</f>
        <v>0</v>
      </c>
      <c r="BL112" t="str">
        <f>IF(Table1[[#This Row],[Joining Date]]="","",IF(Table1[[#This Row],[Joining Date]]&lt;='KPI+Pivot'!$CP$1,Table1[[#This Row],[Fee]],""))</f>
        <v/>
      </c>
      <c r="BM11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12" t="str">
        <f>IF(Table1[[#This Row],[Joining Date]]="","",IF(Table1[[#This Row],[Joining Date]]&lt;='KPI+Pivot'!$CP$1,Table1[[#This Row],[Total Salary]],""))</f>
        <v/>
      </c>
      <c r="BO112" t="str">
        <f>IF(Table1[[#This Row],[Joining Date]]="","",IF(Table1[[#This Row],[Joining Date]]&lt;='KPI+Pivot'!$CP$1,Table1[[#This Row],[Frequency]],""))</f>
        <v/>
      </c>
      <c r="BP112" s="38" t="str">
        <f>IF(Table1[[#This Row],[Stop]]="","",(IF(Table1[[#This Row],[Joining Date]]="","",IF(Table1[[#This Row],[Joining Date]]&lt;='KPI+Pivot'!$CP$1,Table1[[#This Row],[Stop]],""))))</f>
        <v/>
      </c>
    </row>
    <row r="113" spans="1:68" ht="22.9" customHeight="1">
      <c r="B113" t="s">
        <v>66</v>
      </c>
      <c r="C113" t="s">
        <v>853</v>
      </c>
      <c r="D113" t="s">
        <v>854</v>
      </c>
      <c r="F113" t="s">
        <v>855</v>
      </c>
      <c r="G113" t="s">
        <v>856</v>
      </c>
      <c r="H113" t="s">
        <v>857</v>
      </c>
      <c r="I113" t="str">
        <f>IFERROR(HYPERLINK("#Finance!B" &amp; MATCH(A113, 'F 2025'!A:A, 0), "🔗 Go to finance"), "❌ ID introuvable")</f>
        <v>❌ ID introuvable</v>
      </c>
      <c r="V113" t="s">
        <v>858</v>
      </c>
      <c r="W113" t="s">
        <v>858</v>
      </c>
      <c r="Y113">
        <v>9028590381</v>
      </c>
      <c r="Z113" t="s">
        <v>75</v>
      </c>
      <c r="AB113" t="s">
        <v>859</v>
      </c>
      <c r="AD113" s="130"/>
      <c r="AE113"/>
      <c r="AG113" t="s">
        <v>76</v>
      </c>
      <c r="AI113" t="s">
        <v>859</v>
      </c>
      <c r="AK113" t="s">
        <v>102</v>
      </c>
      <c r="AM113" s="38"/>
      <c r="AO113" t="s">
        <v>856</v>
      </c>
      <c r="AR113" t="str">
        <f t="shared" si="6"/>
        <v/>
      </c>
      <c r="AS113" t="str">
        <f t="shared" si="7"/>
        <v/>
      </c>
      <c r="AT113" t="str">
        <f>IF(Table1[[#This Row],[Joining Date]]="", "", TEXT(Table1[[#This Row],[Joining Date]], "mmm"))</f>
        <v/>
      </c>
      <c r="AU113" t="str">
        <f>IF(Table1[[#This Row],[Joining Date]]="", "", YEAR(Table1[[#This Row],[Joining Date]]))</f>
        <v/>
      </c>
      <c r="AV113" t="str">
        <f>IF(Table1[[#This Row],[Group Name]]="","", M113 &amp; Table1[[#This Row],[Teacher]])</f>
        <v/>
      </c>
      <c r="AW113" t="str">
        <f>IF(Table1[[#This Row],[Helper]]="","",IF(_xlfn.MAXIFS(AT:AT,AW:AW,Table1[[#This Row],[Helper]])=Table1[[#This Row],[Clean Frequency]],_xlfn.MAXIFS(AT:AT,AW:AW,Table1[[#This Row],[Helper]]),""))</f>
        <v/>
      </c>
      <c r="AX113" t="str">
        <f ca="1">IF(AND(AW113=_xlfn.MAXIFS(AX:AX, AW:AW, AV113), COUNTIFS(AV$3:AV113, AV113, AW$3:AW113, AW113)=1), 1, "")</f>
        <v/>
      </c>
      <c r="AY113" t="str">
        <f>IF(Table1[[#This Row],[lesson type]]="private",Table1[[#This Row],[Clean Frequency]],"")</f>
        <v/>
      </c>
      <c r="AZ113" t="str">
        <f ca="1">IF(Table1[[#This Row],[First Occurrence]]=1,Table1[[#This Row],[Group Frequency]],"")</f>
        <v/>
      </c>
      <c r="BA113" t="str">
        <f ca="1">IF(B113="Y", IF(Table1[[#This Row],[Stop]]="", TODAY() - Table1[[#This Row],[Joining Date]], Table1[[#This Row],[Stop]] - Table1[[#This Row],[Joining Date]]), "")</f>
        <v/>
      </c>
      <c r="BB113" t="str">
        <f>_xlfn.CONCAT(Table1[[#This Row],[t]]," ",Table1[[#This Row],[Last Name]])</f>
        <v>Momo ＆ Yuzu Watanabe</v>
      </c>
      <c r="BC113" t="str">
        <f>IF(OR(Table1[[#This Row],[Teacher]]="Alex",Table1[[#This Row],[Teacher]]=""), "", Table1[[#This Row],[For Salary]])</f>
        <v/>
      </c>
      <c r="BD113" t="str">
        <f>IF(OR(Table1[[#This Row],[Teacher]]="Alex",Table1[[#This Row],[Teacher]]=""), "", Table1[[#This Row],[For Amount]])</f>
        <v/>
      </c>
      <c r="BE113" t="str">
        <f>IFERROR(IF(VLOOKUP(Table1[[#This Row],[Teacher]],'Teachers Salaries'!A:C,2,FALSE)="","",VLOOKUP(Table1[[#This Row],[Teacher]],'Teachers Salaries'!A:C,2,FALSE)),"")</f>
        <v/>
      </c>
      <c r="BF113" t="str">
        <f>IFERROR(IF(VLOOKUP(Table1[[#This Row],[Teacher]],'Teachers Salaries'!A:C,3,FALSE)="","",VLOOKUP(Table1[[#This Row],[Teacher]],'Teachers Salaries'!A:C,3,FALSE)),"")</f>
        <v/>
      </c>
      <c r="BG113">
        <f ca="1">IFERROR(IF(Table1[[#This Row],[Pay Type]]="Fixed","-",Table1[[#This Row],[Final Group Frequency2]]*Table1[[#This Row],[Salary / Hourly Rate]]),0)</f>
        <v>0</v>
      </c>
      <c r="BH113">
        <f>IFERROR(IF(Table1[[#This Row],[Pay Type]]="Fixed","----",Table1[[#This Row],[Salary / Hourly Rate]]*Table1[[#This Row],[Final PrivateFrequency]]),0)</f>
        <v>0</v>
      </c>
      <c r="BI113">
        <f ca="1">IF(Table1[[#This Row],[Pay Type]]="Fixed","---",Table1[[#This Row],[Group Salary]]+Table1[[#This Row],[Private Salary]])</f>
        <v>0</v>
      </c>
      <c r="BJ113" t="str">
        <f>IF(OR(J113="Alex", J113=""),"", Table1[[#This Row],[For Amount]])</f>
        <v/>
      </c>
      <c r="BK113">
        <f ca="1">IFERROR(Table1[[#This Row],[Fee]]-Table1[[#This Row],[Total Salary]],"")</f>
        <v>0</v>
      </c>
      <c r="BL113" t="str">
        <f>IF(Table1[[#This Row],[Joining Date]]="","",IF(Table1[[#This Row],[Joining Date]]&lt;='KPI+Pivot'!$CP$1,Table1[[#This Row],[Fee]],""))</f>
        <v/>
      </c>
      <c r="BM11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13" t="str">
        <f>IF(Table1[[#This Row],[Joining Date]]="","",IF(Table1[[#This Row],[Joining Date]]&lt;='KPI+Pivot'!$CP$1,Table1[[#This Row],[Total Salary]],""))</f>
        <v/>
      </c>
      <c r="BO113" t="str">
        <f>IF(Table1[[#This Row],[Joining Date]]="","",IF(Table1[[#This Row],[Joining Date]]&lt;='KPI+Pivot'!$CP$1,Table1[[#This Row],[Frequency]],""))</f>
        <v/>
      </c>
      <c r="BP113" s="38" t="str">
        <f>IF(Table1[[#This Row],[Stop]]="","",(IF(Table1[[#This Row],[Joining Date]]="","",IF(Table1[[#This Row],[Joining Date]]&lt;='KPI+Pivot'!$CP$1,Table1[[#This Row],[Stop]],""))))</f>
        <v/>
      </c>
    </row>
    <row r="114" spans="1:68" ht="22.9" customHeight="1">
      <c r="B114" t="s">
        <v>66</v>
      </c>
      <c r="C114" t="s">
        <v>860</v>
      </c>
      <c r="D114" t="s">
        <v>854</v>
      </c>
      <c r="F114" t="s">
        <v>861</v>
      </c>
      <c r="G114" t="s">
        <v>862</v>
      </c>
      <c r="H114" t="s">
        <v>857</v>
      </c>
      <c r="I114" t="str">
        <f>IFERROR(HYPERLINK("#Finance!B" &amp; MATCH(A114, 'F 2025'!A:A, 0), "🔗 Go to finance"), "❌ ID introuvable")</f>
        <v>❌ ID introuvable</v>
      </c>
      <c r="L114" t="s">
        <v>72</v>
      </c>
      <c r="V114" t="s">
        <v>863</v>
      </c>
      <c r="Y114" t="s">
        <v>864</v>
      </c>
      <c r="Z114" t="s">
        <v>75</v>
      </c>
      <c r="AB114" t="s">
        <v>865</v>
      </c>
      <c r="AD114" s="130">
        <v>44294</v>
      </c>
      <c r="AE114"/>
      <c r="AG114" t="s">
        <v>76</v>
      </c>
      <c r="AI114" t="s">
        <v>865</v>
      </c>
      <c r="AK114" t="s">
        <v>450</v>
      </c>
      <c r="AM114" s="38"/>
      <c r="AO114" t="s">
        <v>862</v>
      </c>
      <c r="AR114" t="str">
        <f t="shared" si="6"/>
        <v/>
      </c>
      <c r="AS114" t="str">
        <f t="shared" si="7"/>
        <v/>
      </c>
      <c r="AT114" t="str">
        <f>IF(Table1[[#This Row],[Joining Date]]="", "", TEXT(Table1[[#This Row],[Joining Date]], "mmm"))</f>
        <v>Apr</v>
      </c>
      <c r="AU114">
        <f>IF(Table1[[#This Row],[Joining Date]]="", "", YEAR(Table1[[#This Row],[Joining Date]]))</f>
        <v>2021</v>
      </c>
      <c r="AV114" t="str">
        <f>IF(Table1[[#This Row],[Group Name]]="","", M114 &amp; Table1[[#This Row],[Teacher]])</f>
        <v/>
      </c>
      <c r="AW114" t="str">
        <f>IF(Table1[[#This Row],[Helper]]="","",IF(_xlfn.MAXIFS(AT:AT,AW:AW,Table1[[#This Row],[Helper]])=Table1[[#This Row],[Clean Frequency]],_xlfn.MAXIFS(AT:AT,AW:AW,Table1[[#This Row],[Helper]]),""))</f>
        <v/>
      </c>
      <c r="AX114" t="str">
        <f ca="1">IF(AND(AW114=_xlfn.MAXIFS(AX:AX, AW:AW, AV114), COUNTIFS(AV$3:AV114, AV114, AW$3:AW114, AW114)=1), 1, "")</f>
        <v/>
      </c>
      <c r="AY114" t="str">
        <f>IF(Table1[[#This Row],[lesson type]]="private",Table1[[#This Row],[Clean Frequency]],"")</f>
        <v/>
      </c>
      <c r="AZ114" t="str">
        <f ca="1">IF(Table1[[#This Row],[First Occurrence]]=1,Table1[[#This Row],[Group Frequency]],"")</f>
        <v/>
      </c>
      <c r="BA114" t="str">
        <f ca="1">IF(B114="Y", IF(Table1[[#This Row],[Stop]]="", TODAY() - Table1[[#This Row],[Joining Date]], Table1[[#This Row],[Stop]] - Table1[[#This Row],[Joining Date]]), "")</f>
        <v/>
      </c>
      <c r="BB114" t="str">
        <f>_xlfn.CONCAT(Table1[[#This Row],[t]]," ",Table1[[#This Row],[Last Name]])</f>
        <v>Momo Watanabe</v>
      </c>
      <c r="BC114" t="str">
        <f>IF(OR(Table1[[#This Row],[Teacher]]="Alex",Table1[[#This Row],[Teacher]]=""), "", Table1[[#This Row],[For Salary]])</f>
        <v/>
      </c>
      <c r="BD114" t="str">
        <f>IF(OR(Table1[[#This Row],[Teacher]]="Alex",Table1[[#This Row],[Teacher]]=""), "", Table1[[#This Row],[For Amount]])</f>
        <v/>
      </c>
      <c r="BE114" t="str">
        <f>IFERROR(IF(VLOOKUP(Table1[[#This Row],[Teacher]],'Teachers Salaries'!A:C,2,FALSE)="","",VLOOKUP(Table1[[#This Row],[Teacher]],'Teachers Salaries'!A:C,2,FALSE)),"")</f>
        <v/>
      </c>
      <c r="BF114" t="str">
        <f>IFERROR(IF(VLOOKUP(Table1[[#This Row],[Teacher]],'Teachers Salaries'!A:C,3,FALSE)="","",VLOOKUP(Table1[[#This Row],[Teacher]],'Teachers Salaries'!A:C,3,FALSE)),"")</f>
        <v/>
      </c>
      <c r="BG114">
        <f ca="1">IFERROR(IF(Table1[[#This Row],[Pay Type]]="Fixed","-",Table1[[#This Row],[Final Group Frequency2]]*Table1[[#This Row],[Salary / Hourly Rate]]),0)</f>
        <v>0</v>
      </c>
      <c r="BH114">
        <f>IFERROR(IF(Table1[[#This Row],[Pay Type]]="Fixed","----",Table1[[#This Row],[Salary / Hourly Rate]]*Table1[[#This Row],[Final PrivateFrequency]]),0)</f>
        <v>0</v>
      </c>
      <c r="BI114">
        <f ca="1">IF(Table1[[#This Row],[Pay Type]]="Fixed","---",Table1[[#This Row],[Group Salary]]+Table1[[#This Row],[Private Salary]])</f>
        <v>0</v>
      </c>
      <c r="BJ114" t="str">
        <f>IF(OR(J114="Alex", J114=""),"", Table1[[#This Row],[For Amount]])</f>
        <v/>
      </c>
      <c r="BK114">
        <f ca="1">IFERROR(Table1[[#This Row],[Fee]]-Table1[[#This Row],[Total Salary]],"")</f>
        <v>0</v>
      </c>
      <c r="BL114" t="e">
        <f>IF(Table1[[#This Row],[Joining Date]]="","",IF(Table1[[#This Row],[Joining Date]]&lt;='KPI+Pivot'!$CP$1,Table1[[#This Row],[Fee]],""))</f>
        <v>#N/A</v>
      </c>
      <c r="BM11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4" t="e">
        <f>IF(Table1[[#This Row],[Joining Date]]="","",IF(Table1[[#This Row],[Joining Date]]&lt;='KPI+Pivot'!$CP$1,Table1[[#This Row],[Total Salary]],""))</f>
        <v>#N/A</v>
      </c>
      <c r="BO114" t="e">
        <f>IF(Table1[[#This Row],[Joining Date]]="","",IF(Table1[[#This Row],[Joining Date]]&lt;='KPI+Pivot'!$CP$1,Table1[[#This Row],[Frequency]],""))</f>
        <v>#N/A</v>
      </c>
      <c r="BP114" s="38" t="str">
        <f>IF(Table1[[#This Row],[Stop]]="","",(IF(Table1[[#This Row],[Joining Date]]="","",IF(Table1[[#This Row],[Joining Date]]&lt;='KPI+Pivot'!$CP$1,Table1[[#This Row],[Stop]],""))))</f>
        <v/>
      </c>
    </row>
    <row r="115" spans="1:68" ht="18" customHeight="1">
      <c r="A115">
        <v>135</v>
      </c>
      <c r="B115" t="s">
        <v>103</v>
      </c>
      <c r="C115" t="s">
        <v>866</v>
      </c>
      <c r="D115" t="s">
        <v>867</v>
      </c>
      <c r="F115" t="s">
        <v>868</v>
      </c>
      <c r="G115" t="s">
        <v>869</v>
      </c>
      <c r="H115" t="s">
        <v>870</v>
      </c>
      <c r="I115" t="str">
        <f>IFERROR(HYPERLINK("#Finance!B" &amp; MATCH(A115, 'F 2025'!A:A, 0), "🔗 Go to finance"), "❌ ID introuvable")</f>
        <v>🔗 Go to finance</v>
      </c>
      <c r="J115" t="s">
        <v>196</v>
      </c>
      <c r="K115" t="s">
        <v>110</v>
      </c>
      <c r="L115" t="s">
        <v>507</v>
      </c>
      <c r="N115">
        <v>2</v>
      </c>
      <c r="O115">
        <v>9900</v>
      </c>
      <c r="P115" s="38">
        <v>45875</v>
      </c>
      <c r="V115" t="s">
        <v>871</v>
      </c>
      <c r="W115" s="13" t="s">
        <v>872</v>
      </c>
      <c r="X115" s="13"/>
      <c r="Y115" t="s">
        <v>873</v>
      </c>
      <c r="Z115" t="s">
        <v>75</v>
      </c>
      <c r="AB115" t="s">
        <v>874</v>
      </c>
      <c r="AD115" s="130">
        <v>45383</v>
      </c>
      <c r="AE115"/>
      <c r="AG115" t="s">
        <v>76</v>
      </c>
      <c r="AI115" t="s">
        <v>874</v>
      </c>
      <c r="AK115" t="s">
        <v>84</v>
      </c>
      <c r="AM115" s="38"/>
      <c r="AO115" t="s">
        <v>869</v>
      </c>
      <c r="AR115" t="str">
        <f t="shared" si="6"/>
        <v>private</v>
      </c>
      <c r="AS115">
        <f t="shared" si="7"/>
        <v>2</v>
      </c>
      <c r="AT115" t="str">
        <f>IF(Table1[[#This Row],[Joining Date]]="", "", TEXT(Table1[[#This Row],[Joining Date]], "mmm"))</f>
        <v>Apr</v>
      </c>
      <c r="AU115">
        <f>IF(Table1[[#This Row],[Joining Date]]="", "", YEAR(Table1[[#This Row],[Joining Date]]))</f>
        <v>2024</v>
      </c>
      <c r="AV115" t="str">
        <f>IF(Table1[[#This Row],[Group Name]]="","", M115 &amp; Table1[[#This Row],[Teacher]])</f>
        <v/>
      </c>
      <c r="AW115" t="str">
        <f>IF(Table1[[#This Row],[Helper]]="","",IF(_xlfn.MAXIFS(AT:AT,AW:AW,Table1[[#This Row],[Helper]])=Table1[[#This Row],[Clean Frequency]],_xlfn.MAXIFS(AT:AT,AW:AW,Table1[[#This Row],[Helper]]),""))</f>
        <v/>
      </c>
      <c r="AX115" t="str">
        <f ca="1">IF(AND(AW115=_xlfn.MAXIFS(AX:AX, AW:AW, AV115), COUNTIFS(AV$3:AV115, AV115, AW$3:AW115, AW115)=1), 1, "")</f>
        <v/>
      </c>
      <c r="AY115">
        <f>IF(Table1[[#This Row],[lesson type]]="private",Table1[[#This Row],[Clean Frequency]],"")</f>
        <v>2</v>
      </c>
      <c r="AZ115" t="str">
        <f ca="1">IF(Table1[[#This Row],[First Occurrence]]=1,Table1[[#This Row],[Group Frequency]],"")</f>
        <v/>
      </c>
      <c r="BA115">
        <f ca="1">IF(B115="Y", IF(Table1[[#This Row],[Stop]]="", TODAY() - Table1[[#This Row],[Joining Date]], Table1[[#This Row],[Stop]] - Table1[[#This Row],[Joining Date]]), "")</f>
        <v>794</v>
      </c>
      <c r="BB115" t="str">
        <f>_xlfn.CONCAT(Table1[[#This Row],[t]]," ",Table1[[#This Row],[Last Name]])</f>
        <v>Momoka Sato</v>
      </c>
      <c r="BC115" t="e">
        <f>IF(OR(Table1[[#This Row],[Teacher]]="Alex",Table1[[#This Row],[Teacher]]=""), "", Table1[[#This Row],[For Salary]])</f>
        <v>#N/A</v>
      </c>
      <c r="BD115" t="e">
        <f>IF(OR(Table1[[#This Row],[Teacher]]="Alex",Table1[[#This Row],[Teacher]]=""), "", Table1[[#This Row],[For Amount]])</f>
        <v>#N/A</v>
      </c>
      <c r="BE115" t="str">
        <f>IFERROR(IF(VLOOKUP(Table1[[#This Row],[Teacher]],'Teachers Salaries'!A:C,2,FALSE)="","",VLOOKUP(Table1[[#This Row],[Teacher]],'Teachers Salaries'!A:C,2,FALSE)),"")</f>
        <v>Hourly</v>
      </c>
      <c r="BF115">
        <f>IFERROR(IF(VLOOKUP(Table1[[#This Row],[Teacher]],'Teachers Salaries'!A:C,3,FALSE)="","",VLOOKUP(Table1[[#This Row],[Teacher]],'Teachers Salaries'!A:C,3,FALSE)),"")</f>
        <v>2600</v>
      </c>
      <c r="BG115">
        <f ca="1">IFERROR(IF(Table1[[#This Row],[Pay Type]]="Fixed","-",Table1[[#This Row],[Final Group Frequency2]]*Table1[[#This Row],[Salary / Hourly Rate]]),0)</f>
        <v>0</v>
      </c>
      <c r="BH115">
        <f>IFERROR(IF(Table1[[#This Row],[Pay Type]]="Fixed","----",Table1[[#This Row],[Salary / Hourly Rate]]*Table1[[#This Row],[Final PrivateFrequency]]),0)</f>
        <v>5200</v>
      </c>
      <c r="BI115">
        <f ca="1">IF(Table1[[#This Row],[Pay Type]]="Fixed","---",Table1[[#This Row],[Group Salary]]+Table1[[#This Row],[Private Salary]])</f>
        <v>5200</v>
      </c>
      <c r="BJ115" t="e">
        <f>IF(OR(J115="Alex", J115=""),"", Table1[[#This Row],[For Amount]])</f>
        <v>#N/A</v>
      </c>
      <c r="BK115">
        <f ca="1">IFERROR(Table1[[#This Row],[Fee]]-Table1[[#This Row],[Total Salary]],"")</f>
        <v>4700</v>
      </c>
      <c r="BL115" t="e">
        <f>IF(Table1[[#This Row],[Joining Date]]="","",IF(Table1[[#This Row],[Joining Date]]&lt;='KPI+Pivot'!$CP$1,Table1[[#This Row],[Fee]],""))</f>
        <v>#N/A</v>
      </c>
      <c r="BM11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5" t="e">
        <f>IF(Table1[[#This Row],[Joining Date]]="","",IF(Table1[[#This Row],[Joining Date]]&lt;='KPI+Pivot'!$CP$1,Table1[[#This Row],[Total Salary]],""))</f>
        <v>#N/A</v>
      </c>
      <c r="BO115" t="e">
        <f>IF(Table1[[#This Row],[Joining Date]]="","",IF(Table1[[#This Row],[Joining Date]]&lt;='KPI+Pivot'!$CP$1,Table1[[#This Row],[Frequency]],""))</f>
        <v>#N/A</v>
      </c>
      <c r="BP115" s="38" t="str">
        <f>IF(Table1[[#This Row],[Stop]]="","",(IF(Table1[[#This Row],[Joining Date]]="","",IF(Table1[[#This Row],[Joining Date]]&lt;='KPI+Pivot'!$CP$1,Table1[[#This Row],[Stop]],""))))</f>
        <v/>
      </c>
    </row>
    <row r="116" spans="1:68" ht="18" customHeight="1">
      <c r="A116">
        <v>135</v>
      </c>
      <c r="B116" t="s">
        <v>103</v>
      </c>
      <c r="C116" t="s">
        <v>866</v>
      </c>
      <c r="D116" t="s">
        <v>867</v>
      </c>
      <c r="F116" t="s">
        <v>868</v>
      </c>
      <c r="G116" t="s">
        <v>869</v>
      </c>
      <c r="H116" t="s">
        <v>870</v>
      </c>
      <c r="I116" t="str">
        <f>IFERROR(HYPERLINK("#Finance!B" &amp; MATCH(A116, 'F 2025'!A:A, 0), "🔗 Go to finance"), "❌ ID introuvable")</f>
        <v>🔗 Go to finance</v>
      </c>
      <c r="J116" t="s">
        <v>494</v>
      </c>
      <c r="K116" t="s">
        <v>117</v>
      </c>
      <c r="L116" t="s">
        <v>507</v>
      </c>
      <c r="N116">
        <v>2</v>
      </c>
      <c r="O116">
        <v>3300</v>
      </c>
      <c r="T116" s="130">
        <v>45323</v>
      </c>
      <c r="V116" t="s">
        <v>871</v>
      </c>
      <c r="W116" s="13" t="s">
        <v>872</v>
      </c>
      <c r="X116" s="13"/>
      <c r="Y116" t="s">
        <v>873</v>
      </c>
      <c r="Z116" t="s">
        <v>75</v>
      </c>
      <c r="AB116" t="s">
        <v>874</v>
      </c>
      <c r="AD116" s="130">
        <v>45323</v>
      </c>
      <c r="AE116"/>
      <c r="AG116" t="s">
        <v>76</v>
      </c>
      <c r="AI116" t="s">
        <v>874</v>
      </c>
      <c r="AK116" t="s">
        <v>84</v>
      </c>
      <c r="AM116" s="38"/>
      <c r="AO116" t="s">
        <v>869</v>
      </c>
      <c r="AR116" t="str">
        <f t="shared" si="6"/>
        <v>group</v>
      </c>
      <c r="AS116">
        <f t="shared" si="7"/>
        <v>2</v>
      </c>
      <c r="AT116" t="str">
        <f>IF(Table1[[#This Row],[Joining Date]]="", "", TEXT(Table1[[#This Row],[Joining Date]], "mmm"))</f>
        <v>Feb</v>
      </c>
      <c r="AU116">
        <f>IF(Table1[[#This Row],[Joining Date]]="", "", YEAR(Table1[[#This Row],[Joining Date]]))</f>
        <v>2024</v>
      </c>
      <c r="AV116" t="str">
        <f>IF(Table1[[#This Row],[Group Name]]="","", M116 &amp; Table1[[#This Row],[Teacher]])</f>
        <v/>
      </c>
      <c r="AW116" t="str">
        <f>IF(Table1[[#This Row],[Helper]]="","",IF(_xlfn.MAXIFS(AT:AT,AW:AW,Table1[[#This Row],[Helper]])=Table1[[#This Row],[Clean Frequency]],_xlfn.MAXIFS(AT:AT,AW:AW,Table1[[#This Row],[Helper]]),""))</f>
        <v/>
      </c>
      <c r="AX116" t="str">
        <f ca="1">IF(AND(AW116=_xlfn.MAXIFS(AX:AX, AW:AW, AV116), COUNTIFS(AV$3:AV116, AV116, AW$3:AW116, AW116)=1), 1, "")</f>
        <v/>
      </c>
      <c r="AY116" t="str">
        <f>IF(Table1[[#This Row],[lesson type]]="private",Table1[[#This Row],[Clean Frequency]],"")</f>
        <v/>
      </c>
      <c r="AZ116" t="str">
        <f ca="1">IF(Table1[[#This Row],[First Occurrence]]=1,Table1[[#This Row],[Group Frequency]],"")</f>
        <v/>
      </c>
      <c r="BA116">
        <f ca="1">IF(B116="Y", IF(Table1[[#This Row],[Stop]]="", TODAY() - Table1[[#This Row],[Joining Date]], Table1[[#This Row],[Stop]] - Table1[[#This Row],[Joining Date]]), "")</f>
        <v>854</v>
      </c>
      <c r="BB116" t="str">
        <f>_xlfn.CONCAT(Table1[[#This Row],[t]]," ",Table1[[#This Row],[Last Name]])</f>
        <v>Momoka Sato</v>
      </c>
      <c r="BC116" t="e">
        <f>IF(OR(Table1[[#This Row],[Teacher]]="Alex",Table1[[#This Row],[Teacher]]=""), "", Table1[[#This Row],[For Salary]])</f>
        <v>#N/A</v>
      </c>
      <c r="BD116" t="e">
        <f>IF(OR(Table1[[#This Row],[Teacher]]="Alex",Table1[[#This Row],[Teacher]]=""), "", Table1[[#This Row],[For Amount]])</f>
        <v>#N/A</v>
      </c>
      <c r="BE116" t="str">
        <f>IFERROR(IF(VLOOKUP(Table1[[#This Row],[Teacher]],'Teachers Salaries'!A:C,2,FALSE)="","",VLOOKUP(Table1[[#This Row],[Teacher]],'Teachers Salaries'!A:C,2,FALSE)),"")</f>
        <v>Hourly</v>
      </c>
      <c r="BF116">
        <f>IFERROR(IF(VLOOKUP(Table1[[#This Row],[Teacher]],'Teachers Salaries'!A:C,3,FALSE)="","",VLOOKUP(Table1[[#This Row],[Teacher]],'Teachers Salaries'!A:C,3,FALSE)),"")</f>
        <v>3000</v>
      </c>
      <c r="BG116">
        <f ca="1">IFERROR(IF(Table1[[#This Row],[Pay Type]]="Fixed","-",Table1[[#This Row],[Final Group Frequency2]]*Table1[[#This Row],[Salary / Hourly Rate]]),0)</f>
        <v>0</v>
      </c>
      <c r="BH116">
        <f>IFERROR(IF(Table1[[#This Row],[Pay Type]]="Fixed","----",Table1[[#This Row],[Salary / Hourly Rate]]*Table1[[#This Row],[Final PrivateFrequency]]),0)</f>
        <v>0</v>
      </c>
      <c r="BI116">
        <f ca="1">IF(Table1[[#This Row],[Pay Type]]="Fixed","---",Table1[[#This Row],[Group Salary]]+Table1[[#This Row],[Private Salary]])</f>
        <v>0</v>
      </c>
      <c r="BJ116" t="e">
        <f>IF(OR(J116="Alex", J116=""),"", Table1[[#This Row],[For Amount]])</f>
        <v>#N/A</v>
      </c>
      <c r="BK116">
        <f ca="1">IFERROR(Table1[[#This Row],[Fee]]-Table1[[#This Row],[Total Salary]],"")</f>
        <v>3300</v>
      </c>
      <c r="BL116" t="e">
        <f>IF(Table1[[#This Row],[Joining Date]]="","",IF(Table1[[#This Row],[Joining Date]]&lt;='KPI+Pivot'!$CP$1,Table1[[#This Row],[Fee]],""))</f>
        <v>#N/A</v>
      </c>
      <c r="BM11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6" t="e">
        <f>IF(Table1[[#This Row],[Joining Date]]="","",IF(Table1[[#This Row],[Joining Date]]&lt;='KPI+Pivot'!$CP$1,Table1[[#This Row],[Total Salary]],""))</f>
        <v>#N/A</v>
      </c>
      <c r="BO116" t="e">
        <f>IF(Table1[[#This Row],[Joining Date]]="","",IF(Table1[[#This Row],[Joining Date]]&lt;='KPI+Pivot'!$CP$1,Table1[[#This Row],[Frequency]],""))</f>
        <v>#N/A</v>
      </c>
      <c r="BP116" s="38" t="str">
        <f>IF(Table1[[#This Row],[Stop]]="","",(IF(Table1[[#This Row],[Joining Date]]="","",IF(Table1[[#This Row],[Joining Date]]&lt;='KPI+Pivot'!$CP$1,Table1[[#This Row],[Stop]],""))))</f>
        <v/>
      </c>
    </row>
    <row r="117" spans="1:68" ht="18" customHeight="1">
      <c r="A117">
        <v>105</v>
      </c>
      <c r="B117" t="s">
        <v>66</v>
      </c>
      <c r="C117" t="s">
        <v>875</v>
      </c>
      <c r="D117" t="s">
        <v>876</v>
      </c>
      <c r="F117" t="s">
        <v>877</v>
      </c>
      <c r="G117" t="s">
        <v>878</v>
      </c>
      <c r="H117" t="s">
        <v>879</v>
      </c>
      <c r="I117" t="str">
        <f>IFERROR(HYPERLINK("#Finance!B" &amp; MATCH(A117, 'F 2025'!A:A, 0), "🔗 Go to finance"), "❌ ID introuvable")</f>
        <v>🔗 Go to finance</v>
      </c>
      <c r="J117" t="s">
        <v>196</v>
      </c>
      <c r="K117" t="s">
        <v>110</v>
      </c>
      <c r="L117" t="s">
        <v>507</v>
      </c>
      <c r="N117">
        <v>3</v>
      </c>
      <c r="O117">
        <v>14850</v>
      </c>
      <c r="R117">
        <v>0</v>
      </c>
      <c r="V117" t="s">
        <v>880</v>
      </c>
      <c r="W117" t="s">
        <v>880</v>
      </c>
      <c r="Z117" t="s">
        <v>75</v>
      </c>
      <c r="AB117" t="s">
        <v>881</v>
      </c>
      <c r="AD117" s="130">
        <v>45078</v>
      </c>
      <c r="AE117"/>
      <c r="AG117" t="s">
        <v>76</v>
      </c>
      <c r="AI117" t="s">
        <v>881</v>
      </c>
      <c r="AK117" t="s">
        <v>84</v>
      </c>
      <c r="AM117" s="38"/>
      <c r="AO117" t="s">
        <v>878</v>
      </c>
      <c r="AP117">
        <v>105</v>
      </c>
      <c r="AQ117" t="s">
        <v>878</v>
      </c>
      <c r="AR117" t="str">
        <f t="shared" si="6"/>
        <v>private</v>
      </c>
      <c r="AS117">
        <f t="shared" si="7"/>
        <v>3</v>
      </c>
      <c r="AT117" t="str">
        <f>IF(Table1[[#This Row],[Joining Date]]="", "", TEXT(Table1[[#This Row],[Joining Date]], "mmm"))</f>
        <v>Jun</v>
      </c>
      <c r="AU117">
        <f>IF(Table1[[#This Row],[Joining Date]]="", "", YEAR(Table1[[#This Row],[Joining Date]]))</f>
        <v>2023</v>
      </c>
      <c r="AV117" t="str">
        <f>IF(Table1[[#This Row],[Group Name]]="","", M117 &amp; Table1[[#This Row],[Teacher]])</f>
        <v/>
      </c>
      <c r="AW117" t="str">
        <f>IF(Table1[[#This Row],[Helper]]="","",IF(_xlfn.MAXIFS(AT:AT,AW:AW,Table1[[#This Row],[Helper]])=Table1[[#This Row],[Clean Frequency]],_xlfn.MAXIFS(AT:AT,AW:AW,Table1[[#This Row],[Helper]]),""))</f>
        <v/>
      </c>
      <c r="AX117" t="str">
        <f ca="1">IF(AND(AW117=_xlfn.MAXIFS(AX:AX, AW:AW, AV117), COUNTIFS(AV$3:AV117, AV117, AW$3:AW117, AW117)=1), 1, "")</f>
        <v/>
      </c>
      <c r="AY117">
        <f>IF(Table1[[#This Row],[lesson type]]="private",Table1[[#This Row],[Clean Frequency]],"")</f>
        <v>3</v>
      </c>
      <c r="AZ117" t="str">
        <f ca="1">IF(Table1[[#This Row],[First Occurrence]]=1,Table1[[#This Row],[Group Frequency]],"")</f>
        <v/>
      </c>
      <c r="BA117" t="str">
        <f ca="1">IF(B117="Y", IF(Table1[[#This Row],[Stop]]="", TODAY() - Table1[[#This Row],[Joining Date]], Table1[[#This Row],[Stop]] - Table1[[#This Row],[Joining Date]]), "")</f>
        <v/>
      </c>
      <c r="BB117" t="str">
        <f>_xlfn.CONCAT(Table1[[#This Row],[t]]," ",Table1[[#This Row],[Last Name]])</f>
        <v>Momoko Fujino</v>
      </c>
      <c r="BC117" t="e">
        <f>IF(OR(Table1[[#This Row],[Teacher]]="Alex",Table1[[#This Row],[Teacher]]=""), "", Table1[[#This Row],[For Salary]])</f>
        <v>#N/A</v>
      </c>
      <c r="BD117" t="e">
        <f>IF(OR(Table1[[#This Row],[Teacher]]="Alex",Table1[[#This Row],[Teacher]]=""), "", Table1[[#This Row],[For Amount]])</f>
        <v>#N/A</v>
      </c>
      <c r="BE117" t="str">
        <f>IFERROR(IF(VLOOKUP(Table1[[#This Row],[Teacher]],'Teachers Salaries'!A:C,2,FALSE)="","",VLOOKUP(Table1[[#This Row],[Teacher]],'Teachers Salaries'!A:C,2,FALSE)),"")</f>
        <v>Hourly</v>
      </c>
      <c r="BF117">
        <f>IFERROR(IF(VLOOKUP(Table1[[#This Row],[Teacher]],'Teachers Salaries'!A:C,3,FALSE)="","",VLOOKUP(Table1[[#This Row],[Teacher]],'Teachers Salaries'!A:C,3,FALSE)),"")</f>
        <v>2600</v>
      </c>
      <c r="BG117">
        <f ca="1">IFERROR(IF(Table1[[#This Row],[Pay Type]]="Fixed","-",Table1[[#This Row],[Final Group Frequency2]]*Table1[[#This Row],[Salary / Hourly Rate]]),0)</f>
        <v>0</v>
      </c>
      <c r="BH117">
        <f>IFERROR(IF(Table1[[#This Row],[Pay Type]]="Fixed","----",Table1[[#This Row],[Salary / Hourly Rate]]*Table1[[#This Row],[Final PrivateFrequency]]),0)</f>
        <v>7800</v>
      </c>
      <c r="BI117">
        <f ca="1">IF(Table1[[#This Row],[Pay Type]]="Fixed","---",Table1[[#This Row],[Group Salary]]+Table1[[#This Row],[Private Salary]])</f>
        <v>7800</v>
      </c>
      <c r="BJ117" t="e">
        <f>IF(OR(J117="Alex", J117=""),"", Table1[[#This Row],[For Amount]])</f>
        <v>#N/A</v>
      </c>
      <c r="BK117">
        <f ca="1">IFERROR(Table1[[#This Row],[Fee]]-Table1[[#This Row],[Total Salary]],"")</f>
        <v>7050</v>
      </c>
      <c r="BL117" t="e">
        <f>IF(Table1[[#This Row],[Joining Date]]="","",IF(Table1[[#This Row],[Joining Date]]&lt;='KPI+Pivot'!$CP$1,Table1[[#This Row],[Fee]],""))</f>
        <v>#N/A</v>
      </c>
      <c r="BM11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7" t="e">
        <f>IF(Table1[[#This Row],[Joining Date]]="","",IF(Table1[[#This Row],[Joining Date]]&lt;='KPI+Pivot'!$CP$1,Table1[[#This Row],[Total Salary]],""))</f>
        <v>#N/A</v>
      </c>
      <c r="BO117" t="e">
        <f>IF(Table1[[#This Row],[Joining Date]]="","",IF(Table1[[#This Row],[Joining Date]]&lt;='KPI+Pivot'!$CP$1,Table1[[#This Row],[Frequency]],""))</f>
        <v>#N/A</v>
      </c>
      <c r="BP117" s="38" t="str">
        <f>IF(Table1[[#This Row],[Stop]]="","",(IF(Table1[[#This Row],[Joining Date]]="","",IF(Table1[[#This Row],[Joining Date]]&lt;='KPI+Pivot'!$CP$1,Table1[[#This Row],[Stop]],""))))</f>
        <v/>
      </c>
    </row>
    <row r="118" spans="1:68" ht="18" customHeight="1">
      <c r="A118">
        <v>49</v>
      </c>
      <c r="B118" t="s">
        <v>103</v>
      </c>
      <c r="C118" t="s">
        <v>882</v>
      </c>
      <c r="D118" t="s">
        <v>421</v>
      </c>
      <c r="F118" t="s">
        <v>883</v>
      </c>
      <c r="G118" t="s">
        <v>884</v>
      </c>
      <c r="H118" t="s">
        <v>424</v>
      </c>
      <c r="I118" t="str">
        <f>IFERROR(HYPERLINK("#Finance!B" &amp; MATCH(A118, 'F 2025'!A:A, 0), "🔗 Go to finance"), "❌ ID introuvable")</f>
        <v>🔗 Go to finance</v>
      </c>
      <c r="J118" t="s">
        <v>109</v>
      </c>
      <c r="K118" t="s">
        <v>117</v>
      </c>
      <c r="L118" t="s">
        <v>502</v>
      </c>
      <c r="O118">
        <v>6050</v>
      </c>
      <c r="T118" s="130">
        <v>45566</v>
      </c>
      <c r="V118" t="s">
        <v>425</v>
      </c>
      <c r="Y118" t="s">
        <v>426</v>
      </c>
      <c r="Z118" t="s">
        <v>75</v>
      </c>
      <c r="AB118" t="s">
        <v>885</v>
      </c>
      <c r="AD118" s="130">
        <v>45566</v>
      </c>
      <c r="AE118"/>
      <c r="AG118" t="s">
        <v>76</v>
      </c>
      <c r="AI118" t="s">
        <v>885</v>
      </c>
      <c r="AK118" t="s">
        <v>102</v>
      </c>
      <c r="AM118" s="38"/>
      <c r="AO118" t="s">
        <v>884</v>
      </c>
      <c r="AR118" t="str">
        <f t="shared" si="6"/>
        <v>group</v>
      </c>
      <c r="AS118">
        <f t="shared" si="7"/>
        <v>4</v>
      </c>
      <c r="AT118" t="str">
        <f>IF(Table1[[#This Row],[Joining Date]]="", "", TEXT(Table1[[#This Row],[Joining Date]], "mmm"))</f>
        <v>Oct</v>
      </c>
      <c r="AU118">
        <f>IF(Table1[[#This Row],[Joining Date]]="", "", YEAR(Table1[[#This Row],[Joining Date]]))</f>
        <v>2024</v>
      </c>
      <c r="AV118" t="str">
        <f>IF(Table1[[#This Row],[Group Name]]="","", M118 &amp; Table1[[#This Row],[Teacher]])</f>
        <v/>
      </c>
      <c r="AW118" t="str">
        <f>IF(Table1[[#This Row],[Helper]]="","",IF(_xlfn.MAXIFS(AT:AT,AW:AW,Table1[[#This Row],[Helper]])=Table1[[#This Row],[Clean Frequency]],_xlfn.MAXIFS(AT:AT,AW:AW,Table1[[#This Row],[Helper]]),""))</f>
        <v/>
      </c>
      <c r="AX118" t="str">
        <f ca="1">IF(AND(AW118=_xlfn.MAXIFS(AX:AX, AW:AW, AV118), COUNTIFS(AV$3:AV118, AV118, AW$3:AW118, AW118)=1), 1, "")</f>
        <v/>
      </c>
      <c r="AY118" t="str">
        <f>IF(Table1[[#This Row],[lesson type]]="private",Table1[[#This Row],[Clean Frequency]],"")</f>
        <v/>
      </c>
      <c r="AZ118" t="str">
        <f ca="1">IF(Table1[[#This Row],[First Occurrence]]=1,Table1[[#This Row],[Group Frequency]],"")</f>
        <v/>
      </c>
      <c r="BA118">
        <f ca="1">IF(B118="Y", IF(Table1[[#This Row],[Stop]]="", TODAY() - Table1[[#This Row],[Joining Date]], Table1[[#This Row],[Stop]] - Table1[[#This Row],[Joining Date]]), "")</f>
        <v>611</v>
      </c>
      <c r="BB118" t="str">
        <f>_xlfn.CONCAT(Table1[[#This Row],[t]]," ",Table1[[#This Row],[Last Name]])</f>
        <v>Nagi Ono</v>
      </c>
      <c r="BC118" t="str">
        <f>IF(OR(Table1[[#This Row],[Teacher]]="Alex",Table1[[#This Row],[Teacher]]=""), "", Table1[[#This Row],[For Salary]])</f>
        <v/>
      </c>
      <c r="BD118" t="str">
        <f>IF(OR(Table1[[#This Row],[Teacher]]="Alex",Table1[[#This Row],[Teacher]]=""), "", Table1[[#This Row],[For Amount]])</f>
        <v/>
      </c>
      <c r="BE118" t="str">
        <f>IFERROR(IF(VLOOKUP(Table1[[#This Row],[Teacher]],'Teachers Salaries'!A:C,2,FALSE)="","",VLOOKUP(Table1[[#This Row],[Teacher]],'Teachers Salaries'!A:C,2,FALSE)),"")</f>
        <v>Fixed</v>
      </c>
      <c r="BF118">
        <f>IFERROR(IF(VLOOKUP(Table1[[#This Row],[Teacher]],'Teachers Salaries'!A:C,3,FALSE)="","",VLOOKUP(Table1[[#This Row],[Teacher]],'Teachers Salaries'!A:C,3,FALSE)),"")</f>
        <v>210000</v>
      </c>
      <c r="BG118" t="str">
        <f>IFERROR(IF(Table1[[#This Row],[Pay Type]]="Fixed","-",Table1[[#This Row],[Final Group Frequency2]]*Table1[[#This Row],[Salary / Hourly Rate]]),0)</f>
        <v>-</v>
      </c>
      <c r="BH118" t="str">
        <f>IFERROR(IF(Table1[[#This Row],[Pay Type]]="Fixed","----",Table1[[#This Row],[Salary / Hourly Rate]]*Table1[[#This Row],[Final PrivateFrequency]]),0)</f>
        <v>----</v>
      </c>
      <c r="BI118" t="str">
        <f>IF(Table1[[#This Row],[Pay Type]]="Fixed","---",Table1[[#This Row],[Group Salary]]+Table1[[#This Row],[Private Salary]])</f>
        <v>---</v>
      </c>
      <c r="BJ118" t="str">
        <f>IF(OR(J118="Alex", J118=""),"", Table1[[#This Row],[For Amount]])</f>
        <v/>
      </c>
      <c r="BK118" t="str">
        <f>IFERROR(Table1[[#This Row],[Fee]]-Table1[[#This Row],[Total Salary]],"")</f>
        <v/>
      </c>
      <c r="BL118" t="e">
        <f>IF(Table1[[#This Row],[Joining Date]]="","",IF(Table1[[#This Row],[Joining Date]]&lt;='KPI+Pivot'!$CP$1,Table1[[#This Row],[Fee]],""))</f>
        <v>#N/A</v>
      </c>
      <c r="BM11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8" t="e">
        <f>IF(Table1[[#This Row],[Joining Date]]="","",IF(Table1[[#This Row],[Joining Date]]&lt;='KPI+Pivot'!$CP$1,Table1[[#This Row],[Total Salary]],""))</f>
        <v>#N/A</v>
      </c>
      <c r="BO118" t="e">
        <f>IF(Table1[[#This Row],[Joining Date]]="","",IF(Table1[[#This Row],[Joining Date]]&lt;='KPI+Pivot'!$CP$1,Table1[[#This Row],[Frequency]],""))</f>
        <v>#N/A</v>
      </c>
      <c r="BP118" s="38" t="str">
        <f>IF(Table1[[#This Row],[Stop]]="","",(IF(Table1[[#This Row],[Joining Date]]="","",IF(Table1[[#This Row],[Joining Date]]&lt;='KPI+Pivot'!$CP$1,Table1[[#This Row],[Stop]],""))))</f>
        <v/>
      </c>
    </row>
    <row r="119" spans="1:68" ht="22.9" customHeight="1">
      <c r="B119" t="s">
        <v>66</v>
      </c>
      <c r="C119" t="s">
        <v>886</v>
      </c>
      <c r="D119" t="s">
        <v>451</v>
      </c>
      <c r="F119" t="s">
        <v>887</v>
      </c>
      <c r="G119" t="s">
        <v>888</v>
      </c>
      <c r="H119" t="s">
        <v>454</v>
      </c>
      <c r="I119" t="str">
        <f>IFERROR(HYPERLINK("#Finance!B" &amp; MATCH(A119, 'F 2025'!A:A, 0), "🔗 Go to finance"), "❌ ID introuvable")</f>
        <v>❌ ID introuvable</v>
      </c>
      <c r="L119" t="s">
        <v>132</v>
      </c>
      <c r="Z119" t="s">
        <v>75</v>
      </c>
      <c r="AD119" s="130">
        <v>43922</v>
      </c>
      <c r="AE119"/>
      <c r="AG119" t="s">
        <v>76</v>
      </c>
      <c r="AK119" t="s">
        <v>458</v>
      </c>
      <c r="AM119" s="38"/>
      <c r="AO119" t="s">
        <v>888</v>
      </c>
      <c r="AR119" t="str">
        <f t="shared" si="6"/>
        <v/>
      </c>
      <c r="AS119" t="str">
        <f t="shared" si="7"/>
        <v/>
      </c>
      <c r="AT119" t="str">
        <f>IF(Table1[[#This Row],[Joining Date]]="", "", TEXT(Table1[[#This Row],[Joining Date]], "mmm"))</f>
        <v>Apr</v>
      </c>
      <c r="AU119">
        <f>IF(Table1[[#This Row],[Joining Date]]="", "", YEAR(Table1[[#This Row],[Joining Date]]))</f>
        <v>2020</v>
      </c>
      <c r="AV119" t="str">
        <f>IF(Table1[[#This Row],[Group Name]]="","", M119 &amp; Table1[[#This Row],[Teacher]])</f>
        <v/>
      </c>
      <c r="AW119" t="str">
        <f>IF(Table1[[#This Row],[Helper]]="","",IF(_xlfn.MAXIFS(AT:AT,AW:AW,Table1[[#This Row],[Helper]])=Table1[[#This Row],[Clean Frequency]],_xlfn.MAXIFS(AT:AT,AW:AW,Table1[[#This Row],[Helper]]),""))</f>
        <v/>
      </c>
      <c r="AX119" t="str">
        <f ca="1">IF(AND(AW119=_xlfn.MAXIFS(AX:AX, AW:AW, AV119), COUNTIFS(AV$3:AV119, AV119, AW$3:AW119, AW119)=1), 1, "")</f>
        <v/>
      </c>
      <c r="AY119" t="str">
        <f>IF(Table1[[#This Row],[lesson type]]="private",Table1[[#This Row],[Clean Frequency]],"")</f>
        <v/>
      </c>
      <c r="AZ119" t="str">
        <f ca="1">IF(Table1[[#This Row],[First Occurrence]]=1,Table1[[#This Row],[Group Frequency]],"")</f>
        <v/>
      </c>
      <c r="BA119" t="str">
        <f ca="1">IF(B119="Y", IF(Table1[[#This Row],[Stop]]="", TODAY() - Table1[[#This Row],[Joining Date]], Table1[[#This Row],[Stop]] - Table1[[#This Row],[Joining Date]]), "")</f>
        <v/>
      </c>
      <c r="BB119" t="str">
        <f>_xlfn.CONCAT(Table1[[#This Row],[t]]," ",Table1[[#This Row],[Last Name]])</f>
        <v>Nanami Uetsuki</v>
      </c>
      <c r="BC119" t="str">
        <f>IF(OR(Table1[[#This Row],[Teacher]]="Alex",Table1[[#This Row],[Teacher]]=""), "", Table1[[#This Row],[For Salary]])</f>
        <v/>
      </c>
      <c r="BD119" t="str">
        <f>IF(OR(Table1[[#This Row],[Teacher]]="Alex",Table1[[#This Row],[Teacher]]=""), "", Table1[[#This Row],[For Amount]])</f>
        <v/>
      </c>
      <c r="BE119" t="str">
        <f>IFERROR(IF(VLOOKUP(Table1[[#This Row],[Teacher]],'Teachers Salaries'!A:C,2,FALSE)="","",VLOOKUP(Table1[[#This Row],[Teacher]],'Teachers Salaries'!A:C,2,FALSE)),"")</f>
        <v/>
      </c>
      <c r="BF119" t="str">
        <f>IFERROR(IF(VLOOKUP(Table1[[#This Row],[Teacher]],'Teachers Salaries'!A:C,3,FALSE)="","",VLOOKUP(Table1[[#This Row],[Teacher]],'Teachers Salaries'!A:C,3,FALSE)),"")</f>
        <v/>
      </c>
      <c r="BG119">
        <f ca="1">IFERROR(IF(Table1[[#This Row],[Pay Type]]="Fixed","-",Table1[[#This Row],[Final Group Frequency2]]*Table1[[#This Row],[Salary / Hourly Rate]]),0)</f>
        <v>0</v>
      </c>
      <c r="BH119">
        <f>IFERROR(IF(Table1[[#This Row],[Pay Type]]="Fixed","----",Table1[[#This Row],[Salary / Hourly Rate]]*Table1[[#This Row],[Final PrivateFrequency]]),0)</f>
        <v>0</v>
      </c>
      <c r="BI119">
        <f ca="1">IF(Table1[[#This Row],[Pay Type]]="Fixed","---",Table1[[#This Row],[Group Salary]]+Table1[[#This Row],[Private Salary]])</f>
        <v>0</v>
      </c>
      <c r="BJ119" t="str">
        <f>IF(OR(J119="Alex", J119=""),"", Table1[[#This Row],[For Amount]])</f>
        <v/>
      </c>
      <c r="BK119">
        <f ca="1">IFERROR(Table1[[#This Row],[Fee]]-Table1[[#This Row],[Total Salary]],"")</f>
        <v>0</v>
      </c>
      <c r="BL119" t="e">
        <f>IF(Table1[[#This Row],[Joining Date]]="","",IF(Table1[[#This Row],[Joining Date]]&lt;='KPI+Pivot'!$CP$1,Table1[[#This Row],[Fee]],""))</f>
        <v>#N/A</v>
      </c>
      <c r="BM11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9" t="e">
        <f>IF(Table1[[#This Row],[Joining Date]]="","",IF(Table1[[#This Row],[Joining Date]]&lt;='KPI+Pivot'!$CP$1,Table1[[#This Row],[Total Salary]],""))</f>
        <v>#N/A</v>
      </c>
      <c r="BO119" t="e">
        <f>IF(Table1[[#This Row],[Joining Date]]="","",IF(Table1[[#This Row],[Joining Date]]&lt;='KPI+Pivot'!$CP$1,Table1[[#This Row],[Frequency]],""))</f>
        <v>#N/A</v>
      </c>
      <c r="BP119" s="38" t="str">
        <f>IF(Table1[[#This Row],[Stop]]="","",(IF(Table1[[#This Row],[Joining Date]]="","",IF(Table1[[#This Row],[Joining Date]]&lt;='KPI+Pivot'!$CP$1,Table1[[#This Row],[Stop]],""))))</f>
        <v/>
      </c>
    </row>
    <row r="120" spans="1:68" ht="18" customHeight="1">
      <c r="A120">
        <v>157</v>
      </c>
      <c r="B120" t="s">
        <v>103</v>
      </c>
      <c r="C120" t="s">
        <v>889</v>
      </c>
      <c r="D120" t="s">
        <v>890</v>
      </c>
      <c r="F120" t="s">
        <v>891</v>
      </c>
      <c r="G120" t="s">
        <v>892</v>
      </c>
      <c r="H120" t="s">
        <v>893</v>
      </c>
      <c r="I120" t="str">
        <f>IFERROR(HYPERLINK("#Finance!B" &amp; MATCH(A120, 'F 2025'!A:A, 0), "🔗 Go to finance"), "❌ ID introuvable")</f>
        <v>🔗 Go to finance</v>
      </c>
      <c r="J120" t="s">
        <v>109</v>
      </c>
      <c r="K120" t="s">
        <v>117</v>
      </c>
      <c r="L120" t="s">
        <v>502</v>
      </c>
      <c r="O120">
        <v>6050</v>
      </c>
      <c r="T120" s="130">
        <v>45536</v>
      </c>
      <c r="V120" s="13" t="s">
        <v>2048</v>
      </c>
      <c r="Y120" t="s">
        <v>894</v>
      </c>
      <c r="Z120" t="s">
        <v>75</v>
      </c>
      <c r="AD120" s="130">
        <v>45444</v>
      </c>
      <c r="AE120"/>
      <c r="AG120" t="s">
        <v>76</v>
      </c>
      <c r="AK120" t="s">
        <v>102</v>
      </c>
      <c r="AM120" s="38"/>
      <c r="AO120" t="s">
        <v>892</v>
      </c>
      <c r="AR120" t="str">
        <f t="shared" si="6"/>
        <v>group</v>
      </c>
      <c r="AS120">
        <f t="shared" si="7"/>
        <v>4</v>
      </c>
      <c r="AT120" t="str">
        <f>IF(Table1[[#This Row],[Joining Date]]="", "", TEXT(Table1[[#This Row],[Joining Date]], "mmm"))</f>
        <v>Jun</v>
      </c>
      <c r="AU120">
        <f>IF(Table1[[#This Row],[Joining Date]]="", "", YEAR(Table1[[#This Row],[Joining Date]]))</f>
        <v>2024</v>
      </c>
      <c r="AV120" t="str">
        <f>IF(Table1[[#This Row],[Group Name]]="","", M120 &amp; Table1[[#This Row],[Teacher]])</f>
        <v/>
      </c>
      <c r="AW120" t="str">
        <f>IF(Table1[[#This Row],[Helper]]="","",IF(_xlfn.MAXIFS(AT:AT,AW:AW,Table1[[#This Row],[Helper]])=Table1[[#This Row],[Clean Frequency]],_xlfn.MAXIFS(AT:AT,AW:AW,Table1[[#This Row],[Helper]]),""))</f>
        <v/>
      </c>
      <c r="AX120" t="str">
        <f ca="1">IF(AND(AW120=_xlfn.MAXIFS(AX:AX, AW:AW, AV120), COUNTIFS(AV$3:AV120, AV120, AW$3:AW120, AW120)=1), 1, "")</f>
        <v/>
      </c>
      <c r="AY120" t="str">
        <f>IF(Table1[[#This Row],[lesson type]]="private",Table1[[#This Row],[Clean Frequency]],"")</f>
        <v/>
      </c>
      <c r="AZ120" t="str">
        <f ca="1">IF(Table1[[#This Row],[First Occurrence]]=1,Table1[[#This Row],[Group Frequency]],"")</f>
        <v/>
      </c>
      <c r="BA120">
        <f ca="1">IF(B120="Y", IF(Table1[[#This Row],[Stop]]="", TODAY() - Table1[[#This Row],[Joining Date]], Table1[[#This Row],[Stop]] - Table1[[#This Row],[Joining Date]]), "")</f>
        <v>733</v>
      </c>
      <c r="BB120" t="str">
        <f>_xlfn.CONCAT(Table1[[#This Row],[t]]," ",Table1[[#This Row],[Last Name]])</f>
        <v>nanase Shingo</v>
      </c>
      <c r="BC120" t="str">
        <f>IF(OR(Table1[[#This Row],[Teacher]]="Alex",Table1[[#This Row],[Teacher]]=""), "", Table1[[#This Row],[For Salary]])</f>
        <v/>
      </c>
      <c r="BD120" t="str">
        <f>IF(OR(Table1[[#This Row],[Teacher]]="Alex",Table1[[#This Row],[Teacher]]=""), "", Table1[[#This Row],[For Amount]])</f>
        <v/>
      </c>
      <c r="BE120" t="str">
        <f>IFERROR(IF(VLOOKUP(Table1[[#This Row],[Teacher]],'Teachers Salaries'!A:C,2,FALSE)="","",VLOOKUP(Table1[[#This Row],[Teacher]],'Teachers Salaries'!A:C,2,FALSE)),"")</f>
        <v>Fixed</v>
      </c>
      <c r="BF120">
        <f>IFERROR(IF(VLOOKUP(Table1[[#This Row],[Teacher]],'Teachers Salaries'!A:C,3,FALSE)="","",VLOOKUP(Table1[[#This Row],[Teacher]],'Teachers Salaries'!A:C,3,FALSE)),"")</f>
        <v>210000</v>
      </c>
      <c r="BG120" t="str">
        <f>IFERROR(IF(Table1[[#This Row],[Pay Type]]="Fixed","-",Table1[[#This Row],[Final Group Frequency2]]*Table1[[#This Row],[Salary / Hourly Rate]]),0)</f>
        <v>-</v>
      </c>
      <c r="BH120" t="str">
        <f>IFERROR(IF(Table1[[#This Row],[Pay Type]]="Fixed","----",Table1[[#This Row],[Salary / Hourly Rate]]*Table1[[#This Row],[Final PrivateFrequency]]),0)</f>
        <v>----</v>
      </c>
      <c r="BI120" t="str">
        <f>IF(Table1[[#This Row],[Pay Type]]="Fixed","---",Table1[[#This Row],[Group Salary]]+Table1[[#This Row],[Private Salary]])</f>
        <v>---</v>
      </c>
      <c r="BJ120" t="str">
        <f>IF(OR(J120="Alex", J120=""),"", Table1[[#This Row],[For Amount]])</f>
        <v/>
      </c>
      <c r="BK120" t="str">
        <f>IFERROR(Table1[[#This Row],[Fee]]-Table1[[#This Row],[Total Salary]],"")</f>
        <v/>
      </c>
      <c r="BL120" t="e">
        <f>IF(Table1[[#This Row],[Joining Date]]="","",IF(Table1[[#This Row],[Joining Date]]&lt;='KPI+Pivot'!$CP$1,Table1[[#This Row],[Fee]],""))</f>
        <v>#N/A</v>
      </c>
      <c r="BM12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20" t="e">
        <f>IF(Table1[[#This Row],[Joining Date]]="","",IF(Table1[[#This Row],[Joining Date]]&lt;='KPI+Pivot'!$CP$1,Table1[[#This Row],[Total Salary]],""))</f>
        <v>#N/A</v>
      </c>
      <c r="BO120" t="e">
        <f>IF(Table1[[#This Row],[Joining Date]]="","",IF(Table1[[#This Row],[Joining Date]]&lt;='KPI+Pivot'!$CP$1,Table1[[#This Row],[Frequency]],""))</f>
        <v>#N/A</v>
      </c>
      <c r="BP120" s="38" t="str">
        <f>IF(Table1[[#This Row],[Stop]]="","",(IF(Table1[[#This Row],[Joining Date]]="","",IF(Table1[[#This Row],[Joining Date]]&lt;='KPI+Pivot'!$CP$1,Table1[[#This Row],[Stop]],""))))</f>
        <v/>
      </c>
    </row>
    <row r="121" spans="1:68" ht="22.9" customHeight="1">
      <c r="B121" t="s">
        <v>66</v>
      </c>
      <c r="C121" t="s">
        <v>895</v>
      </c>
      <c r="D121" t="s">
        <v>896</v>
      </c>
      <c r="F121" t="s">
        <v>897</v>
      </c>
      <c r="G121" t="s">
        <v>898</v>
      </c>
      <c r="H121" t="s">
        <v>167</v>
      </c>
      <c r="I121" t="str">
        <f>IFERROR(HYPERLINK("#Finance!B" &amp; MATCH(A121, 'F 2025'!A:A, 0), "🔗 Go to finance"), "❌ ID introuvable")</f>
        <v>❌ ID introuvable</v>
      </c>
      <c r="V121" t="s">
        <v>899</v>
      </c>
      <c r="Y121" t="s">
        <v>900</v>
      </c>
      <c r="Z121" t="s">
        <v>75</v>
      </c>
      <c r="AD121" s="130"/>
      <c r="AE121"/>
      <c r="AG121" t="s">
        <v>76</v>
      </c>
      <c r="AM121" s="38"/>
      <c r="AO121" t="s">
        <v>898</v>
      </c>
      <c r="AR121" t="str">
        <f t="shared" si="6"/>
        <v/>
      </c>
      <c r="AS121" t="str">
        <f t="shared" si="7"/>
        <v/>
      </c>
      <c r="AT121" t="str">
        <f>IF(Table1[[#This Row],[Joining Date]]="", "", TEXT(Table1[[#This Row],[Joining Date]], "mmm"))</f>
        <v/>
      </c>
      <c r="AU121" t="str">
        <f>IF(Table1[[#This Row],[Joining Date]]="", "", YEAR(Table1[[#This Row],[Joining Date]]))</f>
        <v/>
      </c>
      <c r="AV121" t="str">
        <f>IF(Table1[[#This Row],[Group Name]]="","", M121 &amp; Table1[[#This Row],[Teacher]])</f>
        <v/>
      </c>
      <c r="AW121" t="str">
        <f>IF(Table1[[#This Row],[Helper]]="","",IF(_xlfn.MAXIFS(AT:AT,AW:AW,Table1[[#This Row],[Helper]])=Table1[[#This Row],[Clean Frequency]],_xlfn.MAXIFS(AT:AT,AW:AW,Table1[[#This Row],[Helper]]),""))</f>
        <v/>
      </c>
      <c r="AX121" t="str">
        <f ca="1">IF(AND(AW121=_xlfn.MAXIFS(AX:AX, AW:AW, AV121), COUNTIFS(AV$3:AV121, AV121, AW$3:AW121, AW121)=1), 1, "")</f>
        <v/>
      </c>
      <c r="AY121" t="str">
        <f>IF(Table1[[#This Row],[lesson type]]="private",Table1[[#This Row],[Clean Frequency]],"")</f>
        <v/>
      </c>
      <c r="AZ121" t="str">
        <f ca="1">IF(Table1[[#This Row],[First Occurrence]]=1,Table1[[#This Row],[Group Frequency]],"")</f>
        <v/>
      </c>
      <c r="BA121" t="str">
        <f ca="1">IF(B121="Y", IF(Table1[[#This Row],[Stop]]="", TODAY() - Table1[[#This Row],[Joining Date]], Table1[[#This Row],[Stop]] - Table1[[#This Row],[Joining Date]]), "")</f>
        <v/>
      </c>
      <c r="BB121" t="str">
        <f>_xlfn.CONCAT(Table1[[#This Row],[t]]," ",Table1[[#This Row],[Last Name]])</f>
        <v>Naoko Shiiba</v>
      </c>
      <c r="BC121" t="str">
        <f>IF(OR(Table1[[#This Row],[Teacher]]="Alex",Table1[[#This Row],[Teacher]]=""), "", Table1[[#This Row],[For Salary]])</f>
        <v/>
      </c>
      <c r="BD121" t="str">
        <f>IF(OR(Table1[[#This Row],[Teacher]]="Alex",Table1[[#This Row],[Teacher]]=""), "", Table1[[#This Row],[For Amount]])</f>
        <v/>
      </c>
      <c r="BE121" t="str">
        <f>IFERROR(IF(VLOOKUP(Table1[[#This Row],[Teacher]],'Teachers Salaries'!A:C,2,FALSE)="","",VLOOKUP(Table1[[#This Row],[Teacher]],'Teachers Salaries'!A:C,2,FALSE)),"")</f>
        <v/>
      </c>
      <c r="BF121" t="str">
        <f>IFERROR(IF(VLOOKUP(Table1[[#This Row],[Teacher]],'Teachers Salaries'!A:C,3,FALSE)="","",VLOOKUP(Table1[[#This Row],[Teacher]],'Teachers Salaries'!A:C,3,FALSE)),"")</f>
        <v/>
      </c>
      <c r="BG121">
        <f ca="1">IFERROR(IF(Table1[[#This Row],[Pay Type]]="Fixed","-",Table1[[#This Row],[Final Group Frequency2]]*Table1[[#This Row],[Salary / Hourly Rate]]),0)</f>
        <v>0</v>
      </c>
      <c r="BH121">
        <f>IFERROR(IF(Table1[[#This Row],[Pay Type]]="Fixed","----",Table1[[#This Row],[Salary / Hourly Rate]]*Table1[[#This Row],[Final PrivateFrequency]]),0)</f>
        <v>0</v>
      </c>
      <c r="BI121">
        <f ca="1">IF(Table1[[#This Row],[Pay Type]]="Fixed","---",Table1[[#This Row],[Group Salary]]+Table1[[#This Row],[Private Salary]])</f>
        <v>0</v>
      </c>
      <c r="BJ121" t="str">
        <f>IF(OR(J121="Alex", J121=""),"", Table1[[#This Row],[For Amount]])</f>
        <v/>
      </c>
      <c r="BK121">
        <f ca="1">IFERROR(Table1[[#This Row],[Fee]]-Table1[[#This Row],[Total Salary]],"")</f>
        <v>0</v>
      </c>
      <c r="BL121" t="str">
        <f>IF(Table1[[#This Row],[Joining Date]]="","",IF(Table1[[#This Row],[Joining Date]]&lt;='KPI+Pivot'!$CP$1,Table1[[#This Row],[Fee]],""))</f>
        <v/>
      </c>
      <c r="BM12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1" t="str">
        <f>IF(Table1[[#This Row],[Joining Date]]="","",IF(Table1[[#This Row],[Joining Date]]&lt;='KPI+Pivot'!$CP$1,Table1[[#This Row],[Total Salary]],""))</f>
        <v/>
      </c>
      <c r="BO121" t="str">
        <f>IF(Table1[[#This Row],[Joining Date]]="","",IF(Table1[[#This Row],[Joining Date]]&lt;='KPI+Pivot'!$CP$1,Table1[[#This Row],[Frequency]],""))</f>
        <v/>
      </c>
      <c r="BP121" s="38" t="str">
        <f>IF(Table1[[#This Row],[Stop]]="","",(IF(Table1[[#This Row],[Joining Date]]="","",IF(Table1[[#This Row],[Joining Date]]&lt;='KPI+Pivot'!$CP$1,Table1[[#This Row],[Stop]],""))))</f>
        <v/>
      </c>
    </row>
    <row r="122" spans="1:68" ht="18" customHeight="1">
      <c r="A122">
        <v>22</v>
      </c>
      <c r="B122" t="s">
        <v>103</v>
      </c>
      <c r="C122" t="s">
        <v>895</v>
      </c>
      <c r="D122" t="s">
        <v>901</v>
      </c>
      <c r="F122" t="s">
        <v>902</v>
      </c>
      <c r="G122" t="s">
        <v>903</v>
      </c>
      <c r="H122" t="s">
        <v>904</v>
      </c>
      <c r="I122" t="str">
        <f>IFERROR(HYPERLINK("#Finance!B" &amp; MATCH(A122, 'F 2025'!A:A, 0), "🔗 Go to finance"), "❌ ID introuvable")</f>
        <v>🔗 Go to finance</v>
      </c>
      <c r="J122" t="s">
        <v>196</v>
      </c>
      <c r="K122" t="s">
        <v>110</v>
      </c>
      <c r="L122" t="s">
        <v>486</v>
      </c>
      <c r="N122">
        <v>4</v>
      </c>
      <c r="O122">
        <v>17600</v>
      </c>
      <c r="V122" t="s">
        <v>905</v>
      </c>
      <c r="W122" t="s">
        <v>905</v>
      </c>
      <c r="Y122" t="s">
        <v>906</v>
      </c>
      <c r="Z122" t="s">
        <v>75</v>
      </c>
      <c r="AB122" t="s">
        <v>907</v>
      </c>
      <c r="AD122" s="130">
        <v>43101</v>
      </c>
      <c r="AE122"/>
      <c r="AG122" t="s">
        <v>76</v>
      </c>
      <c r="AI122" t="s">
        <v>907</v>
      </c>
      <c r="AK122" t="s">
        <v>300</v>
      </c>
      <c r="AM122" s="38"/>
      <c r="AO122" t="s">
        <v>903</v>
      </c>
      <c r="AP122">
        <v>22</v>
      </c>
      <c r="AQ122" t="s">
        <v>903</v>
      </c>
      <c r="AR122" t="str">
        <f t="shared" si="6"/>
        <v>private</v>
      </c>
      <c r="AS122">
        <f t="shared" si="7"/>
        <v>4</v>
      </c>
      <c r="AT122" t="str">
        <f>IF(Table1[[#This Row],[Joining Date]]="", "", TEXT(Table1[[#This Row],[Joining Date]], "mmm"))</f>
        <v>Jan</v>
      </c>
      <c r="AU122">
        <f>IF(Table1[[#This Row],[Joining Date]]="", "", YEAR(Table1[[#This Row],[Joining Date]]))</f>
        <v>2018</v>
      </c>
      <c r="AV122" t="str">
        <f>IF(Table1[[#This Row],[Group Name]]="","", M122 &amp; Table1[[#This Row],[Teacher]])</f>
        <v/>
      </c>
      <c r="AW122" t="str">
        <f>IF(Table1[[#This Row],[Helper]]="","",IF(_xlfn.MAXIFS(AT:AT,AW:AW,Table1[[#This Row],[Helper]])=Table1[[#This Row],[Clean Frequency]],_xlfn.MAXIFS(AT:AT,AW:AW,Table1[[#This Row],[Helper]]),""))</f>
        <v/>
      </c>
      <c r="AX122" t="str">
        <f ca="1">IF(AND(AW122=_xlfn.MAXIFS(AX:AX, AW:AW, AV122), COUNTIFS(AV$3:AV122, AV122, AW$3:AW122, AW122)=1), 1, "")</f>
        <v/>
      </c>
      <c r="AY122">
        <f>IF(Table1[[#This Row],[lesson type]]="private",Table1[[#This Row],[Clean Frequency]],"")</f>
        <v>4</v>
      </c>
      <c r="AZ122" t="str">
        <f ca="1">IF(Table1[[#This Row],[First Occurrence]]=1,Table1[[#This Row],[Group Frequency]],"")</f>
        <v/>
      </c>
      <c r="BA122">
        <f ca="1">IF(B122="Y", IF(Table1[[#This Row],[Stop]]="", TODAY() - Table1[[#This Row],[Joining Date]], Table1[[#This Row],[Stop]] - Table1[[#This Row],[Joining Date]]), "")</f>
        <v>3076</v>
      </c>
      <c r="BB122" t="str">
        <f>_xlfn.CONCAT(Table1[[#This Row],[t]]," ",Table1[[#This Row],[Last Name]])</f>
        <v>Naoko Tou</v>
      </c>
      <c r="BC122" t="e">
        <f>IF(OR(Table1[[#This Row],[Teacher]]="Alex",Table1[[#This Row],[Teacher]]=""), "", Table1[[#This Row],[For Salary]])</f>
        <v>#N/A</v>
      </c>
      <c r="BD122" t="e">
        <f>IF(OR(Table1[[#This Row],[Teacher]]="Alex",Table1[[#This Row],[Teacher]]=""), "", Table1[[#This Row],[For Amount]])</f>
        <v>#N/A</v>
      </c>
      <c r="BE122" t="str">
        <f>IFERROR(IF(VLOOKUP(Table1[[#This Row],[Teacher]],'Teachers Salaries'!A:C,2,FALSE)="","",VLOOKUP(Table1[[#This Row],[Teacher]],'Teachers Salaries'!A:C,2,FALSE)),"")</f>
        <v>Hourly</v>
      </c>
      <c r="BF122">
        <f>IFERROR(IF(VLOOKUP(Table1[[#This Row],[Teacher]],'Teachers Salaries'!A:C,3,FALSE)="","",VLOOKUP(Table1[[#This Row],[Teacher]],'Teachers Salaries'!A:C,3,FALSE)),"")</f>
        <v>2600</v>
      </c>
      <c r="BG122">
        <f ca="1">IFERROR(IF(Table1[[#This Row],[Pay Type]]="Fixed","-",Table1[[#This Row],[Final Group Frequency2]]*Table1[[#This Row],[Salary / Hourly Rate]]),0)</f>
        <v>0</v>
      </c>
      <c r="BH122">
        <f>IFERROR(IF(Table1[[#This Row],[Pay Type]]="Fixed","----",Table1[[#This Row],[Salary / Hourly Rate]]*Table1[[#This Row],[Final PrivateFrequency]]),0)</f>
        <v>10400</v>
      </c>
      <c r="BI122">
        <f ca="1">IF(Table1[[#This Row],[Pay Type]]="Fixed","---",Table1[[#This Row],[Group Salary]]+Table1[[#This Row],[Private Salary]])</f>
        <v>10400</v>
      </c>
      <c r="BJ122" t="e">
        <f>IF(OR(J122="Alex", J122=""),"", Table1[[#This Row],[For Amount]])</f>
        <v>#N/A</v>
      </c>
      <c r="BK122">
        <f ca="1">IFERROR(Table1[[#This Row],[Fee]]-Table1[[#This Row],[Total Salary]],"")</f>
        <v>7200</v>
      </c>
      <c r="BL122" t="e">
        <f>IF(Table1[[#This Row],[Joining Date]]="","",IF(Table1[[#This Row],[Joining Date]]&lt;='KPI+Pivot'!$CP$1,Table1[[#This Row],[Fee]],""))</f>
        <v>#N/A</v>
      </c>
      <c r="BM12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22" t="e">
        <f>IF(Table1[[#This Row],[Joining Date]]="","",IF(Table1[[#This Row],[Joining Date]]&lt;='KPI+Pivot'!$CP$1,Table1[[#This Row],[Total Salary]],""))</f>
        <v>#N/A</v>
      </c>
      <c r="BO122" t="e">
        <f>IF(Table1[[#This Row],[Joining Date]]="","",IF(Table1[[#This Row],[Joining Date]]&lt;='KPI+Pivot'!$CP$1,Table1[[#This Row],[Frequency]],""))</f>
        <v>#N/A</v>
      </c>
      <c r="BP122" s="38" t="str">
        <f>IF(Table1[[#This Row],[Stop]]="","",(IF(Table1[[#This Row],[Joining Date]]="","",IF(Table1[[#This Row],[Joining Date]]&lt;='KPI+Pivot'!$CP$1,Table1[[#This Row],[Stop]],""))))</f>
        <v/>
      </c>
    </row>
    <row r="123" spans="1:68" ht="22.9" customHeight="1">
      <c r="B123" t="s">
        <v>66</v>
      </c>
      <c r="C123" t="s">
        <v>908</v>
      </c>
      <c r="D123" t="s">
        <v>909</v>
      </c>
      <c r="F123" t="s">
        <v>910</v>
      </c>
      <c r="G123" t="s">
        <v>911</v>
      </c>
      <c r="H123" t="s">
        <v>912</v>
      </c>
      <c r="I123" t="str">
        <f>IFERROR(HYPERLINK("#Finance!B" &amp; MATCH(A123, 'F 2025'!A:A, 0), "🔗 Go to finance"), "❌ ID introuvable")</f>
        <v>❌ ID introuvable</v>
      </c>
      <c r="L123" t="s">
        <v>132</v>
      </c>
      <c r="V123" t="s">
        <v>913</v>
      </c>
      <c r="Y123" t="s">
        <v>914</v>
      </c>
      <c r="Z123" t="s">
        <v>75</v>
      </c>
      <c r="AD123" s="130"/>
      <c r="AE123"/>
      <c r="AG123" t="s">
        <v>76</v>
      </c>
      <c r="AK123" t="s">
        <v>132</v>
      </c>
      <c r="AM123" s="38"/>
      <c r="AO123" t="s">
        <v>911</v>
      </c>
      <c r="AR123" t="str">
        <f t="shared" si="6"/>
        <v/>
      </c>
      <c r="AS123" t="str">
        <f t="shared" si="7"/>
        <v/>
      </c>
      <c r="AT123" t="str">
        <f>IF(Table1[[#This Row],[Joining Date]]="", "", TEXT(Table1[[#This Row],[Joining Date]], "mmm"))</f>
        <v/>
      </c>
      <c r="AU123" t="str">
        <f>IF(Table1[[#This Row],[Joining Date]]="", "", YEAR(Table1[[#This Row],[Joining Date]]))</f>
        <v/>
      </c>
      <c r="AV123" t="str">
        <f>IF(Table1[[#This Row],[Group Name]]="","", M123 &amp; Table1[[#This Row],[Teacher]])</f>
        <v/>
      </c>
      <c r="AW123" t="str">
        <f>IF(Table1[[#This Row],[Helper]]="","",IF(_xlfn.MAXIFS(AT:AT,AW:AW,Table1[[#This Row],[Helper]])=Table1[[#This Row],[Clean Frequency]],_xlfn.MAXIFS(AT:AT,AW:AW,Table1[[#This Row],[Helper]]),""))</f>
        <v/>
      </c>
      <c r="AX123" t="str">
        <f ca="1">IF(AND(AW123=_xlfn.MAXIFS(AX:AX, AW:AW, AV123), COUNTIFS(AV$3:AV123, AV123, AW$3:AW123, AW123)=1), 1, "")</f>
        <v/>
      </c>
      <c r="AY123" t="str">
        <f>IF(Table1[[#This Row],[lesson type]]="private",Table1[[#This Row],[Clean Frequency]],"")</f>
        <v/>
      </c>
      <c r="AZ123" t="str">
        <f ca="1">IF(Table1[[#This Row],[First Occurrence]]=1,Table1[[#This Row],[Group Frequency]],"")</f>
        <v/>
      </c>
      <c r="BA123" t="str">
        <f ca="1">IF(B123="Y", IF(Table1[[#This Row],[Stop]]="", TODAY() - Table1[[#This Row],[Joining Date]], Table1[[#This Row],[Stop]] - Table1[[#This Row],[Joining Date]]), "")</f>
        <v/>
      </c>
      <c r="BB123" t="str">
        <f>_xlfn.CONCAT(Table1[[#This Row],[t]]," ",Table1[[#This Row],[Last Name]])</f>
        <v>Narumi Deguchi</v>
      </c>
      <c r="BC123" t="str">
        <f>IF(OR(Table1[[#This Row],[Teacher]]="Alex",Table1[[#This Row],[Teacher]]=""), "", Table1[[#This Row],[For Salary]])</f>
        <v/>
      </c>
      <c r="BD123" t="str">
        <f>IF(OR(Table1[[#This Row],[Teacher]]="Alex",Table1[[#This Row],[Teacher]]=""), "", Table1[[#This Row],[For Amount]])</f>
        <v/>
      </c>
      <c r="BE123" t="str">
        <f>IFERROR(IF(VLOOKUP(Table1[[#This Row],[Teacher]],'Teachers Salaries'!A:C,2,FALSE)="","",VLOOKUP(Table1[[#This Row],[Teacher]],'Teachers Salaries'!A:C,2,FALSE)),"")</f>
        <v/>
      </c>
      <c r="BF123" t="str">
        <f>IFERROR(IF(VLOOKUP(Table1[[#This Row],[Teacher]],'Teachers Salaries'!A:C,3,FALSE)="","",VLOOKUP(Table1[[#This Row],[Teacher]],'Teachers Salaries'!A:C,3,FALSE)),"")</f>
        <v/>
      </c>
      <c r="BG123">
        <f ca="1">IFERROR(IF(Table1[[#This Row],[Pay Type]]="Fixed","-",Table1[[#This Row],[Final Group Frequency2]]*Table1[[#This Row],[Salary / Hourly Rate]]),0)</f>
        <v>0</v>
      </c>
      <c r="BH123">
        <f>IFERROR(IF(Table1[[#This Row],[Pay Type]]="Fixed","----",Table1[[#This Row],[Salary / Hourly Rate]]*Table1[[#This Row],[Final PrivateFrequency]]),0)</f>
        <v>0</v>
      </c>
      <c r="BI123">
        <f ca="1">IF(Table1[[#This Row],[Pay Type]]="Fixed","---",Table1[[#This Row],[Group Salary]]+Table1[[#This Row],[Private Salary]])</f>
        <v>0</v>
      </c>
      <c r="BJ123" t="str">
        <f>IF(OR(J123="Alex", J123=""),"", Table1[[#This Row],[For Amount]])</f>
        <v/>
      </c>
      <c r="BK123">
        <f ca="1">IFERROR(Table1[[#This Row],[Fee]]-Table1[[#This Row],[Total Salary]],"")</f>
        <v>0</v>
      </c>
      <c r="BL123" t="str">
        <f>IF(Table1[[#This Row],[Joining Date]]="","",IF(Table1[[#This Row],[Joining Date]]&lt;='KPI+Pivot'!$CP$1,Table1[[#This Row],[Fee]],""))</f>
        <v/>
      </c>
      <c r="BM12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3" t="str">
        <f>IF(Table1[[#This Row],[Joining Date]]="","",IF(Table1[[#This Row],[Joining Date]]&lt;='KPI+Pivot'!$CP$1,Table1[[#This Row],[Total Salary]],""))</f>
        <v/>
      </c>
      <c r="BO123" t="str">
        <f>IF(Table1[[#This Row],[Joining Date]]="","",IF(Table1[[#This Row],[Joining Date]]&lt;='KPI+Pivot'!$CP$1,Table1[[#This Row],[Frequency]],""))</f>
        <v/>
      </c>
      <c r="BP123" s="38" t="str">
        <f>IF(Table1[[#This Row],[Stop]]="","",(IF(Table1[[#This Row],[Joining Date]]="","",IF(Table1[[#This Row],[Joining Date]]&lt;='KPI+Pivot'!$CP$1,Table1[[#This Row],[Stop]],""))))</f>
        <v/>
      </c>
    </row>
    <row r="124" spans="1:68" ht="22.9" customHeight="1">
      <c r="B124" t="s">
        <v>66</v>
      </c>
      <c r="C124" t="s">
        <v>915</v>
      </c>
      <c r="D124" t="s">
        <v>119</v>
      </c>
      <c r="F124" t="s">
        <v>916</v>
      </c>
      <c r="G124" t="s">
        <v>917</v>
      </c>
      <c r="H124" t="s">
        <v>122</v>
      </c>
      <c r="I124" t="str">
        <f>IFERROR(HYPERLINK("#Finance!B" &amp; MATCH(A124, 'F 2025'!A:A, 0), "🔗 Go to finance"), "❌ ID introuvable")</f>
        <v>❌ ID introuvable</v>
      </c>
      <c r="L124" t="s">
        <v>72</v>
      </c>
      <c r="V124" t="s">
        <v>123</v>
      </c>
      <c r="Y124" t="s">
        <v>124</v>
      </c>
      <c r="Z124" t="s">
        <v>75</v>
      </c>
      <c r="AB124" t="s">
        <v>125</v>
      </c>
      <c r="AD124" s="130"/>
      <c r="AE124"/>
      <c r="AG124" t="s">
        <v>76</v>
      </c>
      <c r="AI124" t="s">
        <v>125</v>
      </c>
      <c r="AK124" t="s">
        <v>918</v>
      </c>
      <c r="AM124" s="38"/>
      <c r="AO124" t="s">
        <v>917</v>
      </c>
      <c r="AR124" t="str">
        <f t="shared" si="6"/>
        <v/>
      </c>
      <c r="AS124" t="str">
        <f t="shared" si="7"/>
        <v/>
      </c>
      <c r="AT124" t="str">
        <f>IF(Table1[[#This Row],[Joining Date]]="", "", TEXT(Table1[[#This Row],[Joining Date]], "mmm"))</f>
        <v/>
      </c>
      <c r="AU124" t="str">
        <f>IF(Table1[[#This Row],[Joining Date]]="", "", YEAR(Table1[[#This Row],[Joining Date]]))</f>
        <v/>
      </c>
      <c r="AV124" t="str">
        <f>IF(Table1[[#This Row],[Group Name]]="","", M124 &amp; Table1[[#This Row],[Teacher]])</f>
        <v/>
      </c>
      <c r="AW124" t="str">
        <f>IF(Table1[[#This Row],[Helper]]="","",IF(_xlfn.MAXIFS(AT:AT,AW:AW,Table1[[#This Row],[Helper]])=Table1[[#This Row],[Clean Frequency]],_xlfn.MAXIFS(AT:AT,AW:AW,Table1[[#This Row],[Helper]]),""))</f>
        <v/>
      </c>
      <c r="AX124" t="str">
        <f ca="1">IF(AND(AW124=_xlfn.MAXIFS(AX:AX, AW:AW, AV124), COUNTIFS(AV$3:AV124, AV124, AW$3:AW124, AW124)=1), 1, "")</f>
        <v/>
      </c>
      <c r="AY124" t="str">
        <f>IF(Table1[[#This Row],[lesson type]]="private",Table1[[#This Row],[Clean Frequency]],"")</f>
        <v/>
      </c>
      <c r="AZ124" t="str">
        <f ca="1">IF(Table1[[#This Row],[First Occurrence]]=1,Table1[[#This Row],[Group Frequency]],"")</f>
        <v/>
      </c>
      <c r="BA124" t="str">
        <f ca="1">IF(B124="Y", IF(Table1[[#This Row],[Stop]]="", TODAY() - Table1[[#This Row],[Joining Date]], Table1[[#This Row],[Stop]] - Table1[[#This Row],[Joining Date]]), "")</f>
        <v/>
      </c>
      <c r="BB124" t="str">
        <f>_xlfn.CONCAT(Table1[[#This Row],[t]]," ",Table1[[#This Row],[Last Name]])</f>
        <v>Natsuki Maruyama</v>
      </c>
      <c r="BC124" t="str">
        <f>IF(OR(Table1[[#This Row],[Teacher]]="Alex",Table1[[#This Row],[Teacher]]=""), "", Table1[[#This Row],[For Salary]])</f>
        <v/>
      </c>
      <c r="BD124" t="str">
        <f>IF(OR(Table1[[#This Row],[Teacher]]="Alex",Table1[[#This Row],[Teacher]]=""), "", Table1[[#This Row],[For Amount]])</f>
        <v/>
      </c>
      <c r="BE124" t="str">
        <f>IFERROR(IF(VLOOKUP(Table1[[#This Row],[Teacher]],'Teachers Salaries'!A:C,2,FALSE)="","",VLOOKUP(Table1[[#This Row],[Teacher]],'Teachers Salaries'!A:C,2,FALSE)),"")</f>
        <v/>
      </c>
      <c r="BF124" t="str">
        <f>IFERROR(IF(VLOOKUP(Table1[[#This Row],[Teacher]],'Teachers Salaries'!A:C,3,FALSE)="","",VLOOKUP(Table1[[#This Row],[Teacher]],'Teachers Salaries'!A:C,3,FALSE)),"")</f>
        <v/>
      </c>
      <c r="BG124">
        <f ca="1">IFERROR(IF(Table1[[#This Row],[Pay Type]]="Fixed","-",Table1[[#This Row],[Final Group Frequency2]]*Table1[[#This Row],[Salary / Hourly Rate]]),0)</f>
        <v>0</v>
      </c>
      <c r="BH124">
        <f>IFERROR(IF(Table1[[#This Row],[Pay Type]]="Fixed","----",Table1[[#This Row],[Salary / Hourly Rate]]*Table1[[#This Row],[Final PrivateFrequency]]),0)</f>
        <v>0</v>
      </c>
      <c r="BI124">
        <f ca="1">IF(Table1[[#This Row],[Pay Type]]="Fixed","---",Table1[[#This Row],[Group Salary]]+Table1[[#This Row],[Private Salary]])</f>
        <v>0</v>
      </c>
      <c r="BJ124" t="str">
        <f>IF(OR(J124="Alex", J124=""),"", Table1[[#This Row],[For Amount]])</f>
        <v/>
      </c>
      <c r="BK124">
        <f ca="1">IFERROR(Table1[[#This Row],[Fee]]-Table1[[#This Row],[Total Salary]],"")</f>
        <v>0</v>
      </c>
      <c r="BL124" t="str">
        <f>IF(Table1[[#This Row],[Joining Date]]="","",IF(Table1[[#This Row],[Joining Date]]&lt;='KPI+Pivot'!$CP$1,Table1[[#This Row],[Fee]],""))</f>
        <v/>
      </c>
      <c r="BM12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4" t="str">
        <f>IF(Table1[[#This Row],[Joining Date]]="","",IF(Table1[[#This Row],[Joining Date]]&lt;='KPI+Pivot'!$CP$1,Table1[[#This Row],[Total Salary]],""))</f>
        <v/>
      </c>
      <c r="BO124" t="str">
        <f>IF(Table1[[#This Row],[Joining Date]]="","",IF(Table1[[#This Row],[Joining Date]]&lt;='KPI+Pivot'!$CP$1,Table1[[#This Row],[Frequency]],""))</f>
        <v/>
      </c>
      <c r="BP124" s="38" t="str">
        <f>IF(Table1[[#This Row],[Stop]]="","",(IF(Table1[[#This Row],[Joining Date]]="","",IF(Table1[[#This Row],[Joining Date]]&lt;='KPI+Pivot'!$CP$1,Table1[[#This Row],[Stop]],""))))</f>
        <v/>
      </c>
    </row>
    <row r="125" spans="1:68" ht="18" customHeight="1">
      <c r="A125">
        <v>155</v>
      </c>
      <c r="B125" t="s">
        <v>103</v>
      </c>
      <c r="C125" t="s">
        <v>919</v>
      </c>
      <c r="D125" t="s">
        <v>920</v>
      </c>
      <c r="F125" t="s">
        <v>921</v>
      </c>
      <c r="G125" t="s">
        <v>922</v>
      </c>
      <c r="H125" t="s">
        <v>923</v>
      </c>
      <c r="I125" t="str">
        <f>IFERROR(HYPERLINK("#Finance!B" &amp; MATCH(A125, 'F 2025'!A:A, 0), "🔗 Go to finance"), "❌ ID introuvable")</f>
        <v>🔗 Go to finance</v>
      </c>
      <c r="J125" t="s">
        <v>494</v>
      </c>
      <c r="K125" t="s">
        <v>117</v>
      </c>
      <c r="L125" t="s">
        <v>486</v>
      </c>
      <c r="M125" t="s">
        <v>924</v>
      </c>
      <c r="N125">
        <v>2</v>
      </c>
      <c r="O125">
        <v>9500</v>
      </c>
      <c r="T125" s="130">
        <v>45566</v>
      </c>
      <c r="V125" t="s">
        <v>925</v>
      </c>
      <c r="W125" t="s">
        <v>925</v>
      </c>
      <c r="Y125">
        <v>8031821943</v>
      </c>
      <c r="Z125" t="s">
        <v>75</v>
      </c>
      <c r="AD125" s="130">
        <v>45566</v>
      </c>
      <c r="AE125"/>
      <c r="AG125" t="s">
        <v>76</v>
      </c>
      <c r="AK125" t="s">
        <v>362</v>
      </c>
      <c r="AM125" s="38">
        <v>45960</v>
      </c>
      <c r="AO125" t="s">
        <v>922</v>
      </c>
      <c r="AP125">
        <v>155</v>
      </c>
      <c r="AQ125" t="s">
        <v>922</v>
      </c>
      <c r="AR125" t="str">
        <f t="shared" si="6"/>
        <v>group</v>
      </c>
      <c r="AS125">
        <f t="shared" si="7"/>
        <v>2</v>
      </c>
      <c r="AT125" t="str">
        <f>IF(Table1[[#This Row],[Joining Date]]="", "", TEXT(Table1[[#This Row],[Joining Date]], "mmm"))</f>
        <v>Oct</v>
      </c>
      <c r="AU125">
        <f>IF(Table1[[#This Row],[Joining Date]]="", "", YEAR(Table1[[#This Row],[Joining Date]]))</f>
        <v>2024</v>
      </c>
      <c r="AV125" t="str">
        <f>IF(Table1[[#This Row],[Group Name]]="","", M125 &amp; Table1[[#This Row],[Teacher]])</f>
        <v>Group BThomas</v>
      </c>
      <c r="AW125">
        <f ca="1">IF(Table1[[#This Row],[Helper]]="","",IF(_xlfn.MAXIFS(AT:AT,AW:AW,Table1[[#This Row],[Helper]])=Table1[[#This Row],[Clean Frequency]],_xlfn.MAXIFS(AT:AT,AW:AW,Table1[[#This Row],[Helper]]),""))</f>
        <v>2</v>
      </c>
      <c r="AX125">
        <f ca="1">IF(AND(AW125=_xlfn.MAXIFS(AX:AX, AW:AW, AV125), COUNTIFS(AV$3:AV125, AV125, AW$3:AW125, AW125)=1), 1, "")</f>
        <v>1</v>
      </c>
      <c r="AY125" t="str">
        <f>IF(Table1[[#This Row],[lesson type]]="private",Table1[[#This Row],[Clean Frequency]],"")</f>
        <v/>
      </c>
      <c r="AZ125">
        <f ca="1">IF(Table1[[#This Row],[First Occurrence]]=1,Table1[[#This Row],[Group Frequency]],"")</f>
        <v>2</v>
      </c>
      <c r="BA125">
        <f ca="1">IF(B125="Y", IF(Table1[[#This Row],[Stop]]="", TODAY() - Table1[[#This Row],[Joining Date]], Table1[[#This Row],[Stop]] - Table1[[#This Row],[Joining Date]]), "")</f>
        <v>394</v>
      </c>
      <c r="BB125" t="str">
        <f>_xlfn.CONCAT(Table1[[#This Row],[t]]," ",Table1[[#This Row],[Last Name]])</f>
        <v>natsumi otsubo</v>
      </c>
      <c r="BC125" t="e">
        <f>IF(OR(Table1[[#This Row],[Teacher]]="Alex",Table1[[#This Row],[Teacher]]=""), "", Table1[[#This Row],[For Salary]])</f>
        <v>#N/A</v>
      </c>
      <c r="BD125" t="e">
        <f>IF(OR(Table1[[#This Row],[Teacher]]="Alex",Table1[[#This Row],[Teacher]]=""), "", Table1[[#This Row],[For Amount]])</f>
        <v>#N/A</v>
      </c>
      <c r="BE125" t="str">
        <f>IFERROR(IF(VLOOKUP(Table1[[#This Row],[Teacher]],'Teachers Salaries'!A:C,2,FALSE)="","",VLOOKUP(Table1[[#This Row],[Teacher]],'Teachers Salaries'!A:C,2,FALSE)),"")</f>
        <v>Hourly</v>
      </c>
      <c r="BF125">
        <f>IFERROR(IF(VLOOKUP(Table1[[#This Row],[Teacher]],'Teachers Salaries'!A:C,3,FALSE)="","",VLOOKUP(Table1[[#This Row],[Teacher]],'Teachers Salaries'!A:C,3,FALSE)),"")</f>
        <v>3000</v>
      </c>
      <c r="BG125">
        <f ca="1">IFERROR(IF(Table1[[#This Row],[Pay Type]]="Fixed","-",Table1[[#This Row],[Final Group Frequency2]]*Table1[[#This Row],[Salary / Hourly Rate]]),0)</f>
        <v>6000</v>
      </c>
      <c r="BH125">
        <f>IFERROR(IF(Table1[[#This Row],[Pay Type]]="Fixed","----",Table1[[#This Row],[Salary / Hourly Rate]]*Table1[[#This Row],[Final PrivateFrequency]]),0)</f>
        <v>0</v>
      </c>
      <c r="BI125">
        <f ca="1">IF(Table1[[#This Row],[Pay Type]]="Fixed","---",Table1[[#This Row],[Group Salary]]+Table1[[#This Row],[Private Salary]])</f>
        <v>6000</v>
      </c>
      <c r="BJ125" t="e">
        <f>IF(OR(J125="Alex", J125=""),"", Table1[[#This Row],[For Amount]])</f>
        <v>#N/A</v>
      </c>
      <c r="BK125">
        <f ca="1">IFERROR(Table1[[#This Row],[Fee]]-Table1[[#This Row],[Total Salary]],"")</f>
        <v>3500</v>
      </c>
      <c r="BL125" t="e">
        <f>IF(Table1[[#This Row],[Joining Date]]="","",IF(Table1[[#This Row],[Joining Date]]&lt;='KPI+Pivot'!$CP$1,Table1[[#This Row],[Fee]],""))</f>
        <v>#N/A</v>
      </c>
      <c r="BM12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25" t="e">
        <f>IF(Table1[[#This Row],[Joining Date]]="","",IF(Table1[[#This Row],[Joining Date]]&lt;='KPI+Pivot'!$CP$1,Table1[[#This Row],[Total Salary]],""))</f>
        <v>#N/A</v>
      </c>
      <c r="BO125" t="e">
        <f>IF(Table1[[#This Row],[Joining Date]]="","",IF(Table1[[#This Row],[Joining Date]]&lt;='KPI+Pivot'!$CP$1,Table1[[#This Row],[Frequency]],""))</f>
        <v>#N/A</v>
      </c>
      <c r="BP125" s="38" t="e">
        <f>IF(Table1[[#This Row],[Stop]]="","",(IF(Table1[[#This Row],[Joining Date]]="","",IF(Table1[[#This Row],[Joining Date]]&lt;='KPI+Pivot'!$CP$1,Table1[[#This Row],[Stop]],""))))</f>
        <v>#N/A</v>
      </c>
    </row>
    <row r="126" spans="1:68" ht="22.9" customHeight="1">
      <c r="B126" t="s">
        <v>66</v>
      </c>
      <c r="C126" t="s">
        <v>926</v>
      </c>
      <c r="D126" t="s">
        <v>927</v>
      </c>
      <c r="F126" t="s">
        <v>928</v>
      </c>
      <c r="G126" t="s">
        <v>929</v>
      </c>
      <c r="H126" t="s">
        <v>930</v>
      </c>
      <c r="I126" t="str">
        <f>IFERROR(HYPERLINK("#Finance!B" &amp; MATCH(A126, 'F 2025'!A:A, 0), "🔗 Go to finance"), "❌ ID introuvable")</f>
        <v>❌ ID introuvable</v>
      </c>
      <c r="L126" t="s">
        <v>102</v>
      </c>
      <c r="V126" t="s">
        <v>931</v>
      </c>
      <c r="W126" t="s">
        <v>931</v>
      </c>
      <c r="Y126" t="s">
        <v>932</v>
      </c>
      <c r="Z126" t="s">
        <v>75</v>
      </c>
      <c r="AB126" t="s">
        <v>933</v>
      </c>
      <c r="AD126" s="130">
        <v>43866</v>
      </c>
      <c r="AE126"/>
      <c r="AG126" t="s">
        <v>76</v>
      </c>
      <c r="AI126" t="s">
        <v>933</v>
      </c>
      <c r="AK126" t="s">
        <v>182</v>
      </c>
      <c r="AM126" s="38"/>
      <c r="AO126" t="s">
        <v>929</v>
      </c>
      <c r="AR126" t="str">
        <f t="shared" si="6"/>
        <v/>
      </c>
      <c r="AS126" t="str">
        <f t="shared" si="7"/>
        <v/>
      </c>
      <c r="AT126" t="str">
        <f>IF(Table1[[#This Row],[Joining Date]]="", "", TEXT(Table1[[#This Row],[Joining Date]], "mmm"))</f>
        <v>Feb</v>
      </c>
      <c r="AU126">
        <f>IF(Table1[[#This Row],[Joining Date]]="", "", YEAR(Table1[[#This Row],[Joining Date]]))</f>
        <v>2020</v>
      </c>
      <c r="AV126" t="str">
        <f>IF(Table1[[#This Row],[Group Name]]="","", M126 &amp; Table1[[#This Row],[Teacher]])</f>
        <v/>
      </c>
      <c r="AW126" t="str">
        <f>IF(Table1[[#This Row],[Helper]]="","",IF(_xlfn.MAXIFS(AT:AT,AW:AW,Table1[[#This Row],[Helper]])=Table1[[#This Row],[Clean Frequency]],_xlfn.MAXIFS(AT:AT,AW:AW,Table1[[#This Row],[Helper]]),""))</f>
        <v/>
      </c>
      <c r="AX126" t="str">
        <f ca="1">IF(AND(AW126=_xlfn.MAXIFS(AX:AX, AW:AW, AV126), COUNTIFS(AV$3:AV126, AV126, AW$3:AW126, AW126)=1), 1, "")</f>
        <v/>
      </c>
      <c r="AY126" t="str">
        <f>IF(Table1[[#This Row],[lesson type]]="private",Table1[[#This Row],[Clean Frequency]],"")</f>
        <v/>
      </c>
      <c r="AZ126" t="str">
        <f ca="1">IF(Table1[[#This Row],[First Occurrence]]=1,Table1[[#This Row],[Group Frequency]],"")</f>
        <v/>
      </c>
      <c r="BA126" t="str">
        <f ca="1">IF(B126="Y", IF(Table1[[#This Row],[Stop]]="", TODAY() - Table1[[#This Row],[Joining Date]], Table1[[#This Row],[Stop]] - Table1[[#This Row],[Joining Date]]), "")</f>
        <v/>
      </c>
      <c r="BB126" t="str">
        <f>_xlfn.CONCAT(Table1[[#This Row],[t]]," ",Table1[[#This Row],[Last Name]])</f>
        <v>Noa Imamura</v>
      </c>
      <c r="BC126" t="str">
        <f>IF(OR(Table1[[#This Row],[Teacher]]="Alex",Table1[[#This Row],[Teacher]]=""), "", Table1[[#This Row],[For Salary]])</f>
        <v/>
      </c>
      <c r="BD126" t="str">
        <f>IF(OR(Table1[[#This Row],[Teacher]]="Alex",Table1[[#This Row],[Teacher]]=""), "", Table1[[#This Row],[For Amount]])</f>
        <v/>
      </c>
      <c r="BE126" t="str">
        <f>IFERROR(IF(VLOOKUP(Table1[[#This Row],[Teacher]],'Teachers Salaries'!A:C,2,FALSE)="","",VLOOKUP(Table1[[#This Row],[Teacher]],'Teachers Salaries'!A:C,2,FALSE)),"")</f>
        <v/>
      </c>
      <c r="BF126" t="str">
        <f>IFERROR(IF(VLOOKUP(Table1[[#This Row],[Teacher]],'Teachers Salaries'!A:C,3,FALSE)="","",VLOOKUP(Table1[[#This Row],[Teacher]],'Teachers Salaries'!A:C,3,FALSE)),"")</f>
        <v/>
      </c>
      <c r="BG126">
        <f ca="1">IFERROR(IF(Table1[[#This Row],[Pay Type]]="Fixed","-",Table1[[#This Row],[Final Group Frequency2]]*Table1[[#This Row],[Salary / Hourly Rate]]),0)</f>
        <v>0</v>
      </c>
      <c r="BH126">
        <f>IFERROR(IF(Table1[[#This Row],[Pay Type]]="Fixed","----",Table1[[#This Row],[Salary / Hourly Rate]]*Table1[[#This Row],[Final PrivateFrequency]]),0)</f>
        <v>0</v>
      </c>
      <c r="BI126">
        <f ca="1">IF(Table1[[#This Row],[Pay Type]]="Fixed","---",Table1[[#This Row],[Group Salary]]+Table1[[#This Row],[Private Salary]])</f>
        <v>0</v>
      </c>
      <c r="BJ126" t="str">
        <f>IF(OR(J126="Alex", J126=""),"", Table1[[#This Row],[For Amount]])</f>
        <v/>
      </c>
      <c r="BK126">
        <f ca="1">IFERROR(Table1[[#This Row],[Fee]]-Table1[[#This Row],[Total Salary]],"")</f>
        <v>0</v>
      </c>
      <c r="BL126" t="e">
        <f>IF(Table1[[#This Row],[Joining Date]]="","",IF(Table1[[#This Row],[Joining Date]]&lt;='KPI+Pivot'!$CP$1,Table1[[#This Row],[Fee]],""))</f>
        <v>#N/A</v>
      </c>
      <c r="BM12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26" t="e">
        <f>IF(Table1[[#This Row],[Joining Date]]="","",IF(Table1[[#This Row],[Joining Date]]&lt;='KPI+Pivot'!$CP$1,Table1[[#This Row],[Total Salary]],""))</f>
        <v>#N/A</v>
      </c>
      <c r="BO126" t="e">
        <f>IF(Table1[[#This Row],[Joining Date]]="","",IF(Table1[[#This Row],[Joining Date]]&lt;='KPI+Pivot'!$CP$1,Table1[[#This Row],[Frequency]],""))</f>
        <v>#N/A</v>
      </c>
      <c r="BP126" s="38" t="str">
        <f>IF(Table1[[#This Row],[Stop]]="","",(IF(Table1[[#This Row],[Joining Date]]="","",IF(Table1[[#This Row],[Joining Date]]&lt;='KPI+Pivot'!$CP$1,Table1[[#This Row],[Stop]],""))))</f>
        <v/>
      </c>
    </row>
    <row r="127" spans="1:68" ht="22.9" customHeight="1">
      <c r="B127" t="s">
        <v>66</v>
      </c>
      <c r="C127" t="s">
        <v>934</v>
      </c>
      <c r="D127" t="s">
        <v>935</v>
      </c>
      <c r="F127" t="s">
        <v>936</v>
      </c>
      <c r="G127" t="s">
        <v>937</v>
      </c>
      <c r="H127" t="s">
        <v>938</v>
      </c>
      <c r="I127" t="str">
        <f>IFERROR(HYPERLINK("#Finance!B" &amp; MATCH(A127, 'F 2025'!A:A, 0), "🔗 Go to finance"), "❌ ID introuvable")</f>
        <v>❌ ID introuvable</v>
      </c>
      <c r="L127" t="s">
        <v>90</v>
      </c>
      <c r="V127" t="s">
        <v>939</v>
      </c>
      <c r="W127" t="s">
        <v>940</v>
      </c>
      <c r="Z127" t="s">
        <v>75</v>
      </c>
      <c r="AB127" t="s">
        <v>941</v>
      </c>
      <c r="AD127" s="130"/>
      <c r="AE127"/>
      <c r="AG127" t="s">
        <v>76</v>
      </c>
      <c r="AI127" t="s">
        <v>941</v>
      </c>
      <c r="AK127" t="s">
        <v>148</v>
      </c>
      <c r="AM127" s="38"/>
      <c r="AO127" t="s">
        <v>937</v>
      </c>
      <c r="AR127" t="str">
        <f t="shared" si="6"/>
        <v/>
      </c>
      <c r="AS127" t="str">
        <f t="shared" si="7"/>
        <v/>
      </c>
      <c r="AT127" t="str">
        <f>IF(Table1[[#This Row],[Joining Date]]="", "", TEXT(Table1[[#This Row],[Joining Date]], "mmm"))</f>
        <v/>
      </c>
      <c r="AU127" t="str">
        <f>IF(Table1[[#This Row],[Joining Date]]="", "", YEAR(Table1[[#This Row],[Joining Date]]))</f>
        <v/>
      </c>
      <c r="AV127" t="str">
        <f>IF(Table1[[#This Row],[Group Name]]="","", M127 &amp; Table1[[#This Row],[Teacher]])</f>
        <v/>
      </c>
      <c r="AW127" t="str">
        <f>IF(Table1[[#This Row],[Helper]]="","",IF(_xlfn.MAXIFS(AT:AT,AW:AW,Table1[[#This Row],[Helper]])=Table1[[#This Row],[Clean Frequency]],_xlfn.MAXIFS(AT:AT,AW:AW,Table1[[#This Row],[Helper]]),""))</f>
        <v/>
      </c>
      <c r="AX127" t="str">
        <f ca="1">IF(AND(AW127=_xlfn.MAXIFS(AX:AX, AW:AW, AV127), COUNTIFS(AV$3:AV127, AV127, AW$3:AW127, AW127)=1), 1, "")</f>
        <v/>
      </c>
      <c r="AY127" t="str">
        <f>IF(Table1[[#This Row],[lesson type]]="private",Table1[[#This Row],[Clean Frequency]],"")</f>
        <v/>
      </c>
      <c r="AZ127" t="str">
        <f ca="1">IF(Table1[[#This Row],[First Occurrence]]=1,Table1[[#This Row],[Group Frequency]],"")</f>
        <v/>
      </c>
      <c r="BA127" t="str">
        <f ca="1">IF(B127="Y", IF(Table1[[#This Row],[Stop]]="", TODAY() - Table1[[#This Row],[Joining Date]], Table1[[#This Row],[Stop]] - Table1[[#This Row],[Joining Date]]), "")</f>
        <v/>
      </c>
      <c r="BB127" t="str">
        <f>_xlfn.CONCAT(Table1[[#This Row],[t]]," ",Table1[[#This Row],[Last Name]])</f>
        <v>Noriko Tanaka</v>
      </c>
      <c r="BC127" t="str">
        <f>IF(OR(Table1[[#This Row],[Teacher]]="Alex",Table1[[#This Row],[Teacher]]=""), "", Table1[[#This Row],[For Salary]])</f>
        <v/>
      </c>
      <c r="BD127" t="str">
        <f>IF(OR(Table1[[#This Row],[Teacher]]="Alex",Table1[[#This Row],[Teacher]]=""), "", Table1[[#This Row],[For Amount]])</f>
        <v/>
      </c>
      <c r="BE127" t="str">
        <f>IFERROR(IF(VLOOKUP(Table1[[#This Row],[Teacher]],'Teachers Salaries'!A:C,2,FALSE)="","",VLOOKUP(Table1[[#This Row],[Teacher]],'Teachers Salaries'!A:C,2,FALSE)),"")</f>
        <v/>
      </c>
      <c r="BF127" t="str">
        <f>IFERROR(IF(VLOOKUP(Table1[[#This Row],[Teacher]],'Teachers Salaries'!A:C,3,FALSE)="","",VLOOKUP(Table1[[#This Row],[Teacher]],'Teachers Salaries'!A:C,3,FALSE)),"")</f>
        <v/>
      </c>
      <c r="BG127">
        <f ca="1">IFERROR(IF(Table1[[#This Row],[Pay Type]]="Fixed","-",Table1[[#This Row],[Final Group Frequency2]]*Table1[[#This Row],[Salary / Hourly Rate]]),0)</f>
        <v>0</v>
      </c>
      <c r="BH127">
        <f>IFERROR(IF(Table1[[#This Row],[Pay Type]]="Fixed","----",Table1[[#This Row],[Salary / Hourly Rate]]*Table1[[#This Row],[Final PrivateFrequency]]),0)</f>
        <v>0</v>
      </c>
      <c r="BI127">
        <f ca="1">IF(Table1[[#This Row],[Pay Type]]="Fixed","---",Table1[[#This Row],[Group Salary]]+Table1[[#This Row],[Private Salary]])</f>
        <v>0</v>
      </c>
      <c r="BJ127" t="str">
        <f>IF(OR(J127="Alex", J127=""),"", Table1[[#This Row],[For Amount]])</f>
        <v/>
      </c>
      <c r="BK127">
        <f ca="1">IFERROR(Table1[[#This Row],[Fee]]-Table1[[#This Row],[Total Salary]],"")</f>
        <v>0</v>
      </c>
      <c r="BL127" t="str">
        <f>IF(Table1[[#This Row],[Joining Date]]="","",IF(Table1[[#This Row],[Joining Date]]&lt;='KPI+Pivot'!$CP$1,Table1[[#This Row],[Fee]],""))</f>
        <v/>
      </c>
      <c r="BM12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7" t="str">
        <f>IF(Table1[[#This Row],[Joining Date]]="","",IF(Table1[[#This Row],[Joining Date]]&lt;='KPI+Pivot'!$CP$1,Table1[[#This Row],[Total Salary]],""))</f>
        <v/>
      </c>
      <c r="BO127" t="str">
        <f>IF(Table1[[#This Row],[Joining Date]]="","",IF(Table1[[#This Row],[Joining Date]]&lt;='KPI+Pivot'!$CP$1,Table1[[#This Row],[Frequency]],""))</f>
        <v/>
      </c>
      <c r="BP127" s="38" t="str">
        <f>IF(Table1[[#This Row],[Stop]]="","",(IF(Table1[[#This Row],[Joining Date]]="","",IF(Table1[[#This Row],[Joining Date]]&lt;='KPI+Pivot'!$CP$1,Table1[[#This Row],[Stop]],""))))</f>
        <v/>
      </c>
    </row>
    <row r="128" spans="1:68" ht="22.9" customHeight="1">
      <c r="B128" t="s">
        <v>66</v>
      </c>
      <c r="C128" t="s">
        <v>934</v>
      </c>
      <c r="D128" t="s">
        <v>436</v>
      </c>
      <c r="F128" t="s">
        <v>942</v>
      </c>
      <c r="G128" t="s">
        <v>943</v>
      </c>
      <c r="H128" t="s">
        <v>944</v>
      </c>
      <c r="I128" t="str">
        <f>IFERROR(HYPERLINK("#Finance!B" &amp; MATCH(A128, 'F 2025'!A:A, 0), "🔗 Go to finance"), "❌ ID introuvable")</f>
        <v>❌ ID introuvable</v>
      </c>
      <c r="L128" t="s">
        <v>90</v>
      </c>
      <c r="V128" t="s">
        <v>945</v>
      </c>
      <c r="Y128">
        <v>928829459</v>
      </c>
      <c r="Z128" t="s">
        <v>75</v>
      </c>
      <c r="AB128" t="s">
        <v>946</v>
      </c>
      <c r="AD128" s="130"/>
      <c r="AE128"/>
      <c r="AG128" t="s">
        <v>76</v>
      </c>
      <c r="AI128" t="s">
        <v>946</v>
      </c>
      <c r="AK128" t="s">
        <v>94</v>
      </c>
      <c r="AM128" s="38"/>
      <c r="AO128" t="s">
        <v>943</v>
      </c>
      <c r="AR128" t="str">
        <f t="shared" si="6"/>
        <v/>
      </c>
      <c r="AS128" t="str">
        <f t="shared" si="7"/>
        <v/>
      </c>
      <c r="AT128" t="str">
        <f>IF(Table1[[#This Row],[Joining Date]]="", "", TEXT(Table1[[#This Row],[Joining Date]], "mmm"))</f>
        <v/>
      </c>
      <c r="AU128" t="str">
        <f>IF(Table1[[#This Row],[Joining Date]]="", "", YEAR(Table1[[#This Row],[Joining Date]]))</f>
        <v/>
      </c>
      <c r="AV128" t="str">
        <f>IF(Table1[[#This Row],[Group Name]]="","", M128 &amp; Table1[[#This Row],[Teacher]])</f>
        <v/>
      </c>
      <c r="AW128" t="str">
        <f>IF(Table1[[#This Row],[Helper]]="","",IF(_xlfn.MAXIFS(AT:AT,AW:AW,Table1[[#This Row],[Helper]])=Table1[[#This Row],[Clean Frequency]],_xlfn.MAXIFS(AT:AT,AW:AW,Table1[[#This Row],[Helper]]),""))</f>
        <v/>
      </c>
      <c r="AX128" t="str">
        <f ca="1">IF(AND(AW128=_xlfn.MAXIFS(AX:AX, AW:AW, AV128), COUNTIFS(AV$3:AV128, AV128, AW$3:AW128, AW128)=1), 1, "")</f>
        <v/>
      </c>
      <c r="AY128" t="str">
        <f>IF(Table1[[#This Row],[lesson type]]="private",Table1[[#This Row],[Clean Frequency]],"")</f>
        <v/>
      </c>
      <c r="AZ128" t="str">
        <f ca="1">IF(Table1[[#This Row],[First Occurrence]]=1,Table1[[#This Row],[Group Frequency]],"")</f>
        <v/>
      </c>
      <c r="BA128" t="str">
        <f ca="1">IF(B128="Y", IF(Table1[[#This Row],[Stop]]="", TODAY() - Table1[[#This Row],[Joining Date]], Table1[[#This Row],[Stop]] - Table1[[#This Row],[Joining Date]]), "")</f>
        <v/>
      </c>
      <c r="BB128" t="str">
        <f>_xlfn.CONCAT(Table1[[#This Row],[t]]," ",Table1[[#This Row],[Last Name]])</f>
        <v>Noriko Kai</v>
      </c>
      <c r="BC128" t="str">
        <f>IF(OR(Table1[[#This Row],[Teacher]]="Alex",Table1[[#This Row],[Teacher]]=""), "", Table1[[#This Row],[For Salary]])</f>
        <v/>
      </c>
      <c r="BD128" t="str">
        <f>IF(OR(Table1[[#This Row],[Teacher]]="Alex",Table1[[#This Row],[Teacher]]=""), "", Table1[[#This Row],[For Amount]])</f>
        <v/>
      </c>
      <c r="BE128" t="str">
        <f>IFERROR(IF(VLOOKUP(Table1[[#This Row],[Teacher]],'Teachers Salaries'!A:C,2,FALSE)="","",VLOOKUP(Table1[[#This Row],[Teacher]],'Teachers Salaries'!A:C,2,FALSE)),"")</f>
        <v/>
      </c>
      <c r="BF128" t="str">
        <f>IFERROR(IF(VLOOKUP(Table1[[#This Row],[Teacher]],'Teachers Salaries'!A:C,3,FALSE)="","",VLOOKUP(Table1[[#This Row],[Teacher]],'Teachers Salaries'!A:C,3,FALSE)),"")</f>
        <v/>
      </c>
      <c r="BG128">
        <f ca="1">IFERROR(IF(Table1[[#This Row],[Pay Type]]="Fixed","-",Table1[[#This Row],[Final Group Frequency2]]*Table1[[#This Row],[Salary / Hourly Rate]]),0)</f>
        <v>0</v>
      </c>
      <c r="BH128">
        <f>IFERROR(IF(Table1[[#This Row],[Pay Type]]="Fixed","----",Table1[[#This Row],[Salary / Hourly Rate]]*Table1[[#This Row],[Final PrivateFrequency]]),0)</f>
        <v>0</v>
      </c>
      <c r="BI128">
        <f ca="1">IF(Table1[[#This Row],[Pay Type]]="Fixed","---",Table1[[#This Row],[Group Salary]]+Table1[[#This Row],[Private Salary]])</f>
        <v>0</v>
      </c>
      <c r="BJ128" t="str">
        <f>IF(OR(J128="Alex", J128=""),"", Table1[[#This Row],[For Amount]])</f>
        <v/>
      </c>
      <c r="BK128">
        <f ca="1">IFERROR(Table1[[#This Row],[Fee]]-Table1[[#This Row],[Total Salary]],"")</f>
        <v>0</v>
      </c>
      <c r="BL128" t="str">
        <f>IF(Table1[[#This Row],[Joining Date]]="","",IF(Table1[[#This Row],[Joining Date]]&lt;='KPI+Pivot'!$CP$1,Table1[[#This Row],[Fee]],""))</f>
        <v/>
      </c>
      <c r="BM12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8" t="str">
        <f>IF(Table1[[#This Row],[Joining Date]]="","",IF(Table1[[#This Row],[Joining Date]]&lt;='KPI+Pivot'!$CP$1,Table1[[#This Row],[Total Salary]],""))</f>
        <v/>
      </c>
      <c r="BO128" t="str">
        <f>IF(Table1[[#This Row],[Joining Date]]="","",IF(Table1[[#This Row],[Joining Date]]&lt;='KPI+Pivot'!$CP$1,Table1[[#This Row],[Frequency]],""))</f>
        <v/>
      </c>
      <c r="BP128" s="38" t="str">
        <f>IF(Table1[[#This Row],[Stop]]="","",(IF(Table1[[#This Row],[Joining Date]]="","",IF(Table1[[#This Row],[Joining Date]]&lt;='KPI+Pivot'!$CP$1,Table1[[#This Row],[Stop]],""))))</f>
        <v/>
      </c>
    </row>
    <row r="129" spans="1:68" ht="22.9" customHeight="1">
      <c r="C129" t="s">
        <v>925</v>
      </c>
      <c r="I129" t="str">
        <f>IFERROR(HYPERLINK("#Finance!B" &amp; MATCH(A129, 'F 2025'!A:A, 0), "🔗 Go to finance"), "❌ ID introuvable")</f>
        <v>❌ ID introuvable</v>
      </c>
      <c r="Z129" t="s">
        <v>75</v>
      </c>
      <c r="AD129" s="130"/>
      <c r="AE129"/>
      <c r="AG129" t="s">
        <v>76</v>
      </c>
      <c r="AK129" t="s">
        <v>84</v>
      </c>
      <c r="AM129" s="38"/>
      <c r="AO129"/>
      <c r="AR129" t="str">
        <f t="shared" si="6"/>
        <v/>
      </c>
      <c r="AS129" t="str">
        <f t="shared" si="7"/>
        <v/>
      </c>
      <c r="AT129" t="str">
        <f>IF(Table1[[#This Row],[Joining Date]]="", "", TEXT(Table1[[#This Row],[Joining Date]], "mmm"))</f>
        <v/>
      </c>
      <c r="AU129" t="str">
        <f>IF(Table1[[#This Row],[Joining Date]]="", "", YEAR(Table1[[#This Row],[Joining Date]]))</f>
        <v/>
      </c>
      <c r="AV129" t="str">
        <f>IF(Table1[[#This Row],[Group Name]]="","", M129 &amp; Table1[[#This Row],[Teacher]])</f>
        <v/>
      </c>
      <c r="AW129" t="str">
        <f>IF(Table1[[#This Row],[Helper]]="","",IF(_xlfn.MAXIFS(AT:AT,AW:AW,Table1[[#This Row],[Helper]])=Table1[[#This Row],[Clean Frequency]],_xlfn.MAXIFS(AT:AT,AW:AW,Table1[[#This Row],[Helper]]),""))</f>
        <v/>
      </c>
      <c r="AX129" t="str">
        <f ca="1">IF(AND(AW129=_xlfn.MAXIFS(AX:AX, AW:AW, AV129), COUNTIFS(AV$3:AV129, AV129, AW$3:AW129, AW129)=1), 1, "")</f>
        <v/>
      </c>
      <c r="AY129" t="str">
        <f>IF(Table1[[#This Row],[lesson type]]="private",Table1[[#This Row],[Clean Frequency]],"")</f>
        <v/>
      </c>
      <c r="AZ129" t="str">
        <f ca="1">IF(Table1[[#This Row],[First Occurrence]]=1,Table1[[#This Row],[Group Frequency]],"")</f>
        <v/>
      </c>
      <c r="BA129" t="str">
        <f ca="1">IF(B129="Y", IF(Table1[[#This Row],[Stop]]="", TODAY() - Table1[[#This Row],[Joining Date]], Table1[[#This Row],[Stop]] - Table1[[#This Row],[Joining Date]]), "")</f>
        <v/>
      </c>
      <c r="BB129" t="str">
        <f>_xlfn.CONCAT(Table1[[#This Row],[t]]," ",Table1[[#This Row],[Last Name]])</f>
        <v xml:space="preserve">ohbntm@gmail.com </v>
      </c>
      <c r="BC129" t="str">
        <f>IF(OR(Table1[[#This Row],[Teacher]]="Alex",Table1[[#This Row],[Teacher]]=""), "", Table1[[#This Row],[For Salary]])</f>
        <v/>
      </c>
      <c r="BD129" t="str">
        <f>IF(OR(Table1[[#This Row],[Teacher]]="Alex",Table1[[#This Row],[Teacher]]=""), "", Table1[[#This Row],[For Amount]])</f>
        <v/>
      </c>
      <c r="BE129" t="str">
        <f>IFERROR(IF(VLOOKUP(Table1[[#This Row],[Teacher]],'Teachers Salaries'!A:C,2,FALSE)="","",VLOOKUP(Table1[[#This Row],[Teacher]],'Teachers Salaries'!A:C,2,FALSE)),"")</f>
        <v/>
      </c>
      <c r="BF129" t="str">
        <f>IFERROR(IF(VLOOKUP(Table1[[#This Row],[Teacher]],'Teachers Salaries'!A:C,3,FALSE)="","",VLOOKUP(Table1[[#This Row],[Teacher]],'Teachers Salaries'!A:C,3,FALSE)),"")</f>
        <v/>
      </c>
      <c r="BG129">
        <f ca="1">IFERROR(IF(Table1[[#This Row],[Pay Type]]="Fixed","-",Table1[[#This Row],[Final Group Frequency2]]*Table1[[#This Row],[Salary / Hourly Rate]]),0)</f>
        <v>0</v>
      </c>
      <c r="BH129">
        <f>IFERROR(IF(Table1[[#This Row],[Pay Type]]="Fixed","----",Table1[[#This Row],[Salary / Hourly Rate]]*Table1[[#This Row],[Final PrivateFrequency]]),0)</f>
        <v>0</v>
      </c>
      <c r="BI129">
        <f ca="1">IF(Table1[[#This Row],[Pay Type]]="Fixed","---",Table1[[#This Row],[Group Salary]]+Table1[[#This Row],[Private Salary]])</f>
        <v>0</v>
      </c>
      <c r="BJ129" t="str">
        <f>IF(OR(J129="Alex", J129=""),"", Table1[[#This Row],[For Amount]])</f>
        <v/>
      </c>
      <c r="BK129">
        <f ca="1">IFERROR(Table1[[#This Row],[Fee]]-Table1[[#This Row],[Total Salary]],"")</f>
        <v>0</v>
      </c>
      <c r="BL129" t="str">
        <f>IF(Table1[[#This Row],[Joining Date]]="","",IF(Table1[[#This Row],[Joining Date]]&lt;='KPI+Pivot'!$CP$1,Table1[[#This Row],[Fee]],""))</f>
        <v/>
      </c>
      <c r="BM12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9" t="str">
        <f>IF(Table1[[#This Row],[Joining Date]]="","",IF(Table1[[#This Row],[Joining Date]]&lt;='KPI+Pivot'!$CP$1,Table1[[#This Row],[Total Salary]],""))</f>
        <v/>
      </c>
      <c r="BO129" t="str">
        <f>IF(Table1[[#This Row],[Joining Date]]="","",IF(Table1[[#This Row],[Joining Date]]&lt;='KPI+Pivot'!$CP$1,Table1[[#This Row],[Frequency]],""))</f>
        <v/>
      </c>
      <c r="BP129" s="38" t="str">
        <f>IF(Table1[[#This Row],[Stop]]="","",(IF(Table1[[#This Row],[Joining Date]]="","",IF(Table1[[#This Row],[Joining Date]]&lt;='KPI+Pivot'!$CP$1,Table1[[#This Row],[Stop]],""))))</f>
        <v/>
      </c>
    </row>
    <row r="130" spans="1:68" ht="22.9" customHeight="1">
      <c r="B130" t="s">
        <v>66</v>
      </c>
      <c r="C130" t="s">
        <v>947</v>
      </c>
      <c r="D130" t="s">
        <v>948</v>
      </c>
      <c r="F130" t="s">
        <v>949</v>
      </c>
      <c r="G130" t="s">
        <v>950</v>
      </c>
      <c r="H130" t="s">
        <v>951</v>
      </c>
      <c r="I130" t="str">
        <f>IFERROR(HYPERLINK("#Finance!B" &amp; MATCH(A130, 'F 2025'!A:A, 0), "🔗 Go to finance"), "❌ ID introuvable")</f>
        <v>❌ ID introuvable</v>
      </c>
      <c r="V130" t="s">
        <v>952</v>
      </c>
      <c r="Z130" t="s">
        <v>75</v>
      </c>
      <c r="AB130" t="s">
        <v>953</v>
      </c>
      <c r="AD130" s="130">
        <v>45331</v>
      </c>
      <c r="AE130"/>
      <c r="AG130" t="s">
        <v>76</v>
      </c>
      <c r="AI130" t="s">
        <v>953</v>
      </c>
      <c r="AK130" t="s">
        <v>84</v>
      </c>
      <c r="AM130" s="38"/>
      <c r="AO130" t="s">
        <v>950</v>
      </c>
      <c r="AR130" t="str">
        <f t="shared" ref="AR130:AR161" si="8">IF(OR(ISNUMBER(SEARCH("private",K130)), ISNUMBER(SEARCH("プら",K130)), ISNUMBER(SEARCH("プら,大人",K130)), ISNUMBER(SEARCH("セミプラ",K130))), "private", IF(OR(ISNUMBER(SEARCH("group",K130)), ISNUMBER(SEARCH("グループ",K130)), ISNUMBER(SEARCH("gr",K130))), "group", ""))</f>
        <v/>
      </c>
      <c r="AS130" t="str">
        <f t="shared" ref="AS130:AS161" si="9">IF(J130&lt;&gt;"", IF(N130="", 4, N130), "")</f>
        <v/>
      </c>
      <c r="AT130" t="str">
        <f>IF(Table1[[#This Row],[Joining Date]]="", "", TEXT(Table1[[#This Row],[Joining Date]], "mmm"))</f>
        <v>Feb</v>
      </c>
      <c r="AU130">
        <f>IF(Table1[[#This Row],[Joining Date]]="", "", YEAR(Table1[[#This Row],[Joining Date]]))</f>
        <v>2024</v>
      </c>
      <c r="AV130" t="str">
        <f>IF(Table1[[#This Row],[Group Name]]="","", M130 &amp; Table1[[#This Row],[Teacher]])</f>
        <v/>
      </c>
      <c r="AW130" t="str">
        <f>IF(Table1[[#This Row],[Helper]]="","",IF(_xlfn.MAXIFS(AT:AT,AW:AW,Table1[[#This Row],[Helper]])=Table1[[#This Row],[Clean Frequency]],_xlfn.MAXIFS(AT:AT,AW:AW,Table1[[#This Row],[Helper]]),""))</f>
        <v/>
      </c>
      <c r="AX130" t="str">
        <f ca="1">IF(AND(AW130=_xlfn.MAXIFS(AX:AX, AW:AW, AV130), COUNTIFS(AV$3:AV130, AV130, AW$3:AW130, AW130)=1), 1, "")</f>
        <v/>
      </c>
      <c r="AY130" t="str">
        <f>IF(Table1[[#This Row],[lesson type]]="private",Table1[[#This Row],[Clean Frequency]],"")</f>
        <v/>
      </c>
      <c r="AZ130" t="str">
        <f ca="1">IF(Table1[[#This Row],[First Occurrence]]=1,Table1[[#This Row],[Group Frequency]],"")</f>
        <v/>
      </c>
      <c r="BA130" t="str">
        <f ca="1">IF(B130="Y", IF(Table1[[#This Row],[Stop]]="", TODAY() - Table1[[#This Row],[Joining Date]], Table1[[#This Row],[Stop]] - Table1[[#This Row],[Joining Date]]), "")</f>
        <v/>
      </c>
      <c r="BB130" t="str">
        <f>_xlfn.CONCAT(Table1[[#This Row],[t]]," ",Table1[[#This Row],[Last Name]])</f>
        <v>Osuke Yoshida</v>
      </c>
      <c r="BC130" t="str">
        <f>IF(OR(Table1[[#This Row],[Teacher]]="Alex",Table1[[#This Row],[Teacher]]=""), "", Table1[[#This Row],[For Salary]])</f>
        <v/>
      </c>
      <c r="BD130" t="str">
        <f>IF(OR(Table1[[#This Row],[Teacher]]="Alex",Table1[[#This Row],[Teacher]]=""), "", Table1[[#This Row],[For Amount]])</f>
        <v/>
      </c>
      <c r="BE130" t="str">
        <f>IFERROR(IF(VLOOKUP(Table1[[#This Row],[Teacher]],'Teachers Salaries'!A:C,2,FALSE)="","",VLOOKUP(Table1[[#This Row],[Teacher]],'Teachers Salaries'!A:C,2,FALSE)),"")</f>
        <v/>
      </c>
      <c r="BF130" t="str">
        <f>IFERROR(IF(VLOOKUP(Table1[[#This Row],[Teacher]],'Teachers Salaries'!A:C,3,FALSE)="","",VLOOKUP(Table1[[#This Row],[Teacher]],'Teachers Salaries'!A:C,3,FALSE)),"")</f>
        <v/>
      </c>
      <c r="BG130">
        <f ca="1">IFERROR(IF(Table1[[#This Row],[Pay Type]]="Fixed","-",Table1[[#This Row],[Final Group Frequency2]]*Table1[[#This Row],[Salary / Hourly Rate]]),0)</f>
        <v>0</v>
      </c>
      <c r="BH130">
        <f>IFERROR(IF(Table1[[#This Row],[Pay Type]]="Fixed","----",Table1[[#This Row],[Salary / Hourly Rate]]*Table1[[#This Row],[Final PrivateFrequency]]),0)</f>
        <v>0</v>
      </c>
      <c r="BI130">
        <f ca="1">IF(Table1[[#This Row],[Pay Type]]="Fixed","---",Table1[[#This Row],[Group Salary]]+Table1[[#This Row],[Private Salary]])</f>
        <v>0</v>
      </c>
      <c r="BJ130" t="str">
        <f>IF(OR(J130="Alex", J130=""),"", Table1[[#This Row],[For Amount]])</f>
        <v/>
      </c>
      <c r="BK130">
        <f ca="1">IFERROR(Table1[[#This Row],[Fee]]-Table1[[#This Row],[Total Salary]],"")</f>
        <v>0</v>
      </c>
      <c r="BL130" t="e">
        <f>IF(Table1[[#This Row],[Joining Date]]="","",IF(Table1[[#This Row],[Joining Date]]&lt;='KPI+Pivot'!$CP$1,Table1[[#This Row],[Fee]],""))</f>
        <v>#N/A</v>
      </c>
      <c r="BM13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30" t="e">
        <f>IF(Table1[[#This Row],[Joining Date]]="","",IF(Table1[[#This Row],[Joining Date]]&lt;='KPI+Pivot'!$CP$1,Table1[[#This Row],[Total Salary]],""))</f>
        <v>#N/A</v>
      </c>
      <c r="BO130" t="e">
        <f>IF(Table1[[#This Row],[Joining Date]]="","",IF(Table1[[#This Row],[Joining Date]]&lt;='KPI+Pivot'!$CP$1,Table1[[#This Row],[Frequency]],""))</f>
        <v>#N/A</v>
      </c>
      <c r="BP130" s="38" t="str">
        <f>IF(Table1[[#This Row],[Stop]]="","",(IF(Table1[[#This Row],[Joining Date]]="","",IF(Table1[[#This Row],[Joining Date]]&lt;='KPI+Pivot'!$CP$1,Table1[[#This Row],[Stop]],""))))</f>
        <v/>
      </c>
    </row>
    <row r="131" spans="1:68" ht="22.9" customHeight="1">
      <c r="B131" t="s">
        <v>66</v>
      </c>
      <c r="C131" t="s">
        <v>954</v>
      </c>
      <c r="D131" t="s">
        <v>269</v>
      </c>
      <c r="F131" t="s">
        <v>955</v>
      </c>
      <c r="G131" t="s">
        <v>956</v>
      </c>
      <c r="H131" t="s">
        <v>272</v>
      </c>
      <c r="I131" t="str">
        <f>IFERROR(HYPERLINK("#Finance!B" &amp; MATCH(A131, 'F 2025'!A:A, 0), "🔗 Go to finance"), "❌ ID introuvable")</f>
        <v>❌ ID introuvable</v>
      </c>
      <c r="L131" t="s">
        <v>102</v>
      </c>
      <c r="V131" t="s">
        <v>273</v>
      </c>
      <c r="Z131" t="s">
        <v>75</v>
      </c>
      <c r="AB131" t="s">
        <v>957</v>
      </c>
      <c r="AD131" s="130">
        <v>44958</v>
      </c>
      <c r="AE131"/>
      <c r="AG131" t="s">
        <v>76</v>
      </c>
      <c r="AI131" t="s">
        <v>957</v>
      </c>
      <c r="AK131" t="s">
        <v>275</v>
      </c>
      <c r="AM131" s="38"/>
      <c r="AO131" t="s">
        <v>956</v>
      </c>
      <c r="AR131" t="str">
        <f t="shared" si="8"/>
        <v/>
      </c>
      <c r="AS131" t="str">
        <f t="shared" si="9"/>
        <v/>
      </c>
      <c r="AT131" t="str">
        <f>IF(Table1[[#This Row],[Joining Date]]="", "", TEXT(Table1[[#This Row],[Joining Date]], "mmm"))</f>
        <v>Feb</v>
      </c>
      <c r="AU131">
        <f>IF(Table1[[#This Row],[Joining Date]]="", "", YEAR(Table1[[#This Row],[Joining Date]]))</f>
        <v>2023</v>
      </c>
      <c r="AV131" t="str">
        <f>IF(Table1[[#This Row],[Group Name]]="","", M131 &amp; Table1[[#This Row],[Teacher]])</f>
        <v/>
      </c>
      <c r="AW131" t="str">
        <f>IF(Table1[[#This Row],[Helper]]="","",IF(_xlfn.MAXIFS(AT:AT,AW:AW,Table1[[#This Row],[Helper]])=Table1[[#This Row],[Clean Frequency]],_xlfn.MAXIFS(AT:AT,AW:AW,Table1[[#This Row],[Helper]]),""))</f>
        <v/>
      </c>
      <c r="AX131" t="str">
        <f ca="1">IF(AND(AW131=_xlfn.MAXIFS(AX:AX, AW:AW, AV131), COUNTIFS(AV$3:AV131, AV131, AW$3:AW131, AW131)=1), 1, "")</f>
        <v/>
      </c>
      <c r="AY131" t="str">
        <f>IF(Table1[[#This Row],[lesson type]]="private",Table1[[#This Row],[Clean Frequency]],"")</f>
        <v/>
      </c>
      <c r="AZ131" t="str">
        <f ca="1">IF(Table1[[#This Row],[First Occurrence]]=1,Table1[[#This Row],[Group Frequency]],"")</f>
        <v/>
      </c>
      <c r="BA131" t="str">
        <f ca="1">IF(B131="Y", IF(Table1[[#This Row],[Stop]]="", TODAY() - Table1[[#This Row],[Joining Date]], Table1[[#This Row],[Stop]] - Table1[[#This Row],[Joining Date]]), "")</f>
        <v/>
      </c>
      <c r="BB131" t="str">
        <f>_xlfn.CONCAT(Table1[[#This Row],[t]]," ",Table1[[#This Row],[Last Name]])</f>
        <v>Otowa Mochidome</v>
      </c>
      <c r="BC131" t="str">
        <f>IF(OR(Table1[[#This Row],[Teacher]]="Alex",Table1[[#This Row],[Teacher]]=""), "", Table1[[#This Row],[For Salary]])</f>
        <v/>
      </c>
      <c r="BD131" t="str">
        <f>IF(OR(Table1[[#This Row],[Teacher]]="Alex",Table1[[#This Row],[Teacher]]=""), "", Table1[[#This Row],[For Amount]])</f>
        <v/>
      </c>
      <c r="BE131" t="str">
        <f>IFERROR(IF(VLOOKUP(Table1[[#This Row],[Teacher]],'Teachers Salaries'!A:C,2,FALSE)="","",VLOOKUP(Table1[[#This Row],[Teacher]],'Teachers Salaries'!A:C,2,FALSE)),"")</f>
        <v/>
      </c>
      <c r="BF131" t="str">
        <f>IFERROR(IF(VLOOKUP(Table1[[#This Row],[Teacher]],'Teachers Salaries'!A:C,3,FALSE)="","",VLOOKUP(Table1[[#This Row],[Teacher]],'Teachers Salaries'!A:C,3,FALSE)),"")</f>
        <v/>
      </c>
      <c r="BG131">
        <f ca="1">IFERROR(IF(Table1[[#This Row],[Pay Type]]="Fixed","-",Table1[[#This Row],[Final Group Frequency2]]*Table1[[#This Row],[Salary / Hourly Rate]]),0)</f>
        <v>0</v>
      </c>
      <c r="BH131">
        <f>IFERROR(IF(Table1[[#This Row],[Pay Type]]="Fixed","----",Table1[[#This Row],[Salary / Hourly Rate]]*Table1[[#This Row],[Final PrivateFrequency]]),0)</f>
        <v>0</v>
      </c>
      <c r="BI131">
        <f ca="1">IF(Table1[[#This Row],[Pay Type]]="Fixed","---",Table1[[#This Row],[Group Salary]]+Table1[[#This Row],[Private Salary]])</f>
        <v>0</v>
      </c>
      <c r="BJ131" t="str">
        <f>IF(OR(J131="Alex", J131=""),"", Table1[[#This Row],[For Amount]])</f>
        <v/>
      </c>
      <c r="BK131">
        <f ca="1">IFERROR(Table1[[#This Row],[Fee]]-Table1[[#This Row],[Total Salary]],"")</f>
        <v>0</v>
      </c>
      <c r="BL131" t="e">
        <f>IF(Table1[[#This Row],[Joining Date]]="","",IF(Table1[[#This Row],[Joining Date]]&lt;='KPI+Pivot'!$CP$1,Table1[[#This Row],[Fee]],""))</f>
        <v>#N/A</v>
      </c>
      <c r="BM13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31" t="e">
        <f>IF(Table1[[#This Row],[Joining Date]]="","",IF(Table1[[#This Row],[Joining Date]]&lt;='KPI+Pivot'!$CP$1,Table1[[#This Row],[Total Salary]],""))</f>
        <v>#N/A</v>
      </c>
      <c r="BO131" t="e">
        <f>IF(Table1[[#This Row],[Joining Date]]="","",IF(Table1[[#This Row],[Joining Date]]&lt;='KPI+Pivot'!$CP$1,Table1[[#This Row],[Frequency]],""))</f>
        <v>#N/A</v>
      </c>
      <c r="BP131" s="38" t="str">
        <f>IF(Table1[[#This Row],[Stop]]="","",(IF(Table1[[#This Row],[Joining Date]]="","",IF(Table1[[#This Row],[Joining Date]]&lt;='KPI+Pivot'!$CP$1,Table1[[#This Row],[Stop]],""))))</f>
        <v/>
      </c>
    </row>
    <row r="132" spans="1:68" ht="22.9" customHeight="1">
      <c r="B132" t="s">
        <v>66</v>
      </c>
      <c r="C132" t="s">
        <v>958</v>
      </c>
      <c r="D132" t="s">
        <v>959</v>
      </c>
      <c r="F132" t="s">
        <v>960</v>
      </c>
      <c r="G132" t="s">
        <v>961</v>
      </c>
      <c r="H132" t="s">
        <v>962</v>
      </c>
      <c r="I132" t="str">
        <f>IFERROR(HYPERLINK("#Finance!B" &amp; MATCH(A132, 'F 2025'!A:A, 0), "🔗 Go to finance"), "❌ ID introuvable")</f>
        <v>❌ ID introuvable</v>
      </c>
      <c r="L132" t="s">
        <v>72</v>
      </c>
      <c r="V132" t="s">
        <v>963</v>
      </c>
      <c r="W132" t="s">
        <v>963</v>
      </c>
      <c r="Y132" t="s">
        <v>964</v>
      </c>
      <c r="Z132" t="s">
        <v>75</v>
      </c>
      <c r="AB132" t="s">
        <v>965</v>
      </c>
      <c r="AD132" s="130"/>
      <c r="AE132"/>
      <c r="AG132" t="s">
        <v>76</v>
      </c>
      <c r="AI132" t="s">
        <v>965</v>
      </c>
      <c r="AK132" t="s">
        <v>182</v>
      </c>
      <c r="AM132" s="38"/>
      <c r="AO132" t="s">
        <v>961</v>
      </c>
      <c r="AR132" t="str">
        <f t="shared" si="8"/>
        <v/>
      </c>
      <c r="AS132" t="str">
        <f t="shared" si="9"/>
        <v/>
      </c>
      <c r="AT132" t="str">
        <f>IF(Table1[[#This Row],[Joining Date]]="", "", TEXT(Table1[[#This Row],[Joining Date]], "mmm"))</f>
        <v/>
      </c>
      <c r="AU132" t="str">
        <f>IF(Table1[[#This Row],[Joining Date]]="", "", YEAR(Table1[[#This Row],[Joining Date]]))</f>
        <v/>
      </c>
      <c r="AV132" t="str">
        <f>IF(Table1[[#This Row],[Group Name]]="","", M132 &amp; Table1[[#This Row],[Teacher]])</f>
        <v/>
      </c>
      <c r="AW132" t="str">
        <f>IF(Table1[[#This Row],[Helper]]="","",IF(_xlfn.MAXIFS(AT:AT,AW:AW,Table1[[#This Row],[Helper]])=Table1[[#This Row],[Clean Frequency]],_xlfn.MAXIFS(AT:AT,AW:AW,Table1[[#This Row],[Helper]]),""))</f>
        <v/>
      </c>
      <c r="AX132" t="str">
        <f ca="1">IF(AND(AW132=_xlfn.MAXIFS(AX:AX, AW:AW, AV132), COUNTIFS(AV$3:AV132, AV132, AW$3:AW132, AW132)=1), 1, "")</f>
        <v/>
      </c>
      <c r="AY132" t="str">
        <f>IF(Table1[[#This Row],[lesson type]]="private",Table1[[#This Row],[Clean Frequency]],"")</f>
        <v/>
      </c>
      <c r="AZ132" t="str">
        <f ca="1">IF(Table1[[#This Row],[First Occurrence]]=1,Table1[[#This Row],[Group Frequency]],"")</f>
        <v/>
      </c>
      <c r="BA132" t="str">
        <f ca="1">IF(B132="Y", IF(Table1[[#This Row],[Stop]]="", TODAY() - Table1[[#This Row],[Joining Date]], Table1[[#This Row],[Stop]] - Table1[[#This Row],[Joining Date]]), "")</f>
        <v/>
      </c>
      <c r="BB132" t="str">
        <f>_xlfn.CONCAT(Table1[[#This Row],[t]]," ",Table1[[#This Row],[Last Name]])</f>
        <v>Rei Shimotsusa</v>
      </c>
      <c r="BC132" t="str">
        <f>IF(OR(Table1[[#This Row],[Teacher]]="Alex",Table1[[#This Row],[Teacher]]=""), "", Table1[[#This Row],[For Salary]])</f>
        <v/>
      </c>
      <c r="BD132" t="str">
        <f>IF(OR(Table1[[#This Row],[Teacher]]="Alex",Table1[[#This Row],[Teacher]]=""), "", Table1[[#This Row],[For Amount]])</f>
        <v/>
      </c>
      <c r="BE132" t="str">
        <f>IFERROR(IF(VLOOKUP(Table1[[#This Row],[Teacher]],'Teachers Salaries'!A:C,2,FALSE)="","",VLOOKUP(Table1[[#This Row],[Teacher]],'Teachers Salaries'!A:C,2,FALSE)),"")</f>
        <v/>
      </c>
      <c r="BF132" t="str">
        <f>IFERROR(IF(VLOOKUP(Table1[[#This Row],[Teacher]],'Teachers Salaries'!A:C,3,FALSE)="","",VLOOKUP(Table1[[#This Row],[Teacher]],'Teachers Salaries'!A:C,3,FALSE)),"")</f>
        <v/>
      </c>
      <c r="BG132">
        <f ca="1">IFERROR(IF(Table1[[#This Row],[Pay Type]]="Fixed","-",Table1[[#This Row],[Final Group Frequency2]]*Table1[[#This Row],[Salary / Hourly Rate]]),0)</f>
        <v>0</v>
      </c>
      <c r="BH132">
        <f>IFERROR(IF(Table1[[#This Row],[Pay Type]]="Fixed","----",Table1[[#This Row],[Salary / Hourly Rate]]*Table1[[#This Row],[Final PrivateFrequency]]),0)</f>
        <v>0</v>
      </c>
      <c r="BI132">
        <f ca="1">IF(Table1[[#This Row],[Pay Type]]="Fixed","---",Table1[[#This Row],[Group Salary]]+Table1[[#This Row],[Private Salary]])</f>
        <v>0</v>
      </c>
      <c r="BJ132" t="str">
        <f>IF(OR(J132="Alex", J132=""),"", Table1[[#This Row],[For Amount]])</f>
        <v/>
      </c>
      <c r="BK132">
        <f ca="1">IFERROR(Table1[[#This Row],[Fee]]-Table1[[#This Row],[Total Salary]],"")</f>
        <v>0</v>
      </c>
      <c r="BL132" t="str">
        <f>IF(Table1[[#This Row],[Joining Date]]="","",IF(Table1[[#This Row],[Joining Date]]&lt;='KPI+Pivot'!$CP$1,Table1[[#This Row],[Fee]],""))</f>
        <v/>
      </c>
      <c r="BM13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2" t="str">
        <f>IF(Table1[[#This Row],[Joining Date]]="","",IF(Table1[[#This Row],[Joining Date]]&lt;='KPI+Pivot'!$CP$1,Table1[[#This Row],[Total Salary]],""))</f>
        <v/>
      </c>
      <c r="BO132" t="str">
        <f>IF(Table1[[#This Row],[Joining Date]]="","",IF(Table1[[#This Row],[Joining Date]]&lt;='KPI+Pivot'!$CP$1,Table1[[#This Row],[Frequency]],""))</f>
        <v/>
      </c>
      <c r="BP132" s="38" t="str">
        <f>IF(Table1[[#This Row],[Stop]]="","",(IF(Table1[[#This Row],[Joining Date]]="","",IF(Table1[[#This Row],[Joining Date]]&lt;='KPI+Pivot'!$CP$1,Table1[[#This Row],[Stop]],""))))</f>
        <v/>
      </c>
    </row>
    <row r="133" spans="1:68" ht="22.9" customHeight="1">
      <c r="B133" t="s">
        <v>66</v>
      </c>
      <c r="C133" t="s">
        <v>966</v>
      </c>
      <c r="D133" t="s">
        <v>967</v>
      </c>
      <c r="F133" t="s">
        <v>968</v>
      </c>
      <c r="G133" t="s">
        <v>969</v>
      </c>
      <c r="H133" t="s">
        <v>970</v>
      </c>
      <c r="I133" t="str">
        <f>IFERROR(HYPERLINK("#Finance!B" &amp; MATCH(A133, 'F 2025'!A:A, 0), "🔗 Go to finance"), "❌ ID introuvable")</f>
        <v>❌ ID introuvable</v>
      </c>
      <c r="L133" t="s">
        <v>90</v>
      </c>
      <c r="V133" t="s">
        <v>971</v>
      </c>
      <c r="Y133" t="s">
        <v>972</v>
      </c>
      <c r="Z133" t="s">
        <v>75</v>
      </c>
      <c r="AB133" t="s">
        <v>973</v>
      </c>
      <c r="AD133" s="130"/>
      <c r="AE133"/>
      <c r="AG133" t="s">
        <v>76</v>
      </c>
      <c r="AI133" t="s">
        <v>973</v>
      </c>
      <c r="AK133" t="s">
        <v>94</v>
      </c>
      <c r="AM133" s="38"/>
      <c r="AO133" t="s">
        <v>969</v>
      </c>
      <c r="AR133" t="str">
        <f t="shared" si="8"/>
        <v/>
      </c>
      <c r="AS133" t="str">
        <f t="shared" si="9"/>
        <v/>
      </c>
      <c r="AT133" t="str">
        <f>IF(Table1[[#This Row],[Joining Date]]="", "", TEXT(Table1[[#This Row],[Joining Date]], "mmm"))</f>
        <v/>
      </c>
      <c r="AU133" t="str">
        <f>IF(Table1[[#This Row],[Joining Date]]="", "", YEAR(Table1[[#This Row],[Joining Date]]))</f>
        <v/>
      </c>
      <c r="AV133" t="str">
        <f>IF(Table1[[#This Row],[Group Name]]="","", M133 &amp; Table1[[#This Row],[Teacher]])</f>
        <v/>
      </c>
      <c r="AW133" t="str">
        <f>IF(Table1[[#This Row],[Helper]]="","",IF(_xlfn.MAXIFS(AT:AT,AW:AW,Table1[[#This Row],[Helper]])=Table1[[#This Row],[Clean Frequency]],_xlfn.MAXIFS(AT:AT,AW:AW,Table1[[#This Row],[Helper]]),""))</f>
        <v/>
      </c>
      <c r="AX133" t="str">
        <f ca="1">IF(AND(AW133=_xlfn.MAXIFS(AX:AX, AW:AW, AV133), COUNTIFS(AV$3:AV133, AV133, AW$3:AW133, AW133)=1), 1, "")</f>
        <v/>
      </c>
      <c r="AY133" t="str">
        <f>IF(Table1[[#This Row],[lesson type]]="private",Table1[[#This Row],[Clean Frequency]],"")</f>
        <v/>
      </c>
      <c r="AZ133" t="str">
        <f ca="1">IF(Table1[[#This Row],[First Occurrence]]=1,Table1[[#This Row],[Group Frequency]],"")</f>
        <v/>
      </c>
      <c r="BA133" t="str">
        <f ca="1">IF(B133="Y", IF(Table1[[#This Row],[Stop]]="", TODAY() - Table1[[#This Row],[Joining Date]], Table1[[#This Row],[Stop]] - Table1[[#This Row],[Joining Date]]), "")</f>
        <v/>
      </c>
      <c r="BB133" t="str">
        <f>_xlfn.CONCAT(Table1[[#This Row],[t]]," ",Table1[[#This Row],[Last Name]])</f>
        <v>Reiko Iwata</v>
      </c>
      <c r="BC133" t="str">
        <f>IF(OR(Table1[[#This Row],[Teacher]]="Alex",Table1[[#This Row],[Teacher]]=""), "", Table1[[#This Row],[For Salary]])</f>
        <v/>
      </c>
      <c r="BD133" t="str">
        <f>IF(OR(Table1[[#This Row],[Teacher]]="Alex",Table1[[#This Row],[Teacher]]=""), "", Table1[[#This Row],[For Amount]])</f>
        <v/>
      </c>
      <c r="BE133" t="str">
        <f>IFERROR(IF(VLOOKUP(Table1[[#This Row],[Teacher]],'Teachers Salaries'!A:C,2,FALSE)="","",VLOOKUP(Table1[[#This Row],[Teacher]],'Teachers Salaries'!A:C,2,FALSE)),"")</f>
        <v/>
      </c>
      <c r="BF133" t="str">
        <f>IFERROR(IF(VLOOKUP(Table1[[#This Row],[Teacher]],'Teachers Salaries'!A:C,3,FALSE)="","",VLOOKUP(Table1[[#This Row],[Teacher]],'Teachers Salaries'!A:C,3,FALSE)),"")</f>
        <v/>
      </c>
      <c r="BG133">
        <f ca="1">IFERROR(IF(Table1[[#This Row],[Pay Type]]="Fixed","-",Table1[[#This Row],[Final Group Frequency2]]*Table1[[#This Row],[Salary / Hourly Rate]]),0)</f>
        <v>0</v>
      </c>
      <c r="BH133">
        <f>IFERROR(IF(Table1[[#This Row],[Pay Type]]="Fixed","----",Table1[[#This Row],[Salary / Hourly Rate]]*Table1[[#This Row],[Final PrivateFrequency]]),0)</f>
        <v>0</v>
      </c>
      <c r="BI133">
        <f ca="1">IF(Table1[[#This Row],[Pay Type]]="Fixed","---",Table1[[#This Row],[Group Salary]]+Table1[[#This Row],[Private Salary]])</f>
        <v>0</v>
      </c>
      <c r="BJ133" t="str">
        <f>IF(OR(J133="Alex", J133=""),"", Table1[[#This Row],[For Amount]])</f>
        <v/>
      </c>
      <c r="BK133">
        <f ca="1">IFERROR(Table1[[#This Row],[Fee]]-Table1[[#This Row],[Total Salary]],"")</f>
        <v>0</v>
      </c>
      <c r="BL133" t="str">
        <f>IF(Table1[[#This Row],[Joining Date]]="","",IF(Table1[[#This Row],[Joining Date]]&lt;='KPI+Pivot'!$CP$1,Table1[[#This Row],[Fee]],""))</f>
        <v/>
      </c>
      <c r="BM13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3" t="str">
        <f>IF(Table1[[#This Row],[Joining Date]]="","",IF(Table1[[#This Row],[Joining Date]]&lt;='KPI+Pivot'!$CP$1,Table1[[#This Row],[Total Salary]],""))</f>
        <v/>
      </c>
      <c r="BO133" t="str">
        <f>IF(Table1[[#This Row],[Joining Date]]="","",IF(Table1[[#This Row],[Joining Date]]&lt;='KPI+Pivot'!$CP$1,Table1[[#This Row],[Frequency]],""))</f>
        <v/>
      </c>
      <c r="BP133" s="38" t="str">
        <f>IF(Table1[[#This Row],[Stop]]="","",(IF(Table1[[#This Row],[Joining Date]]="","",IF(Table1[[#This Row],[Joining Date]]&lt;='KPI+Pivot'!$CP$1,Table1[[#This Row],[Stop]],""))))</f>
        <v/>
      </c>
    </row>
    <row r="134" spans="1:68" ht="22.9" customHeight="1">
      <c r="B134" t="s">
        <v>66</v>
      </c>
      <c r="C134" t="s">
        <v>974</v>
      </c>
      <c r="D134" t="s">
        <v>975</v>
      </c>
      <c r="F134" t="s">
        <v>976</v>
      </c>
      <c r="G134" t="s">
        <v>977</v>
      </c>
      <c r="H134" t="s">
        <v>978</v>
      </c>
      <c r="I134" t="str">
        <f>IFERROR(HYPERLINK("#Finance!B" &amp; MATCH(A134, 'F 2025'!A:A, 0), "🔗 Go to finance"), "❌ ID introuvable")</f>
        <v>❌ ID introuvable</v>
      </c>
      <c r="L134" t="s">
        <v>102</v>
      </c>
      <c r="V134" t="s">
        <v>979</v>
      </c>
      <c r="Y134" t="s">
        <v>980</v>
      </c>
      <c r="Z134" t="s">
        <v>75</v>
      </c>
      <c r="AB134" t="s">
        <v>981</v>
      </c>
      <c r="AD134" s="130"/>
      <c r="AE134"/>
      <c r="AG134" t="s">
        <v>76</v>
      </c>
      <c r="AI134" t="s">
        <v>981</v>
      </c>
      <c r="AK134" t="s">
        <v>102</v>
      </c>
      <c r="AM134" s="38"/>
      <c r="AO134" t="s">
        <v>977</v>
      </c>
      <c r="AR134" t="str">
        <f t="shared" si="8"/>
        <v/>
      </c>
      <c r="AS134" t="str">
        <f t="shared" si="9"/>
        <v/>
      </c>
      <c r="AT134" t="str">
        <f>IF(Table1[[#This Row],[Joining Date]]="", "", TEXT(Table1[[#This Row],[Joining Date]], "mmm"))</f>
        <v/>
      </c>
      <c r="AU134" t="str">
        <f>IF(Table1[[#This Row],[Joining Date]]="", "", YEAR(Table1[[#This Row],[Joining Date]]))</f>
        <v/>
      </c>
      <c r="AV134" t="str">
        <f>IF(Table1[[#This Row],[Group Name]]="","", M134 &amp; Table1[[#This Row],[Teacher]])</f>
        <v/>
      </c>
      <c r="AW134" t="str">
        <f>IF(Table1[[#This Row],[Helper]]="","",IF(_xlfn.MAXIFS(AT:AT,AW:AW,Table1[[#This Row],[Helper]])=Table1[[#This Row],[Clean Frequency]],_xlfn.MAXIFS(AT:AT,AW:AW,Table1[[#This Row],[Helper]]),""))</f>
        <v/>
      </c>
      <c r="AX134" t="str">
        <f ca="1">IF(AND(AW134=_xlfn.MAXIFS(AX:AX, AW:AW, AV134), COUNTIFS(AV$3:AV134, AV134, AW$3:AW134, AW134)=1), 1, "")</f>
        <v/>
      </c>
      <c r="AY134" t="str">
        <f>IF(Table1[[#This Row],[lesson type]]="private",Table1[[#This Row],[Clean Frequency]],"")</f>
        <v/>
      </c>
      <c r="AZ134" t="str">
        <f ca="1">IF(Table1[[#This Row],[First Occurrence]]=1,Table1[[#This Row],[Group Frequency]],"")</f>
        <v/>
      </c>
      <c r="BA134" t="str">
        <f ca="1">IF(B134="Y", IF(Table1[[#This Row],[Stop]]="", TODAY() - Table1[[#This Row],[Joining Date]], Table1[[#This Row],[Stop]] - Table1[[#This Row],[Joining Date]]), "")</f>
        <v/>
      </c>
      <c r="BB134" t="str">
        <f>_xlfn.CONCAT(Table1[[#This Row],[t]]," ",Table1[[#This Row],[Last Name]])</f>
        <v>Reina Omori</v>
      </c>
      <c r="BC134" t="str">
        <f>IF(OR(Table1[[#This Row],[Teacher]]="Alex",Table1[[#This Row],[Teacher]]=""), "", Table1[[#This Row],[For Salary]])</f>
        <v/>
      </c>
      <c r="BD134" t="str">
        <f>IF(OR(Table1[[#This Row],[Teacher]]="Alex",Table1[[#This Row],[Teacher]]=""), "", Table1[[#This Row],[For Amount]])</f>
        <v/>
      </c>
      <c r="BE134" t="str">
        <f>IFERROR(IF(VLOOKUP(Table1[[#This Row],[Teacher]],'Teachers Salaries'!A:C,2,FALSE)="","",VLOOKUP(Table1[[#This Row],[Teacher]],'Teachers Salaries'!A:C,2,FALSE)),"")</f>
        <v/>
      </c>
      <c r="BF134" t="str">
        <f>IFERROR(IF(VLOOKUP(Table1[[#This Row],[Teacher]],'Teachers Salaries'!A:C,3,FALSE)="","",VLOOKUP(Table1[[#This Row],[Teacher]],'Teachers Salaries'!A:C,3,FALSE)),"")</f>
        <v/>
      </c>
      <c r="BG134">
        <f ca="1">IFERROR(IF(Table1[[#This Row],[Pay Type]]="Fixed","-",Table1[[#This Row],[Final Group Frequency2]]*Table1[[#This Row],[Salary / Hourly Rate]]),0)</f>
        <v>0</v>
      </c>
      <c r="BH134">
        <f>IFERROR(IF(Table1[[#This Row],[Pay Type]]="Fixed","----",Table1[[#This Row],[Salary / Hourly Rate]]*Table1[[#This Row],[Final PrivateFrequency]]),0)</f>
        <v>0</v>
      </c>
      <c r="BI134">
        <f ca="1">IF(Table1[[#This Row],[Pay Type]]="Fixed","---",Table1[[#This Row],[Group Salary]]+Table1[[#This Row],[Private Salary]])</f>
        <v>0</v>
      </c>
      <c r="BJ134" t="str">
        <f>IF(OR(J134="Alex", J134=""),"", Table1[[#This Row],[For Amount]])</f>
        <v/>
      </c>
      <c r="BK134">
        <f ca="1">IFERROR(Table1[[#This Row],[Fee]]-Table1[[#This Row],[Total Salary]],"")</f>
        <v>0</v>
      </c>
      <c r="BL134" t="str">
        <f>IF(Table1[[#This Row],[Joining Date]]="","",IF(Table1[[#This Row],[Joining Date]]&lt;='KPI+Pivot'!$CP$1,Table1[[#This Row],[Fee]],""))</f>
        <v/>
      </c>
      <c r="BM13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4" t="str">
        <f>IF(Table1[[#This Row],[Joining Date]]="","",IF(Table1[[#This Row],[Joining Date]]&lt;='KPI+Pivot'!$CP$1,Table1[[#This Row],[Total Salary]],""))</f>
        <v/>
      </c>
      <c r="BO134" t="str">
        <f>IF(Table1[[#This Row],[Joining Date]]="","",IF(Table1[[#This Row],[Joining Date]]&lt;='KPI+Pivot'!$CP$1,Table1[[#This Row],[Frequency]],""))</f>
        <v/>
      </c>
      <c r="BP134" s="38" t="str">
        <f>IF(Table1[[#This Row],[Stop]]="","",(IF(Table1[[#This Row],[Joining Date]]="","",IF(Table1[[#This Row],[Joining Date]]&lt;='KPI+Pivot'!$CP$1,Table1[[#This Row],[Stop]],""))))</f>
        <v/>
      </c>
    </row>
    <row r="135" spans="1:68" ht="22.9" customHeight="1">
      <c r="B135" t="s">
        <v>66</v>
      </c>
      <c r="C135" t="s">
        <v>982</v>
      </c>
      <c r="D135" t="s">
        <v>983</v>
      </c>
      <c r="F135" t="s">
        <v>984</v>
      </c>
      <c r="G135" t="s">
        <v>985</v>
      </c>
      <c r="H135" t="s">
        <v>986</v>
      </c>
      <c r="I135" t="str">
        <f>IFERROR(HYPERLINK("#Finance!B" &amp; MATCH(A135, 'F 2025'!A:A, 0), "🔗 Go to finance"), "❌ ID introuvable")</f>
        <v>❌ ID introuvable</v>
      </c>
      <c r="L135" t="s">
        <v>661</v>
      </c>
      <c r="V135" t="s">
        <v>987</v>
      </c>
      <c r="Y135">
        <v>8052152973</v>
      </c>
      <c r="Z135" t="s">
        <v>75</v>
      </c>
      <c r="AB135" t="s">
        <v>988</v>
      </c>
      <c r="AD135" s="130"/>
      <c r="AE135"/>
      <c r="AG135" t="s">
        <v>76</v>
      </c>
      <c r="AI135" t="s">
        <v>988</v>
      </c>
      <c r="AK135" t="s">
        <v>182</v>
      </c>
      <c r="AM135" s="38"/>
      <c r="AO135" t="s">
        <v>985</v>
      </c>
      <c r="AR135" t="str">
        <f t="shared" si="8"/>
        <v/>
      </c>
      <c r="AS135" t="str">
        <f t="shared" si="9"/>
        <v/>
      </c>
      <c r="AT135" t="str">
        <f>IF(Table1[[#This Row],[Joining Date]]="", "", TEXT(Table1[[#This Row],[Joining Date]], "mmm"))</f>
        <v/>
      </c>
      <c r="AU135" t="str">
        <f>IF(Table1[[#This Row],[Joining Date]]="", "", YEAR(Table1[[#This Row],[Joining Date]]))</f>
        <v/>
      </c>
      <c r="AV135" t="str">
        <f>IF(Table1[[#This Row],[Group Name]]="","", M135 &amp; Table1[[#This Row],[Teacher]])</f>
        <v/>
      </c>
      <c r="AW135" t="str">
        <f>IF(Table1[[#This Row],[Helper]]="","",IF(_xlfn.MAXIFS(AT:AT,AW:AW,Table1[[#This Row],[Helper]])=Table1[[#This Row],[Clean Frequency]],_xlfn.MAXIFS(AT:AT,AW:AW,Table1[[#This Row],[Helper]]),""))</f>
        <v/>
      </c>
      <c r="AX135" t="str">
        <f ca="1">IF(AND(AW135=_xlfn.MAXIFS(AX:AX, AW:AW, AV135), COUNTIFS(AV$3:AV135, AV135, AW$3:AW135, AW135)=1), 1, "")</f>
        <v/>
      </c>
      <c r="AY135" t="str">
        <f>IF(Table1[[#This Row],[lesson type]]="private",Table1[[#This Row],[Clean Frequency]],"")</f>
        <v/>
      </c>
      <c r="AZ135" t="str">
        <f ca="1">IF(Table1[[#This Row],[First Occurrence]]=1,Table1[[#This Row],[Group Frequency]],"")</f>
        <v/>
      </c>
      <c r="BA135" t="str">
        <f ca="1">IF(B135="Y", IF(Table1[[#This Row],[Stop]]="", TODAY() - Table1[[#This Row],[Joining Date]], Table1[[#This Row],[Stop]] - Table1[[#This Row],[Joining Date]]), "")</f>
        <v/>
      </c>
      <c r="BB135" t="str">
        <f>_xlfn.CONCAT(Table1[[#This Row],[t]]," ",Table1[[#This Row],[Last Name]])</f>
        <v>Ren Ishikawa</v>
      </c>
      <c r="BC135" t="str">
        <f>IF(OR(Table1[[#This Row],[Teacher]]="Alex",Table1[[#This Row],[Teacher]]=""), "", Table1[[#This Row],[For Salary]])</f>
        <v/>
      </c>
      <c r="BD135" t="str">
        <f>IF(OR(Table1[[#This Row],[Teacher]]="Alex",Table1[[#This Row],[Teacher]]=""), "", Table1[[#This Row],[For Amount]])</f>
        <v/>
      </c>
      <c r="BE135" t="str">
        <f>IFERROR(IF(VLOOKUP(Table1[[#This Row],[Teacher]],'Teachers Salaries'!A:C,2,FALSE)="","",VLOOKUP(Table1[[#This Row],[Teacher]],'Teachers Salaries'!A:C,2,FALSE)),"")</f>
        <v/>
      </c>
      <c r="BF135" t="str">
        <f>IFERROR(IF(VLOOKUP(Table1[[#This Row],[Teacher]],'Teachers Salaries'!A:C,3,FALSE)="","",VLOOKUP(Table1[[#This Row],[Teacher]],'Teachers Salaries'!A:C,3,FALSE)),"")</f>
        <v/>
      </c>
      <c r="BG135">
        <f ca="1">IFERROR(IF(Table1[[#This Row],[Pay Type]]="Fixed","-",Table1[[#This Row],[Final Group Frequency2]]*Table1[[#This Row],[Salary / Hourly Rate]]),0)</f>
        <v>0</v>
      </c>
      <c r="BH135">
        <f>IFERROR(IF(Table1[[#This Row],[Pay Type]]="Fixed","----",Table1[[#This Row],[Salary / Hourly Rate]]*Table1[[#This Row],[Final PrivateFrequency]]),0)</f>
        <v>0</v>
      </c>
      <c r="BI135">
        <f ca="1">IF(Table1[[#This Row],[Pay Type]]="Fixed","---",Table1[[#This Row],[Group Salary]]+Table1[[#This Row],[Private Salary]])</f>
        <v>0</v>
      </c>
      <c r="BJ135" t="str">
        <f>IF(OR(J135="Alex", J135=""),"", Table1[[#This Row],[For Amount]])</f>
        <v/>
      </c>
      <c r="BK135">
        <f ca="1">IFERROR(Table1[[#This Row],[Fee]]-Table1[[#This Row],[Total Salary]],"")</f>
        <v>0</v>
      </c>
      <c r="BL135" t="str">
        <f>IF(Table1[[#This Row],[Joining Date]]="","",IF(Table1[[#This Row],[Joining Date]]&lt;='KPI+Pivot'!$CP$1,Table1[[#This Row],[Fee]],""))</f>
        <v/>
      </c>
      <c r="BM13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5" t="str">
        <f>IF(Table1[[#This Row],[Joining Date]]="","",IF(Table1[[#This Row],[Joining Date]]&lt;='KPI+Pivot'!$CP$1,Table1[[#This Row],[Total Salary]],""))</f>
        <v/>
      </c>
      <c r="BO135" t="str">
        <f>IF(Table1[[#This Row],[Joining Date]]="","",IF(Table1[[#This Row],[Joining Date]]&lt;='KPI+Pivot'!$CP$1,Table1[[#This Row],[Frequency]],""))</f>
        <v/>
      </c>
      <c r="BP135" s="38" t="str">
        <f>IF(Table1[[#This Row],[Stop]]="","",(IF(Table1[[#This Row],[Joining Date]]="","",IF(Table1[[#This Row],[Joining Date]]&lt;='KPI+Pivot'!$CP$1,Table1[[#This Row],[Stop]],""))))</f>
        <v/>
      </c>
    </row>
    <row r="136" spans="1:68" ht="18" customHeight="1">
      <c r="A136">
        <v>139</v>
      </c>
      <c r="B136" t="s">
        <v>103</v>
      </c>
      <c r="C136" t="s">
        <v>989</v>
      </c>
      <c r="D136" t="s">
        <v>990</v>
      </c>
      <c r="F136" t="s">
        <v>991</v>
      </c>
      <c r="G136" t="s">
        <v>992</v>
      </c>
      <c r="H136" t="s">
        <v>993</v>
      </c>
      <c r="I136" t="str">
        <f>IFERROR(HYPERLINK("#Finance!B" &amp; MATCH(A136, 'F 2025'!A:A, 0), "🔗 Go to finance"), "❌ ID introuvable")</f>
        <v>🔗 Go to finance</v>
      </c>
      <c r="J136" t="s">
        <v>109</v>
      </c>
      <c r="K136" t="s">
        <v>110</v>
      </c>
      <c r="L136" t="s">
        <v>111</v>
      </c>
      <c r="O136">
        <v>13200</v>
      </c>
      <c r="T136" s="130">
        <v>45474</v>
      </c>
      <c r="V136" t="s">
        <v>994</v>
      </c>
      <c r="W136" t="s">
        <v>994</v>
      </c>
      <c r="Y136">
        <v>9087655862</v>
      </c>
      <c r="Z136" t="s">
        <v>75</v>
      </c>
      <c r="AB136" t="s">
        <v>995</v>
      </c>
      <c r="AD136" s="130">
        <v>45474</v>
      </c>
      <c r="AE136"/>
      <c r="AG136" t="s">
        <v>76</v>
      </c>
      <c r="AI136" t="s">
        <v>995</v>
      </c>
      <c r="AK136" t="s">
        <v>362</v>
      </c>
      <c r="AM136" s="38"/>
      <c r="AO136" t="s">
        <v>992</v>
      </c>
      <c r="AR136" t="str">
        <f t="shared" si="8"/>
        <v>private</v>
      </c>
      <c r="AS136">
        <f t="shared" si="9"/>
        <v>4</v>
      </c>
      <c r="AT136" t="str">
        <f>IF(Table1[[#This Row],[Joining Date]]="", "", TEXT(Table1[[#This Row],[Joining Date]], "mmm"))</f>
        <v>Jul</v>
      </c>
      <c r="AU136">
        <f>IF(Table1[[#This Row],[Joining Date]]="", "", YEAR(Table1[[#This Row],[Joining Date]]))</f>
        <v>2024</v>
      </c>
      <c r="AV136" t="str">
        <f>IF(Table1[[#This Row],[Group Name]]="","", M136 &amp; Table1[[#This Row],[Teacher]])</f>
        <v/>
      </c>
      <c r="AW136" t="str">
        <f>IF(Table1[[#This Row],[Helper]]="","",IF(_xlfn.MAXIFS(AT:AT,AW:AW,Table1[[#This Row],[Helper]])=Table1[[#This Row],[Clean Frequency]],_xlfn.MAXIFS(AT:AT,AW:AW,Table1[[#This Row],[Helper]]),""))</f>
        <v/>
      </c>
      <c r="AX136" t="str">
        <f ca="1">IF(AND(AW136=_xlfn.MAXIFS(AX:AX, AW:AW, AV136), COUNTIFS(AV$3:AV136, AV136, AW$3:AW136, AW136)=1), 1, "")</f>
        <v/>
      </c>
      <c r="AY136">
        <f>IF(Table1[[#This Row],[lesson type]]="private",Table1[[#This Row],[Clean Frequency]],"")</f>
        <v>4</v>
      </c>
      <c r="AZ136" t="str">
        <f ca="1">IF(Table1[[#This Row],[First Occurrence]]=1,Table1[[#This Row],[Group Frequency]],"")</f>
        <v/>
      </c>
      <c r="BA136">
        <f ca="1">IF(B136="Y", IF(Table1[[#This Row],[Stop]]="", TODAY() - Table1[[#This Row],[Joining Date]], Table1[[#This Row],[Stop]] - Table1[[#This Row],[Joining Date]]), "")</f>
        <v>703</v>
      </c>
      <c r="BB136" t="str">
        <f>_xlfn.CONCAT(Table1[[#This Row],[t]]," ",Table1[[#This Row],[Last Name]])</f>
        <v>Rika Yano</v>
      </c>
      <c r="BC136" t="str">
        <f>IF(OR(Table1[[#This Row],[Teacher]]="Alex",Table1[[#This Row],[Teacher]]=""), "", Table1[[#This Row],[For Salary]])</f>
        <v/>
      </c>
      <c r="BD136" t="str">
        <f>IF(OR(Table1[[#This Row],[Teacher]]="Alex",Table1[[#This Row],[Teacher]]=""), "", Table1[[#This Row],[For Amount]])</f>
        <v/>
      </c>
      <c r="BE136" t="str">
        <f>IFERROR(IF(VLOOKUP(Table1[[#This Row],[Teacher]],'Teachers Salaries'!A:C,2,FALSE)="","",VLOOKUP(Table1[[#This Row],[Teacher]],'Teachers Salaries'!A:C,2,FALSE)),"")</f>
        <v>Fixed</v>
      </c>
      <c r="BF136">
        <f>IFERROR(IF(VLOOKUP(Table1[[#This Row],[Teacher]],'Teachers Salaries'!A:C,3,FALSE)="","",VLOOKUP(Table1[[#This Row],[Teacher]],'Teachers Salaries'!A:C,3,FALSE)),"")</f>
        <v>210000</v>
      </c>
      <c r="BG136" t="str">
        <f>IFERROR(IF(Table1[[#This Row],[Pay Type]]="Fixed","-",Table1[[#This Row],[Final Group Frequency2]]*Table1[[#This Row],[Salary / Hourly Rate]]),0)</f>
        <v>-</v>
      </c>
      <c r="BH136" t="str">
        <f>IFERROR(IF(Table1[[#This Row],[Pay Type]]="Fixed","----",Table1[[#This Row],[Salary / Hourly Rate]]*Table1[[#This Row],[Final PrivateFrequency]]),0)</f>
        <v>----</v>
      </c>
      <c r="BI136" t="str">
        <f>IF(Table1[[#This Row],[Pay Type]]="Fixed","---",Table1[[#This Row],[Group Salary]]+Table1[[#This Row],[Private Salary]])</f>
        <v>---</v>
      </c>
      <c r="BJ136" t="str">
        <f>IF(OR(J136="Alex", J136=""),"", Table1[[#This Row],[For Amount]])</f>
        <v/>
      </c>
      <c r="BK136" t="str">
        <f>IFERROR(Table1[[#This Row],[Fee]]-Table1[[#This Row],[Total Salary]],"")</f>
        <v/>
      </c>
      <c r="BL136" t="e">
        <f>IF(Table1[[#This Row],[Joining Date]]="","",IF(Table1[[#This Row],[Joining Date]]&lt;='KPI+Pivot'!$CP$1,Table1[[#This Row],[Fee]],""))</f>
        <v>#N/A</v>
      </c>
      <c r="BM13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36" t="e">
        <f>IF(Table1[[#This Row],[Joining Date]]="","",IF(Table1[[#This Row],[Joining Date]]&lt;='KPI+Pivot'!$CP$1,Table1[[#This Row],[Total Salary]],""))</f>
        <v>#N/A</v>
      </c>
      <c r="BO136" t="e">
        <f>IF(Table1[[#This Row],[Joining Date]]="","",IF(Table1[[#This Row],[Joining Date]]&lt;='KPI+Pivot'!$CP$1,Table1[[#This Row],[Frequency]],""))</f>
        <v>#N/A</v>
      </c>
      <c r="BP136" s="38" t="str">
        <f>IF(Table1[[#This Row],[Stop]]="","",(IF(Table1[[#This Row],[Joining Date]]="","",IF(Table1[[#This Row],[Joining Date]]&lt;='KPI+Pivot'!$CP$1,Table1[[#This Row],[Stop]],""))))</f>
        <v/>
      </c>
    </row>
    <row r="137" spans="1:68" ht="22.9" customHeight="1">
      <c r="B137" t="s">
        <v>66</v>
      </c>
      <c r="C137" t="s">
        <v>996</v>
      </c>
      <c r="D137" t="s">
        <v>997</v>
      </c>
      <c r="F137" t="s">
        <v>998</v>
      </c>
      <c r="G137" t="s">
        <v>999</v>
      </c>
      <c r="H137" t="s">
        <v>1000</v>
      </c>
      <c r="I137" t="str">
        <f>IFERROR(HYPERLINK("#Finance!B" &amp; MATCH(A137, 'F 2025'!A:A, 0), "🔗 Go to finance"), "❌ ID introuvable")</f>
        <v>❌ ID introuvable</v>
      </c>
      <c r="V137" t="s">
        <v>1001</v>
      </c>
      <c r="W137" t="s">
        <v>1001</v>
      </c>
      <c r="Y137">
        <v>9059302430</v>
      </c>
      <c r="Z137" t="s">
        <v>75</v>
      </c>
      <c r="AB137" t="s">
        <v>1002</v>
      </c>
      <c r="AD137" s="130"/>
      <c r="AE137"/>
      <c r="AG137" t="s">
        <v>76</v>
      </c>
      <c r="AI137" t="s">
        <v>1002</v>
      </c>
      <c r="AK137" t="s">
        <v>362</v>
      </c>
      <c r="AM137" s="38"/>
      <c r="AO137" t="s">
        <v>999</v>
      </c>
      <c r="AR137" t="str">
        <f t="shared" si="8"/>
        <v/>
      </c>
      <c r="AS137" t="str">
        <f t="shared" si="9"/>
        <v/>
      </c>
      <c r="AT137" t="str">
        <f>IF(Table1[[#This Row],[Joining Date]]="", "", TEXT(Table1[[#This Row],[Joining Date]], "mmm"))</f>
        <v/>
      </c>
      <c r="AU137" t="str">
        <f>IF(Table1[[#This Row],[Joining Date]]="", "", YEAR(Table1[[#This Row],[Joining Date]]))</f>
        <v/>
      </c>
      <c r="AV137" t="str">
        <f>IF(Table1[[#This Row],[Group Name]]="","", M137 &amp; Table1[[#This Row],[Teacher]])</f>
        <v/>
      </c>
      <c r="AW137" t="str">
        <f>IF(Table1[[#This Row],[Helper]]="","",IF(_xlfn.MAXIFS(AT:AT,AW:AW,Table1[[#This Row],[Helper]])=Table1[[#This Row],[Clean Frequency]],_xlfn.MAXIFS(AT:AT,AW:AW,Table1[[#This Row],[Helper]]),""))</f>
        <v/>
      </c>
      <c r="AX137" t="str">
        <f ca="1">IF(AND(AW137=_xlfn.MAXIFS(AX:AX, AW:AW, AV137), COUNTIFS(AV$3:AV137, AV137, AW$3:AW137, AW137)=1), 1, "")</f>
        <v/>
      </c>
      <c r="AY137" t="str">
        <f>IF(Table1[[#This Row],[lesson type]]="private",Table1[[#This Row],[Clean Frequency]],"")</f>
        <v/>
      </c>
      <c r="AZ137" t="str">
        <f ca="1">IF(Table1[[#This Row],[First Occurrence]]=1,Table1[[#This Row],[Group Frequency]],"")</f>
        <v/>
      </c>
      <c r="BA137" t="str">
        <f ca="1">IF(B137="Y", IF(Table1[[#This Row],[Stop]]="", TODAY() - Table1[[#This Row],[Joining Date]], Table1[[#This Row],[Stop]] - Table1[[#This Row],[Joining Date]]), "")</f>
        <v/>
      </c>
      <c r="BB137" t="str">
        <f>_xlfn.CONCAT(Table1[[#This Row],[t]]," ",Table1[[#This Row],[Last Name]])</f>
        <v>Rikutaro Tsutsumi</v>
      </c>
      <c r="BC137" t="str">
        <f>IF(OR(Table1[[#This Row],[Teacher]]="Alex",Table1[[#This Row],[Teacher]]=""), "", Table1[[#This Row],[For Salary]])</f>
        <v/>
      </c>
      <c r="BD137" t="str">
        <f>IF(OR(Table1[[#This Row],[Teacher]]="Alex",Table1[[#This Row],[Teacher]]=""), "", Table1[[#This Row],[For Amount]])</f>
        <v/>
      </c>
      <c r="BE137" t="str">
        <f>IFERROR(IF(VLOOKUP(Table1[[#This Row],[Teacher]],'Teachers Salaries'!A:C,2,FALSE)="","",VLOOKUP(Table1[[#This Row],[Teacher]],'Teachers Salaries'!A:C,2,FALSE)),"")</f>
        <v/>
      </c>
      <c r="BF137" t="str">
        <f>IFERROR(IF(VLOOKUP(Table1[[#This Row],[Teacher]],'Teachers Salaries'!A:C,3,FALSE)="","",VLOOKUP(Table1[[#This Row],[Teacher]],'Teachers Salaries'!A:C,3,FALSE)),"")</f>
        <v/>
      </c>
      <c r="BG137">
        <f ca="1">IFERROR(IF(Table1[[#This Row],[Pay Type]]="Fixed","-",Table1[[#This Row],[Final Group Frequency2]]*Table1[[#This Row],[Salary / Hourly Rate]]),0)</f>
        <v>0</v>
      </c>
      <c r="BH137">
        <f>IFERROR(IF(Table1[[#This Row],[Pay Type]]="Fixed","----",Table1[[#This Row],[Salary / Hourly Rate]]*Table1[[#This Row],[Final PrivateFrequency]]),0)</f>
        <v>0</v>
      </c>
      <c r="BI137">
        <f ca="1">IF(Table1[[#This Row],[Pay Type]]="Fixed","---",Table1[[#This Row],[Group Salary]]+Table1[[#This Row],[Private Salary]])</f>
        <v>0</v>
      </c>
      <c r="BJ137" t="str">
        <f>IF(OR(J137="Alex", J137=""),"", Table1[[#This Row],[For Amount]])</f>
        <v/>
      </c>
      <c r="BK137">
        <f ca="1">IFERROR(Table1[[#This Row],[Fee]]-Table1[[#This Row],[Total Salary]],"")</f>
        <v>0</v>
      </c>
      <c r="BL137" t="str">
        <f>IF(Table1[[#This Row],[Joining Date]]="","",IF(Table1[[#This Row],[Joining Date]]&lt;='KPI+Pivot'!$CP$1,Table1[[#This Row],[Fee]],""))</f>
        <v/>
      </c>
      <c r="BM13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7" t="str">
        <f>IF(Table1[[#This Row],[Joining Date]]="","",IF(Table1[[#This Row],[Joining Date]]&lt;='KPI+Pivot'!$CP$1,Table1[[#This Row],[Total Salary]],""))</f>
        <v/>
      </c>
      <c r="BO137" t="str">
        <f>IF(Table1[[#This Row],[Joining Date]]="","",IF(Table1[[#This Row],[Joining Date]]&lt;='KPI+Pivot'!$CP$1,Table1[[#This Row],[Frequency]],""))</f>
        <v/>
      </c>
      <c r="BP137" s="38" t="str">
        <f>IF(Table1[[#This Row],[Stop]]="","",(IF(Table1[[#This Row],[Joining Date]]="","",IF(Table1[[#This Row],[Joining Date]]&lt;='KPI+Pivot'!$CP$1,Table1[[#This Row],[Stop]],""))))</f>
        <v/>
      </c>
    </row>
    <row r="138" spans="1:68" ht="22.9" customHeight="1">
      <c r="B138" t="s">
        <v>66</v>
      </c>
      <c r="C138" t="s">
        <v>1003</v>
      </c>
      <c r="D138" t="s">
        <v>1004</v>
      </c>
      <c r="F138" t="s">
        <v>1005</v>
      </c>
      <c r="G138" t="s">
        <v>1006</v>
      </c>
      <c r="H138" t="s">
        <v>1007</v>
      </c>
      <c r="I138" t="str">
        <f>IFERROR(HYPERLINK("#Finance!B" &amp; MATCH(A138, 'F 2025'!A:A, 0), "🔗 Go to finance"), "❌ ID introuvable")</f>
        <v>❌ ID introuvable</v>
      </c>
      <c r="V138" t="s">
        <v>1008</v>
      </c>
      <c r="Y138">
        <v>8085631952</v>
      </c>
      <c r="Z138" t="s">
        <v>75</v>
      </c>
      <c r="AB138" t="s">
        <v>1009</v>
      </c>
      <c r="AD138" s="130">
        <v>45111</v>
      </c>
      <c r="AE138"/>
      <c r="AG138" t="s">
        <v>76</v>
      </c>
      <c r="AI138" t="s">
        <v>1009</v>
      </c>
      <c r="AK138" t="s">
        <v>84</v>
      </c>
      <c r="AM138" s="38"/>
      <c r="AO138" t="s">
        <v>1006</v>
      </c>
      <c r="AR138" t="str">
        <f t="shared" si="8"/>
        <v/>
      </c>
      <c r="AS138" t="str">
        <f t="shared" si="9"/>
        <v/>
      </c>
      <c r="AT138" t="str">
        <f>IF(Table1[[#This Row],[Joining Date]]="", "", TEXT(Table1[[#This Row],[Joining Date]], "mmm"))</f>
        <v>Jul</v>
      </c>
      <c r="AU138">
        <f>IF(Table1[[#This Row],[Joining Date]]="", "", YEAR(Table1[[#This Row],[Joining Date]]))</f>
        <v>2023</v>
      </c>
      <c r="AV138" t="str">
        <f>IF(Table1[[#This Row],[Group Name]]="","", M138 &amp; Table1[[#This Row],[Teacher]])</f>
        <v/>
      </c>
      <c r="AW138" t="str">
        <f>IF(Table1[[#This Row],[Helper]]="","",IF(_xlfn.MAXIFS(AT:AT,AW:AW,Table1[[#This Row],[Helper]])=Table1[[#This Row],[Clean Frequency]],_xlfn.MAXIFS(AT:AT,AW:AW,Table1[[#This Row],[Helper]]),""))</f>
        <v/>
      </c>
      <c r="AX138" t="str">
        <f ca="1">IF(AND(AW138=_xlfn.MAXIFS(AX:AX, AW:AW, AV138), COUNTIFS(AV$3:AV138, AV138, AW$3:AW138, AW138)=1), 1, "")</f>
        <v/>
      </c>
      <c r="AY138" t="str">
        <f>IF(Table1[[#This Row],[lesson type]]="private",Table1[[#This Row],[Clean Frequency]],"")</f>
        <v/>
      </c>
      <c r="AZ138" t="str">
        <f ca="1">IF(Table1[[#This Row],[First Occurrence]]=1,Table1[[#This Row],[Group Frequency]],"")</f>
        <v/>
      </c>
      <c r="BA138" t="str">
        <f ca="1">IF(B138="Y", IF(Table1[[#This Row],[Stop]]="", TODAY() - Table1[[#This Row],[Joining Date]], Table1[[#This Row],[Stop]] - Table1[[#This Row],[Joining Date]]), "")</f>
        <v/>
      </c>
      <c r="BB138" t="str">
        <f>_xlfn.CONCAT(Table1[[#This Row],[t]]," ",Table1[[#This Row],[Last Name]])</f>
        <v>Risa Shigetome</v>
      </c>
      <c r="BC138" t="str">
        <f>IF(OR(Table1[[#This Row],[Teacher]]="Alex",Table1[[#This Row],[Teacher]]=""), "", Table1[[#This Row],[For Salary]])</f>
        <v/>
      </c>
      <c r="BD138" t="str">
        <f>IF(OR(Table1[[#This Row],[Teacher]]="Alex",Table1[[#This Row],[Teacher]]=""), "", Table1[[#This Row],[For Amount]])</f>
        <v/>
      </c>
      <c r="BE138" t="str">
        <f>IFERROR(IF(VLOOKUP(Table1[[#This Row],[Teacher]],'Teachers Salaries'!A:C,2,FALSE)="","",VLOOKUP(Table1[[#This Row],[Teacher]],'Teachers Salaries'!A:C,2,FALSE)),"")</f>
        <v/>
      </c>
      <c r="BF138" t="str">
        <f>IFERROR(IF(VLOOKUP(Table1[[#This Row],[Teacher]],'Teachers Salaries'!A:C,3,FALSE)="","",VLOOKUP(Table1[[#This Row],[Teacher]],'Teachers Salaries'!A:C,3,FALSE)),"")</f>
        <v/>
      </c>
      <c r="BG138">
        <f ca="1">IFERROR(IF(Table1[[#This Row],[Pay Type]]="Fixed","-",Table1[[#This Row],[Final Group Frequency2]]*Table1[[#This Row],[Salary / Hourly Rate]]),0)</f>
        <v>0</v>
      </c>
      <c r="BH138">
        <f>IFERROR(IF(Table1[[#This Row],[Pay Type]]="Fixed","----",Table1[[#This Row],[Salary / Hourly Rate]]*Table1[[#This Row],[Final PrivateFrequency]]),0)</f>
        <v>0</v>
      </c>
      <c r="BI138">
        <f ca="1">IF(Table1[[#This Row],[Pay Type]]="Fixed","---",Table1[[#This Row],[Group Salary]]+Table1[[#This Row],[Private Salary]])</f>
        <v>0</v>
      </c>
      <c r="BJ138" t="str">
        <f>IF(OR(J138="Alex", J138=""),"", Table1[[#This Row],[For Amount]])</f>
        <v/>
      </c>
      <c r="BK138">
        <f ca="1">IFERROR(Table1[[#This Row],[Fee]]-Table1[[#This Row],[Total Salary]],"")</f>
        <v>0</v>
      </c>
      <c r="BL138" t="e">
        <f>IF(Table1[[#This Row],[Joining Date]]="","",IF(Table1[[#This Row],[Joining Date]]&lt;='KPI+Pivot'!$CP$1,Table1[[#This Row],[Fee]],""))</f>
        <v>#N/A</v>
      </c>
      <c r="BM13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38" t="e">
        <f>IF(Table1[[#This Row],[Joining Date]]="","",IF(Table1[[#This Row],[Joining Date]]&lt;='KPI+Pivot'!$CP$1,Table1[[#This Row],[Total Salary]],""))</f>
        <v>#N/A</v>
      </c>
      <c r="BO138" t="e">
        <f>IF(Table1[[#This Row],[Joining Date]]="","",IF(Table1[[#This Row],[Joining Date]]&lt;='KPI+Pivot'!$CP$1,Table1[[#This Row],[Frequency]],""))</f>
        <v>#N/A</v>
      </c>
      <c r="BP138" s="38" t="str">
        <f>IF(Table1[[#This Row],[Stop]]="","",(IF(Table1[[#This Row],[Joining Date]]="","",IF(Table1[[#This Row],[Joining Date]]&lt;='KPI+Pivot'!$CP$1,Table1[[#This Row],[Stop]],""))))</f>
        <v/>
      </c>
    </row>
    <row r="139" spans="1:68" ht="18" customHeight="1">
      <c r="B139" t="s">
        <v>66</v>
      </c>
      <c r="C139" t="s">
        <v>1003</v>
      </c>
      <c r="D139" t="s">
        <v>1010</v>
      </c>
      <c r="F139" t="s">
        <v>1011</v>
      </c>
      <c r="G139" t="s">
        <v>1012</v>
      </c>
      <c r="H139" t="s">
        <v>1013</v>
      </c>
      <c r="I139" t="str">
        <f>IFERROR(HYPERLINK("#Finance!B" &amp; MATCH(A139, 'F 2025'!A:A, 0), "🔗 Go to finance"), "❌ ID introuvable")</f>
        <v>❌ ID introuvable</v>
      </c>
      <c r="J139" t="s">
        <v>494</v>
      </c>
      <c r="K139" t="s">
        <v>110</v>
      </c>
      <c r="L139" t="s">
        <v>197</v>
      </c>
      <c r="N139">
        <v>4</v>
      </c>
      <c r="O139">
        <v>15600</v>
      </c>
      <c r="T139" s="130">
        <v>45535</v>
      </c>
      <c r="U139" s="38">
        <v>45808</v>
      </c>
      <c r="V139" t="s">
        <v>1014</v>
      </c>
      <c r="W139" t="s">
        <v>1014</v>
      </c>
      <c r="Y139">
        <v>9059387819</v>
      </c>
      <c r="Z139" t="s">
        <v>75</v>
      </c>
      <c r="AB139" t="s">
        <v>1015</v>
      </c>
      <c r="AD139" s="130">
        <v>45535</v>
      </c>
      <c r="AE139"/>
      <c r="AG139" t="s">
        <v>76</v>
      </c>
      <c r="AI139" t="s">
        <v>1015</v>
      </c>
      <c r="AK139" t="s">
        <v>845</v>
      </c>
      <c r="AM139" s="38">
        <v>45808</v>
      </c>
      <c r="AO139" t="s">
        <v>1012</v>
      </c>
      <c r="AR139" t="str">
        <f t="shared" si="8"/>
        <v>private</v>
      </c>
      <c r="AS139">
        <f t="shared" si="9"/>
        <v>4</v>
      </c>
      <c r="AT139" t="str">
        <f>IF(Table1[[#This Row],[Joining Date]]="", "", TEXT(Table1[[#This Row],[Joining Date]], "mmm"))</f>
        <v>Aug</v>
      </c>
      <c r="AU139">
        <f>IF(Table1[[#This Row],[Joining Date]]="", "", YEAR(Table1[[#This Row],[Joining Date]]))</f>
        <v>2024</v>
      </c>
      <c r="AV139" t="str">
        <f>IF(Table1[[#This Row],[Group Name]]="","", M139 &amp; Table1[[#This Row],[Teacher]])</f>
        <v/>
      </c>
      <c r="AW139" t="str">
        <f>IF(Table1[[#This Row],[Helper]]="","",IF(_xlfn.MAXIFS(AT:AT,AW:AW,Table1[[#This Row],[Helper]])=Table1[[#This Row],[Clean Frequency]],_xlfn.MAXIFS(AT:AT,AW:AW,Table1[[#This Row],[Helper]]),""))</f>
        <v/>
      </c>
      <c r="AX139" t="str">
        <f ca="1">IF(AND(AW139=_xlfn.MAXIFS(AX:AX, AW:AW, AV139), COUNTIFS(AV$3:AV139, AV139, AW$3:AW139, AW139)=1), 1, "")</f>
        <v/>
      </c>
      <c r="AY139">
        <f>IF(Table1[[#This Row],[lesson type]]="private",Table1[[#This Row],[Clean Frequency]],"")</f>
        <v>4</v>
      </c>
      <c r="AZ139" t="str">
        <f ca="1">IF(Table1[[#This Row],[First Occurrence]]=1,Table1[[#This Row],[Group Frequency]],"")</f>
        <v/>
      </c>
      <c r="BA139" t="str">
        <f ca="1">IF(B139="Y", IF(Table1[[#This Row],[Stop]]="", TODAY() - Table1[[#This Row],[Joining Date]], Table1[[#This Row],[Stop]] - Table1[[#This Row],[Joining Date]]), "")</f>
        <v/>
      </c>
      <c r="BB139" t="str">
        <f>_xlfn.CONCAT(Table1[[#This Row],[t]]," ",Table1[[#This Row],[Last Name]])</f>
        <v>Risa Hayashida</v>
      </c>
      <c r="BC139" t="e">
        <f>IF(OR(Table1[[#This Row],[Teacher]]="Alex",Table1[[#This Row],[Teacher]]=""), "", Table1[[#This Row],[For Salary]])</f>
        <v>#N/A</v>
      </c>
      <c r="BD139" t="e">
        <f>IF(OR(Table1[[#This Row],[Teacher]]="Alex",Table1[[#This Row],[Teacher]]=""), "", Table1[[#This Row],[For Amount]])</f>
        <v>#N/A</v>
      </c>
      <c r="BE139" t="str">
        <f>IFERROR(IF(VLOOKUP(Table1[[#This Row],[Teacher]],'Teachers Salaries'!A:C,2,FALSE)="","",VLOOKUP(Table1[[#This Row],[Teacher]],'Teachers Salaries'!A:C,2,FALSE)),"")</f>
        <v>Hourly</v>
      </c>
      <c r="BF139">
        <f>IFERROR(IF(VLOOKUP(Table1[[#This Row],[Teacher]],'Teachers Salaries'!A:C,3,FALSE)="","",VLOOKUP(Table1[[#This Row],[Teacher]],'Teachers Salaries'!A:C,3,FALSE)),"")</f>
        <v>3000</v>
      </c>
      <c r="BG139">
        <f ca="1">IFERROR(IF(Table1[[#This Row],[Pay Type]]="Fixed","-",Table1[[#This Row],[Final Group Frequency2]]*Table1[[#This Row],[Salary / Hourly Rate]]),0)</f>
        <v>0</v>
      </c>
      <c r="BH139">
        <f>IFERROR(IF(Table1[[#This Row],[Pay Type]]="Fixed","----",Table1[[#This Row],[Salary / Hourly Rate]]*Table1[[#This Row],[Final PrivateFrequency]]),0)</f>
        <v>12000</v>
      </c>
      <c r="BI139">
        <f ca="1">IF(Table1[[#This Row],[Pay Type]]="Fixed","---",Table1[[#This Row],[Group Salary]]+Table1[[#This Row],[Private Salary]])</f>
        <v>12000</v>
      </c>
      <c r="BJ139" t="e">
        <f>IF(OR(J139="Alex", J139=""),"", Table1[[#This Row],[For Amount]])</f>
        <v>#N/A</v>
      </c>
      <c r="BK139">
        <f ca="1">IFERROR(Table1[[#This Row],[Fee]]-Table1[[#This Row],[Total Salary]],"")</f>
        <v>3600</v>
      </c>
      <c r="BL139" t="e">
        <f>IF(Table1[[#This Row],[Joining Date]]="","",IF(Table1[[#This Row],[Joining Date]]&lt;='KPI+Pivot'!$CP$1,Table1[[#This Row],[Fee]],""))</f>
        <v>#N/A</v>
      </c>
      <c r="BM13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39" t="e">
        <f>IF(Table1[[#This Row],[Joining Date]]="","",IF(Table1[[#This Row],[Joining Date]]&lt;='KPI+Pivot'!$CP$1,Table1[[#This Row],[Total Salary]],""))</f>
        <v>#N/A</v>
      </c>
      <c r="BO139" t="e">
        <f>IF(Table1[[#This Row],[Joining Date]]="","",IF(Table1[[#This Row],[Joining Date]]&lt;='KPI+Pivot'!$CP$1,Table1[[#This Row],[Frequency]],""))</f>
        <v>#N/A</v>
      </c>
      <c r="BP139" s="38" t="e">
        <f>IF(Table1[[#This Row],[Stop]]="","",(IF(Table1[[#This Row],[Joining Date]]="","",IF(Table1[[#This Row],[Joining Date]]&lt;='KPI+Pivot'!$CP$1,Table1[[#This Row],[Stop]],""))))</f>
        <v>#N/A</v>
      </c>
    </row>
    <row r="140" spans="1:68" ht="22.9" customHeight="1">
      <c r="B140" t="s">
        <v>66</v>
      </c>
      <c r="C140" t="s">
        <v>1016</v>
      </c>
      <c r="D140" t="s">
        <v>1017</v>
      </c>
      <c r="F140" t="s">
        <v>1018</v>
      </c>
      <c r="G140" t="s">
        <v>1019</v>
      </c>
      <c r="H140" t="s">
        <v>1020</v>
      </c>
      <c r="I140" t="str">
        <f>IFERROR(HYPERLINK("#Finance!B" &amp; MATCH(A140, 'F 2025'!A:A, 0), "🔗 Go to finance"), "❌ ID introuvable")</f>
        <v>❌ ID introuvable</v>
      </c>
      <c r="V140" t="s">
        <v>1021</v>
      </c>
      <c r="Z140" t="s">
        <v>75</v>
      </c>
      <c r="AB140" t="s">
        <v>1022</v>
      </c>
      <c r="AD140" s="130"/>
      <c r="AE140"/>
      <c r="AG140" t="s">
        <v>76</v>
      </c>
      <c r="AI140" t="s">
        <v>1022</v>
      </c>
      <c r="AK140" t="s">
        <v>102</v>
      </c>
      <c r="AM140" s="38"/>
      <c r="AO140" t="s">
        <v>1019</v>
      </c>
      <c r="AR140" t="str">
        <f t="shared" si="8"/>
        <v/>
      </c>
      <c r="AS140" t="str">
        <f t="shared" si="9"/>
        <v/>
      </c>
      <c r="AT140" t="str">
        <f>IF(Table1[[#This Row],[Joining Date]]="", "", TEXT(Table1[[#This Row],[Joining Date]], "mmm"))</f>
        <v/>
      </c>
      <c r="AU140" t="str">
        <f>IF(Table1[[#This Row],[Joining Date]]="", "", YEAR(Table1[[#This Row],[Joining Date]]))</f>
        <v/>
      </c>
      <c r="AV140" t="str">
        <f>IF(Table1[[#This Row],[Group Name]]="","", M140 &amp; Table1[[#This Row],[Teacher]])</f>
        <v/>
      </c>
      <c r="AW140" t="str">
        <f>IF(Table1[[#This Row],[Helper]]="","",IF(_xlfn.MAXIFS(AT:AT,AW:AW,Table1[[#This Row],[Helper]])=Table1[[#This Row],[Clean Frequency]],_xlfn.MAXIFS(AT:AT,AW:AW,Table1[[#This Row],[Helper]]),""))</f>
        <v/>
      </c>
      <c r="AX140" t="str">
        <f ca="1">IF(AND(AW140=_xlfn.MAXIFS(AX:AX, AW:AW, AV140), COUNTIFS(AV$3:AV140, AV140, AW$3:AW140, AW140)=1), 1, "")</f>
        <v/>
      </c>
      <c r="AY140" t="str">
        <f>IF(Table1[[#This Row],[lesson type]]="private",Table1[[#This Row],[Clean Frequency]],"")</f>
        <v/>
      </c>
      <c r="AZ140" t="str">
        <f ca="1">IF(Table1[[#This Row],[First Occurrence]]=1,Table1[[#This Row],[Group Frequency]],"")</f>
        <v/>
      </c>
      <c r="BA140" t="str">
        <f ca="1">IF(B140="Y", IF(Table1[[#This Row],[Stop]]="", TODAY() - Table1[[#This Row],[Joining Date]], Table1[[#This Row],[Stop]] - Table1[[#This Row],[Joining Date]]), "")</f>
        <v/>
      </c>
      <c r="BB140" t="str">
        <f>_xlfn.CONCAT(Table1[[#This Row],[t]]," ",Table1[[#This Row],[Last Name]])</f>
        <v>Riya Motomatsu</v>
      </c>
      <c r="BC140" t="str">
        <f>IF(OR(Table1[[#This Row],[Teacher]]="Alex",Table1[[#This Row],[Teacher]]=""), "", Table1[[#This Row],[For Salary]])</f>
        <v/>
      </c>
      <c r="BD140" t="str">
        <f>IF(OR(Table1[[#This Row],[Teacher]]="Alex",Table1[[#This Row],[Teacher]]=""), "", Table1[[#This Row],[For Amount]])</f>
        <v/>
      </c>
      <c r="BE140" t="str">
        <f>IFERROR(IF(VLOOKUP(Table1[[#This Row],[Teacher]],'Teachers Salaries'!A:C,2,FALSE)="","",VLOOKUP(Table1[[#This Row],[Teacher]],'Teachers Salaries'!A:C,2,FALSE)),"")</f>
        <v/>
      </c>
      <c r="BF140" t="str">
        <f>IFERROR(IF(VLOOKUP(Table1[[#This Row],[Teacher]],'Teachers Salaries'!A:C,3,FALSE)="","",VLOOKUP(Table1[[#This Row],[Teacher]],'Teachers Salaries'!A:C,3,FALSE)),"")</f>
        <v/>
      </c>
      <c r="BG140">
        <f ca="1">IFERROR(IF(Table1[[#This Row],[Pay Type]]="Fixed","-",Table1[[#This Row],[Final Group Frequency2]]*Table1[[#This Row],[Salary / Hourly Rate]]),0)</f>
        <v>0</v>
      </c>
      <c r="BH140">
        <f>IFERROR(IF(Table1[[#This Row],[Pay Type]]="Fixed","----",Table1[[#This Row],[Salary / Hourly Rate]]*Table1[[#This Row],[Final PrivateFrequency]]),0)</f>
        <v>0</v>
      </c>
      <c r="BI140">
        <f ca="1">IF(Table1[[#This Row],[Pay Type]]="Fixed","---",Table1[[#This Row],[Group Salary]]+Table1[[#This Row],[Private Salary]])</f>
        <v>0</v>
      </c>
      <c r="BJ140" t="str">
        <f>IF(OR(J140="Alex", J140=""),"", Table1[[#This Row],[For Amount]])</f>
        <v/>
      </c>
      <c r="BK140">
        <f ca="1">IFERROR(Table1[[#This Row],[Fee]]-Table1[[#This Row],[Total Salary]],"")</f>
        <v>0</v>
      </c>
      <c r="BL140" t="str">
        <f>IF(Table1[[#This Row],[Joining Date]]="","",IF(Table1[[#This Row],[Joining Date]]&lt;='KPI+Pivot'!$CP$1,Table1[[#This Row],[Fee]],""))</f>
        <v/>
      </c>
      <c r="BM14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0" t="str">
        <f>IF(Table1[[#This Row],[Joining Date]]="","",IF(Table1[[#This Row],[Joining Date]]&lt;='KPI+Pivot'!$CP$1,Table1[[#This Row],[Total Salary]],""))</f>
        <v/>
      </c>
      <c r="BO140" t="str">
        <f>IF(Table1[[#This Row],[Joining Date]]="","",IF(Table1[[#This Row],[Joining Date]]&lt;='KPI+Pivot'!$CP$1,Table1[[#This Row],[Frequency]],""))</f>
        <v/>
      </c>
      <c r="BP140" s="38" t="str">
        <f>IF(Table1[[#This Row],[Stop]]="","",(IF(Table1[[#This Row],[Joining Date]]="","",IF(Table1[[#This Row],[Joining Date]]&lt;='KPI+Pivot'!$CP$1,Table1[[#This Row],[Stop]],""))))</f>
        <v/>
      </c>
    </row>
    <row r="141" spans="1:68" ht="22.9" customHeight="1">
      <c r="B141" t="s">
        <v>66</v>
      </c>
      <c r="C141" t="s">
        <v>1023</v>
      </c>
      <c r="D141" t="s">
        <v>1024</v>
      </c>
      <c r="F141" t="s">
        <v>1025</v>
      </c>
      <c r="G141" t="s">
        <v>1026</v>
      </c>
      <c r="H141" t="s">
        <v>1027</v>
      </c>
      <c r="I141" t="str">
        <f>IFERROR(HYPERLINK("#Finance!B" &amp; MATCH(A141, 'F 2025'!A:A, 0), "🔗 Go to finance"), "❌ ID introuvable")</f>
        <v>❌ ID introuvable</v>
      </c>
      <c r="L141" t="s">
        <v>90</v>
      </c>
      <c r="V141" t="s">
        <v>1028</v>
      </c>
      <c r="W141" t="s">
        <v>1029</v>
      </c>
      <c r="Y141">
        <v>8017344276</v>
      </c>
      <c r="Z141" t="s">
        <v>75</v>
      </c>
      <c r="AD141" s="130">
        <v>44019</v>
      </c>
      <c r="AE141"/>
      <c r="AG141" t="s">
        <v>76</v>
      </c>
      <c r="AK141" t="s">
        <v>148</v>
      </c>
      <c r="AM141" s="38"/>
      <c r="AO141" t="s">
        <v>1026</v>
      </c>
      <c r="AR141" t="str">
        <f t="shared" si="8"/>
        <v/>
      </c>
      <c r="AS141" t="str">
        <f t="shared" si="9"/>
        <v/>
      </c>
      <c r="AT141" t="str">
        <f>IF(Table1[[#This Row],[Joining Date]]="", "", TEXT(Table1[[#This Row],[Joining Date]], "mmm"))</f>
        <v>Jul</v>
      </c>
      <c r="AU141">
        <f>IF(Table1[[#This Row],[Joining Date]]="", "", YEAR(Table1[[#This Row],[Joining Date]]))</f>
        <v>2020</v>
      </c>
      <c r="AV141" t="str">
        <f>IF(Table1[[#This Row],[Group Name]]="","", M141 &amp; Table1[[#This Row],[Teacher]])</f>
        <v/>
      </c>
      <c r="AW141" t="str">
        <f>IF(Table1[[#This Row],[Helper]]="","",IF(_xlfn.MAXIFS(AT:AT,AW:AW,Table1[[#This Row],[Helper]])=Table1[[#This Row],[Clean Frequency]],_xlfn.MAXIFS(AT:AT,AW:AW,Table1[[#This Row],[Helper]]),""))</f>
        <v/>
      </c>
      <c r="AX141" t="str">
        <f ca="1">IF(AND(AW141=_xlfn.MAXIFS(AX:AX, AW:AW, AV141), COUNTIFS(AV$3:AV141, AV141, AW$3:AW141, AW141)=1), 1, "")</f>
        <v/>
      </c>
      <c r="AY141" t="str">
        <f>IF(Table1[[#This Row],[lesson type]]="private",Table1[[#This Row],[Clean Frequency]],"")</f>
        <v/>
      </c>
      <c r="AZ141" t="str">
        <f ca="1">IF(Table1[[#This Row],[First Occurrence]]=1,Table1[[#This Row],[Group Frequency]],"")</f>
        <v/>
      </c>
      <c r="BA141" t="str">
        <f ca="1">IF(B141="Y", IF(Table1[[#This Row],[Stop]]="", TODAY() - Table1[[#This Row],[Joining Date]], Table1[[#This Row],[Stop]] - Table1[[#This Row],[Joining Date]]), "")</f>
        <v/>
      </c>
      <c r="BB141" t="str">
        <f>_xlfn.CONCAT(Table1[[#This Row],[t]]," ",Table1[[#This Row],[Last Name]])</f>
        <v>Rumi Nakano</v>
      </c>
      <c r="BC141" t="str">
        <f>IF(OR(Table1[[#This Row],[Teacher]]="Alex",Table1[[#This Row],[Teacher]]=""), "", Table1[[#This Row],[For Salary]])</f>
        <v/>
      </c>
      <c r="BD141" t="str">
        <f>IF(OR(Table1[[#This Row],[Teacher]]="Alex",Table1[[#This Row],[Teacher]]=""), "", Table1[[#This Row],[For Amount]])</f>
        <v/>
      </c>
      <c r="BE141" t="str">
        <f>IFERROR(IF(VLOOKUP(Table1[[#This Row],[Teacher]],'Teachers Salaries'!A:C,2,FALSE)="","",VLOOKUP(Table1[[#This Row],[Teacher]],'Teachers Salaries'!A:C,2,FALSE)),"")</f>
        <v/>
      </c>
      <c r="BF141" t="str">
        <f>IFERROR(IF(VLOOKUP(Table1[[#This Row],[Teacher]],'Teachers Salaries'!A:C,3,FALSE)="","",VLOOKUP(Table1[[#This Row],[Teacher]],'Teachers Salaries'!A:C,3,FALSE)),"")</f>
        <v/>
      </c>
      <c r="BG141">
        <f ca="1">IFERROR(IF(Table1[[#This Row],[Pay Type]]="Fixed","-",Table1[[#This Row],[Final Group Frequency2]]*Table1[[#This Row],[Salary / Hourly Rate]]),0)</f>
        <v>0</v>
      </c>
      <c r="BH141">
        <f>IFERROR(IF(Table1[[#This Row],[Pay Type]]="Fixed","----",Table1[[#This Row],[Salary / Hourly Rate]]*Table1[[#This Row],[Final PrivateFrequency]]),0)</f>
        <v>0</v>
      </c>
      <c r="BI141">
        <f ca="1">IF(Table1[[#This Row],[Pay Type]]="Fixed","---",Table1[[#This Row],[Group Salary]]+Table1[[#This Row],[Private Salary]])</f>
        <v>0</v>
      </c>
      <c r="BJ141" t="str">
        <f>IF(OR(J141="Alex", J141=""),"", Table1[[#This Row],[For Amount]])</f>
        <v/>
      </c>
      <c r="BK141">
        <f ca="1">IFERROR(Table1[[#This Row],[Fee]]-Table1[[#This Row],[Total Salary]],"")</f>
        <v>0</v>
      </c>
      <c r="BL141" t="e">
        <f>IF(Table1[[#This Row],[Joining Date]]="","",IF(Table1[[#This Row],[Joining Date]]&lt;='KPI+Pivot'!$CP$1,Table1[[#This Row],[Fee]],""))</f>
        <v>#N/A</v>
      </c>
      <c r="BM14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41" t="e">
        <f>IF(Table1[[#This Row],[Joining Date]]="","",IF(Table1[[#This Row],[Joining Date]]&lt;='KPI+Pivot'!$CP$1,Table1[[#This Row],[Total Salary]],""))</f>
        <v>#N/A</v>
      </c>
      <c r="BO141" t="e">
        <f>IF(Table1[[#This Row],[Joining Date]]="","",IF(Table1[[#This Row],[Joining Date]]&lt;='KPI+Pivot'!$CP$1,Table1[[#This Row],[Frequency]],""))</f>
        <v>#N/A</v>
      </c>
      <c r="BP141" s="38" t="str">
        <f>IF(Table1[[#This Row],[Stop]]="","",(IF(Table1[[#This Row],[Joining Date]]="","",IF(Table1[[#This Row],[Joining Date]]&lt;='KPI+Pivot'!$CP$1,Table1[[#This Row],[Stop]],""))))</f>
        <v/>
      </c>
    </row>
    <row r="142" spans="1:68" ht="22.9" customHeight="1">
      <c r="B142" t="s">
        <v>66</v>
      </c>
      <c r="C142" t="s">
        <v>1030</v>
      </c>
      <c r="D142" t="s">
        <v>1031</v>
      </c>
      <c r="F142" t="s">
        <v>1032</v>
      </c>
      <c r="G142" t="s">
        <v>1033</v>
      </c>
      <c r="H142" t="s">
        <v>1034</v>
      </c>
      <c r="I142" t="str">
        <f>IFERROR(HYPERLINK("#Finance!B" &amp; MATCH(A142, 'F 2025'!A:A, 0), "🔗 Go to finance"), "❌ ID introuvable")</f>
        <v>❌ ID introuvable</v>
      </c>
      <c r="L142" t="s">
        <v>72</v>
      </c>
      <c r="V142" t="s">
        <v>1035</v>
      </c>
      <c r="W142" t="s">
        <v>1036</v>
      </c>
      <c r="Y142" t="s">
        <v>1037</v>
      </c>
      <c r="Z142" t="s">
        <v>75</v>
      </c>
      <c r="AB142" t="s">
        <v>1038</v>
      </c>
      <c r="AD142" s="130"/>
      <c r="AE142"/>
      <c r="AG142" t="s">
        <v>76</v>
      </c>
      <c r="AI142" t="s">
        <v>1038</v>
      </c>
      <c r="AK142" t="s">
        <v>182</v>
      </c>
      <c r="AM142" s="38"/>
      <c r="AO142" t="s">
        <v>1033</v>
      </c>
      <c r="AR142" t="str">
        <f t="shared" si="8"/>
        <v/>
      </c>
      <c r="AS142" t="str">
        <f t="shared" si="9"/>
        <v/>
      </c>
      <c r="AT142" t="str">
        <f>IF(Table1[[#This Row],[Joining Date]]="", "", TEXT(Table1[[#This Row],[Joining Date]], "mmm"))</f>
        <v/>
      </c>
      <c r="AU142" t="str">
        <f>IF(Table1[[#This Row],[Joining Date]]="", "", YEAR(Table1[[#This Row],[Joining Date]]))</f>
        <v/>
      </c>
      <c r="AV142" t="str">
        <f>IF(Table1[[#This Row],[Group Name]]="","", M142 &amp; Table1[[#This Row],[Teacher]])</f>
        <v/>
      </c>
      <c r="AW142" t="str">
        <f>IF(Table1[[#This Row],[Helper]]="","",IF(_xlfn.MAXIFS(AT:AT,AW:AW,Table1[[#This Row],[Helper]])=Table1[[#This Row],[Clean Frequency]],_xlfn.MAXIFS(AT:AT,AW:AW,Table1[[#This Row],[Helper]]),""))</f>
        <v/>
      </c>
      <c r="AX142" t="str">
        <f ca="1">IF(AND(AW142=_xlfn.MAXIFS(AX:AX, AW:AW, AV142), COUNTIFS(AV$3:AV142, AV142, AW$3:AW142, AW142)=1), 1, "")</f>
        <v/>
      </c>
      <c r="AY142" t="str">
        <f>IF(Table1[[#This Row],[lesson type]]="private",Table1[[#This Row],[Clean Frequency]],"")</f>
        <v/>
      </c>
      <c r="AZ142" t="str">
        <f ca="1">IF(Table1[[#This Row],[First Occurrence]]=1,Table1[[#This Row],[Group Frequency]],"")</f>
        <v/>
      </c>
      <c r="BA142" t="str">
        <f ca="1">IF(B142="Y", IF(Table1[[#This Row],[Stop]]="", TODAY() - Table1[[#This Row],[Joining Date]], Table1[[#This Row],[Stop]] - Table1[[#This Row],[Joining Date]]), "")</f>
        <v/>
      </c>
      <c r="BB142" t="str">
        <f>_xlfn.CONCAT(Table1[[#This Row],[t]]," ",Table1[[#This Row],[Last Name]])</f>
        <v>Ryousei Tsutsui</v>
      </c>
      <c r="BC142" t="str">
        <f>IF(OR(Table1[[#This Row],[Teacher]]="Alex",Table1[[#This Row],[Teacher]]=""), "", Table1[[#This Row],[For Salary]])</f>
        <v/>
      </c>
      <c r="BD142" t="str">
        <f>IF(OR(Table1[[#This Row],[Teacher]]="Alex",Table1[[#This Row],[Teacher]]=""), "", Table1[[#This Row],[For Amount]])</f>
        <v/>
      </c>
      <c r="BE142" t="str">
        <f>IFERROR(IF(VLOOKUP(Table1[[#This Row],[Teacher]],'Teachers Salaries'!A:C,2,FALSE)="","",VLOOKUP(Table1[[#This Row],[Teacher]],'Teachers Salaries'!A:C,2,FALSE)),"")</f>
        <v/>
      </c>
      <c r="BF142" t="str">
        <f>IFERROR(IF(VLOOKUP(Table1[[#This Row],[Teacher]],'Teachers Salaries'!A:C,3,FALSE)="","",VLOOKUP(Table1[[#This Row],[Teacher]],'Teachers Salaries'!A:C,3,FALSE)),"")</f>
        <v/>
      </c>
      <c r="BG142">
        <f ca="1">IFERROR(IF(Table1[[#This Row],[Pay Type]]="Fixed","-",Table1[[#This Row],[Final Group Frequency2]]*Table1[[#This Row],[Salary / Hourly Rate]]),0)</f>
        <v>0</v>
      </c>
      <c r="BH142">
        <f>IFERROR(IF(Table1[[#This Row],[Pay Type]]="Fixed","----",Table1[[#This Row],[Salary / Hourly Rate]]*Table1[[#This Row],[Final PrivateFrequency]]),0)</f>
        <v>0</v>
      </c>
      <c r="BI142">
        <f ca="1">IF(Table1[[#This Row],[Pay Type]]="Fixed","---",Table1[[#This Row],[Group Salary]]+Table1[[#This Row],[Private Salary]])</f>
        <v>0</v>
      </c>
      <c r="BJ142" t="str">
        <f>IF(OR(J142="Alex", J142=""),"", Table1[[#This Row],[For Amount]])</f>
        <v/>
      </c>
      <c r="BK142">
        <f ca="1">IFERROR(Table1[[#This Row],[Fee]]-Table1[[#This Row],[Total Salary]],"")</f>
        <v>0</v>
      </c>
      <c r="BL142" t="str">
        <f>IF(Table1[[#This Row],[Joining Date]]="","",IF(Table1[[#This Row],[Joining Date]]&lt;='KPI+Pivot'!$CP$1,Table1[[#This Row],[Fee]],""))</f>
        <v/>
      </c>
      <c r="BM14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2" t="str">
        <f>IF(Table1[[#This Row],[Joining Date]]="","",IF(Table1[[#This Row],[Joining Date]]&lt;='KPI+Pivot'!$CP$1,Table1[[#This Row],[Total Salary]],""))</f>
        <v/>
      </c>
      <c r="BO142" t="str">
        <f>IF(Table1[[#This Row],[Joining Date]]="","",IF(Table1[[#This Row],[Joining Date]]&lt;='KPI+Pivot'!$CP$1,Table1[[#This Row],[Frequency]],""))</f>
        <v/>
      </c>
      <c r="BP142" s="38" t="str">
        <f>IF(Table1[[#This Row],[Stop]]="","",(IF(Table1[[#This Row],[Joining Date]]="","",IF(Table1[[#This Row],[Joining Date]]&lt;='KPI+Pivot'!$CP$1,Table1[[#This Row],[Stop]],""))))</f>
        <v/>
      </c>
    </row>
    <row r="143" spans="1:68" ht="22.9" customHeight="1">
      <c r="B143" t="s">
        <v>66</v>
      </c>
      <c r="C143" t="s">
        <v>1039</v>
      </c>
      <c r="D143" t="s">
        <v>157</v>
      </c>
      <c r="F143" t="s">
        <v>1040</v>
      </c>
      <c r="G143" t="s">
        <v>1041</v>
      </c>
      <c r="H143" t="s">
        <v>1042</v>
      </c>
      <c r="I143" t="str">
        <f>IFERROR(HYPERLINK("#Finance!B" &amp; MATCH(A143, 'F 2025'!A:A, 0), "🔗 Go to finance"), "❌ ID introuvable")</f>
        <v>❌ ID introuvable</v>
      </c>
      <c r="V143" t="s">
        <v>1043</v>
      </c>
      <c r="Y143" t="s">
        <v>1044</v>
      </c>
      <c r="Z143" t="s">
        <v>75</v>
      </c>
      <c r="AD143" s="130"/>
      <c r="AE143"/>
      <c r="AG143" t="s">
        <v>76</v>
      </c>
      <c r="AM143" s="38"/>
      <c r="AO143" t="s">
        <v>1041</v>
      </c>
      <c r="AR143" t="str">
        <f t="shared" si="8"/>
        <v/>
      </c>
      <c r="AS143" t="str">
        <f t="shared" si="9"/>
        <v/>
      </c>
      <c r="AT143" t="str">
        <f>IF(Table1[[#This Row],[Joining Date]]="", "", TEXT(Table1[[#This Row],[Joining Date]], "mmm"))</f>
        <v/>
      </c>
      <c r="AU143" t="str">
        <f>IF(Table1[[#This Row],[Joining Date]]="", "", YEAR(Table1[[#This Row],[Joining Date]]))</f>
        <v/>
      </c>
      <c r="AV143" t="str">
        <f>IF(Table1[[#This Row],[Group Name]]="","", M143 &amp; Table1[[#This Row],[Teacher]])</f>
        <v/>
      </c>
      <c r="AW143" t="str">
        <f>IF(Table1[[#This Row],[Helper]]="","",IF(_xlfn.MAXIFS(AT:AT,AW:AW,Table1[[#This Row],[Helper]])=Table1[[#This Row],[Clean Frequency]],_xlfn.MAXIFS(AT:AT,AW:AW,Table1[[#This Row],[Helper]]),""))</f>
        <v/>
      </c>
      <c r="AX143" t="str">
        <f ca="1">IF(AND(AW143=_xlfn.MAXIFS(AX:AX, AW:AW, AV143), COUNTIFS(AV$3:AV143, AV143, AW$3:AW143, AW143)=1), 1, "")</f>
        <v/>
      </c>
      <c r="AY143" t="str">
        <f>IF(Table1[[#This Row],[lesson type]]="private",Table1[[#This Row],[Clean Frequency]],"")</f>
        <v/>
      </c>
      <c r="AZ143" t="str">
        <f ca="1">IF(Table1[[#This Row],[First Occurrence]]=1,Table1[[#This Row],[Group Frequency]],"")</f>
        <v/>
      </c>
      <c r="BA143" t="str">
        <f ca="1">IF(B143="Y", IF(Table1[[#This Row],[Stop]]="", TODAY() - Table1[[#This Row],[Joining Date]], Table1[[#This Row],[Stop]] - Table1[[#This Row],[Joining Date]]), "")</f>
        <v/>
      </c>
      <c r="BB143" t="str">
        <f>_xlfn.CONCAT(Table1[[#This Row],[t]]," ",Table1[[#This Row],[Last Name]])</f>
        <v>Ryuuko Kinoshita</v>
      </c>
      <c r="BC143" t="str">
        <f>IF(OR(Table1[[#This Row],[Teacher]]="Alex",Table1[[#This Row],[Teacher]]=""), "", Table1[[#This Row],[For Salary]])</f>
        <v/>
      </c>
      <c r="BD143" t="str">
        <f>IF(OR(Table1[[#This Row],[Teacher]]="Alex",Table1[[#This Row],[Teacher]]=""), "", Table1[[#This Row],[For Amount]])</f>
        <v/>
      </c>
      <c r="BE143" t="str">
        <f>IFERROR(IF(VLOOKUP(Table1[[#This Row],[Teacher]],'Teachers Salaries'!A:C,2,FALSE)="","",VLOOKUP(Table1[[#This Row],[Teacher]],'Teachers Salaries'!A:C,2,FALSE)),"")</f>
        <v/>
      </c>
      <c r="BF143" t="str">
        <f>IFERROR(IF(VLOOKUP(Table1[[#This Row],[Teacher]],'Teachers Salaries'!A:C,3,FALSE)="","",VLOOKUP(Table1[[#This Row],[Teacher]],'Teachers Salaries'!A:C,3,FALSE)),"")</f>
        <v/>
      </c>
      <c r="BG143">
        <f ca="1">IFERROR(IF(Table1[[#This Row],[Pay Type]]="Fixed","-",Table1[[#This Row],[Final Group Frequency2]]*Table1[[#This Row],[Salary / Hourly Rate]]),0)</f>
        <v>0</v>
      </c>
      <c r="BH143">
        <f>IFERROR(IF(Table1[[#This Row],[Pay Type]]="Fixed","----",Table1[[#This Row],[Salary / Hourly Rate]]*Table1[[#This Row],[Final PrivateFrequency]]),0)</f>
        <v>0</v>
      </c>
      <c r="BI143">
        <f ca="1">IF(Table1[[#This Row],[Pay Type]]="Fixed","---",Table1[[#This Row],[Group Salary]]+Table1[[#This Row],[Private Salary]])</f>
        <v>0</v>
      </c>
      <c r="BJ143" t="str">
        <f>IF(OR(J143="Alex", J143=""),"", Table1[[#This Row],[For Amount]])</f>
        <v/>
      </c>
      <c r="BK143">
        <f ca="1">IFERROR(Table1[[#This Row],[Fee]]-Table1[[#This Row],[Total Salary]],"")</f>
        <v>0</v>
      </c>
      <c r="BL143" t="str">
        <f>IF(Table1[[#This Row],[Joining Date]]="","",IF(Table1[[#This Row],[Joining Date]]&lt;='KPI+Pivot'!$CP$1,Table1[[#This Row],[Fee]],""))</f>
        <v/>
      </c>
      <c r="BM14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3" t="str">
        <f>IF(Table1[[#This Row],[Joining Date]]="","",IF(Table1[[#This Row],[Joining Date]]&lt;='KPI+Pivot'!$CP$1,Table1[[#This Row],[Total Salary]],""))</f>
        <v/>
      </c>
      <c r="BO143" t="str">
        <f>IF(Table1[[#This Row],[Joining Date]]="","",IF(Table1[[#This Row],[Joining Date]]&lt;='KPI+Pivot'!$CP$1,Table1[[#This Row],[Frequency]],""))</f>
        <v/>
      </c>
      <c r="BP143" s="38" t="str">
        <f>IF(Table1[[#This Row],[Stop]]="","",(IF(Table1[[#This Row],[Joining Date]]="","",IF(Table1[[#This Row],[Joining Date]]&lt;='KPI+Pivot'!$CP$1,Table1[[#This Row],[Stop]],""))))</f>
        <v/>
      </c>
    </row>
    <row r="144" spans="1:68" ht="22.9" customHeight="1">
      <c r="B144" t="s">
        <v>66</v>
      </c>
      <c r="C144" t="s">
        <v>1045</v>
      </c>
      <c r="D144" t="s">
        <v>1046</v>
      </c>
      <c r="F144" t="s">
        <v>1047</v>
      </c>
      <c r="G144" t="s">
        <v>1048</v>
      </c>
      <c r="H144" t="s">
        <v>1049</v>
      </c>
      <c r="I144" t="str">
        <f>IFERROR(HYPERLINK("#Finance!B" &amp; MATCH(A144, 'F 2025'!A:A, 0), "🔗 Go to finance"), "❌ ID introuvable")</f>
        <v>❌ ID introuvable</v>
      </c>
      <c r="L144" t="s">
        <v>90</v>
      </c>
      <c r="Y144" t="s">
        <v>1050</v>
      </c>
      <c r="Z144" t="s">
        <v>75</v>
      </c>
      <c r="AB144" t="s">
        <v>1051</v>
      </c>
      <c r="AD144" s="130"/>
      <c r="AE144"/>
      <c r="AG144" t="s">
        <v>76</v>
      </c>
      <c r="AI144" t="s">
        <v>1051</v>
      </c>
      <c r="AK144" t="s">
        <v>94</v>
      </c>
      <c r="AM144" s="38"/>
      <c r="AO144" t="s">
        <v>1048</v>
      </c>
      <c r="AR144" t="str">
        <f t="shared" si="8"/>
        <v/>
      </c>
      <c r="AS144" t="str">
        <f t="shared" si="9"/>
        <v/>
      </c>
      <c r="AT144" t="str">
        <f>IF(Table1[[#This Row],[Joining Date]]="", "", TEXT(Table1[[#This Row],[Joining Date]], "mmm"))</f>
        <v/>
      </c>
      <c r="AU144" t="str">
        <f>IF(Table1[[#This Row],[Joining Date]]="", "", YEAR(Table1[[#This Row],[Joining Date]]))</f>
        <v/>
      </c>
      <c r="AV144" t="str">
        <f>IF(Table1[[#This Row],[Group Name]]="","", M144 &amp; Table1[[#This Row],[Teacher]])</f>
        <v/>
      </c>
      <c r="AW144" t="str">
        <f>IF(Table1[[#This Row],[Helper]]="","",IF(_xlfn.MAXIFS(AT:AT,AW:AW,Table1[[#This Row],[Helper]])=Table1[[#This Row],[Clean Frequency]],_xlfn.MAXIFS(AT:AT,AW:AW,Table1[[#This Row],[Helper]]),""))</f>
        <v/>
      </c>
      <c r="AX144" t="str">
        <f ca="1">IF(AND(AW144=_xlfn.MAXIFS(AX:AX, AW:AW, AV144), COUNTIFS(AV$3:AV144, AV144, AW$3:AW144, AW144)=1), 1, "")</f>
        <v/>
      </c>
      <c r="AY144" t="str">
        <f>IF(Table1[[#This Row],[lesson type]]="private",Table1[[#This Row],[Clean Frequency]],"")</f>
        <v/>
      </c>
      <c r="AZ144" t="str">
        <f ca="1">IF(Table1[[#This Row],[First Occurrence]]=1,Table1[[#This Row],[Group Frequency]],"")</f>
        <v/>
      </c>
      <c r="BA144" t="str">
        <f ca="1">IF(B144="Y", IF(Table1[[#This Row],[Stop]]="", TODAY() - Table1[[#This Row],[Joining Date]], Table1[[#This Row],[Stop]] - Table1[[#This Row],[Joining Date]]), "")</f>
        <v/>
      </c>
      <c r="BB144" t="str">
        <f>_xlfn.CONCAT(Table1[[#This Row],[t]]," ",Table1[[#This Row],[Last Name]])</f>
        <v>Sachiko Matsuo</v>
      </c>
      <c r="BC144" t="str">
        <f>IF(OR(Table1[[#This Row],[Teacher]]="Alex",Table1[[#This Row],[Teacher]]=""), "", Table1[[#This Row],[For Salary]])</f>
        <v/>
      </c>
      <c r="BD144" t="str">
        <f>IF(OR(Table1[[#This Row],[Teacher]]="Alex",Table1[[#This Row],[Teacher]]=""), "", Table1[[#This Row],[For Amount]])</f>
        <v/>
      </c>
      <c r="BE144" t="str">
        <f>IFERROR(IF(VLOOKUP(Table1[[#This Row],[Teacher]],'Teachers Salaries'!A:C,2,FALSE)="","",VLOOKUP(Table1[[#This Row],[Teacher]],'Teachers Salaries'!A:C,2,FALSE)),"")</f>
        <v/>
      </c>
      <c r="BF144" t="str">
        <f>IFERROR(IF(VLOOKUP(Table1[[#This Row],[Teacher]],'Teachers Salaries'!A:C,3,FALSE)="","",VLOOKUP(Table1[[#This Row],[Teacher]],'Teachers Salaries'!A:C,3,FALSE)),"")</f>
        <v/>
      </c>
      <c r="BG144">
        <f ca="1">IFERROR(IF(Table1[[#This Row],[Pay Type]]="Fixed","-",Table1[[#This Row],[Final Group Frequency2]]*Table1[[#This Row],[Salary / Hourly Rate]]),0)</f>
        <v>0</v>
      </c>
      <c r="BH144">
        <f>IFERROR(IF(Table1[[#This Row],[Pay Type]]="Fixed","----",Table1[[#This Row],[Salary / Hourly Rate]]*Table1[[#This Row],[Final PrivateFrequency]]),0)</f>
        <v>0</v>
      </c>
      <c r="BI144">
        <f ca="1">IF(Table1[[#This Row],[Pay Type]]="Fixed","---",Table1[[#This Row],[Group Salary]]+Table1[[#This Row],[Private Salary]])</f>
        <v>0</v>
      </c>
      <c r="BJ144" t="str">
        <f>IF(OR(J144="Alex", J144=""),"", Table1[[#This Row],[For Amount]])</f>
        <v/>
      </c>
      <c r="BK144">
        <f ca="1">IFERROR(Table1[[#This Row],[Fee]]-Table1[[#This Row],[Total Salary]],"")</f>
        <v>0</v>
      </c>
      <c r="BL144" t="str">
        <f>IF(Table1[[#This Row],[Joining Date]]="","",IF(Table1[[#This Row],[Joining Date]]&lt;='KPI+Pivot'!$CP$1,Table1[[#This Row],[Fee]],""))</f>
        <v/>
      </c>
      <c r="BM14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4" t="str">
        <f>IF(Table1[[#This Row],[Joining Date]]="","",IF(Table1[[#This Row],[Joining Date]]&lt;='KPI+Pivot'!$CP$1,Table1[[#This Row],[Total Salary]],""))</f>
        <v/>
      </c>
      <c r="BO144" t="str">
        <f>IF(Table1[[#This Row],[Joining Date]]="","",IF(Table1[[#This Row],[Joining Date]]&lt;='KPI+Pivot'!$CP$1,Table1[[#This Row],[Frequency]],""))</f>
        <v/>
      </c>
      <c r="BP144" s="38" t="str">
        <f>IF(Table1[[#This Row],[Stop]]="","",(IF(Table1[[#This Row],[Joining Date]]="","",IF(Table1[[#This Row],[Joining Date]]&lt;='KPI+Pivot'!$CP$1,Table1[[#This Row],[Stop]],""))))</f>
        <v/>
      </c>
    </row>
    <row r="145" spans="1:68" ht="22.9" customHeight="1">
      <c r="A145">
        <v>153</v>
      </c>
      <c r="B145" t="s">
        <v>66</v>
      </c>
      <c r="C145" t="s">
        <v>1052</v>
      </c>
      <c r="D145" t="s">
        <v>1053</v>
      </c>
      <c r="F145" t="s">
        <v>1054</v>
      </c>
      <c r="G145" t="s">
        <v>1055</v>
      </c>
      <c r="H145" t="s">
        <v>1056</v>
      </c>
      <c r="I145" t="str">
        <f>IFERROR(HYPERLINK("#Finance!B" &amp; MATCH(A145, 'F 2025'!A:A, 0), "🔗 Go to finance"), "❌ ID introuvable")</f>
        <v>🔗 Go to finance</v>
      </c>
      <c r="L145" t="s">
        <v>661</v>
      </c>
      <c r="V145" t="s">
        <v>1057</v>
      </c>
      <c r="Z145" t="s">
        <v>75</v>
      </c>
      <c r="AD145" s="130"/>
      <c r="AE145"/>
      <c r="AG145" t="s">
        <v>76</v>
      </c>
      <c r="AK145" t="s">
        <v>1058</v>
      </c>
      <c r="AM145" s="38">
        <v>45747</v>
      </c>
      <c r="AO145" t="s">
        <v>1055</v>
      </c>
      <c r="AR145" t="str">
        <f t="shared" si="8"/>
        <v/>
      </c>
      <c r="AS145" t="str">
        <f t="shared" si="9"/>
        <v/>
      </c>
      <c r="AT145" t="str">
        <f>IF(Table1[[#This Row],[Joining Date]]="", "", TEXT(Table1[[#This Row],[Joining Date]], "mmm"))</f>
        <v/>
      </c>
      <c r="AU145" t="str">
        <f>IF(Table1[[#This Row],[Joining Date]]="", "", YEAR(Table1[[#This Row],[Joining Date]]))</f>
        <v/>
      </c>
      <c r="AV145" t="str">
        <f>IF(Table1[[#This Row],[Group Name]]="","", M145 &amp; Table1[[#This Row],[Teacher]])</f>
        <v/>
      </c>
      <c r="AW145" t="str">
        <f>IF(Table1[[#This Row],[Helper]]="","",IF(_xlfn.MAXIFS(AT:AT,AW:AW,Table1[[#This Row],[Helper]])=Table1[[#This Row],[Clean Frequency]],_xlfn.MAXIFS(AT:AT,AW:AW,Table1[[#This Row],[Helper]]),""))</f>
        <v/>
      </c>
      <c r="AX145" t="str">
        <f ca="1">IF(AND(AW145=_xlfn.MAXIFS(AX:AX, AW:AW, AV145), COUNTIFS(AV$3:AV145, AV145, AW$3:AW145, AW145)=1), 1, "")</f>
        <v/>
      </c>
      <c r="AY145" t="str">
        <f>IF(Table1[[#This Row],[lesson type]]="private",Table1[[#This Row],[Clean Frequency]],"")</f>
        <v/>
      </c>
      <c r="AZ145" t="str">
        <f ca="1">IF(Table1[[#This Row],[First Occurrence]]=1,Table1[[#This Row],[Group Frequency]],"")</f>
        <v/>
      </c>
      <c r="BA145" t="str">
        <f ca="1">IF(B145="Y", IF(Table1[[#This Row],[Stop]]="", TODAY() - Table1[[#This Row],[Joining Date]], Table1[[#This Row],[Stop]] - Table1[[#This Row],[Joining Date]]), "")</f>
        <v/>
      </c>
      <c r="BB145" t="str">
        <f>_xlfn.CONCAT(Table1[[#This Row],[t]]," ",Table1[[#This Row],[Last Name]])</f>
        <v>saki Koshimuta</v>
      </c>
      <c r="BC145" t="str">
        <f>IF(OR(Table1[[#This Row],[Teacher]]="Alex",Table1[[#This Row],[Teacher]]=""), "", Table1[[#This Row],[For Salary]])</f>
        <v/>
      </c>
      <c r="BD145" t="str">
        <f>IF(OR(Table1[[#This Row],[Teacher]]="Alex",Table1[[#This Row],[Teacher]]=""), "", Table1[[#This Row],[For Amount]])</f>
        <v/>
      </c>
      <c r="BE145" t="str">
        <f>IFERROR(IF(VLOOKUP(Table1[[#This Row],[Teacher]],'Teachers Salaries'!A:C,2,FALSE)="","",VLOOKUP(Table1[[#This Row],[Teacher]],'Teachers Salaries'!A:C,2,FALSE)),"")</f>
        <v/>
      </c>
      <c r="BF145" t="str">
        <f>IFERROR(IF(VLOOKUP(Table1[[#This Row],[Teacher]],'Teachers Salaries'!A:C,3,FALSE)="","",VLOOKUP(Table1[[#This Row],[Teacher]],'Teachers Salaries'!A:C,3,FALSE)),"")</f>
        <v/>
      </c>
      <c r="BG145">
        <f ca="1">IFERROR(IF(Table1[[#This Row],[Pay Type]]="Fixed","-",Table1[[#This Row],[Final Group Frequency2]]*Table1[[#This Row],[Salary / Hourly Rate]]),0)</f>
        <v>0</v>
      </c>
      <c r="BH145">
        <f>IFERROR(IF(Table1[[#This Row],[Pay Type]]="Fixed","----",Table1[[#This Row],[Salary / Hourly Rate]]*Table1[[#This Row],[Final PrivateFrequency]]),0)</f>
        <v>0</v>
      </c>
      <c r="BI145">
        <f ca="1">IF(Table1[[#This Row],[Pay Type]]="Fixed","---",Table1[[#This Row],[Group Salary]]+Table1[[#This Row],[Private Salary]])</f>
        <v>0</v>
      </c>
      <c r="BJ145" t="str">
        <f>IF(OR(J145="Alex", J145=""),"", Table1[[#This Row],[For Amount]])</f>
        <v/>
      </c>
      <c r="BK145">
        <f ca="1">IFERROR(Table1[[#This Row],[Fee]]-Table1[[#This Row],[Total Salary]],"")</f>
        <v>0</v>
      </c>
      <c r="BL145" t="str">
        <f>IF(Table1[[#This Row],[Joining Date]]="","",IF(Table1[[#This Row],[Joining Date]]&lt;='KPI+Pivot'!$CP$1,Table1[[#This Row],[Fee]],""))</f>
        <v/>
      </c>
      <c r="BM14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5" t="str">
        <f>IF(Table1[[#This Row],[Joining Date]]="","",IF(Table1[[#This Row],[Joining Date]]&lt;='KPI+Pivot'!$CP$1,Table1[[#This Row],[Total Salary]],""))</f>
        <v/>
      </c>
      <c r="BO145" t="str">
        <f>IF(Table1[[#This Row],[Joining Date]]="","",IF(Table1[[#This Row],[Joining Date]]&lt;='KPI+Pivot'!$CP$1,Table1[[#This Row],[Frequency]],""))</f>
        <v/>
      </c>
      <c r="BP145" s="38" t="str">
        <f>IF(Table1[[#This Row],[Stop]]="","",(IF(Table1[[#This Row],[Joining Date]]="","",IF(Table1[[#This Row],[Joining Date]]&lt;='KPI+Pivot'!$CP$1,Table1[[#This Row],[Stop]],""))))</f>
        <v/>
      </c>
    </row>
    <row r="146" spans="1:68" ht="22.9" customHeight="1">
      <c r="A146">
        <v>99</v>
      </c>
      <c r="B146" t="s">
        <v>66</v>
      </c>
      <c r="C146" t="s">
        <v>1059</v>
      </c>
      <c r="D146" t="s">
        <v>134</v>
      </c>
      <c r="F146" t="s">
        <v>1060</v>
      </c>
      <c r="G146" t="s">
        <v>1061</v>
      </c>
      <c r="H146" t="s">
        <v>137</v>
      </c>
      <c r="I146" t="str">
        <f>IFERROR(HYPERLINK("#Finance!B" &amp; MATCH(A146, 'F 2025'!A:A, 0), "🔗 Go to finance"), "❌ ID introuvable")</f>
        <v>🔗 Go to finance</v>
      </c>
      <c r="V146" t="s">
        <v>1062</v>
      </c>
      <c r="Z146" t="s">
        <v>75</v>
      </c>
      <c r="AB146" t="s">
        <v>1063</v>
      </c>
      <c r="AD146" s="130">
        <v>45018</v>
      </c>
      <c r="AE146"/>
      <c r="AG146" t="s">
        <v>76</v>
      </c>
      <c r="AI146" t="s">
        <v>1063</v>
      </c>
      <c r="AK146" t="s">
        <v>84</v>
      </c>
      <c r="AM146" s="38"/>
      <c r="AO146" t="s">
        <v>1061</v>
      </c>
      <c r="AP146">
        <v>99</v>
      </c>
      <c r="AQ146" t="s">
        <v>1061</v>
      </c>
      <c r="AR146" t="str">
        <f t="shared" si="8"/>
        <v/>
      </c>
      <c r="AS146" t="str">
        <f t="shared" si="9"/>
        <v/>
      </c>
      <c r="AT146" t="str">
        <f>IF(Table1[[#This Row],[Joining Date]]="", "", TEXT(Table1[[#This Row],[Joining Date]], "mmm"))</f>
        <v>Apr</v>
      </c>
      <c r="AU146">
        <f>IF(Table1[[#This Row],[Joining Date]]="", "", YEAR(Table1[[#This Row],[Joining Date]]))</f>
        <v>2023</v>
      </c>
      <c r="AV146" t="str">
        <f>IF(Table1[[#This Row],[Group Name]]="","", M146 &amp; Table1[[#This Row],[Teacher]])</f>
        <v/>
      </c>
      <c r="AW146" t="str">
        <f>IF(Table1[[#This Row],[Helper]]="","",IF(_xlfn.MAXIFS(AT:AT,AW:AW,Table1[[#This Row],[Helper]])=Table1[[#This Row],[Clean Frequency]],_xlfn.MAXIFS(AT:AT,AW:AW,Table1[[#This Row],[Helper]]),""))</f>
        <v/>
      </c>
      <c r="AX146" t="str">
        <f ca="1">IF(AND(AW146=_xlfn.MAXIFS(AX:AX, AW:AW, AV146), COUNTIFS(AV$3:AV146, AV146, AW$3:AW146, AW146)=1), 1, "")</f>
        <v/>
      </c>
      <c r="AY146" t="str">
        <f>IF(Table1[[#This Row],[lesson type]]="private",Table1[[#This Row],[Clean Frequency]],"")</f>
        <v/>
      </c>
      <c r="AZ146" t="str">
        <f ca="1">IF(Table1[[#This Row],[First Occurrence]]=1,Table1[[#This Row],[Group Frequency]],"")</f>
        <v/>
      </c>
      <c r="BA146" t="str">
        <f ca="1">IF(B146="Y", IF(Table1[[#This Row],[Stop]]="", TODAY() - Table1[[#This Row],[Joining Date]], Table1[[#This Row],[Stop]] - Table1[[#This Row],[Joining Date]]), "")</f>
        <v/>
      </c>
      <c r="BB146" t="str">
        <f>_xlfn.CONCAT(Table1[[#This Row],[t]]," ",Table1[[#This Row],[Last Name]])</f>
        <v>Sakura Nishiyama</v>
      </c>
      <c r="BC146" t="str">
        <f>IF(OR(Table1[[#This Row],[Teacher]]="Alex",Table1[[#This Row],[Teacher]]=""), "", Table1[[#This Row],[For Salary]])</f>
        <v/>
      </c>
      <c r="BD146" t="str">
        <f>IF(OR(Table1[[#This Row],[Teacher]]="Alex",Table1[[#This Row],[Teacher]]=""), "", Table1[[#This Row],[For Amount]])</f>
        <v/>
      </c>
      <c r="BE146" t="str">
        <f>IFERROR(IF(VLOOKUP(Table1[[#This Row],[Teacher]],'Teachers Salaries'!A:C,2,FALSE)="","",VLOOKUP(Table1[[#This Row],[Teacher]],'Teachers Salaries'!A:C,2,FALSE)),"")</f>
        <v/>
      </c>
      <c r="BF146" t="str">
        <f>IFERROR(IF(VLOOKUP(Table1[[#This Row],[Teacher]],'Teachers Salaries'!A:C,3,FALSE)="","",VLOOKUP(Table1[[#This Row],[Teacher]],'Teachers Salaries'!A:C,3,FALSE)),"")</f>
        <v/>
      </c>
      <c r="BG146">
        <f ca="1">IFERROR(IF(Table1[[#This Row],[Pay Type]]="Fixed","-",Table1[[#This Row],[Final Group Frequency2]]*Table1[[#This Row],[Salary / Hourly Rate]]),0)</f>
        <v>0</v>
      </c>
      <c r="BH146">
        <f>IFERROR(IF(Table1[[#This Row],[Pay Type]]="Fixed","----",Table1[[#This Row],[Salary / Hourly Rate]]*Table1[[#This Row],[Final PrivateFrequency]]),0)</f>
        <v>0</v>
      </c>
      <c r="BI146">
        <f ca="1">IF(Table1[[#This Row],[Pay Type]]="Fixed","---",Table1[[#This Row],[Group Salary]]+Table1[[#This Row],[Private Salary]])</f>
        <v>0</v>
      </c>
      <c r="BJ146" t="str">
        <f>IF(OR(J146="Alex", J146=""),"", Table1[[#This Row],[For Amount]])</f>
        <v/>
      </c>
      <c r="BK146">
        <f ca="1">IFERROR(Table1[[#This Row],[Fee]]-Table1[[#This Row],[Total Salary]],"")</f>
        <v>0</v>
      </c>
      <c r="BL146" t="e">
        <f>IF(Table1[[#This Row],[Joining Date]]="","",IF(Table1[[#This Row],[Joining Date]]&lt;='KPI+Pivot'!$CP$1,Table1[[#This Row],[Fee]],""))</f>
        <v>#N/A</v>
      </c>
      <c r="BM14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46" t="e">
        <f>IF(Table1[[#This Row],[Joining Date]]="","",IF(Table1[[#This Row],[Joining Date]]&lt;='KPI+Pivot'!$CP$1,Table1[[#This Row],[Total Salary]],""))</f>
        <v>#N/A</v>
      </c>
      <c r="BO146" t="e">
        <f>IF(Table1[[#This Row],[Joining Date]]="","",IF(Table1[[#This Row],[Joining Date]]&lt;='KPI+Pivot'!$CP$1,Table1[[#This Row],[Frequency]],""))</f>
        <v>#N/A</v>
      </c>
      <c r="BP146" s="38" t="str">
        <f>IF(Table1[[#This Row],[Stop]]="","",(IF(Table1[[#This Row],[Joining Date]]="","",IF(Table1[[#This Row],[Joining Date]]&lt;='KPI+Pivot'!$CP$1,Table1[[#This Row],[Stop]],""))))</f>
        <v/>
      </c>
    </row>
    <row r="147" spans="1:68" ht="22.9" customHeight="1">
      <c r="B147" t="s">
        <v>66</v>
      </c>
      <c r="C147" t="s">
        <v>1064</v>
      </c>
      <c r="D147" t="s">
        <v>1065</v>
      </c>
      <c r="F147" t="s">
        <v>1066</v>
      </c>
      <c r="G147" t="s">
        <v>1067</v>
      </c>
      <c r="H147" t="s">
        <v>1068</v>
      </c>
      <c r="I147" t="str">
        <f>IFERROR(HYPERLINK("#Finance!B" &amp; MATCH(A147, 'F 2025'!A:A, 0), "🔗 Go to finance"), "❌ ID introuvable")</f>
        <v>❌ ID introuvable</v>
      </c>
      <c r="L147" t="s">
        <v>102</v>
      </c>
      <c r="V147" t="s">
        <v>1069</v>
      </c>
      <c r="Y147" t="s">
        <v>1070</v>
      </c>
      <c r="Z147" t="s">
        <v>75</v>
      </c>
      <c r="AB147" t="s">
        <v>1071</v>
      </c>
      <c r="AD147" s="130"/>
      <c r="AE147"/>
      <c r="AG147" t="s">
        <v>76</v>
      </c>
      <c r="AI147" t="s">
        <v>1071</v>
      </c>
      <c r="AK147" t="s">
        <v>102</v>
      </c>
      <c r="AM147" s="38"/>
      <c r="AO147" t="s">
        <v>1067</v>
      </c>
      <c r="AR147" t="str">
        <f t="shared" si="8"/>
        <v/>
      </c>
      <c r="AS147" t="str">
        <f t="shared" si="9"/>
        <v/>
      </c>
      <c r="AT147" t="str">
        <f>IF(Table1[[#This Row],[Joining Date]]="", "", TEXT(Table1[[#This Row],[Joining Date]], "mmm"))</f>
        <v/>
      </c>
      <c r="AU147" t="str">
        <f>IF(Table1[[#This Row],[Joining Date]]="", "", YEAR(Table1[[#This Row],[Joining Date]]))</f>
        <v/>
      </c>
      <c r="AV147" t="str">
        <f>IF(Table1[[#This Row],[Group Name]]="","", M147 &amp; Table1[[#This Row],[Teacher]])</f>
        <v/>
      </c>
      <c r="AW147" t="str">
        <f>IF(Table1[[#This Row],[Helper]]="","",IF(_xlfn.MAXIFS(AT:AT,AW:AW,Table1[[#This Row],[Helper]])=Table1[[#This Row],[Clean Frequency]],_xlfn.MAXIFS(AT:AT,AW:AW,Table1[[#This Row],[Helper]]),""))</f>
        <v/>
      </c>
      <c r="AX147" t="str">
        <f ca="1">IF(AND(AW147=_xlfn.MAXIFS(AX:AX, AW:AW, AV147), COUNTIFS(AV$3:AV147, AV147, AW$3:AW147, AW147)=1), 1, "")</f>
        <v/>
      </c>
      <c r="AY147" t="str">
        <f>IF(Table1[[#This Row],[lesson type]]="private",Table1[[#This Row],[Clean Frequency]],"")</f>
        <v/>
      </c>
      <c r="AZ147" t="str">
        <f ca="1">IF(Table1[[#This Row],[First Occurrence]]=1,Table1[[#This Row],[Group Frequency]],"")</f>
        <v/>
      </c>
      <c r="BA147" t="str">
        <f ca="1">IF(B147="Y", IF(Table1[[#This Row],[Stop]]="", TODAY() - Table1[[#This Row],[Joining Date]], Table1[[#This Row],[Stop]] - Table1[[#This Row],[Joining Date]]), "")</f>
        <v/>
      </c>
      <c r="BB147" t="str">
        <f>_xlfn.CONCAT(Table1[[#This Row],[t]]," ",Table1[[#This Row],[Last Name]])</f>
        <v>Sakurako Matsuyama</v>
      </c>
      <c r="BC147" t="str">
        <f>IF(OR(Table1[[#This Row],[Teacher]]="Alex",Table1[[#This Row],[Teacher]]=""), "", Table1[[#This Row],[For Salary]])</f>
        <v/>
      </c>
      <c r="BD147" t="str">
        <f>IF(OR(Table1[[#This Row],[Teacher]]="Alex",Table1[[#This Row],[Teacher]]=""), "", Table1[[#This Row],[For Amount]])</f>
        <v/>
      </c>
      <c r="BE147" t="str">
        <f>IFERROR(IF(VLOOKUP(Table1[[#This Row],[Teacher]],'Teachers Salaries'!A:C,2,FALSE)="","",VLOOKUP(Table1[[#This Row],[Teacher]],'Teachers Salaries'!A:C,2,FALSE)),"")</f>
        <v/>
      </c>
      <c r="BF147" t="str">
        <f>IFERROR(IF(VLOOKUP(Table1[[#This Row],[Teacher]],'Teachers Salaries'!A:C,3,FALSE)="","",VLOOKUP(Table1[[#This Row],[Teacher]],'Teachers Salaries'!A:C,3,FALSE)),"")</f>
        <v/>
      </c>
      <c r="BG147">
        <f ca="1">IFERROR(IF(Table1[[#This Row],[Pay Type]]="Fixed","-",Table1[[#This Row],[Final Group Frequency2]]*Table1[[#This Row],[Salary / Hourly Rate]]),0)</f>
        <v>0</v>
      </c>
      <c r="BH147">
        <f>IFERROR(IF(Table1[[#This Row],[Pay Type]]="Fixed","----",Table1[[#This Row],[Salary / Hourly Rate]]*Table1[[#This Row],[Final PrivateFrequency]]),0)</f>
        <v>0</v>
      </c>
      <c r="BI147">
        <f ca="1">IF(Table1[[#This Row],[Pay Type]]="Fixed","---",Table1[[#This Row],[Group Salary]]+Table1[[#This Row],[Private Salary]])</f>
        <v>0</v>
      </c>
      <c r="BJ147" t="str">
        <f>IF(OR(J147="Alex", J147=""),"", Table1[[#This Row],[For Amount]])</f>
        <v/>
      </c>
      <c r="BK147">
        <f ca="1">IFERROR(Table1[[#This Row],[Fee]]-Table1[[#This Row],[Total Salary]],"")</f>
        <v>0</v>
      </c>
      <c r="BL147" t="str">
        <f>IF(Table1[[#This Row],[Joining Date]]="","",IF(Table1[[#This Row],[Joining Date]]&lt;='KPI+Pivot'!$CP$1,Table1[[#This Row],[Fee]],""))</f>
        <v/>
      </c>
      <c r="BM14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7" t="str">
        <f>IF(Table1[[#This Row],[Joining Date]]="","",IF(Table1[[#This Row],[Joining Date]]&lt;='KPI+Pivot'!$CP$1,Table1[[#This Row],[Total Salary]],""))</f>
        <v/>
      </c>
      <c r="BO147" t="str">
        <f>IF(Table1[[#This Row],[Joining Date]]="","",IF(Table1[[#This Row],[Joining Date]]&lt;='KPI+Pivot'!$CP$1,Table1[[#This Row],[Frequency]],""))</f>
        <v/>
      </c>
      <c r="BP147" s="38" t="str">
        <f>IF(Table1[[#This Row],[Stop]]="","",(IF(Table1[[#This Row],[Joining Date]]="","",IF(Table1[[#This Row],[Joining Date]]&lt;='KPI+Pivot'!$CP$1,Table1[[#This Row],[Stop]],""))))</f>
        <v/>
      </c>
    </row>
    <row r="148" spans="1:68" ht="22.9" customHeight="1">
      <c r="B148" t="s">
        <v>66</v>
      </c>
      <c r="C148" t="s">
        <v>1072</v>
      </c>
      <c r="D148" t="s">
        <v>1073</v>
      </c>
      <c r="F148" t="s">
        <v>1074</v>
      </c>
      <c r="G148" t="s">
        <v>1075</v>
      </c>
      <c r="H148" t="s">
        <v>1076</v>
      </c>
      <c r="I148" t="str">
        <f>IFERROR(HYPERLINK("#Finance!B" &amp; MATCH(A148, 'F 2025'!A:A, 0), "🔗 Go to finance"), "❌ ID introuvable")</f>
        <v>❌ ID introuvable</v>
      </c>
      <c r="V148" t="s">
        <v>1077</v>
      </c>
      <c r="W148" t="s">
        <v>1078</v>
      </c>
      <c r="Z148" t="s">
        <v>75</v>
      </c>
      <c r="AB148" t="s">
        <v>1079</v>
      </c>
      <c r="AD148" s="130"/>
      <c r="AE148"/>
      <c r="AG148" t="s">
        <v>76</v>
      </c>
      <c r="AI148" t="s">
        <v>1079</v>
      </c>
      <c r="AK148" t="s">
        <v>84</v>
      </c>
      <c r="AM148" s="38"/>
      <c r="AO148" t="s">
        <v>1075</v>
      </c>
      <c r="AR148" t="str">
        <f t="shared" si="8"/>
        <v/>
      </c>
      <c r="AS148" t="str">
        <f t="shared" si="9"/>
        <v/>
      </c>
      <c r="AT148" t="str">
        <f>IF(Table1[[#This Row],[Joining Date]]="", "", TEXT(Table1[[#This Row],[Joining Date]], "mmm"))</f>
        <v/>
      </c>
      <c r="AU148" t="str">
        <f>IF(Table1[[#This Row],[Joining Date]]="", "", YEAR(Table1[[#This Row],[Joining Date]]))</f>
        <v/>
      </c>
      <c r="AV148" t="str">
        <f>IF(Table1[[#This Row],[Group Name]]="","", M148 &amp; Table1[[#This Row],[Teacher]])</f>
        <v/>
      </c>
      <c r="AW148" t="str">
        <f>IF(Table1[[#This Row],[Helper]]="","",IF(_xlfn.MAXIFS(AT:AT,AW:AW,Table1[[#This Row],[Helper]])=Table1[[#This Row],[Clean Frequency]],_xlfn.MAXIFS(AT:AT,AW:AW,Table1[[#This Row],[Helper]]),""))</f>
        <v/>
      </c>
      <c r="AX148" t="str">
        <f ca="1">IF(AND(AW148=_xlfn.MAXIFS(AX:AX, AW:AW, AV148), COUNTIFS(AV$3:AV148, AV148, AW$3:AW148, AW148)=1), 1, "")</f>
        <v/>
      </c>
      <c r="AY148" t="str">
        <f>IF(Table1[[#This Row],[lesson type]]="private",Table1[[#This Row],[Clean Frequency]],"")</f>
        <v/>
      </c>
      <c r="AZ148" t="str">
        <f ca="1">IF(Table1[[#This Row],[First Occurrence]]=1,Table1[[#This Row],[Group Frequency]],"")</f>
        <v/>
      </c>
      <c r="BA148" t="str">
        <f ca="1">IF(B148="Y", IF(Table1[[#This Row],[Stop]]="", TODAY() - Table1[[#This Row],[Joining Date]], Table1[[#This Row],[Stop]] - Table1[[#This Row],[Joining Date]]), "")</f>
        <v/>
      </c>
      <c r="BB148" t="str">
        <f>_xlfn.CONCAT(Table1[[#This Row],[t]]," ",Table1[[#This Row],[Last Name]])</f>
        <v>Sakutaro Nagao</v>
      </c>
      <c r="BC148" t="str">
        <f>IF(OR(Table1[[#This Row],[Teacher]]="Alex",Table1[[#This Row],[Teacher]]=""), "", Table1[[#This Row],[For Salary]])</f>
        <v/>
      </c>
      <c r="BD148" t="str">
        <f>IF(OR(Table1[[#This Row],[Teacher]]="Alex",Table1[[#This Row],[Teacher]]=""), "", Table1[[#This Row],[For Amount]])</f>
        <v/>
      </c>
      <c r="BE148" t="str">
        <f>IFERROR(IF(VLOOKUP(Table1[[#This Row],[Teacher]],'Teachers Salaries'!A:C,2,FALSE)="","",VLOOKUP(Table1[[#This Row],[Teacher]],'Teachers Salaries'!A:C,2,FALSE)),"")</f>
        <v/>
      </c>
      <c r="BF148" t="str">
        <f>IFERROR(IF(VLOOKUP(Table1[[#This Row],[Teacher]],'Teachers Salaries'!A:C,3,FALSE)="","",VLOOKUP(Table1[[#This Row],[Teacher]],'Teachers Salaries'!A:C,3,FALSE)),"")</f>
        <v/>
      </c>
      <c r="BG148">
        <f ca="1">IFERROR(IF(Table1[[#This Row],[Pay Type]]="Fixed","-",Table1[[#This Row],[Final Group Frequency2]]*Table1[[#This Row],[Salary / Hourly Rate]]),0)</f>
        <v>0</v>
      </c>
      <c r="BH148">
        <f>IFERROR(IF(Table1[[#This Row],[Pay Type]]="Fixed","----",Table1[[#This Row],[Salary / Hourly Rate]]*Table1[[#This Row],[Final PrivateFrequency]]),0)</f>
        <v>0</v>
      </c>
      <c r="BI148">
        <f ca="1">IF(Table1[[#This Row],[Pay Type]]="Fixed","---",Table1[[#This Row],[Group Salary]]+Table1[[#This Row],[Private Salary]])</f>
        <v>0</v>
      </c>
      <c r="BJ148" t="str">
        <f>IF(OR(J148="Alex", J148=""),"", Table1[[#This Row],[For Amount]])</f>
        <v/>
      </c>
      <c r="BK148">
        <f ca="1">IFERROR(Table1[[#This Row],[Fee]]-Table1[[#This Row],[Total Salary]],"")</f>
        <v>0</v>
      </c>
      <c r="BL148" t="str">
        <f>IF(Table1[[#This Row],[Joining Date]]="","",IF(Table1[[#This Row],[Joining Date]]&lt;='KPI+Pivot'!$CP$1,Table1[[#This Row],[Fee]],""))</f>
        <v/>
      </c>
      <c r="BM14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8" t="str">
        <f>IF(Table1[[#This Row],[Joining Date]]="","",IF(Table1[[#This Row],[Joining Date]]&lt;='KPI+Pivot'!$CP$1,Table1[[#This Row],[Total Salary]],""))</f>
        <v/>
      </c>
      <c r="BO148" t="str">
        <f>IF(Table1[[#This Row],[Joining Date]]="","",IF(Table1[[#This Row],[Joining Date]]&lt;='KPI+Pivot'!$CP$1,Table1[[#This Row],[Frequency]],""))</f>
        <v/>
      </c>
      <c r="BP148" s="38" t="str">
        <f>IF(Table1[[#This Row],[Stop]]="","",(IF(Table1[[#This Row],[Joining Date]]="","",IF(Table1[[#This Row],[Joining Date]]&lt;='KPI+Pivot'!$CP$1,Table1[[#This Row],[Stop]],""))))</f>
        <v/>
      </c>
    </row>
    <row r="149" spans="1:68" ht="22.9" customHeight="1">
      <c r="B149" t="s">
        <v>66</v>
      </c>
      <c r="C149" t="s">
        <v>1080</v>
      </c>
      <c r="D149" t="s">
        <v>997</v>
      </c>
      <c r="F149" t="s">
        <v>1081</v>
      </c>
      <c r="G149" t="s">
        <v>1082</v>
      </c>
      <c r="H149" t="s">
        <v>1083</v>
      </c>
      <c r="I149" t="str">
        <f>IFERROR(HYPERLINK("#Finance!B" &amp; MATCH(A149, 'F 2025'!A:A, 0), "🔗 Go to finance"), "❌ ID introuvable")</f>
        <v>❌ ID introuvable</v>
      </c>
      <c r="V149" t="s">
        <v>1001</v>
      </c>
      <c r="W149" t="s">
        <v>1001</v>
      </c>
      <c r="Y149">
        <v>9059302430</v>
      </c>
      <c r="Z149" t="s">
        <v>75</v>
      </c>
      <c r="AB149" t="s">
        <v>1002</v>
      </c>
      <c r="AD149" s="130"/>
      <c r="AE149"/>
      <c r="AG149" t="s">
        <v>76</v>
      </c>
      <c r="AI149" t="s">
        <v>1002</v>
      </c>
      <c r="AK149" t="s">
        <v>362</v>
      </c>
      <c r="AM149" s="38"/>
      <c r="AO149" t="s">
        <v>1082</v>
      </c>
      <c r="AR149" t="str">
        <f t="shared" si="8"/>
        <v/>
      </c>
      <c r="AS149" t="str">
        <f t="shared" si="9"/>
        <v/>
      </c>
      <c r="AT149" t="str">
        <f>IF(Table1[[#This Row],[Joining Date]]="", "", TEXT(Table1[[#This Row],[Joining Date]], "mmm"))</f>
        <v/>
      </c>
      <c r="AU149" t="str">
        <f>IF(Table1[[#This Row],[Joining Date]]="", "", YEAR(Table1[[#This Row],[Joining Date]]))</f>
        <v/>
      </c>
      <c r="AV149" t="str">
        <f>IF(Table1[[#This Row],[Group Name]]="","", M149 &amp; Table1[[#This Row],[Teacher]])</f>
        <v/>
      </c>
      <c r="AW149" t="str">
        <f>IF(Table1[[#This Row],[Helper]]="","",IF(_xlfn.MAXIFS(AT:AT,AW:AW,Table1[[#This Row],[Helper]])=Table1[[#This Row],[Clean Frequency]],_xlfn.MAXIFS(AT:AT,AW:AW,Table1[[#This Row],[Helper]]),""))</f>
        <v/>
      </c>
      <c r="AX149" t="str">
        <f ca="1">IF(AND(AW149=_xlfn.MAXIFS(AX:AX, AW:AW, AV149), COUNTIFS(AV$3:AV149, AV149, AW$3:AW149, AW149)=1), 1, "")</f>
        <v/>
      </c>
      <c r="AY149" t="str">
        <f>IF(Table1[[#This Row],[lesson type]]="private",Table1[[#This Row],[Clean Frequency]],"")</f>
        <v/>
      </c>
      <c r="AZ149" t="str">
        <f ca="1">IF(Table1[[#This Row],[First Occurrence]]=1,Table1[[#This Row],[Group Frequency]],"")</f>
        <v/>
      </c>
      <c r="BA149" t="str">
        <f ca="1">IF(B149="Y", IF(Table1[[#This Row],[Stop]]="", TODAY() - Table1[[#This Row],[Joining Date]], Table1[[#This Row],[Stop]] - Table1[[#This Row],[Joining Date]]), "")</f>
        <v/>
      </c>
      <c r="BB149" t="str">
        <f>_xlfn.CONCAT(Table1[[#This Row],[t]]," ",Table1[[#This Row],[Last Name]])</f>
        <v>Sara Tsutsumi</v>
      </c>
      <c r="BC149" t="str">
        <f>IF(OR(Table1[[#This Row],[Teacher]]="Alex",Table1[[#This Row],[Teacher]]=""), "", Table1[[#This Row],[For Salary]])</f>
        <v/>
      </c>
      <c r="BD149" t="str">
        <f>IF(OR(Table1[[#This Row],[Teacher]]="Alex",Table1[[#This Row],[Teacher]]=""), "", Table1[[#This Row],[For Amount]])</f>
        <v/>
      </c>
      <c r="BE149" t="str">
        <f>IFERROR(IF(VLOOKUP(Table1[[#This Row],[Teacher]],'Teachers Salaries'!A:C,2,FALSE)="","",VLOOKUP(Table1[[#This Row],[Teacher]],'Teachers Salaries'!A:C,2,FALSE)),"")</f>
        <v/>
      </c>
      <c r="BF149" t="str">
        <f>IFERROR(IF(VLOOKUP(Table1[[#This Row],[Teacher]],'Teachers Salaries'!A:C,3,FALSE)="","",VLOOKUP(Table1[[#This Row],[Teacher]],'Teachers Salaries'!A:C,3,FALSE)),"")</f>
        <v/>
      </c>
      <c r="BG149">
        <f ca="1">IFERROR(IF(Table1[[#This Row],[Pay Type]]="Fixed","-",Table1[[#This Row],[Final Group Frequency2]]*Table1[[#This Row],[Salary / Hourly Rate]]),0)</f>
        <v>0</v>
      </c>
      <c r="BH149">
        <f>IFERROR(IF(Table1[[#This Row],[Pay Type]]="Fixed","----",Table1[[#This Row],[Salary / Hourly Rate]]*Table1[[#This Row],[Final PrivateFrequency]]),0)</f>
        <v>0</v>
      </c>
      <c r="BI149">
        <f ca="1">IF(Table1[[#This Row],[Pay Type]]="Fixed","---",Table1[[#This Row],[Group Salary]]+Table1[[#This Row],[Private Salary]])</f>
        <v>0</v>
      </c>
      <c r="BJ149" t="str">
        <f>IF(OR(J149="Alex", J149=""),"", Table1[[#This Row],[For Amount]])</f>
        <v/>
      </c>
      <c r="BK149">
        <f ca="1">IFERROR(Table1[[#This Row],[Fee]]-Table1[[#This Row],[Total Salary]],"")</f>
        <v>0</v>
      </c>
      <c r="BL149" t="str">
        <f>IF(Table1[[#This Row],[Joining Date]]="","",IF(Table1[[#This Row],[Joining Date]]&lt;='KPI+Pivot'!$CP$1,Table1[[#This Row],[Fee]],""))</f>
        <v/>
      </c>
      <c r="BM14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9" t="str">
        <f>IF(Table1[[#This Row],[Joining Date]]="","",IF(Table1[[#This Row],[Joining Date]]&lt;='KPI+Pivot'!$CP$1,Table1[[#This Row],[Total Salary]],""))</f>
        <v/>
      </c>
      <c r="BO149" t="str">
        <f>IF(Table1[[#This Row],[Joining Date]]="","",IF(Table1[[#This Row],[Joining Date]]&lt;='KPI+Pivot'!$CP$1,Table1[[#This Row],[Frequency]],""))</f>
        <v/>
      </c>
      <c r="BP149" s="38" t="str">
        <f>IF(Table1[[#This Row],[Stop]]="","",(IF(Table1[[#This Row],[Joining Date]]="","",IF(Table1[[#This Row],[Joining Date]]&lt;='KPI+Pivot'!$CP$1,Table1[[#This Row],[Stop]],""))))</f>
        <v/>
      </c>
    </row>
    <row r="150" spans="1:68" ht="18" customHeight="1">
      <c r="A150">
        <v>126</v>
      </c>
      <c r="B150" t="s">
        <v>103</v>
      </c>
      <c r="C150" t="s">
        <v>1080</v>
      </c>
      <c r="D150" t="s">
        <v>1084</v>
      </c>
      <c r="F150" t="s">
        <v>1085</v>
      </c>
      <c r="G150" t="s">
        <v>1086</v>
      </c>
      <c r="H150" t="s">
        <v>1087</v>
      </c>
      <c r="I150" t="str">
        <f>IFERROR(HYPERLINK("#Finance!B" &amp; MATCH(A150, 'F 2025'!A:A, 0), "🔗 Go to finance"), "❌ ID introuvable")</f>
        <v>🔗 Go to finance</v>
      </c>
      <c r="J150" t="s">
        <v>109</v>
      </c>
      <c r="K150" t="s">
        <v>1088</v>
      </c>
      <c r="L150" t="s">
        <v>502</v>
      </c>
      <c r="O150">
        <v>6050</v>
      </c>
      <c r="R150">
        <v>17050</v>
      </c>
      <c r="T150" s="130">
        <v>45386</v>
      </c>
      <c r="V150" t="s">
        <v>1089</v>
      </c>
      <c r="W150" t="s">
        <v>1090</v>
      </c>
      <c r="Z150" t="s">
        <v>75</v>
      </c>
      <c r="AB150" t="s">
        <v>1091</v>
      </c>
      <c r="AD150" s="130">
        <v>45386</v>
      </c>
      <c r="AE150"/>
      <c r="AG150" t="s">
        <v>76</v>
      </c>
      <c r="AI150" t="s">
        <v>1091</v>
      </c>
      <c r="AK150" t="s">
        <v>111</v>
      </c>
      <c r="AM150" s="38"/>
      <c r="AO150" t="s">
        <v>1086</v>
      </c>
      <c r="AR150" t="str">
        <f t="shared" si="8"/>
        <v>group</v>
      </c>
      <c r="AS150">
        <f t="shared" si="9"/>
        <v>4</v>
      </c>
      <c r="AT150" t="str">
        <f>IF(Table1[[#This Row],[Joining Date]]="", "", TEXT(Table1[[#This Row],[Joining Date]], "mmm"))</f>
        <v>Apr</v>
      </c>
      <c r="AU150">
        <f>IF(Table1[[#This Row],[Joining Date]]="", "", YEAR(Table1[[#This Row],[Joining Date]]))</f>
        <v>2024</v>
      </c>
      <c r="AV150" t="str">
        <f>IF(Table1[[#This Row],[Group Name]]="","", M150 &amp; Table1[[#This Row],[Teacher]])</f>
        <v/>
      </c>
      <c r="AW150" t="str">
        <f>IF(Table1[[#This Row],[Helper]]="","",IF(_xlfn.MAXIFS(AT:AT,AW:AW,Table1[[#This Row],[Helper]])=Table1[[#This Row],[Clean Frequency]],_xlfn.MAXIFS(AT:AT,AW:AW,Table1[[#This Row],[Helper]]),""))</f>
        <v/>
      </c>
      <c r="AX150" t="str">
        <f ca="1">IF(AND(AW150=_xlfn.MAXIFS(AX:AX, AW:AW, AV150), COUNTIFS(AV$3:AV150, AV150, AW$3:AW150, AW150)=1), 1, "")</f>
        <v/>
      </c>
      <c r="AY150" t="str">
        <f>IF(Table1[[#This Row],[lesson type]]="private",Table1[[#This Row],[Clean Frequency]],"")</f>
        <v/>
      </c>
      <c r="AZ150" t="str">
        <f ca="1">IF(Table1[[#This Row],[First Occurrence]]=1,Table1[[#This Row],[Group Frequency]],"")</f>
        <v/>
      </c>
      <c r="BA150">
        <f ca="1">IF(B150="Y", IF(Table1[[#This Row],[Stop]]="", TODAY() - Table1[[#This Row],[Joining Date]], Table1[[#This Row],[Stop]] - Table1[[#This Row],[Joining Date]]), "")</f>
        <v>791</v>
      </c>
      <c r="BB150" t="str">
        <f>_xlfn.CONCAT(Table1[[#This Row],[t]]," ",Table1[[#This Row],[Last Name]])</f>
        <v>Sara Shiraishi</v>
      </c>
      <c r="BC150" t="str">
        <f>IF(OR(Table1[[#This Row],[Teacher]]="Alex",Table1[[#This Row],[Teacher]]=""), "", Table1[[#This Row],[For Salary]])</f>
        <v/>
      </c>
      <c r="BD150" t="str">
        <f>IF(OR(Table1[[#This Row],[Teacher]]="Alex",Table1[[#This Row],[Teacher]]=""), "", Table1[[#This Row],[For Amount]])</f>
        <v/>
      </c>
      <c r="BE150" t="str">
        <f>IFERROR(IF(VLOOKUP(Table1[[#This Row],[Teacher]],'Teachers Salaries'!A:C,2,FALSE)="","",VLOOKUP(Table1[[#This Row],[Teacher]],'Teachers Salaries'!A:C,2,FALSE)),"")</f>
        <v>Fixed</v>
      </c>
      <c r="BF150">
        <f>IFERROR(IF(VLOOKUP(Table1[[#This Row],[Teacher]],'Teachers Salaries'!A:C,3,FALSE)="","",VLOOKUP(Table1[[#This Row],[Teacher]],'Teachers Salaries'!A:C,3,FALSE)),"")</f>
        <v>210000</v>
      </c>
      <c r="BG150" t="str">
        <f>IFERROR(IF(Table1[[#This Row],[Pay Type]]="Fixed","-",Table1[[#This Row],[Final Group Frequency2]]*Table1[[#This Row],[Salary / Hourly Rate]]),0)</f>
        <v>-</v>
      </c>
      <c r="BH150" t="str">
        <f>IFERROR(IF(Table1[[#This Row],[Pay Type]]="Fixed","----",Table1[[#This Row],[Salary / Hourly Rate]]*Table1[[#This Row],[Final PrivateFrequency]]),0)</f>
        <v>----</v>
      </c>
      <c r="BI150" t="str">
        <f>IF(Table1[[#This Row],[Pay Type]]="Fixed","---",Table1[[#This Row],[Group Salary]]+Table1[[#This Row],[Private Salary]])</f>
        <v>---</v>
      </c>
      <c r="BJ150" t="str">
        <f>IF(OR(J150="Alex", J150=""),"", Table1[[#This Row],[For Amount]])</f>
        <v/>
      </c>
      <c r="BK150" t="str">
        <f>IFERROR(Table1[[#This Row],[Fee]]-Table1[[#This Row],[Total Salary]],"")</f>
        <v/>
      </c>
      <c r="BL150" t="e">
        <f>IF(Table1[[#This Row],[Joining Date]]="","",IF(Table1[[#This Row],[Joining Date]]&lt;='KPI+Pivot'!$CP$1,Table1[[#This Row],[Fee]],""))</f>
        <v>#N/A</v>
      </c>
      <c r="BM15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0" t="e">
        <f>IF(Table1[[#This Row],[Joining Date]]="","",IF(Table1[[#This Row],[Joining Date]]&lt;='KPI+Pivot'!$CP$1,Table1[[#This Row],[Total Salary]],""))</f>
        <v>#N/A</v>
      </c>
      <c r="BO150" t="e">
        <f>IF(Table1[[#This Row],[Joining Date]]="","",IF(Table1[[#This Row],[Joining Date]]&lt;='KPI+Pivot'!$CP$1,Table1[[#This Row],[Frequency]],""))</f>
        <v>#N/A</v>
      </c>
      <c r="BP150" s="38" t="str">
        <f>IF(Table1[[#This Row],[Stop]]="","",(IF(Table1[[#This Row],[Joining Date]]="","",IF(Table1[[#This Row],[Joining Date]]&lt;='KPI+Pivot'!$CP$1,Table1[[#This Row],[Stop]],""))))</f>
        <v/>
      </c>
    </row>
    <row r="151" spans="1:68" ht="22.9" customHeight="1">
      <c r="B151" t="s">
        <v>66</v>
      </c>
      <c r="C151" t="s">
        <v>1092</v>
      </c>
      <c r="D151" t="s">
        <v>1093</v>
      </c>
      <c r="F151" t="s">
        <v>1094</v>
      </c>
      <c r="G151" t="s">
        <v>1095</v>
      </c>
      <c r="H151" t="s">
        <v>1096</v>
      </c>
      <c r="I151" t="str">
        <f>IFERROR(HYPERLINK("#Finance!B" &amp; MATCH(A151, 'F 2025'!A:A, 0), "🔗 Go to finance"), "❌ ID introuvable")</f>
        <v>❌ ID introuvable</v>
      </c>
      <c r="V151" t="s">
        <v>1097</v>
      </c>
      <c r="W151" t="s">
        <v>1097</v>
      </c>
      <c r="Z151" t="s">
        <v>75</v>
      </c>
      <c r="AB151" t="s">
        <v>1098</v>
      </c>
      <c r="AD151" s="130"/>
      <c r="AE151"/>
      <c r="AG151" t="s">
        <v>76</v>
      </c>
      <c r="AI151" t="s">
        <v>1098</v>
      </c>
      <c r="AK151" t="s">
        <v>182</v>
      </c>
      <c r="AM151" s="38">
        <v>45716</v>
      </c>
      <c r="AO151" t="s">
        <v>1095</v>
      </c>
      <c r="AR151" t="str">
        <f t="shared" si="8"/>
        <v/>
      </c>
      <c r="AS151" t="str">
        <f t="shared" si="9"/>
        <v/>
      </c>
      <c r="AT151" t="str">
        <f>IF(Table1[[#This Row],[Joining Date]]="", "", TEXT(Table1[[#This Row],[Joining Date]], "mmm"))</f>
        <v/>
      </c>
      <c r="AU151" t="str">
        <f>IF(Table1[[#This Row],[Joining Date]]="", "", YEAR(Table1[[#This Row],[Joining Date]]))</f>
        <v/>
      </c>
      <c r="AV151" t="str">
        <f>IF(Table1[[#This Row],[Group Name]]="","", M151 &amp; Table1[[#This Row],[Teacher]])</f>
        <v/>
      </c>
      <c r="AW151" t="str">
        <f>IF(Table1[[#This Row],[Helper]]="","",IF(_xlfn.MAXIFS(AT:AT,AW:AW,Table1[[#This Row],[Helper]])=Table1[[#This Row],[Clean Frequency]],_xlfn.MAXIFS(AT:AT,AW:AW,Table1[[#This Row],[Helper]]),""))</f>
        <v/>
      </c>
      <c r="AX151" t="str">
        <f ca="1">IF(AND(AW151=_xlfn.MAXIFS(AX:AX, AW:AW, AV151), COUNTIFS(AV$3:AV151, AV151, AW$3:AW151, AW151)=1), 1, "")</f>
        <v/>
      </c>
      <c r="AY151" t="str">
        <f>IF(Table1[[#This Row],[lesson type]]="private",Table1[[#This Row],[Clean Frequency]],"")</f>
        <v/>
      </c>
      <c r="AZ151" t="str">
        <f ca="1">IF(Table1[[#This Row],[First Occurrence]]=1,Table1[[#This Row],[Group Frequency]],"")</f>
        <v/>
      </c>
      <c r="BA151" t="str">
        <f ca="1">IF(B151="Y", IF(Table1[[#This Row],[Stop]]="", TODAY() - Table1[[#This Row],[Joining Date]], Table1[[#This Row],[Stop]] - Table1[[#This Row],[Joining Date]]), "")</f>
        <v/>
      </c>
      <c r="BB151" t="str">
        <f>_xlfn.CONCAT(Table1[[#This Row],[t]]," ",Table1[[#This Row],[Last Name]])</f>
        <v>Sawa Sunada</v>
      </c>
      <c r="BC151" t="str">
        <f>IF(OR(Table1[[#This Row],[Teacher]]="Alex",Table1[[#This Row],[Teacher]]=""), "", Table1[[#This Row],[For Salary]])</f>
        <v/>
      </c>
      <c r="BD151" t="str">
        <f>IF(OR(Table1[[#This Row],[Teacher]]="Alex",Table1[[#This Row],[Teacher]]=""), "", Table1[[#This Row],[For Amount]])</f>
        <v/>
      </c>
      <c r="BE151" t="str">
        <f>IFERROR(IF(VLOOKUP(Table1[[#This Row],[Teacher]],'Teachers Salaries'!A:C,2,FALSE)="","",VLOOKUP(Table1[[#This Row],[Teacher]],'Teachers Salaries'!A:C,2,FALSE)),"")</f>
        <v/>
      </c>
      <c r="BF151" t="str">
        <f>IFERROR(IF(VLOOKUP(Table1[[#This Row],[Teacher]],'Teachers Salaries'!A:C,3,FALSE)="","",VLOOKUP(Table1[[#This Row],[Teacher]],'Teachers Salaries'!A:C,3,FALSE)),"")</f>
        <v/>
      </c>
      <c r="BG151">
        <f ca="1">IFERROR(IF(Table1[[#This Row],[Pay Type]]="Fixed","-",Table1[[#This Row],[Final Group Frequency2]]*Table1[[#This Row],[Salary / Hourly Rate]]),0)</f>
        <v>0</v>
      </c>
      <c r="BH151">
        <f>IFERROR(IF(Table1[[#This Row],[Pay Type]]="Fixed","----",Table1[[#This Row],[Salary / Hourly Rate]]*Table1[[#This Row],[Final PrivateFrequency]]),0)</f>
        <v>0</v>
      </c>
      <c r="BI151">
        <f ca="1">IF(Table1[[#This Row],[Pay Type]]="Fixed","---",Table1[[#This Row],[Group Salary]]+Table1[[#This Row],[Private Salary]])</f>
        <v>0</v>
      </c>
      <c r="BJ151" t="str">
        <f>IF(OR(J151="Alex", J151=""),"", Table1[[#This Row],[For Amount]])</f>
        <v/>
      </c>
      <c r="BK151">
        <f ca="1">IFERROR(Table1[[#This Row],[Fee]]-Table1[[#This Row],[Total Salary]],"")</f>
        <v>0</v>
      </c>
      <c r="BL151" t="str">
        <f>IF(Table1[[#This Row],[Joining Date]]="","",IF(Table1[[#This Row],[Joining Date]]&lt;='KPI+Pivot'!$CP$1,Table1[[#This Row],[Fee]],""))</f>
        <v/>
      </c>
      <c r="BM15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51" t="str">
        <f>IF(Table1[[#This Row],[Joining Date]]="","",IF(Table1[[#This Row],[Joining Date]]&lt;='KPI+Pivot'!$CP$1,Table1[[#This Row],[Total Salary]],""))</f>
        <v/>
      </c>
      <c r="BO151" t="str">
        <f>IF(Table1[[#This Row],[Joining Date]]="","",IF(Table1[[#This Row],[Joining Date]]&lt;='KPI+Pivot'!$CP$1,Table1[[#This Row],[Frequency]],""))</f>
        <v/>
      </c>
      <c r="BP151" s="38" t="str">
        <f>IF(Table1[[#This Row],[Stop]]="","",(IF(Table1[[#This Row],[Joining Date]]="","",IF(Table1[[#This Row],[Joining Date]]&lt;='KPI+Pivot'!$CP$1,Table1[[#This Row],[Stop]],""))))</f>
        <v/>
      </c>
    </row>
    <row r="152" spans="1:68" ht="22.9" customHeight="1">
      <c r="B152" t="s">
        <v>66</v>
      </c>
      <c r="C152" t="s">
        <v>1099</v>
      </c>
      <c r="D152" t="s">
        <v>1100</v>
      </c>
      <c r="F152" t="s">
        <v>1101</v>
      </c>
      <c r="G152" t="s">
        <v>1102</v>
      </c>
      <c r="H152" t="s">
        <v>1103</v>
      </c>
      <c r="I152" t="str">
        <f>IFERROR(HYPERLINK("#Finance!B" &amp; MATCH(A152, 'F 2025'!A:A, 0), "🔗 Go to finance"), "❌ ID introuvable")</f>
        <v>❌ ID introuvable</v>
      </c>
      <c r="L152" t="s">
        <v>132</v>
      </c>
      <c r="V152" t="s">
        <v>1104</v>
      </c>
      <c r="Y152" t="s">
        <v>1105</v>
      </c>
      <c r="Z152" t="s">
        <v>75</v>
      </c>
      <c r="AD152" s="130">
        <v>43557</v>
      </c>
      <c r="AE152"/>
      <c r="AG152" t="s">
        <v>76</v>
      </c>
      <c r="AK152" t="s">
        <v>132</v>
      </c>
      <c r="AM152" s="38"/>
      <c r="AO152" t="s">
        <v>1102</v>
      </c>
      <c r="AR152" t="str">
        <f t="shared" si="8"/>
        <v/>
      </c>
      <c r="AS152" t="str">
        <f t="shared" si="9"/>
        <v/>
      </c>
      <c r="AT152" t="str">
        <f>IF(Table1[[#This Row],[Joining Date]]="", "", TEXT(Table1[[#This Row],[Joining Date]], "mmm"))</f>
        <v>Apr</v>
      </c>
      <c r="AU152">
        <f>IF(Table1[[#This Row],[Joining Date]]="", "", YEAR(Table1[[#This Row],[Joining Date]]))</f>
        <v>2019</v>
      </c>
      <c r="AV152" t="str">
        <f>IF(Table1[[#This Row],[Group Name]]="","", M152 &amp; Table1[[#This Row],[Teacher]])</f>
        <v/>
      </c>
      <c r="AW152" t="str">
        <f>IF(Table1[[#This Row],[Helper]]="","",IF(_xlfn.MAXIFS(AT:AT,AW:AW,Table1[[#This Row],[Helper]])=Table1[[#This Row],[Clean Frequency]],_xlfn.MAXIFS(AT:AT,AW:AW,Table1[[#This Row],[Helper]]),""))</f>
        <v/>
      </c>
      <c r="AX152" t="str">
        <f ca="1">IF(AND(AW152=_xlfn.MAXIFS(AX:AX, AW:AW, AV152), COUNTIFS(AV$3:AV152, AV152, AW$3:AW152, AW152)=1), 1, "")</f>
        <v/>
      </c>
      <c r="AY152" t="str">
        <f>IF(Table1[[#This Row],[lesson type]]="private",Table1[[#This Row],[Clean Frequency]],"")</f>
        <v/>
      </c>
      <c r="AZ152" t="str">
        <f ca="1">IF(Table1[[#This Row],[First Occurrence]]=1,Table1[[#This Row],[Group Frequency]],"")</f>
        <v/>
      </c>
      <c r="BA152" t="str">
        <f ca="1">IF(B152="Y", IF(Table1[[#This Row],[Stop]]="", TODAY() - Table1[[#This Row],[Joining Date]], Table1[[#This Row],[Stop]] - Table1[[#This Row],[Joining Date]]), "")</f>
        <v/>
      </c>
      <c r="BB152" t="str">
        <f>_xlfn.CONCAT(Table1[[#This Row],[t]]," ",Table1[[#This Row],[Last Name]])</f>
        <v>Saya Hashimoto</v>
      </c>
      <c r="BC152" t="str">
        <f>IF(OR(Table1[[#This Row],[Teacher]]="Alex",Table1[[#This Row],[Teacher]]=""), "", Table1[[#This Row],[For Salary]])</f>
        <v/>
      </c>
      <c r="BD152" t="str">
        <f>IF(OR(Table1[[#This Row],[Teacher]]="Alex",Table1[[#This Row],[Teacher]]=""), "", Table1[[#This Row],[For Amount]])</f>
        <v/>
      </c>
      <c r="BE152" t="str">
        <f>IFERROR(IF(VLOOKUP(Table1[[#This Row],[Teacher]],'Teachers Salaries'!A:C,2,FALSE)="","",VLOOKUP(Table1[[#This Row],[Teacher]],'Teachers Salaries'!A:C,2,FALSE)),"")</f>
        <v/>
      </c>
      <c r="BF152" t="str">
        <f>IFERROR(IF(VLOOKUP(Table1[[#This Row],[Teacher]],'Teachers Salaries'!A:C,3,FALSE)="","",VLOOKUP(Table1[[#This Row],[Teacher]],'Teachers Salaries'!A:C,3,FALSE)),"")</f>
        <v/>
      </c>
      <c r="BG152">
        <f ca="1">IFERROR(IF(Table1[[#This Row],[Pay Type]]="Fixed","-",Table1[[#This Row],[Final Group Frequency2]]*Table1[[#This Row],[Salary / Hourly Rate]]),0)</f>
        <v>0</v>
      </c>
      <c r="BH152">
        <f>IFERROR(IF(Table1[[#This Row],[Pay Type]]="Fixed","----",Table1[[#This Row],[Salary / Hourly Rate]]*Table1[[#This Row],[Final PrivateFrequency]]),0)</f>
        <v>0</v>
      </c>
      <c r="BI152">
        <f ca="1">IF(Table1[[#This Row],[Pay Type]]="Fixed","---",Table1[[#This Row],[Group Salary]]+Table1[[#This Row],[Private Salary]])</f>
        <v>0</v>
      </c>
      <c r="BJ152" t="str">
        <f>IF(OR(J152="Alex", J152=""),"", Table1[[#This Row],[For Amount]])</f>
        <v/>
      </c>
      <c r="BK152">
        <f ca="1">IFERROR(Table1[[#This Row],[Fee]]-Table1[[#This Row],[Total Salary]],"")</f>
        <v>0</v>
      </c>
      <c r="BL152" t="e">
        <f>IF(Table1[[#This Row],[Joining Date]]="","",IF(Table1[[#This Row],[Joining Date]]&lt;='KPI+Pivot'!$CP$1,Table1[[#This Row],[Fee]],""))</f>
        <v>#N/A</v>
      </c>
      <c r="BM15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2" t="e">
        <f>IF(Table1[[#This Row],[Joining Date]]="","",IF(Table1[[#This Row],[Joining Date]]&lt;='KPI+Pivot'!$CP$1,Table1[[#This Row],[Total Salary]],""))</f>
        <v>#N/A</v>
      </c>
      <c r="BO152" t="e">
        <f>IF(Table1[[#This Row],[Joining Date]]="","",IF(Table1[[#This Row],[Joining Date]]&lt;='KPI+Pivot'!$CP$1,Table1[[#This Row],[Frequency]],""))</f>
        <v>#N/A</v>
      </c>
      <c r="BP152" s="38" t="str">
        <f>IF(Table1[[#This Row],[Stop]]="","",(IF(Table1[[#This Row],[Joining Date]]="","",IF(Table1[[#This Row],[Joining Date]]&lt;='KPI+Pivot'!$CP$1,Table1[[#This Row],[Stop]],""))))</f>
        <v/>
      </c>
    </row>
    <row r="153" spans="1:68" ht="22.9" customHeight="1">
      <c r="B153" t="s">
        <v>66</v>
      </c>
      <c r="C153" t="s">
        <v>1106</v>
      </c>
      <c r="D153" t="s">
        <v>1107</v>
      </c>
      <c r="F153" t="s">
        <v>1108</v>
      </c>
      <c r="G153" t="s">
        <v>1109</v>
      </c>
      <c r="H153" t="s">
        <v>1110</v>
      </c>
      <c r="I153" t="str">
        <f>IFERROR(HYPERLINK("#Finance!B" &amp; MATCH(A153, 'F 2025'!A:A, 0), "🔗 Go to finance"), "❌ ID introuvable")</f>
        <v>❌ ID introuvable</v>
      </c>
      <c r="L153" t="s">
        <v>102</v>
      </c>
      <c r="V153" t="s">
        <v>1111</v>
      </c>
      <c r="W153" t="s">
        <v>1111</v>
      </c>
      <c r="Y153" t="s">
        <v>1112</v>
      </c>
      <c r="Z153" t="s">
        <v>75</v>
      </c>
      <c r="AB153" t="s">
        <v>1113</v>
      </c>
      <c r="AD153" s="130">
        <v>44013</v>
      </c>
      <c r="AE153"/>
      <c r="AG153" t="s">
        <v>76</v>
      </c>
      <c r="AI153" t="s">
        <v>1113</v>
      </c>
      <c r="AK153" t="s">
        <v>1114</v>
      </c>
      <c r="AM153" s="38"/>
      <c r="AO153" t="s">
        <v>1109</v>
      </c>
      <c r="AR153" t="str">
        <f t="shared" si="8"/>
        <v/>
      </c>
      <c r="AS153" t="str">
        <f t="shared" si="9"/>
        <v/>
      </c>
      <c r="AT153" t="str">
        <f>IF(Table1[[#This Row],[Joining Date]]="", "", TEXT(Table1[[#This Row],[Joining Date]], "mmm"))</f>
        <v>Jul</v>
      </c>
      <c r="AU153">
        <f>IF(Table1[[#This Row],[Joining Date]]="", "", YEAR(Table1[[#This Row],[Joining Date]]))</f>
        <v>2020</v>
      </c>
      <c r="AV153" t="str">
        <f>IF(Table1[[#This Row],[Group Name]]="","", M153 &amp; Table1[[#This Row],[Teacher]])</f>
        <v/>
      </c>
      <c r="AW153" t="str">
        <f>IF(Table1[[#This Row],[Helper]]="","",IF(_xlfn.MAXIFS(AT:AT,AW:AW,Table1[[#This Row],[Helper]])=Table1[[#This Row],[Clean Frequency]],_xlfn.MAXIFS(AT:AT,AW:AW,Table1[[#This Row],[Helper]]),""))</f>
        <v/>
      </c>
      <c r="AX153" t="str">
        <f ca="1">IF(AND(AW153=_xlfn.MAXIFS(AX:AX, AW:AW, AV153), COUNTIFS(AV$3:AV153, AV153, AW$3:AW153, AW153)=1), 1, "")</f>
        <v/>
      </c>
      <c r="AY153" t="str">
        <f>IF(Table1[[#This Row],[lesson type]]="private",Table1[[#This Row],[Clean Frequency]],"")</f>
        <v/>
      </c>
      <c r="AZ153" t="str">
        <f ca="1">IF(Table1[[#This Row],[First Occurrence]]=1,Table1[[#This Row],[Group Frequency]],"")</f>
        <v/>
      </c>
      <c r="BA153" t="str">
        <f ca="1">IF(B153="Y", IF(Table1[[#This Row],[Stop]]="", TODAY() - Table1[[#This Row],[Joining Date]], Table1[[#This Row],[Stop]] - Table1[[#This Row],[Joining Date]]), "")</f>
        <v/>
      </c>
      <c r="BB153" t="str">
        <f>_xlfn.CONCAT(Table1[[#This Row],[t]]," ",Table1[[#This Row],[Last Name]])</f>
        <v>Sayaka Yahiro</v>
      </c>
      <c r="BC153" t="str">
        <f>IF(OR(Table1[[#This Row],[Teacher]]="Alex",Table1[[#This Row],[Teacher]]=""), "", Table1[[#This Row],[For Salary]])</f>
        <v/>
      </c>
      <c r="BD153" t="str">
        <f>IF(OR(Table1[[#This Row],[Teacher]]="Alex",Table1[[#This Row],[Teacher]]=""), "", Table1[[#This Row],[For Amount]])</f>
        <v/>
      </c>
      <c r="BE153" t="str">
        <f>IFERROR(IF(VLOOKUP(Table1[[#This Row],[Teacher]],'Teachers Salaries'!A:C,2,FALSE)="","",VLOOKUP(Table1[[#This Row],[Teacher]],'Teachers Salaries'!A:C,2,FALSE)),"")</f>
        <v/>
      </c>
      <c r="BF153" t="str">
        <f>IFERROR(IF(VLOOKUP(Table1[[#This Row],[Teacher]],'Teachers Salaries'!A:C,3,FALSE)="","",VLOOKUP(Table1[[#This Row],[Teacher]],'Teachers Salaries'!A:C,3,FALSE)),"")</f>
        <v/>
      </c>
      <c r="BG153">
        <f ca="1">IFERROR(IF(Table1[[#This Row],[Pay Type]]="Fixed","-",Table1[[#This Row],[Final Group Frequency2]]*Table1[[#This Row],[Salary / Hourly Rate]]),0)</f>
        <v>0</v>
      </c>
      <c r="BH153">
        <f>IFERROR(IF(Table1[[#This Row],[Pay Type]]="Fixed","----",Table1[[#This Row],[Salary / Hourly Rate]]*Table1[[#This Row],[Final PrivateFrequency]]),0)</f>
        <v>0</v>
      </c>
      <c r="BI153">
        <f ca="1">IF(Table1[[#This Row],[Pay Type]]="Fixed","---",Table1[[#This Row],[Group Salary]]+Table1[[#This Row],[Private Salary]])</f>
        <v>0</v>
      </c>
      <c r="BJ153" t="str">
        <f>IF(OR(J153="Alex", J153=""),"", Table1[[#This Row],[For Amount]])</f>
        <v/>
      </c>
      <c r="BK153">
        <f ca="1">IFERROR(Table1[[#This Row],[Fee]]-Table1[[#This Row],[Total Salary]],"")</f>
        <v>0</v>
      </c>
      <c r="BL153" t="e">
        <f>IF(Table1[[#This Row],[Joining Date]]="","",IF(Table1[[#This Row],[Joining Date]]&lt;='KPI+Pivot'!$CP$1,Table1[[#This Row],[Fee]],""))</f>
        <v>#N/A</v>
      </c>
      <c r="BM15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3" t="e">
        <f>IF(Table1[[#This Row],[Joining Date]]="","",IF(Table1[[#This Row],[Joining Date]]&lt;='KPI+Pivot'!$CP$1,Table1[[#This Row],[Total Salary]],""))</f>
        <v>#N/A</v>
      </c>
      <c r="BO153" t="e">
        <f>IF(Table1[[#This Row],[Joining Date]]="","",IF(Table1[[#This Row],[Joining Date]]&lt;='KPI+Pivot'!$CP$1,Table1[[#This Row],[Frequency]],""))</f>
        <v>#N/A</v>
      </c>
      <c r="BP153" s="38" t="str">
        <f>IF(Table1[[#This Row],[Stop]]="","",(IF(Table1[[#This Row],[Joining Date]]="","",IF(Table1[[#This Row],[Joining Date]]&lt;='KPI+Pivot'!$CP$1,Table1[[#This Row],[Stop]],""))))</f>
        <v/>
      </c>
    </row>
    <row r="154" spans="1:68" ht="18" customHeight="1">
      <c r="A154">
        <v>149</v>
      </c>
      <c r="B154" t="s">
        <v>103</v>
      </c>
      <c r="C154" t="s">
        <v>1106</v>
      </c>
      <c r="D154" t="s">
        <v>1115</v>
      </c>
      <c r="F154" t="s">
        <v>1116</v>
      </c>
      <c r="G154" t="s">
        <v>1117</v>
      </c>
      <c r="H154" t="s">
        <v>1118</v>
      </c>
      <c r="I154" t="str">
        <f>IFERROR(HYPERLINK("#Finance!B" &amp; MATCH(A154, 'F 2025'!A:A, 0), "🔗 Go to finance"), "❌ ID introuvable")</f>
        <v>🔗 Go to finance</v>
      </c>
      <c r="J154" t="s">
        <v>109</v>
      </c>
      <c r="K154" t="s">
        <v>110</v>
      </c>
      <c r="L154" t="s">
        <v>197</v>
      </c>
      <c r="O154">
        <v>19800</v>
      </c>
      <c r="T154" s="130">
        <v>45383</v>
      </c>
      <c r="V154" t="s">
        <v>1119</v>
      </c>
      <c r="W154" t="s">
        <v>1119</v>
      </c>
      <c r="Y154">
        <v>8060969127</v>
      </c>
      <c r="Z154" t="s">
        <v>75</v>
      </c>
      <c r="AD154" s="130">
        <v>45383</v>
      </c>
      <c r="AE154"/>
      <c r="AG154" t="s">
        <v>76</v>
      </c>
      <c r="AK154" t="s">
        <v>84</v>
      </c>
      <c r="AM154" s="38"/>
      <c r="AO154" t="s">
        <v>1117</v>
      </c>
      <c r="AP154">
        <v>149</v>
      </c>
      <c r="AQ154" t="s">
        <v>1117</v>
      </c>
      <c r="AR154" t="str">
        <f t="shared" si="8"/>
        <v>private</v>
      </c>
      <c r="AS154">
        <f t="shared" si="9"/>
        <v>4</v>
      </c>
      <c r="AT154" t="str">
        <f>IF(Table1[[#This Row],[Joining Date]]="", "", TEXT(Table1[[#This Row],[Joining Date]], "mmm"))</f>
        <v>Apr</v>
      </c>
      <c r="AU154">
        <f>IF(Table1[[#This Row],[Joining Date]]="", "", YEAR(Table1[[#This Row],[Joining Date]]))</f>
        <v>2024</v>
      </c>
      <c r="AV154" t="str">
        <f>IF(Table1[[#This Row],[Group Name]]="","", M154 &amp; Table1[[#This Row],[Teacher]])</f>
        <v/>
      </c>
      <c r="AW154" t="str">
        <f>IF(Table1[[#This Row],[Helper]]="","",IF(_xlfn.MAXIFS(AT:AT,AW:AW,Table1[[#This Row],[Helper]])=Table1[[#This Row],[Clean Frequency]],_xlfn.MAXIFS(AT:AT,AW:AW,Table1[[#This Row],[Helper]]),""))</f>
        <v/>
      </c>
      <c r="AX154" t="str">
        <f ca="1">IF(AND(AW154=_xlfn.MAXIFS(AX:AX, AW:AW, AV154), COUNTIFS(AV$3:AV154, AV154, AW$3:AW154, AW154)=1), 1, "")</f>
        <v/>
      </c>
      <c r="AY154">
        <f>IF(Table1[[#This Row],[lesson type]]="private",Table1[[#This Row],[Clean Frequency]],"")</f>
        <v>4</v>
      </c>
      <c r="AZ154" t="str">
        <f ca="1">IF(Table1[[#This Row],[First Occurrence]]=1,Table1[[#This Row],[Group Frequency]],"")</f>
        <v/>
      </c>
      <c r="BA154">
        <f ca="1">IF(B154="Y", IF(Table1[[#This Row],[Stop]]="", TODAY() - Table1[[#This Row],[Joining Date]], Table1[[#This Row],[Stop]] - Table1[[#This Row],[Joining Date]]), "")</f>
        <v>794</v>
      </c>
      <c r="BB154" t="str">
        <f>_xlfn.CONCAT(Table1[[#This Row],[t]]," ",Table1[[#This Row],[Last Name]])</f>
        <v>Sayaka Matsumoto</v>
      </c>
      <c r="BC154" t="str">
        <f>IF(OR(Table1[[#This Row],[Teacher]]="Alex",Table1[[#This Row],[Teacher]]=""), "", Table1[[#This Row],[For Salary]])</f>
        <v/>
      </c>
      <c r="BD154" t="str">
        <f>IF(OR(Table1[[#This Row],[Teacher]]="Alex",Table1[[#This Row],[Teacher]]=""), "", Table1[[#This Row],[For Amount]])</f>
        <v/>
      </c>
      <c r="BE154" t="str">
        <f>IFERROR(IF(VLOOKUP(Table1[[#This Row],[Teacher]],'Teachers Salaries'!A:C,2,FALSE)="","",VLOOKUP(Table1[[#This Row],[Teacher]],'Teachers Salaries'!A:C,2,FALSE)),"")</f>
        <v>Fixed</v>
      </c>
      <c r="BF154">
        <f>IFERROR(IF(VLOOKUP(Table1[[#This Row],[Teacher]],'Teachers Salaries'!A:C,3,FALSE)="","",VLOOKUP(Table1[[#This Row],[Teacher]],'Teachers Salaries'!A:C,3,FALSE)),"")</f>
        <v>210000</v>
      </c>
      <c r="BG154" t="str">
        <f>IFERROR(IF(Table1[[#This Row],[Pay Type]]="Fixed","-",Table1[[#This Row],[Final Group Frequency2]]*Table1[[#This Row],[Salary / Hourly Rate]]),0)</f>
        <v>-</v>
      </c>
      <c r="BH154" t="str">
        <f>IFERROR(IF(Table1[[#This Row],[Pay Type]]="Fixed","----",Table1[[#This Row],[Salary / Hourly Rate]]*Table1[[#This Row],[Final PrivateFrequency]]),0)</f>
        <v>----</v>
      </c>
      <c r="BI154" t="str">
        <f>IF(Table1[[#This Row],[Pay Type]]="Fixed","---",Table1[[#This Row],[Group Salary]]+Table1[[#This Row],[Private Salary]])</f>
        <v>---</v>
      </c>
      <c r="BJ154" t="str">
        <f>IF(OR(J154="Alex", J154=""),"", Table1[[#This Row],[For Amount]])</f>
        <v/>
      </c>
      <c r="BK154" t="str">
        <f>IFERROR(Table1[[#This Row],[Fee]]-Table1[[#This Row],[Total Salary]],"")</f>
        <v/>
      </c>
      <c r="BL154" t="e">
        <f>IF(Table1[[#This Row],[Joining Date]]="","",IF(Table1[[#This Row],[Joining Date]]&lt;='KPI+Pivot'!$CP$1,Table1[[#This Row],[Fee]],""))</f>
        <v>#N/A</v>
      </c>
      <c r="BM15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4" t="e">
        <f>IF(Table1[[#This Row],[Joining Date]]="","",IF(Table1[[#This Row],[Joining Date]]&lt;='KPI+Pivot'!$CP$1,Table1[[#This Row],[Total Salary]],""))</f>
        <v>#N/A</v>
      </c>
      <c r="BO154" t="e">
        <f>IF(Table1[[#This Row],[Joining Date]]="","",IF(Table1[[#This Row],[Joining Date]]&lt;='KPI+Pivot'!$CP$1,Table1[[#This Row],[Frequency]],""))</f>
        <v>#N/A</v>
      </c>
      <c r="BP154" s="38" t="str">
        <f>IF(Table1[[#This Row],[Stop]]="","",(IF(Table1[[#This Row],[Joining Date]]="","",IF(Table1[[#This Row],[Joining Date]]&lt;='KPI+Pivot'!$CP$1,Table1[[#This Row],[Stop]],""))))</f>
        <v/>
      </c>
    </row>
    <row r="155" spans="1:68" ht="18" customHeight="1">
      <c r="A155">
        <v>138</v>
      </c>
      <c r="B155" t="s">
        <v>103</v>
      </c>
      <c r="C155" t="s">
        <v>1120</v>
      </c>
      <c r="D155" t="s">
        <v>1121</v>
      </c>
      <c r="F155" t="s">
        <v>1122</v>
      </c>
      <c r="G155" t="s">
        <v>1123</v>
      </c>
      <c r="H155" t="s">
        <v>1124</v>
      </c>
      <c r="I155" t="str">
        <f>IFERROR(HYPERLINK("#Finance!B" &amp; MATCH(A155, 'F 2025'!A:A, 0), "🔗 Go to finance"), "❌ ID introuvable")</f>
        <v>🔗 Go to finance</v>
      </c>
      <c r="J155" t="s">
        <v>109</v>
      </c>
      <c r="K155" t="s">
        <v>110</v>
      </c>
      <c r="L155" t="s">
        <v>507</v>
      </c>
      <c r="O155">
        <v>9900</v>
      </c>
      <c r="T155" s="130">
        <v>45383</v>
      </c>
      <c r="U155" s="38">
        <v>45808</v>
      </c>
      <c r="V155" t="s">
        <v>1125</v>
      </c>
      <c r="W155" t="s">
        <v>1125</v>
      </c>
      <c r="Z155" t="s">
        <v>75</v>
      </c>
      <c r="AB155" t="s">
        <v>1126</v>
      </c>
      <c r="AD155" s="130">
        <v>45383</v>
      </c>
      <c r="AE155"/>
      <c r="AG155" t="s">
        <v>76</v>
      </c>
      <c r="AI155" t="s">
        <v>1126</v>
      </c>
      <c r="AK155" t="s">
        <v>1127</v>
      </c>
      <c r="AM155" s="38">
        <v>45808</v>
      </c>
      <c r="AO155" t="s">
        <v>1123</v>
      </c>
      <c r="AR155" t="str">
        <f t="shared" si="8"/>
        <v>private</v>
      </c>
      <c r="AS155">
        <f t="shared" si="9"/>
        <v>4</v>
      </c>
      <c r="AT155" t="str">
        <f>IF(Table1[[#This Row],[Joining Date]]="", "", TEXT(Table1[[#This Row],[Joining Date]], "mmm"))</f>
        <v>Apr</v>
      </c>
      <c r="AU155">
        <f>IF(Table1[[#This Row],[Joining Date]]="", "", YEAR(Table1[[#This Row],[Joining Date]]))</f>
        <v>2024</v>
      </c>
      <c r="AV155" t="str">
        <f>IF(Table1[[#This Row],[Group Name]]="","", M155 &amp; Table1[[#This Row],[Teacher]])</f>
        <v/>
      </c>
      <c r="AW155" t="str">
        <f>IF(Table1[[#This Row],[Helper]]="","",IF(_xlfn.MAXIFS(AT:AT,AW:AW,Table1[[#This Row],[Helper]])=Table1[[#This Row],[Clean Frequency]],_xlfn.MAXIFS(AT:AT,AW:AW,Table1[[#This Row],[Helper]]),""))</f>
        <v/>
      </c>
      <c r="AX155" t="str">
        <f ca="1">IF(AND(AW155=_xlfn.MAXIFS(AX:AX, AW:AW, AV155), COUNTIFS(AV$3:AV155, AV155, AW$3:AW155, AW155)=1), 1, "")</f>
        <v/>
      </c>
      <c r="AY155">
        <f>IF(Table1[[#This Row],[lesson type]]="private",Table1[[#This Row],[Clean Frequency]],"")</f>
        <v>4</v>
      </c>
      <c r="AZ155" t="str">
        <f ca="1">IF(Table1[[#This Row],[First Occurrence]]=1,Table1[[#This Row],[Group Frequency]],"")</f>
        <v/>
      </c>
      <c r="BA155">
        <f ca="1">IF(B155="Y", IF(Table1[[#This Row],[Stop]]="", TODAY() - Table1[[#This Row],[Joining Date]], Table1[[#This Row],[Stop]] - Table1[[#This Row],[Joining Date]]), "")</f>
        <v>425</v>
      </c>
      <c r="BB155" t="str">
        <f>_xlfn.CONCAT(Table1[[#This Row],[t]]," ",Table1[[#This Row],[Last Name]])</f>
        <v>Sena Nonaka</v>
      </c>
      <c r="BC155" t="str">
        <f>IF(OR(Table1[[#This Row],[Teacher]]="Alex",Table1[[#This Row],[Teacher]]=""), "", Table1[[#This Row],[For Salary]])</f>
        <v/>
      </c>
      <c r="BD155" t="str">
        <f>IF(OR(Table1[[#This Row],[Teacher]]="Alex",Table1[[#This Row],[Teacher]]=""), "", Table1[[#This Row],[For Amount]])</f>
        <v/>
      </c>
      <c r="BE155" t="str">
        <f>IFERROR(IF(VLOOKUP(Table1[[#This Row],[Teacher]],'Teachers Salaries'!A:C,2,FALSE)="","",VLOOKUP(Table1[[#This Row],[Teacher]],'Teachers Salaries'!A:C,2,FALSE)),"")</f>
        <v>Fixed</v>
      </c>
      <c r="BF155">
        <f>IFERROR(IF(VLOOKUP(Table1[[#This Row],[Teacher]],'Teachers Salaries'!A:C,3,FALSE)="","",VLOOKUP(Table1[[#This Row],[Teacher]],'Teachers Salaries'!A:C,3,FALSE)),"")</f>
        <v>210000</v>
      </c>
      <c r="BG155" t="str">
        <f>IFERROR(IF(Table1[[#This Row],[Pay Type]]="Fixed","-",Table1[[#This Row],[Final Group Frequency2]]*Table1[[#This Row],[Salary / Hourly Rate]]),0)</f>
        <v>-</v>
      </c>
      <c r="BH155" t="str">
        <f>IFERROR(IF(Table1[[#This Row],[Pay Type]]="Fixed","----",Table1[[#This Row],[Salary / Hourly Rate]]*Table1[[#This Row],[Final PrivateFrequency]]),0)</f>
        <v>----</v>
      </c>
      <c r="BI155" t="str">
        <f>IF(Table1[[#This Row],[Pay Type]]="Fixed","---",Table1[[#This Row],[Group Salary]]+Table1[[#This Row],[Private Salary]])</f>
        <v>---</v>
      </c>
      <c r="BJ155" t="str">
        <f>IF(OR(J155="Alex", J155=""),"", Table1[[#This Row],[For Amount]])</f>
        <v/>
      </c>
      <c r="BK155" t="str">
        <f>IFERROR(Table1[[#This Row],[Fee]]-Table1[[#This Row],[Total Salary]],"")</f>
        <v/>
      </c>
      <c r="BL155" t="e">
        <f>IF(Table1[[#This Row],[Joining Date]]="","",IF(Table1[[#This Row],[Joining Date]]&lt;='KPI+Pivot'!$CP$1,Table1[[#This Row],[Fee]],""))</f>
        <v>#N/A</v>
      </c>
      <c r="BM15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5" t="e">
        <f>IF(Table1[[#This Row],[Joining Date]]="","",IF(Table1[[#This Row],[Joining Date]]&lt;='KPI+Pivot'!$CP$1,Table1[[#This Row],[Total Salary]],""))</f>
        <v>#N/A</v>
      </c>
      <c r="BO155" t="e">
        <f>IF(Table1[[#This Row],[Joining Date]]="","",IF(Table1[[#This Row],[Joining Date]]&lt;='KPI+Pivot'!$CP$1,Table1[[#This Row],[Frequency]],""))</f>
        <v>#N/A</v>
      </c>
      <c r="BP155" s="38" t="e">
        <f>IF(Table1[[#This Row],[Stop]]="","",(IF(Table1[[#This Row],[Joining Date]]="","",IF(Table1[[#This Row],[Joining Date]]&lt;='KPI+Pivot'!$CP$1,Table1[[#This Row],[Stop]],""))))</f>
        <v>#N/A</v>
      </c>
    </row>
    <row r="156" spans="1:68" ht="22.9" customHeight="1">
      <c r="B156" t="s">
        <v>66</v>
      </c>
      <c r="C156" t="s">
        <v>1128</v>
      </c>
      <c r="D156" t="s">
        <v>1129</v>
      </c>
      <c r="F156" t="s">
        <v>1130</v>
      </c>
      <c r="G156" t="s">
        <v>1131</v>
      </c>
      <c r="H156" t="s">
        <v>1132</v>
      </c>
      <c r="I156" t="str">
        <f>IFERROR(HYPERLINK("#Finance!B" &amp; MATCH(A156, 'F 2025'!A:A, 0), "🔗 Go to finance"), "❌ ID introuvable")</f>
        <v>❌ ID introuvable</v>
      </c>
      <c r="Y156">
        <v>8086374057</v>
      </c>
      <c r="Z156" t="s">
        <v>75</v>
      </c>
      <c r="AB156" t="s">
        <v>1133</v>
      </c>
      <c r="AD156" s="130">
        <v>45477</v>
      </c>
      <c r="AE156"/>
      <c r="AG156" t="s">
        <v>76</v>
      </c>
      <c r="AI156" t="s">
        <v>1133</v>
      </c>
      <c r="AK156" t="s">
        <v>1134</v>
      </c>
      <c r="AM156" s="38"/>
      <c r="AO156" t="s">
        <v>1131</v>
      </c>
      <c r="AR156" t="str">
        <f t="shared" si="8"/>
        <v/>
      </c>
      <c r="AS156" t="str">
        <f t="shared" si="9"/>
        <v/>
      </c>
      <c r="AT156" t="str">
        <f>IF(Table1[[#This Row],[Joining Date]]="", "", TEXT(Table1[[#This Row],[Joining Date]], "mmm"))</f>
        <v>Jul</v>
      </c>
      <c r="AU156">
        <f>IF(Table1[[#This Row],[Joining Date]]="", "", YEAR(Table1[[#This Row],[Joining Date]]))</f>
        <v>2024</v>
      </c>
      <c r="AV156" t="str">
        <f>IF(Table1[[#This Row],[Group Name]]="","", M156 &amp; Table1[[#This Row],[Teacher]])</f>
        <v/>
      </c>
      <c r="AW156" t="str">
        <f>IF(Table1[[#This Row],[Helper]]="","",IF(_xlfn.MAXIFS(AT:AT,AW:AW,Table1[[#This Row],[Helper]])=Table1[[#This Row],[Clean Frequency]],_xlfn.MAXIFS(AT:AT,AW:AW,Table1[[#This Row],[Helper]]),""))</f>
        <v/>
      </c>
      <c r="AX156" t="str">
        <f ca="1">IF(AND(AW156=_xlfn.MAXIFS(AX:AX, AW:AW, AV156), COUNTIFS(AV$3:AV156, AV156, AW$3:AW156, AW156)=1), 1, "")</f>
        <v/>
      </c>
      <c r="AY156" t="str">
        <f>IF(Table1[[#This Row],[lesson type]]="private",Table1[[#This Row],[Clean Frequency]],"")</f>
        <v/>
      </c>
      <c r="AZ156" t="str">
        <f ca="1">IF(Table1[[#This Row],[First Occurrence]]=1,Table1[[#This Row],[Group Frequency]],"")</f>
        <v/>
      </c>
      <c r="BA156" t="str">
        <f ca="1">IF(B156="Y", IF(Table1[[#This Row],[Stop]]="", TODAY() - Table1[[#This Row],[Joining Date]], Table1[[#This Row],[Stop]] - Table1[[#This Row],[Joining Date]]), "")</f>
        <v/>
      </c>
      <c r="BB156" t="str">
        <f>_xlfn.CONCAT(Table1[[#This Row],[t]]," ",Table1[[#This Row],[Last Name]])</f>
        <v>Setsuko Udaka</v>
      </c>
      <c r="BC156" t="str">
        <f>IF(OR(Table1[[#This Row],[Teacher]]="Alex",Table1[[#This Row],[Teacher]]=""), "", Table1[[#This Row],[For Salary]])</f>
        <v/>
      </c>
      <c r="BD156" t="str">
        <f>IF(OR(Table1[[#This Row],[Teacher]]="Alex",Table1[[#This Row],[Teacher]]=""), "", Table1[[#This Row],[For Amount]])</f>
        <v/>
      </c>
      <c r="BE156" t="str">
        <f>IFERROR(IF(VLOOKUP(Table1[[#This Row],[Teacher]],'Teachers Salaries'!A:C,2,FALSE)="","",VLOOKUP(Table1[[#This Row],[Teacher]],'Teachers Salaries'!A:C,2,FALSE)),"")</f>
        <v/>
      </c>
      <c r="BF156" t="str">
        <f>IFERROR(IF(VLOOKUP(Table1[[#This Row],[Teacher]],'Teachers Salaries'!A:C,3,FALSE)="","",VLOOKUP(Table1[[#This Row],[Teacher]],'Teachers Salaries'!A:C,3,FALSE)),"")</f>
        <v/>
      </c>
      <c r="BG156">
        <f ca="1">IFERROR(IF(Table1[[#This Row],[Pay Type]]="Fixed","-",Table1[[#This Row],[Final Group Frequency2]]*Table1[[#This Row],[Salary / Hourly Rate]]),0)</f>
        <v>0</v>
      </c>
      <c r="BH156">
        <f>IFERROR(IF(Table1[[#This Row],[Pay Type]]="Fixed","----",Table1[[#This Row],[Salary / Hourly Rate]]*Table1[[#This Row],[Final PrivateFrequency]]),0)</f>
        <v>0</v>
      </c>
      <c r="BI156">
        <f ca="1">IF(Table1[[#This Row],[Pay Type]]="Fixed","---",Table1[[#This Row],[Group Salary]]+Table1[[#This Row],[Private Salary]])</f>
        <v>0</v>
      </c>
      <c r="BJ156" t="str">
        <f>IF(OR(J156="Alex", J156=""),"", Table1[[#This Row],[For Amount]])</f>
        <v/>
      </c>
      <c r="BK156">
        <f ca="1">IFERROR(Table1[[#This Row],[Fee]]-Table1[[#This Row],[Total Salary]],"")</f>
        <v>0</v>
      </c>
      <c r="BL156" t="e">
        <f>IF(Table1[[#This Row],[Joining Date]]="","",IF(Table1[[#This Row],[Joining Date]]&lt;='KPI+Pivot'!$CP$1,Table1[[#This Row],[Fee]],""))</f>
        <v>#N/A</v>
      </c>
      <c r="BM15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6" t="e">
        <f>IF(Table1[[#This Row],[Joining Date]]="","",IF(Table1[[#This Row],[Joining Date]]&lt;='KPI+Pivot'!$CP$1,Table1[[#This Row],[Total Salary]],""))</f>
        <v>#N/A</v>
      </c>
      <c r="BO156" t="e">
        <f>IF(Table1[[#This Row],[Joining Date]]="","",IF(Table1[[#This Row],[Joining Date]]&lt;='KPI+Pivot'!$CP$1,Table1[[#This Row],[Frequency]],""))</f>
        <v>#N/A</v>
      </c>
      <c r="BP156" s="38" t="str">
        <f>IF(Table1[[#This Row],[Stop]]="","",(IF(Table1[[#This Row],[Joining Date]]="","",IF(Table1[[#This Row],[Joining Date]]&lt;='KPI+Pivot'!$CP$1,Table1[[#This Row],[Stop]],""))))</f>
        <v/>
      </c>
    </row>
    <row r="157" spans="1:68" ht="22.9" customHeight="1">
      <c r="B157" t="s">
        <v>66</v>
      </c>
      <c r="C157" t="s">
        <v>1135</v>
      </c>
      <c r="D157" t="s">
        <v>1136</v>
      </c>
      <c r="F157" t="s">
        <v>1137</v>
      </c>
      <c r="G157" t="s">
        <v>1138</v>
      </c>
      <c r="H157" t="s">
        <v>1139</v>
      </c>
      <c r="I157" t="str">
        <f>IFERROR(HYPERLINK("#Finance!B" &amp; MATCH(A157, 'F 2025'!A:A, 0), "🔗 Go to finance"), "❌ ID introuvable")</f>
        <v>❌ ID introuvable</v>
      </c>
      <c r="L157" t="s">
        <v>90</v>
      </c>
      <c r="V157" t="s">
        <v>1140</v>
      </c>
      <c r="Y157">
        <v>9074553720</v>
      </c>
      <c r="Z157" t="s">
        <v>75</v>
      </c>
      <c r="AB157" t="s">
        <v>1141</v>
      </c>
      <c r="AD157" s="130"/>
      <c r="AE157"/>
      <c r="AG157" t="s">
        <v>76</v>
      </c>
      <c r="AI157" t="s">
        <v>1141</v>
      </c>
      <c r="AK157" t="s">
        <v>232</v>
      </c>
      <c r="AM157" s="38"/>
      <c r="AO157" t="s">
        <v>1138</v>
      </c>
      <c r="AR157" t="str">
        <f t="shared" si="8"/>
        <v/>
      </c>
      <c r="AS157" t="str">
        <f t="shared" si="9"/>
        <v/>
      </c>
      <c r="AT157" t="str">
        <f>IF(Table1[[#This Row],[Joining Date]]="", "", TEXT(Table1[[#This Row],[Joining Date]], "mmm"))</f>
        <v/>
      </c>
      <c r="AU157" t="str">
        <f>IF(Table1[[#This Row],[Joining Date]]="", "", YEAR(Table1[[#This Row],[Joining Date]]))</f>
        <v/>
      </c>
      <c r="AV157" t="str">
        <f>IF(Table1[[#This Row],[Group Name]]="","", M157 &amp; Table1[[#This Row],[Teacher]])</f>
        <v/>
      </c>
      <c r="AW157" t="str">
        <f>IF(Table1[[#This Row],[Helper]]="","",IF(_xlfn.MAXIFS(AT:AT,AW:AW,Table1[[#This Row],[Helper]])=Table1[[#This Row],[Clean Frequency]],_xlfn.MAXIFS(AT:AT,AW:AW,Table1[[#This Row],[Helper]]),""))</f>
        <v/>
      </c>
      <c r="AX157" t="str">
        <f ca="1">IF(AND(AW157=_xlfn.MAXIFS(AX:AX, AW:AW, AV157), COUNTIFS(AV$3:AV157, AV157, AW$3:AW157, AW157)=1), 1, "")</f>
        <v/>
      </c>
      <c r="AY157" t="str">
        <f>IF(Table1[[#This Row],[lesson type]]="private",Table1[[#This Row],[Clean Frequency]],"")</f>
        <v/>
      </c>
      <c r="AZ157" t="str">
        <f ca="1">IF(Table1[[#This Row],[First Occurrence]]=1,Table1[[#This Row],[Group Frequency]],"")</f>
        <v/>
      </c>
      <c r="BA157" t="str">
        <f ca="1">IF(B157="Y", IF(Table1[[#This Row],[Stop]]="", TODAY() - Table1[[#This Row],[Joining Date]], Table1[[#This Row],[Stop]] - Table1[[#This Row],[Joining Date]]), "")</f>
        <v/>
      </c>
      <c r="BB157" t="str">
        <f>_xlfn.CONCAT(Table1[[#This Row],[t]]," ",Table1[[#This Row],[Last Name]])</f>
        <v>Shinya Hirota</v>
      </c>
      <c r="BC157" t="str">
        <f>IF(OR(Table1[[#This Row],[Teacher]]="Alex",Table1[[#This Row],[Teacher]]=""), "", Table1[[#This Row],[For Salary]])</f>
        <v/>
      </c>
      <c r="BD157" t="str">
        <f>IF(OR(Table1[[#This Row],[Teacher]]="Alex",Table1[[#This Row],[Teacher]]=""), "", Table1[[#This Row],[For Amount]])</f>
        <v/>
      </c>
      <c r="BE157" t="str">
        <f>IFERROR(IF(VLOOKUP(Table1[[#This Row],[Teacher]],'Teachers Salaries'!A:C,2,FALSE)="","",VLOOKUP(Table1[[#This Row],[Teacher]],'Teachers Salaries'!A:C,2,FALSE)),"")</f>
        <v/>
      </c>
      <c r="BF157" t="str">
        <f>IFERROR(IF(VLOOKUP(Table1[[#This Row],[Teacher]],'Teachers Salaries'!A:C,3,FALSE)="","",VLOOKUP(Table1[[#This Row],[Teacher]],'Teachers Salaries'!A:C,3,FALSE)),"")</f>
        <v/>
      </c>
      <c r="BG157">
        <f ca="1">IFERROR(IF(Table1[[#This Row],[Pay Type]]="Fixed","-",Table1[[#This Row],[Final Group Frequency2]]*Table1[[#This Row],[Salary / Hourly Rate]]),0)</f>
        <v>0</v>
      </c>
      <c r="BH157">
        <f>IFERROR(IF(Table1[[#This Row],[Pay Type]]="Fixed","----",Table1[[#This Row],[Salary / Hourly Rate]]*Table1[[#This Row],[Final PrivateFrequency]]),0)</f>
        <v>0</v>
      </c>
      <c r="BI157">
        <f ca="1">IF(Table1[[#This Row],[Pay Type]]="Fixed","---",Table1[[#This Row],[Group Salary]]+Table1[[#This Row],[Private Salary]])</f>
        <v>0</v>
      </c>
      <c r="BJ157" t="str">
        <f>IF(OR(J157="Alex", J157=""),"", Table1[[#This Row],[For Amount]])</f>
        <v/>
      </c>
      <c r="BK157">
        <f ca="1">IFERROR(Table1[[#This Row],[Fee]]-Table1[[#This Row],[Total Salary]],"")</f>
        <v>0</v>
      </c>
      <c r="BL157" t="str">
        <f>IF(Table1[[#This Row],[Joining Date]]="","",IF(Table1[[#This Row],[Joining Date]]&lt;='KPI+Pivot'!$CP$1,Table1[[#This Row],[Fee]],""))</f>
        <v/>
      </c>
      <c r="BM15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57" t="str">
        <f>IF(Table1[[#This Row],[Joining Date]]="","",IF(Table1[[#This Row],[Joining Date]]&lt;='KPI+Pivot'!$CP$1,Table1[[#This Row],[Total Salary]],""))</f>
        <v/>
      </c>
      <c r="BO157" t="str">
        <f>IF(Table1[[#This Row],[Joining Date]]="","",IF(Table1[[#This Row],[Joining Date]]&lt;='KPI+Pivot'!$CP$1,Table1[[#This Row],[Frequency]],""))</f>
        <v/>
      </c>
      <c r="BP157" s="38" t="str">
        <f>IF(Table1[[#This Row],[Stop]]="","",(IF(Table1[[#This Row],[Joining Date]]="","",IF(Table1[[#This Row],[Joining Date]]&lt;='KPI+Pivot'!$CP$1,Table1[[#This Row],[Stop]],""))))</f>
        <v/>
      </c>
    </row>
    <row r="158" spans="1:68" ht="22.9" customHeight="1">
      <c r="B158" t="s">
        <v>66</v>
      </c>
      <c r="C158" t="s">
        <v>1142</v>
      </c>
      <c r="D158" t="s">
        <v>802</v>
      </c>
      <c r="F158" t="s">
        <v>1143</v>
      </c>
      <c r="G158" t="s">
        <v>1144</v>
      </c>
      <c r="H158" t="s">
        <v>1145</v>
      </c>
      <c r="I158" t="str">
        <f>IFERROR(HYPERLINK("#Finance!B" &amp; MATCH(A158, 'F 2025'!A:A, 0), "🔗 Go to finance"), "❌ ID introuvable")</f>
        <v>❌ ID introuvable</v>
      </c>
      <c r="L158" t="s">
        <v>90</v>
      </c>
      <c r="V158" t="s">
        <v>1146</v>
      </c>
      <c r="Y158" t="s">
        <v>1147</v>
      </c>
      <c r="Z158" t="s">
        <v>75</v>
      </c>
      <c r="AB158" t="s">
        <v>1148</v>
      </c>
      <c r="AD158" s="130"/>
      <c r="AE158"/>
      <c r="AG158" t="s">
        <v>76</v>
      </c>
      <c r="AI158" t="s">
        <v>1148</v>
      </c>
      <c r="AK158" t="s">
        <v>1149</v>
      </c>
      <c r="AM158" s="38"/>
      <c r="AO158" t="s">
        <v>1144</v>
      </c>
      <c r="AR158" t="str">
        <f t="shared" si="8"/>
        <v/>
      </c>
      <c r="AS158" t="str">
        <f t="shared" si="9"/>
        <v/>
      </c>
      <c r="AT158" t="str">
        <f>IF(Table1[[#This Row],[Joining Date]]="", "", TEXT(Table1[[#This Row],[Joining Date]], "mmm"))</f>
        <v/>
      </c>
      <c r="AU158" t="str">
        <f>IF(Table1[[#This Row],[Joining Date]]="", "", YEAR(Table1[[#This Row],[Joining Date]]))</f>
        <v/>
      </c>
      <c r="AV158" t="str">
        <f>IF(Table1[[#This Row],[Group Name]]="","", M158 &amp; Table1[[#This Row],[Teacher]])</f>
        <v/>
      </c>
      <c r="AW158" t="str">
        <f>IF(Table1[[#This Row],[Helper]]="","",IF(_xlfn.MAXIFS(AT:AT,AW:AW,Table1[[#This Row],[Helper]])=Table1[[#This Row],[Clean Frequency]],_xlfn.MAXIFS(AT:AT,AW:AW,Table1[[#This Row],[Helper]]),""))</f>
        <v/>
      </c>
      <c r="AX158" t="str">
        <f ca="1">IF(AND(AW158=_xlfn.MAXIFS(AX:AX, AW:AW, AV158), COUNTIFS(AV$3:AV158, AV158, AW$3:AW158, AW158)=1), 1, "")</f>
        <v/>
      </c>
      <c r="AY158" t="str">
        <f>IF(Table1[[#This Row],[lesson type]]="private",Table1[[#This Row],[Clean Frequency]],"")</f>
        <v/>
      </c>
      <c r="AZ158" t="str">
        <f ca="1">IF(Table1[[#This Row],[First Occurrence]]=1,Table1[[#This Row],[Group Frequency]],"")</f>
        <v/>
      </c>
      <c r="BA158" t="str">
        <f ca="1">IF(B158="Y", IF(Table1[[#This Row],[Stop]]="", TODAY() - Table1[[#This Row],[Joining Date]], Table1[[#This Row],[Stop]] - Table1[[#This Row],[Joining Date]]), "")</f>
        <v/>
      </c>
      <c r="BB158" t="str">
        <f>_xlfn.CONCAT(Table1[[#This Row],[t]]," ",Table1[[#This Row],[Last Name]])</f>
        <v>Shizuka Miyamoto</v>
      </c>
      <c r="BC158" t="str">
        <f>IF(OR(Table1[[#This Row],[Teacher]]="Alex",Table1[[#This Row],[Teacher]]=""), "", Table1[[#This Row],[For Salary]])</f>
        <v/>
      </c>
      <c r="BD158" t="str">
        <f>IF(OR(Table1[[#This Row],[Teacher]]="Alex",Table1[[#This Row],[Teacher]]=""), "", Table1[[#This Row],[For Amount]])</f>
        <v/>
      </c>
      <c r="BE158" t="str">
        <f>IFERROR(IF(VLOOKUP(Table1[[#This Row],[Teacher]],'Teachers Salaries'!A:C,2,FALSE)="","",VLOOKUP(Table1[[#This Row],[Teacher]],'Teachers Salaries'!A:C,2,FALSE)),"")</f>
        <v/>
      </c>
      <c r="BF158" t="str">
        <f>IFERROR(IF(VLOOKUP(Table1[[#This Row],[Teacher]],'Teachers Salaries'!A:C,3,FALSE)="","",VLOOKUP(Table1[[#This Row],[Teacher]],'Teachers Salaries'!A:C,3,FALSE)),"")</f>
        <v/>
      </c>
      <c r="BG158">
        <f ca="1">IFERROR(IF(Table1[[#This Row],[Pay Type]]="Fixed","-",Table1[[#This Row],[Final Group Frequency2]]*Table1[[#This Row],[Salary / Hourly Rate]]),0)</f>
        <v>0</v>
      </c>
      <c r="BH158">
        <f>IFERROR(IF(Table1[[#This Row],[Pay Type]]="Fixed","----",Table1[[#This Row],[Salary / Hourly Rate]]*Table1[[#This Row],[Final PrivateFrequency]]),0)</f>
        <v>0</v>
      </c>
      <c r="BI158">
        <f ca="1">IF(Table1[[#This Row],[Pay Type]]="Fixed","---",Table1[[#This Row],[Group Salary]]+Table1[[#This Row],[Private Salary]])</f>
        <v>0</v>
      </c>
      <c r="BJ158" t="str">
        <f>IF(OR(J158="Alex", J158=""),"", Table1[[#This Row],[For Amount]])</f>
        <v/>
      </c>
      <c r="BK158">
        <f ca="1">IFERROR(Table1[[#This Row],[Fee]]-Table1[[#This Row],[Total Salary]],"")</f>
        <v>0</v>
      </c>
      <c r="BL158" t="str">
        <f>IF(Table1[[#This Row],[Joining Date]]="","",IF(Table1[[#This Row],[Joining Date]]&lt;='KPI+Pivot'!$CP$1,Table1[[#This Row],[Fee]],""))</f>
        <v/>
      </c>
      <c r="BM15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58" t="str">
        <f>IF(Table1[[#This Row],[Joining Date]]="","",IF(Table1[[#This Row],[Joining Date]]&lt;='KPI+Pivot'!$CP$1,Table1[[#This Row],[Total Salary]],""))</f>
        <v/>
      </c>
      <c r="BO158" t="str">
        <f>IF(Table1[[#This Row],[Joining Date]]="","",IF(Table1[[#This Row],[Joining Date]]&lt;='KPI+Pivot'!$CP$1,Table1[[#This Row],[Frequency]],""))</f>
        <v/>
      </c>
      <c r="BP158" s="38" t="str">
        <f>IF(Table1[[#This Row],[Stop]]="","",(IF(Table1[[#This Row],[Joining Date]]="","",IF(Table1[[#This Row],[Joining Date]]&lt;='KPI+Pivot'!$CP$1,Table1[[#This Row],[Stop]],""))))</f>
        <v/>
      </c>
    </row>
    <row r="159" spans="1:68" ht="22.9" customHeight="1">
      <c r="B159" t="s">
        <v>66</v>
      </c>
      <c r="C159" t="s">
        <v>1150</v>
      </c>
      <c r="D159" t="s">
        <v>560</v>
      </c>
      <c r="F159" t="s">
        <v>1151</v>
      </c>
      <c r="G159" t="s">
        <v>1152</v>
      </c>
      <c r="H159" t="s">
        <v>562</v>
      </c>
      <c r="I159" t="str">
        <f>IFERROR(HYPERLINK("#Finance!B" &amp; MATCH(A159, 'F 2025'!A:A, 0), "🔗 Go to finance"), "❌ ID introuvable")</f>
        <v>❌ ID introuvable</v>
      </c>
      <c r="V159" t="s">
        <v>1153</v>
      </c>
      <c r="W159" t="s">
        <v>1153</v>
      </c>
      <c r="Z159" t="s">
        <v>75</v>
      </c>
      <c r="AB159" t="s">
        <v>1154</v>
      </c>
      <c r="AD159" s="130"/>
      <c r="AE159"/>
      <c r="AG159" t="s">
        <v>76</v>
      </c>
      <c r="AI159" t="s">
        <v>1154</v>
      </c>
      <c r="AK159" t="s">
        <v>72</v>
      </c>
      <c r="AM159" s="38"/>
      <c r="AO159" t="s">
        <v>1152</v>
      </c>
      <c r="AR159" t="str">
        <f t="shared" si="8"/>
        <v/>
      </c>
      <c r="AS159" t="str">
        <f t="shared" si="9"/>
        <v/>
      </c>
      <c r="AT159" t="str">
        <f>IF(Table1[[#This Row],[Joining Date]]="", "", TEXT(Table1[[#This Row],[Joining Date]], "mmm"))</f>
        <v/>
      </c>
      <c r="AU159" t="str">
        <f>IF(Table1[[#This Row],[Joining Date]]="", "", YEAR(Table1[[#This Row],[Joining Date]]))</f>
        <v/>
      </c>
      <c r="AV159" t="str">
        <f>IF(Table1[[#This Row],[Group Name]]="","", M159 &amp; Table1[[#This Row],[Teacher]])</f>
        <v/>
      </c>
      <c r="AW159" t="str">
        <f>IF(Table1[[#This Row],[Helper]]="","",IF(_xlfn.MAXIFS(AT:AT,AW:AW,Table1[[#This Row],[Helper]])=Table1[[#This Row],[Clean Frequency]],_xlfn.MAXIFS(AT:AT,AW:AW,Table1[[#This Row],[Helper]]),""))</f>
        <v/>
      </c>
      <c r="AX159" t="str">
        <f ca="1">IF(AND(AW159=_xlfn.MAXIFS(AX:AX, AW:AW, AV159), COUNTIFS(AV$3:AV159, AV159, AW$3:AW159, AW159)=1), 1, "")</f>
        <v/>
      </c>
      <c r="AY159" t="str">
        <f>IF(Table1[[#This Row],[lesson type]]="private",Table1[[#This Row],[Clean Frequency]],"")</f>
        <v/>
      </c>
      <c r="AZ159" t="str">
        <f ca="1">IF(Table1[[#This Row],[First Occurrence]]=1,Table1[[#This Row],[Group Frequency]],"")</f>
        <v/>
      </c>
      <c r="BA159" t="str">
        <f ca="1">IF(B159="Y", IF(Table1[[#This Row],[Stop]]="", TODAY() - Table1[[#This Row],[Joining Date]], Table1[[#This Row],[Stop]] - Table1[[#This Row],[Joining Date]]), "")</f>
        <v/>
      </c>
      <c r="BB159" t="str">
        <f>_xlfn.CONCAT(Table1[[#This Row],[t]]," ",Table1[[#This Row],[Last Name]])</f>
        <v>Shu Sakamoto</v>
      </c>
      <c r="BC159" t="str">
        <f>IF(OR(Table1[[#This Row],[Teacher]]="Alex",Table1[[#This Row],[Teacher]]=""), "", Table1[[#This Row],[For Salary]])</f>
        <v/>
      </c>
      <c r="BD159" t="str">
        <f>IF(OR(Table1[[#This Row],[Teacher]]="Alex",Table1[[#This Row],[Teacher]]=""), "", Table1[[#This Row],[For Amount]])</f>
        <v/>
      </c>
      <c r="BE159" t="str">
        <f>IFERROR(IF(VLOOKUP(Table1[[#This Row],[Teacher]],'Teachers Salaries'!A:C,2,FALSE)="","",VLOOKUP(Table1[[#This Row],[Teacher]],'Teachers Salaries'!A:C,2,FALSE)),"")</f>
        <v/>
      </c>
      <c r="BF159" t="str">
        <f>IFERROR(IF(VLOOKUP(Table1[[#This Row],[Teacher]],'Teachers Salaries'!A:C,3,FALSE)="","",VLOOKUP(Table1[[#This Row],[Teacher]],'Teachers Salaries'!A:C,3,FALSE)),"")</f>
        <v/>
      </c>
      <c r="BG159">
        <f ca="1">IFERROR(IF(Table1[[#This Row],[Pay Type]]="Fixed","-",Table1[[#This Row],[Final Group Frequency2]]*Table1[[#This Row],[Salary / Hourly Rate]]),0)</f>
        <v>0</v>
      </c>
      <c r="BH159">
        <f>IFERROR(IF(Table1[[#This Row],[Pay Type]]="Fixed","----",Table1[[#This Row],[Salary / Hourly Rate]]*Table1[[#This Row],[Final PrivateFrequency]]),0)</f>
        <v>0</v>
      </c>
      <c r="BI159">
        <f ca="1">IF(Table1[[#This Row],[Pay Type]]="Fixed","---",Table1[[#This Row],[Group Salary]]+Table1[[#This Row],[Private Salary]])</f>
        <v>0</v>
      </c>
      <c r="BJ159" t="str">
        <f>IF(OR(J159="Alex", J159=""),"", Table1[[#This Row],[For Amount]])</f>
        <v/>
      </c>
      <c r="BK159">
        <f ca="1">IFERROR(Table1[[#This Row],[Fee]]-Table1[[#This Row],[Total Salary]],"")</f>
        <v>0</v>
      </c>
      <c r="BL159" t="str">
        <f>IF(Table1[[#This Row],[Joining Date]]="","",IF(Table1[[#This Row],[Joining Date]]&lt;='KPI+Pivot'!$CP$1,Table1[[#This Row],[Fee]],""))</f>
        <v/>
      </c>
      <c r="BM15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59" t="str">
        <f>IF(Table1[[#This Row],[Joining Date]]="","",IF(Table1[[#This Row],[Joining Date]]&lt;='KPI+Pivot'!$CP$1,Table1[[#This Row],[Total Salary]],""))</f>
        <v/>
      </c>
      <c r="BO159" t="str">
        <f>IF(Table1[[#This Row],[Joining Date]]="","",IF(Table1[[#This Row],[Joining Date]]&lt;='KPI+Pivot'!$CP$1,Table1[[#This Row],[Frequency]],""))</f>
        <v/>
      </c>
      <c r="BP159" s="38" t="str">
        <f>IF(Table1[[#This Row],[Stop]]="","",(IF(Table1[[#This Row],[Joining Date]]="","",IF(Table1[[#This Row],[Joining Date]]&lt;='KPI+Pivot'!$CP$1,Table1[[#This Row],[Stop]],""))))</f>
        <v/>
      </c>
    </row>
    <row r="160" spans="1:68" ht="22.9" customHeight="1">
      <c r="B160" t="s">
        <v>66</v>
      </c>
      <c r="C160" t="s">
        <v>1155</v>
      </c>
      <c r="D160" t="s">
        <v>1156</v>
      </c>
      <c r="H160" t="s">
        <v>1157</v>
      </c>
      <c r="I160" t="str">
        <f>IFERROR(HYPERLINK("#Finance!B" &amp; MATCH(A160, 'F 2025'!A:A, 0), "🔗 Go to finance"), "❌ ID introuvable")</f>
        <v>❌ ID introuvable</v>
      </c>
      <c r="V160" t="s">
        <v>1158</v>
      </c>
      <c r="Y160" t="s">
        <v>1159</v>
      </c>
      <c r="Z160" t="s">
        <v>75</v>
      </c>
      <c r="AB160" t="s">
        <v>1160</v>
      </c>
      <c r="AD160" s="130"/>
      <c r="AE160"/>
      <c r="AG160" t="s">
        <v>76</v>
      </c>
      <c r="AI160" t="s">
        <v>1160</v>
      </c>
      <c r="AK160" t="s">
        <v>102</v>
      </c>
      <c r="AM160" s="38">
        <v>45747</v>
      </c>
      <c r="AO160"/>
      <c r="AR160" t="str">
        <f t="shared" si="8"/>
        <v/>
      </c>
      <c r="AS160" t="str">
        <f t="shared" si="9"/>
        <v/>
      </c>
      <c r="AT160" t="str">
        <f>IF(Table1[[#This Row],[Joining Date]]="", "", TEXT(Table1[[#This Row],[Joining Date]], "mmm"))</f>
        <v/>
      </c>
      <c r="AU160" t="str">
        <f>IF(Table1[[#This Row],[Joining Date]]="", "", YEAR(Table1[[#This Row],[Joining Date]]))</f>
        <v/>
      </c>
      <c r="AV160" t="str">
        <f>IF(Table1[[#This Row],[Group Name]]="","", M160 &amp; Table1[[#This Row],[Teacher]])</f>
        <v/>
      </c>
      <c r="AW160" t="str">
        <f>IF(Table1[[#This Row],[Helper]]="","",IF(_xlfn.MAXIFS(AT:AT,AW:AW,Table1[[#This Row],[Helper]])=Table1[[#This Row],[Clean Frequency]],_xlfn.MAXIFS(AT:AT,AW:AW,Table1[[#This Row],[Helper]]),""))</f>
        <v/>
      </c>
      <c r="AX160" t="str">
        <f ca="1">IF(AND(AW160=_xlfn.MAXIFS(AX:AX, AW:AW, AV160), COUNTIFS(AV$3:AV160, AV160, AW$3:AW160, AW160)=1), 1, "")</f>
        <v/>
      </c>
      <c r="AY160" t="str">
        <f>IF(Table1[[#This Row],[lesson type]]="private",Table1[[#This Row],[Clean Frequency]],"")</f>
        <v/>
      </c>
      <c r="AZ160" t="str">
        <f ca="1">IF(Table1[[#This Row],[First Occurrence]]=1,Table1[[#This Row],[Group Frequency]],"")</f>
        <v/>
      </c>
      <c r="BA160" t="str">
        <f ca="1">IF(B160="Y", IF(Table1[[#This Row],[Stop]]="", TODAY() - Table1[[#This Row],[Joining Date]], Table1[[#This Row],[Stop]] - Table1[[#This Row],[Joining Date]]), "")</f>
        <v/>
      </c>
      <c r="BB160" t="str">
        <f>_xlfn.CONCAT(Table1[[#This Row],[t]]," ",Table1[[#This Row],[Last Name]])</f>
        <v>Sosuke Iwagami</v>
      </c>
      <c r="BC160" t="str">
        <f>IF(OR(Table1[[#This Row],[Teacher]]="Alex",Table1[[#This Row],[Teacher]]=""), "", Table1[[#This Row],[For Salary]])</f>
        <v/>
      </c>
      <c r="BD160" t="str">
        <f>IF(OR(Table1[[#This Row],[Teacher]]="Alex",Table1[[#This Row],[Teacher]]=""), "", Table1[[#This Row],[For Amount]])</f>
        <v/>
      </c>
      <c r="BE160" t="str">
        <f>IFERROR(IF(VLOOKUP(Table1[[#This Row],[Teacher]],'Teachers Salaries'!A:C,2,FALSE)="","",VLOOKUP(Table1[[#This Row],[Teacher]],'Teachers Salaries'!A:C,2,FALSE)),"")</f>
        <v/>
      </c>
      <c r="BF160" t="str">
        <f>IFERROR(IF(VLOOKUP(Table1[[#This Row],[Teacher]],'Teachers Salaries'!A:C,3,FALSE)="","",VLOOKUP(Table1[[#This Row],[Teacher]],'Teachers Salaries'!A:C,3,FALSE)),"")</f>
        <v/>
      </c>
      <c r="BG160">
        <f ca="1">IFERROR(IF(Table1[[#This Row],[Pay Type]]="Fixed","-",Table1[[#This Row],[Final Group Frequency2]]*Table1[[#This Row],[Salary / Hourly Rate]]),0)</f>
        <v>0</v>
      </c>
      <c r="BH160">
        <f>IFERROR(IF(Table1[[#This Row],[Pay Type]]="Fixed","----",Table1[[#This Row],[Salary / Hourly Rate]]*Table1[[#This Row],[Final PrivateFrequency]]),0)</f>
        <v>0</v>
      </c>
      <c r="BI160">
        <f ca="1">IF(Table1[[#This Row],[Pay Type]]="Fixed","---",Table1[[#This Row],[Group Salary]]+Table1[[#This Row],[Private Salary]])</f>
        <v>0</v>
      </c>
      <c r="BJ160" t="str">
        <f>IF(OR(J160="Alex", J160=""),"", Table1[[#This Row],[For Amount]])</f>
        <v/>
      </c>
      <c r="BK160">
        <f ca="1">IFERROR(Table1[[#This Row],[Fee]]-Table1[[#This Row],[Total Salary]],"")</f>
        <v>0</v>
      </c>
      <c r="BL160" t="str">
        <f>IF(Table1[[#This Row],[Joining Date]]="","",IF(Table1[[#This Row],[Joining Date]]&lt;='KPI+Pivot'!$CP$1,Table1[[#This Row],[Fee]],""))</f>
        <v/>
      </c>
      <c r="BM16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60" t="str">
        <f>IF(Table1[[#This Row],[Joining Date]]="","",IF(Table1[[#This Row],[Joining Date]]&lt;='KPI+Pivot'!$CP$1,Table1[[#This Row],[Total Salary]],""))</f>
        <v/>
      </c>
      <c r="BO160" t="str">
        <f>IF(Table1[[#This Row],[Joining Date]]="","",IF(Table1[[#This Row],[Joining Date]]&lt;='KPI+Pivot'!$CP$1,Table1[[#This Row],[Frequency]],""))</f>
        <v/>
      </c>
      <c r="BP160" s="38" t="str">
        <f>IF(Table1[[#This Row],[Stop]]="","",(IF(Table1[[#This Row],[Joining Date]]="","",IF(Table1[[#This Row],[Joining Date]]&lt;='KPI+Pivot'!$CP$1,Table1[[#This Row],[Stop]],""))))</f>
        <v/>
      </c>
    </row>
    <row r="161" spans="1:68" ht="18" customHeight="1">
      <c r="A161">
        <v>138</v>
      </c>
      <c r="B161" t="s">
        <v>103</v>
      </c>
      <c r="C161" t="s">
        <v>1120</v>
      </c>
      <c r="D161" t="s">
        <v>1121</v>
      </c>
      <c r="F161" t="s">
        <v>1122</v>
      </c>
      <c r="G161" t="s">
        <v>1123</v>
      </c>
      <c r="H161" t="s">
        <v>1124</v>
      </c>
      <c r="I161" t="str">
        <f>IFERROR(HYPERLINK("#Finance!B" &amp; MATCH(A161, 'F 2025'!A:A, 0), "🔗 Go to finance"), "❌ ID introuvable")</f>
        <v>🔗 Go to finance</v>
      </c>
      <c r="J161" t="s">
        <v>109</v>
      </c>
      <c r="K161" t="s">
        <v>117</v>
      </c>
      <c r="L161" t="s">
        <v>507</v>
      </c>
      <c r="O161">
        <v>3300</v>
      </c>
      <c r="T161" s="130">
        <v>45383</v>
      </c>
      <c r="U161" s="38">
        <v>45808</v>
      </c>
      <c r="V161" t="s">
        <v>1125</v>
      </c>
      <c r="W161" t="s">
        <v>1125</v>
      </c>
      <c r="Z161" t="s">
        <v>75</v>
      </c>
      <c r="AB161" t="s">
        <v>1126</v>
      </c>
      <c r="AD161" s="130">
        <v>45383</v>
      </c>
      <c r="AE161"/>
      <c r="AG161" t="s">
        <v>76</v>
      </c>
      <c r="AI161" t="s">
        <v>1126</v>
      </c>
      <c r="AK161" t="s">
        <v>1127</v>
      </c>
      <c r="AM161" s="38">
        <v>45808</v>
      </c>
      <c r="AO161" t="s">
        <v>1123</v>
      </c>
      <c r="AR161" t="str">
        <f t="shared" si="8"/>
        <v>group</v>
      </c>
      <c r="AS161">
        <f t="shared" si="9"/>
        <v>4</v>
      </c>
      <c r="AT161" t="str">
        <f>IF(Table1[[#This Row],[Joining Date]]="", "", TEXT(Table1[[#This Row],[Joining Date]], "mmm"))</f>
        <v>Apr</v>
      </c>
      <c r="AU161">
        <f>IF(Table1[[#This Row],[Joining Date]]="", "", YEAR(Table1[[#This Row],[Joining Date]]))</f>
        <v>2024</v>
      </c>
      <c r="AV161" t="str">
        <f>IF(Table1[[#This Row],[Group Name]]="","", M161 &amp; Table1[[#This Row],[Teacher]])</f>
        <v/>
      </c>
      <c r="AW161" t="str">
        <f>IF(Table1[[#This Row],[Helper]]="","",IF(_xlfn.MAXIFS(AT:AT,AW:AW,Table1[[#This Row],[Helper]])=Table1[[#This Row],[Clean Frequency]],_xlfn.MAXIFS(AT:AT,AW:AW,Table1[[#This Row],[Helper]]),""))</f>
        <v/>
      </c>
      <c r="AX161" t="str">
        <f ca="1">IF(AND(AW161=_xlfn.MAXIFS(AX:AX, AW:AW, AV161), COUNTIFS(AV$3:AV161, AV161, AW$3:AW161, AW161)=1), 1, "")</f>
        <v/>
      </c>
      <c r="AY161" t="str">
        <f>IF(Table1[[#This Row],[lesson type]]="private",Table1[[#This Row],[Clean Frequency]],"")</f>
        <v/>
      </c>
      <c r="AZ161" t="str">
        <f ca="1">IF(Table1[[#This Row],[First Occurrence]]=1,Table1[[#This Row],[Group Frequency]],"")</f>
        <v/>
      </c>
      <c r="BA161">
        <f ca="1">IF(B161="Y", IF(Table1[[#This Row],[Stop]]="", TODAY() - Table1[[#This Row],[Joining Date]], Table1[[#This Row],[Stop]] - Table1[[#This Row],[Joining Date]]), "")</f>
        <v>425</v>
      </c>
      <c r="BB161" t="str">
        <f>_xlfn.CONCAT(Table1[[#This Row],[t]]," ",Table1[[#This Row],[Last Name]])</f>
        <v>Sena Nonaka</v>
      </c>
      <c r="BC161" t="str">
        <f>IF(OR(Table1[[#This Row],[Teacher]]="Alex",Table1[[#This Row],[Teacher]]=""), "", Table1[[#This Row],[For Salary]])</f>
        <v/>
      </c>
      <c r="BD161" t="str">
        <f>IF(OR(Table1[[#This Row],[Teacher]]="Alex",Table1[[#This Row],[Teacher]]=""), "", Table1[[#This Row],[For Amount]])</f>
        <v/>
      </c>
      <c r="BE161" t="str">
        <f>IFERROR(IF(VLOOKUP(Table1[[#This Row],[Teacher]],'Teachers Salaries'!A:C,2,FALSE)="","",VLOOKUP(Table1[[#This Row],[Teacher]],'Teachers Salaries'!A:C,2,FALSE)),"")</f>
        <v>Fixed</v>
      </c>
      <c r="BF161">
        <f>IFERROR(IF(VLOOKUP(Table1[[#This Row],[Teacher]],'Teachers Salaries'!A:C,3,FALSE)="","",VLOOKUP(Table1[[#This Row],[Teacher]],'Teachers Salaries'!A:C,3,FALSE)),"")</f>
        <v>210000</v>
      </c>
      <c r="BG161" t="str">
        <f>IFERROR(IF(Table1[[#This Row],[Pay Type]]="Fixed","-",Table1[[#This Row],[Final Group Frequency2]]*Table1[[#This Row],[Salary / Hourly Rate]]),0)</f>
        <v>-</v>
      </c>
      <c r="BH161" t="str">
        <f>IFERROR(IF(Table1[[#This Row],[Pay Type]]="Fixed","----",Table1[[#This Row],[Salary / Hourly Rate]]*Table1[[#This Row],[Final PrivateFrequency]]),0)</f>
        <v>----</v>
      </c>
      <c r="BI161" t="str">
        <f>IF(Table1[[#This Row],[Pay Type]]="Fixed","---",Table1[[#This Row],[Group Salary]]+Table1[[#This Row],[Private Salary]])</f>
        <v>---</v>
      </c>
      <c r="BJ161" t="str">
        <f>IF(OR(J161="Alex", J161=""),"", Table1[[#This Row],[For Amount]])</f>
        <v/>
      </c>
      <c r="BK161" t="str">
        <f>IFERROR(Table1[[#This Row],[Fee]]-Table1[[#This Row],[Total Salary]],"")</f>
        <v/>
      </c>
      <c r="BL161" t="e">
        <f>IF(Table1[[#This Row],[Joining Date]]="","",IF(Table1[[#This Row],[Joining Date]]&lt;='KPI+Pivot'!$CP$1,Table1[[#This Row],[Fee]],""))</f>
        <v>#N/A</v>
      </c>
      <c r="BM16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1" t="e">
        <f>IF(Table1[[#This Row],[Joining Date]]="","",IF(Table1[[#This Row],[Joining Date]]&lt;='KPI+Pivot'!$CP$1,Table1[[#This Row],[Total Salary]],""))</f>
        <v>#N/A</v>
      </c>
      <c r="BO161" t="e">
        <f>IF(Table1[[#This Row],[Joining Date]]="","",IF(Table1[[#This Row],[Joining Date]]&lt;='KPI+Pivot'!$CP$1,Table1[[#This Row],[Frequency]],""))</f>
        <v>#N/A</v>
      </c>
      <c r="BP161" s="38" t="e">
        <f>IF(Table1[[#This Row],[Stop]]="","",(IF(Table1[[#This Row],[Joining Date]]="","",IF(Table1[[#This Row],[Joining Date]]&lt;='KPI+Pivot'!$CP$1,Table1[[#This Row],[Stop]],""))))</f>
        <v>#N/A</v>
      </c>
    </row>
    <row r="162" spans="1:68" ht="18" customHeight="1">
      <c r="A162">
        <v>111</v>
      </c>
      <c r="B162" t="s">
        <v>66</v>
      </c>
      <c r="C162" t="s">
        <v>1155</v>
      </c>
      <c r="D162" t="s">
        <v>1161</v>
      </c>
      <c r="F162" t="s">
        <v>1162</v>
      </c>
      <c r="G162" t="s">
        <v>1163</v>
      </c>
      <c r="H162" t="s">
        <v>626</v>
      </c>
      <c r="I162" t="str">
        <f>IFERROR(HYPERLINK("#Finance!B" &amp; MATCH(A162, 'F 2025'!A:A, 0), "🔗 Go to finance"), "❌ ID introuvable")</f>
        <v>🔗 Go to finance</v>
      </c>
      <c r="J162" t="s">
        <v>109</v>
      </c>
      <c r="K162" t="s">
        <v>110</v>
      </c>
      <c r="L162" t="s">
        <v>111</v>
      </c>
      <c r="O162">
        <v>23100</v>
      </c>
      <c r="T162" s="130">
        <v>45200</v>
      </c>
      <c r="U162" s="38">
        <v>45747</v>
      </c>
      <c r="V162" t="s">
        <v>1164</v>
      </c>
      <c r="W162" t="s">
        <v>1165</v>
      </c>
      <c r="Y162">
        <v>8017065206</v>
      </c>
      <c r="Z162" t="s">
        <v>75</v>
      </c>
      <c r="AB162" t="s">
        <v>1166</v>
      </c>
      <c r="AD162" s="130">
        <v>45200</v>
      </c>
      <c r="AE162"/>
      <c r="AG162" t="s">
        <v>76</v>
      </c>
      <c r="AI162" t="s">
        <v>1166</v>
      </c>
      <c r="AK162" t="s">
        <v>362</v>
      </c>
      <c r="AM162" s="38">
        <v>45747</v>
      </c>
      <c r="AO162" t="s">
        <v>1163</v>
      </c>
      <c r="AR162" t="str">
        <f t="shared" ref="AR162:AR168" si="10">IF(OR(ISNUMBER(SEARCH("private",K162)), ISNUMBER(SEARCH("プら",K162)), ISNUMBER(SEARCH("プら,大人",K162)), ISNUMBER(SEARCH("セミプラ",K162))), "private", IF(OR(ISNUMBER(SEARCH("group",K162)), ISNUMBER(SEARCH("グループ",K162)), ISNUMBER(SEARCH("gr",K162))), "group", ""))</f>
        <v>private</v>
      </c>
      <c r="AS162">
        <f t="shared" ref="AS162:AS168" si="11">IF(J162&lt;&gt;"", IF(N162="", 4, N162), "")</f>
        <v>4</v>
      </c>
      <c r="AT162" t="str">
        <f>IF(Table1[[#This Row],[Joining Date]]="", "", TEXT(Table1[[#This Row],[Joining Date]], "mmm"))</f>
        <v>Oct</v>
      </c>
      <c r="AU162">
        <f>IF(Table1[[#This Row],[Joining Date]]="", "", YEAR(Table1[[#This Row],[Joining Date]]))</f>
        <v>2023</v>
      </c>
      <c r="AV162" t="str">
        <f>IF(Table1[[#This Row],[Group Name]]="","", M162 &amp; Table1[[#This Row],[Teacher]])</f>
        <v/>
      </c>
      <c r="AW162" t="str">
        <f>IF(Table1[[#This Row],[Helper]]="","",IF(_xlfn.MAXIFS(AT:AT,AW:AW,Table1[[#This Row],[Helper]])=Table1[[#This Row],[Clean Frequency]],_xlfn.MAXIFS(AT:AT,AW:AW,Table1[[#This Row],[Helper]]),""))</f>
        <v/>
      </c>
      <c r="AX162" t="str">
        <f ca="1">IF(AND(AW162=_xlfn.MAXIFS(AX:AX, AW:AW, AV162), COUNTIFS(AV$3:AV162, AV162, AW$3:AW162, AW162)=1), 1, "")</f>
        <v/>
      </c>
      <c r="AY162">
        <f>IF(Table1[[#This Row],[lesson type]]="private",Table1[[#This Row],[Clean Frequency]],"")</f>
        <v>4</v>
      </c>
      <c r="AZ162" t="str">
        <f ca="1">IF(Table1[[#This Row],[First Occurrence]]=1,Table1[[#This Row],[Group Frequency]],"")</f>
        <v/>
      </c>
      <c r="BA162" t="str">
        <f ca="1">IF(B162="Y", IF(Table1[[#This Row],[Stop]]="", TODAY() - Table1[[#This Row],[Joining Date]], Table1[[#This Row],[Stop]] - Table1[[#This Row],[Joining Date]]), "")</f>
        <v/>
      </c>
      <c r="BB162" t="str">
        <f>_xlfn.CONCAT(Table1[[#This Row],[t]]," ",Table1[[#This Row],[Last Name]])</f>
        <v>Sosuke Tomonou</v>
      </c>
      <c r="BC162" t="str">
        <f>IF(OR(Table1[[#This Row],[Teacher]]="Alex",Table1[[#This Row],[Teacher]]=""), "", Table1[[#This Row],[For Salary]])</f>
        <v/>
      </c>
      <c r="BD162" t="str">
        <f>IF(OR(Table1[[#This Row],[Teacher]]="Alex",Table1[[#This Row],[Teacher]]=""), "", Table1[[#This Row],[For Amount]])</f>
        <v/>
      </c>
      <c r="BE162" t="str">
        <f>IFERROR(IF(VLOOKUP(Table1[[#This Row],[Teacher]],'Teachers Salaries'!A:C,2,FALSE)="","",VLOOKUP(Table1[[#This Row],[Teacher]],'Teachers Salaries'!A:C,2,FALSE)),"")</f>
        <v>Fixed</v>
      </c>
      <c r="BF162">
        <f>IFERROR(IF(VLOOKUP(Table1[[#This Row],[Teacher]],'Teachers Salaries'!A:C,3,FALSE)="","",VLOOKUP(Table1[[#This Row],[Teacher]],'Teachers Salaries'!A:C,3,FALSE)),"")</f>
        <v>210000</v>
      </c>
      <c r="BG162" t="str">
        <f>IFERROR(IF(Table1[[#This Row],[Pay Type]]="Fixed","-",Table1[[#This Row],[Final Group Frequency2]]*Table1[[#This Row],[Salary / Hourly Rate]]),0)</f>
        <v>-</v>
      </c>
      <c r="BH162" t="str">
        <f>IFERROR(IF(Table1[[#This Row],[Pay Type]]="Fixed","----",Table1[[#This Row],[Salary / Hourly Rate]]*Table1[[#This Row],[Final PrivateFrequency]]),0)</f>
        <v>----</v>
      </c>
      <c r="BI162" t="str">
        <f>IF(Table1[[#This Row],[Pay Type]]="Fixed","---",Table1[[#This Row],[Group Salary]]+Table1[[#This Row],[Private Salary]])</f>
        <v>---</v>
      </c>
      <c r="BJ162" t="str">
        <f>IF(OR(J162="Alex", J162=""),"", Table1[[#This Row],[For Amount]])</f>
        <v/>
      </c>
      <c r="BK162" t="str">
        <f>IFERROR(Table1[[#This Row],[Fee]]-Table1[[#This Row],[Total Salary]],"")</f>
        <v/>
      </c>
      <c r="BL162" t="e">
        <f>IF(Table1[[#This Row],[Joining Date]]="","",IF(Table1[[#This Row],[Joining Date]]&lt;='KPI+Pivot'!$CP$1,Table1[[#This Row],[Fee]],""))</f>
        <v>#N/A</v>
      </c>
      <c r="BM16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2" t="e">
        <f>IF(Table1[[#This Row],[Joining Date]]="","",IF(Table1[[#This Row],[Joining Date]]&lt;='KPI+Pivot'!$CP$1,Table1[[#This Row],[Total Salary]],""))</f>
        <v>#N/A</v>
      </c>
      <c r="BO162" t="e">
        <f>IF(Table1[[#This Row],[Joining Date]]="","",IF(Table1[[#This Row],[Joining Date]]&lt;='KPI+Pivot'!$CP$1,Table1[[#This Row],[Frequency]],""))</f>
        <v>#N/A</v>
      </c>
      <c r="BP162" s="38" t="e">
        <f>IF(Table1[[#This Row],[Stop]]="","",(IF(Table1[[#This Row],[Joining Date]]="","",IF(Table1[[#This Row],[Joining Date]]&lt;='KPI+Pivot'!$CP$1,Table1[[#This Row],[Stop]],""))))</f>
        <v>#N/A</v>
      </c>
    </row>
    <row r="163" spans="1:68" ht="18" customHeight="1">
      <c r="A163">
        <v>146</v>
      </c>
      <c r="B163" t="s">
        <v>66</v>
      </c>
      <c r="C163" t="s">
        <v>1167</v>
      </c>
      <c r="D163" t="s">
        <v>1168</v>
      </c>
      <c r="F163" t="s">
        <v>1169</v>
      </c>
      <c r="G163" t="s">
        <v>1170</v>
      </c>
      <c r="H163" t="s">
        <v>1171</v>
      </c>
      <c r="I163" t="str">
        <f>IFERROR(HYPERLINK("#Finance!B" &amp; MATCH(A163, 'F 2025'!A:A, 0), "🔗 Go to finance"), "❌ ID introuvable")</f>
        <v>🔗 Go to finance</v>
      </c>
      <c r="J163" t="s">
        <v>196</v>
      </c>
      <c r="K163" t="s">
        <v>110</v>
      </c>
      <c r="L163" t="s">
        <v>507</v>
      </c>
      <c r="N163">
        <v>4</v>
      </c>
      <c r="O163">
        <v>19800</v>
      </c>
      <c r="V163" t="s">
        <v>1172</v>
      </c>
      <c r="Y163">
        <v>9029626992</v>
      </c>
      <c r="Z163" t="s">
        <v>75</v>
      </c>
      <c r="AB163" t="s">
        <v>1173</v>
      </c>
      <c r="AD163" s="130">
        <v>45413</v>
      </c>
      <c r="AE163"/>
      <c r="AG163" t="s">
        <v>76</v>
      </c>
      <c r="AI163" t="s">
        <v>1173</v>
      </c>
      <c r="AK163" t="s">
        <v>84</v>
      </c>
      <c r="AM163" s="38"/>
      <c r="AO163" t="s">
        <v>1170</v>
      </c>
      <c r="AR163" t="str">
        <f t="shared" si="10"/>
        <v>private</v>
      </c>
      <c r="AS163">
        <f t="shared" si="11"/>
        <v>4</v>
      </c>
      <c r="AT163" t="str">
        <f>IF(Table1[[#This Row],[Joining Date]]="", "", TEXT(Table1[[#This Row],[Joining Date]], "mmm"))</f>
        <v>May</v>
      </c>
      <c r="AU163">
        <f>IF(Table1[[#This Row],[Joining Date]]="", "", YEAR(Table1[[#This Row],[Joining Date]]))</f>
        <v>2024</v>
      </c>
      <c r="AV163" t="str">
        <f>IF(Table1[[#This Row],[Group Name]]="","", M163 &amp; Table1[[#This Row],[Teacher]])</f>
        <v/>
      </c>
      <c r="AW163" t="str">
        <f>IF(Table1[[#This Row],[Helper]]="","",IF(_xlfn.MAXIFS(AT:AT,AW:AW,Table1[[#This Row],[Helper]])=Table1[[#This Row],[Clean Frequency]],_xlfn.MAXIFS(AT:AT,AW:AW,Table1[[#This Row],[Helper]]),""))</f>
        <v/>
      </c>
      <c r="AX163" t="str">
        <f ca="1">IF(AND(AW163=_xlfn.MAXIFS(AX:AX, AW:AW, AV163), COUNTIFS(AV$3:AV163, AV163, AW$3:AW163, AW163)=1), 1, "")</f>
        <v/>
      </c>
      <c r="AY163">
        <f>IF(Table1[[#This Row],[lesson type]]="private",Table1[[#This Row],[Clean Frequency]],"")</f>
        <v>4</v>
      </c>
      <c r="AZ163" t="str">
        <f ca="1">IF(Table1[[#This Row],[First Occurrence]]=1,Table1[[#This Row],[Group Frequency]],"")</f>
        <v/>
      </c>
      <c r="BA163" t="str">
        <f ca="1">IF(B163="Y", IF(Table1[[#This Row],[Stop]]="", TODAY() - Table1[[#This Row],[Joining Date]], Table1[[#This Row],[Stop]] - Table1[[#This Row],[Joining Date]]), "")</f>
        <v/>
      </c>
      <c r="BB163" t="str">
        <f>_xlfn.CONCAT(Table1[[#This Row],[t]]," ",Table1[[#This Row],[Last Name]])</f>
        <v>Sota To</v>
      </c>
      <c r="BC163" t="e">
        <f>IF(OR(Table1[[#This Row],[Teacher]]="Alex",Table1[[#This Row],[Teacher]]=""), "", Table1[[#This Row],[For Salary]])</f>
        <v>#N/A</v>
      </c>
      <c r="BD163" t="e">
        <f>IF(OR(Table1[[#This Row],[Teacher]]="Alex",Table1[[#This Row],[Teacher]]=""), "", Table1[[#This Row],[For Amount]])</f>
        <v>#N/A</v>
      </c>
      <c r="BE163" t="str">
        <f>IFERROR(IF(VLOOKUP(Table1[[#This Row],[Teacher]],'Teachers Salaries'!A:C,2,FALSE)="","",VLOOKUP(Table1[[#This Row],[Teacher]],'Teachers Salaries'!A:C,2,FALSE)),"")</f>
        <v>Hourly</v>
      </c>
      <c r="BF163">
        <f>IFERROR(IF(VLOOKUP(Table1[[#This Row],[Teacher]],'Teachers Salaries'!A:C,3,FALSE)="","",VLOOKUP(Table1[[#This Row],[Teacher]],'Teachers Salaries'!A:C,3,FALSE)),"")</f>
        <v>2600</v>
      </c>
      <c r="BG163">
        <f ca="1">IFERROR(IF(Table1[[#This Row],[Pay Type]]="Fixed","-",Table1[[#This Row],[Final Group Frequency2]]*Table1[[#This Row],[Salary / Hourly Rate]]),0)</f>
        <v>0</v>
      </c>
      <c r="BH163">
        <f>IFERROR(IF(Table1[[#This Row],[Pay Type]]="Fixed","----",Table1[[#This Row],[Salary / Hourly Rate]]*Table1[[#This Row],[Final PrivateFrequency]]),0)</f>
        <v>10400</v>
      </c>
      <c r="BI163">
        <f ca="1">IF(Table1[[#This Row],[Pay Type]]="Fixed","---",Table1[[#This Row],[Group Salary]]+Table1[[#This Row],[Private Salary]])</f>
        <v>10400</v>
      </c>
      <c r="BJ163" t="e">
        <f>IF(OR(J163="Alex", J163=""),"", Table1[[#This Row],[For Amount]])</f>
        <v>#N/A</v>
      </c>
      <c r="BK163">
        <f ca="1">IFERROR(Table1[[#This Row],[Fee]]-Table1[[#This Row],[Total Salary]],"")</f>
        <v>9400</v>
      </c>
      <c r="BL163" t="e">
        <f>IF(Table1[[#This Row],[Joining Date]]="","",IF(Table1[[#This Row],[Joining Date]]&lt;='KPI+Pivot'!$CP$1,Table1[[#This Row],[Fee]],""))</f>
        <v>#N/A</v>
      </c>
      <c r="BM16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3" t="e">
        <f>IF(Table1[[#This Row],[Joining Date]]="","",IF(Table1[[#This Row],[Joining Date]]&lt;='KPI+Pivot'!$CP$1,Table1[[#This Row],[Total Salary]],""))</f>
        <v>#N/A</v>
      </c>
      <c r="BO163" t="e">
        <f>IF(Table1[[#This Row],[Joining Date]]="","",IF(Table1[[#This Row],[Joining Date]]&lt;='KPI+Pivot'!$CP$1,Table1[[#This Row],[Frequency]],""))</f>
        <v>#N/A</v>
      </c>
      <c r="BP163" s="38" t="str">
        <f>IF(Table1[[#This Row],[Stop]]="","",(IF(Table1[[#This Row],[Joining Date]]="","",IF(Table1[[#This Row],[Joining Date]]&lt;='KPI+Pivot'!$CP$1,Table1[[#This Row],[Stop]],""))))</f>
        <v/>
      </c>
    </row>
    <row r="164" spans="1:68" ht="22.9" customHeight="1">
      <c r="B164" t="s">
        <v>66</v>
      </c>
      <c r="C164" t="s">
        <v>1174</v>
      </c>
      <c r="D164" t="s">
        <v>1175</v>
      </c>
      <c r="F164" t="s">
        <v>1176</v>
      </c>
      <c r="G164" t="s">
        <v>1177</v>
      </c>
      <c r="H164" t="s">
        <v>1178</v>
      </c>
      <c r="I164" t="str">
        <f>IFERROR(HYPERLINK("#Finance!B" &amp; MATCH(A164, 'F 2025'!A:A, 0), "🔗 Go to finance"), "❌ ID introuvable")</f>
        <v>❌ ID introuvable</v>
      </c>
      <c r="L164" t="s">
        <v>661</v>
      </c>
      <c r="V164" t="s">
        <v>1179</v>
      </c>
      <c r="W164" t="s">
        <v>1180</v>
      </c>
      <c r="Y164" t="s">
        <v>1181</v>
      </c>
      <c r="Z164" t="s">
        <v>75</v>
      </c>
      <c r="AB164" t="s">
        <v>1182</v>
      </c>
      <c r="AD164" s="130">
        <v>44228</v>
      </c>
      <c r="AE164"/>
      <c r="AG164" t="s">
        <v>76</v>
      </c>
      <c r="AI164" t="s">
        <v>1182</v>
      </c>
      <c r="AK164" t="s">
        <v>182</v>
      </c>
      <c r="AM164" s="38"/>
      <c r="AO164" t="s">
        <v>1177</v>
      </c>
      <c r="AR164" t="str">
        <f t="shared" si="10"/>
        <v/>
      </c>
      <c r="AS164" t="str">
        <f t="shared" si="11"/>
        <v/>
      </c>
      <c r="AT164" t="str">
        <f>IF(Table1[[#This Row],[Joining Date]]="", "", TEXT(Table1[[#This Row],[Joining Date]], "mmm"))</f>
        <v>Feb</v>
      </c>
      <c r="AU164">
        <f>IF(Table1[[#This Row],[Joining Date]]="", "", YEAR(Table1[[#This Row],[Joining Date]]))</f>
        <v>2021</v>
      </c>
      <c r="AV164" t="str">
        <f>IF(Table1[[#This Row],[Group Name]]="","", M164 &amp; Table1[[#This Row],[Teacher]])</f>
        <v/>
      </c>
      <c r="AW164" t="str">
        <f>IF(Table1[[#This Row],[Helper]]="","",IF(_xlfn.MAXIFS(AT:AT,AW:AW,Table1[[#This Row],[Helper]])=Table1[[#This Row],[Clean Frequency]],_xlfn.MAXIFS(AT:AT,AW:AW,Table1[[#This Row],[Helper]]),""))</f>
        <v/>
      </c>
      <c r="AX164" t="str">
        <f ca="1">IF(AND(AW164=_xlfn.MAXIFS(AX:AX, AW:AW, AV164), COUNTIFS(AV$3:AV164, AV164, AW$3:AW164, AW164)=1), 1, "")</f>
        <v/>
      </c>
      <c r="AY164" t="str">
        <f>IF(Table1[[#This Row],[lesson type]]="private",Table1[[#This Row],[Clean Frequency]],"")</f>
        <v/>
      </c>
      <c r="AZ164" t="str">
        <f ca="1">IF(Table1[[#This Row],[First Occurrence]]=1,Table1[[#This Row],[Group Frequency]],"")</f>
        <v/>
      </c>
      <c r="BA164" t="str">
        <f ca="1">IF(B164="Y", IF(Table1[[#This Row],[Stop]]="", TODAY() - Table1[[#This Row],[Joining Date]], Table1[[#This Row],[Stop]] - Table1[[#This Row],[Joining Date]]), "")</f>
        <v/>
      </c>
      <c r="BB164" t="str">
        <f>_xlfn.CONCAT(Table1[[#This Row],[t]]," ",Table1[[#This Row],[Last Name]])</f>
        <v>Souta Teramatsu</v>
      </c>
      <c r="BC164" t="str">
        <f>IF(OR(Table1[[#This Row],[Teacher]]="Alex",Table1[[#This Row],[Teacher]]=""), "", Table1[[#This Row],[For Salary]])</f>
        <v/>
      </c>
      <c r="BD164" t="str">
        <f>IF(OR(Table1[[#This Row],[Teacher]]="Alex",Table1[[#This Row],[Teacher]]=""), "", Table1[[#This Row],[For Amount]])</f>
        <v/>
      </c>
      <c r="BE164" t="str">
        <f>IFERROR(IF(VLOOKUP(Table1[[#This Row],[Teacher]],'Teachers Salaries'!A:C,2,FALSE)="","",VLOOKUP(Table1[[#This Row],[Teacher]],'Teachers Salaries'!A:C,2,FALSE)),"")</f>
        <v/>
      </c>
      <c r="BF164" t="str">
        <f>IFERROR(IF(VLOOKUP(Table1[[#This Row],[Teacher]],'Teachers Salaries'!A:C,3,FALSE)="","",VLOOKUP(Table1[[#This Row],[Teacher]],'Teachers Salaries'!A:C,3,FALSE)),"")</f>
        <v/>
      </c>
      <c r="BG164">
        <f ca="1">IFERROR(IF(Table1[[#This Row],[Pay Type]]="Fixed","-",Table1[[#This Row],[Final Group Frequency2]]*Table1[[#This Row],[Salary / Hourly Rate]]),0)</f>
        <v>0</v>
      </c>
      <c r="BH164">
        <f>IFERROR(IF(Table1[[#This Row],[Pay Type]]="Fixed","----",Table1[[#This Row],[Salary / Hourly Rate]]*Table1[[#This Row],[Final PrivateFrequency]]),0)</f>
        <v>0</v>
      </c>
      <c r="BI164">
        <f ca="1">IF(Table1[[#This Row],[Pay Type]]="Fixed","---",Table1[[#This Row],[Group Salary]]+Table1[[#This Row],[Private Salary]])</f>
        <v>0</v>
      </c>
      <c r="BJ164" t="str">
        <f>IF(OR(J164="Alex", J164=""),"", Table1[[#This Row],[For Amount]])</f>
        <v/>
      </c>
      <c r="BK164">
        <f ca="1">IFERROR(Table1[[#This Row],[Fee]]-Table1[[#This Row],[Total Salary]],"")</f>
        <v>0</v>
      </c>
      <c r="BL164" t="e">
        <f>IF(Table1[[#This Row],[Joining Date]]="","",IF(Table1[[#This Row],[Joining Date]]&lt;='KPI+Pivot'!$CP$1,Table1[[#This Row],[Fee]],""))</f>
        <v>#N/A</v>
      </c>
      <c r="BM16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4" t="e">
        <f>IF(Table1[[#This Row],[Joining Date]]="","",IF(Table1[[#This Row],[Joining Date]]&lt;='KPI+Pivot'!$CP$1,Table1[[#This Row],[Total Salary]],""))</f>
        <v>#N/A</v>
      </c>
      <c r="BO164" t="e">
        <f>IF(Table1[[#This Row],[Joining Date]]="","",IF(Table1[[#This Row],[Joining Date]]&lt;='KPI+Pivot'!$CP$1,Table1[[#This Row],[Frequency]],""))</f>
        <v>#N/A</v>
      </c>
      <c r="BP164" s="38" t="str">
        <f>IF(Table1[[#This Row],[Stop]]="","",(IF(Table1[[#This Row],[Joining Date]]="","",IF(Table1[[#This Row],[Joining Date]]&lt;='KPI+Pivot'!$CP$1,Table1[[#This Row],[Stop]],""))))</f>
        <v/>
      </c>
    </row>
    <row r="165" spans="1:68" ht="22.9" customHeight="1">
      <c r="B165" t="s">
        <v>66</v>
      </c>
      <c r="C165" t="s">
        <v>1183</v>
      </c>
      <c r="D165" t="s">
        <v>1184</v>
      </c>
      <c r="F165" t="s">
        <v>1185</v>
      </c>
      <c r="G165" t="s">
        <v>1186</v>
      </c>
      <c r="H165" t="s">
        <v>1187</v>
      </c>
      <c r="I165" t="str">
        <f>IFERROR(HYPERLINK("#Finance!B" &amp; MATCH(A165, 'F 2025'!A:A, 0), "🔗 Go to finance"), "❌ ID introuvable")</f>
        <v>❌ ID introuvable</v>
      </c>
      <c r="L165" t="s">
        <v>102</v>
      </c>
      <c r="V165" t="s">
        <v>1188</v>
      </c>
      <c r="W165" t="s">
        <v>1188</v>
      </c>
      <c r="Z165" t="s">
        <v>75</v>
      </c>
      <c r="AB165" t="s">
        <v>1189</v>
      </c>
      <c r="AD165" s="130">
        <v>44758</v>
      </c>
      <c r="AE165"/>
      <c r="AG165" t="s">
        <v>76</v>
      </c>
      <c r="AI165" t="s">
        <v>1189</v>
      </c>
      <c r="AK165" t="s">
        <v>102</v>
      </c>
      <c r="AM165" s="38"/>
      <c r="AO165" t="s">
        <v>1186</v>
      </c>
      <c r="AR165" t="str">
        <f t="shared" si="10"/>
        <v/>
      </c>
      <c r="AS165" t="str">
        <f t="shared" si="11"/>
        <v/>
      </c>
      <c r="AT165" t="str">
        <f>IF(Table1[[#This Row],[Joining Date]]="", "", TEXT(Table1[[#This Row],[Joining Date]], "mmm"))</f>
        <v>Jul</v>
      </c>
      <c r="AU165">
        <f>IF(Table1[[#This Row],[Joining Date]]="", "", YEAR(Table1[[#This Row],[Joining Date]]))</f>
        <v>2022</v>
      </c>
      <c r="AV165" t="str">
        <f>IF(Table1[[#This Row],[Group Name]]="","", M165 &amp; Table1[[#This Row],[Teacher]])</f>
        <v/>
      </c>
      <c r="AW165" t="str">
        <f>IF(Table1[[#This Row],[Helper]]="","",IF(_xlfn.MAXIFS(AT:AT,AW:AW,Table1[[#This Row],[Helper]])=Table1[[#This Row],[Clean Frequency]],_xlfn.MAXIFS(AT:AT,AW:AW,Table1[[#This Row],[Helper]]),""))</f>
        <v/>
      </c>
      <c r="AX165" t="str">
        <f ca="1">IF(AND(AW165=_xlfn.MAXIFS(AX:AX, AW:AW, AV165), COUNTIFS(AV$3:AV165, AV165, AW$3:AW165, AW165)=1), 1, "")</f>
        <v/>
      </c>
      <c r="AY165" t="str">
        <f>IF(Table1[[#This Row],[lesson type]]="private",Table1[[#This Row],[Clean Frequency]],"")</f>
        <v/>
      </c>
      <c r="AZ165" t="str">
        <f ca="1">IF(Table1[[#This Row],[First Occurrence]]=1,Table1[[#This Row],[Group Frequency]],"")</f>
        <v/>
      </c>
      <c r="BA165" t="str">
        <f ca="1">IF(B165="Y", IF(Table1[[#This Row],[Stop]]="", TODAY() - Table1[[#This Row],[Joining Date]], Table1[[#This Row],[Stop]] - Table1[[#This Row],[Joining Date]]), "")</f>
        <v/>
      </c>
      <c r="BB165" t="str">
        <f>_xlfn.CONCAT(Table1[[#This Row],[t]]," ",Table1[[#This Row],[Last Name]])</f>
        <v>Suguru Muromoto</v>
      </c>
      <c r="BC165" t="str">
        <f>IF(OR(Table1[[#This Row],[Teacher]]="Alex",Table1[[#This Row],[Teacher]]=""), "", Table1[[#This Row],[For Salary]])</f>
        <v/>
      </c>
      <c r="BD165" t="str">
        <f>IF(OR(Table1[[#This Row],[Teacher]]="Alex",Table1[[#This Row],[Teacher]]=""), "", Table1[[#This Row],[For Amount]])</f>
        <v/>
      </c>
      <c r="BE165" t="str">
        <f>IFERROR(IF(VLOOKUP(Table1[[#This Row],[Teacher]],'Teachers Salaries'!A:C,2,FALSE)="","",VLOOKUP(Table1[[#This Row],[Teacher]],'Teachers Salaries'!A:C,2,FALSE)),"")</f>
        <v/>
      </c>
      <c r="BF165" t="str">
        <f>IFERROR(IF(VLOOKUP(Table1[[#This Row],[Teacher]],'Teachers Salaries'!A:C,3,FALSE)="","",VLOOKUP(Table1[[#This Row],[Teacher]],'Teachers Salaries'!A:C,3,FALSE)),"")</f>
        <v/>
      </c>
      <c r="BG165">
        <f ca="1">IFERROR(IF(Table1[[#This Row],[Pay Type]]="Fixed","-",Table1[[#This Row],[Final Group Frequency2]]*Table1[[#This Row],[Salary / Hourly Rate]]),0)</f>
        <v>0</v>
      </c>
      <c r="BH165">
        <f>IFERROR(IF(Table1[[#This Row],[Pay Type]]="Fixed","----",Table1[[#This Row],[Salary / Hourly Rate]]*Table1[[#This Row],[Final PrivateFrequency]]),0)</f>
        <v>0</v>
      </c>
      <c r="BI165">
        <f ca="1">IF(Table1[[#This Row],[Pay Type]]="Fixed","---",Table1[[#This Row],[Group Salary]]+Table1[[#This Row],[Private Salary]])</f>
        <v>0</v>
      </c>
      <c r="BJ165" t="str">
        <f>IF(OR(J165="Alex", J165=""),"", Table1[[#This Row],[For Amount]])</f>
        <v/>
      </c>
      <c r="BK165">
        <f ca="1">IFERROR(Table1[[#This Row],[Fee]]-Table1[[#This Row],[Total Salary]],"")</f>
        <v>0</v>
      </c>
      <c r="BL165" t="e">
        <f>IF(Table1[[#This Row],[Joining Date]]="","",IF(Table1[[#This Row],[Joining Date]]&lt;='KPI+Pivot'!$CP$1,Table1[[#This Row],[Fee]],""))</f>
        <v>#N/A</v>
      </c>
      <c r="BM16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5" t="e">
        <f>IF(Table1[[#This Row],[Joining Date]]="","",IF(Table1[[#This Row],[Joining Date]]&lt;='KPI+Pivot'!$CP$1,Table1[[#This Row],[Total Salary]],""))</f>
        <v>#N/A</v>
      </c>
      <c r="BO165" t="e">
        <f>IF(Table1[[#This Row],[Joining Date]]="","",IF(Table1[[#This Row],[Joining Date]]&lt;='KPI+Pivot'!$CP$1,Table1[[#This Row],[Frequency]],""))</f>
        <v>#N/A</v>
      </c>
      <c r="BP165" s="38" t="str">
        <f>IF(Table1[[#This Row],[Stop]]="","",(IF(Table1[[#This Row],[Joining Date]]="","",IF(Table1[[#This Row],[Joining Date]]&lt;='KPI+Pivot'!$CP$1,Table1[[#This Row],[Stop]],""))))</f>
        <v/>
      </c>
    </row>
    <row r="166" spans="1:68" ht="22.9" customHeight="1">
      <c r="B166" t="s">
        <v>66</v>
      </c>
      <c r="C166" t="s">
        <v>1190</v>
      </c>
      <c r="D166" t="s">
        <v>1191</v>
      </c>
      <c r="F166" t="s">
        <v>1192</v>
      </c>
      <c r="G166" t="s">
        <v>1193</v>
      </c>
      <c r="H166" t="s">
        <v>1194</v>
      </c>
      <c r="I166" t="str">
        <f>IFERROR(HYPERLINK("#Finance!B" &amp; MATCH(A166, 'F 2025'!A:A, 0), "🔗 Go to finance"), "❌ ID introuvable")</f>
        <v>❌ ID introuvable</v>
      </c>
      <c r="L166" t="s">
        <v>102</v>
      </c>
      <c r="V166" t="s">
        <v>1195</v>
      </c>
      <c r="W166" t="s">
        <v>1196</v>
      </c>
      <c r="Y166" t="s">
        <v>1197</v>
      </c>
      <c r="Z166" t="s">
        <v>75</v>
      </c>
      <c r="AB166" t="s">
        <v>1198</v>
      </c>
      <c r="AD166" s="130">
        <v>43845</v>
      </c>
      <c r="AE166"/>
      <c r="AG166" t="s">
        <v>76</v>
      </c>
      <c r="AI166" t="s">
        <v>1198</v>
      </c>
      <c r="AK166" t="s">
        <v>102</v>
      </c>
      <c r="AM166" s="38"/>
      <c r="AO166" t="s">
        <v>1193</v>
      </c>
      <c r="AR166" t="str">
        <f t="shared" si="10"/>
        <v/>
      </c>
      <c r="AS166" t="str">
        <f t="shared" si="11"/>
        <v/>
      </c>
      <c r="AT166" t="str">
        <f>IF(Table1[[#This Row],[Joining Date]]="", "", TEXT(Table1[[#This Row],[Joining Date]], "mmm"))</f>
        <v>Jan</v>
      </c>
      <c r="AU166">
        <f>IF(Table1[[#This Row],[Joining Date]]="", "", YEAR(Table1[[#This Row],[Joining Date]]))</f>
        <v>2020</v>
      </c>
      <c r="AV166" t="str">
        <f>IF(Table1[[#This Row],[Group Name]]="","", M166 &amp; Table1[[#This Row],[Teacher]])</f>
        <v/>
      </c>
      <c r="AW166" t="str">
        <f>IF(Table1[[#This Row],[Helper]]="","",IF(_xlfn.MAXIFS(AT:AT,AW:AW,Table1[[#This Row],[Helper]])=Table1[[#This Row],[Clean Frequency]],_xlfn.MAXIFS(AT:AT,AW:AW,Table1[[#This Row],[Helper]]),""))</f>
        <v/>
      </c>
      <c r="AX166" t="str">
        <f ca="1">IF(AND(AW166=_xlfn.MAXIFS(AX:AX, AW:AW, AV166), COUNTIFS(AV$3:AV166, AV166, AW$3:AW166, AW166)=1), 1, "")</f>
        <v/>
      </c>
      <c r="AY166" t="str">
        <f>IF(Table1[[#This Row],[lesson type]]="private",Table1[[#This Row],[Clean Frequency]],"")</f>
        <v/>
      </c>
      <c r="AZ166" t="str">
        <f ca="1">IF(Table1[[#This Row],[First Occurrence]]=1,Table1[[#This Row],[Group Frequency]],"")</f>
        <v/>
      </c>
      <c r="BA166" t="str">
        <f ca="1">IF(B166="Y", IF(Table1[[#This Row],[Stop]]="", TODAY() - Table1[[#This Row],[Joining Date]], Table1[[#This Row],[Stop]] - Table1[[#This Row],[Joining Date]]), "")</f>
        <v/>
      </c>
      <c r="BB166" t="str">
        <f>_xlfn.CONCAT(Table1[[#This Row],[t]]," ",Table1[[#This Row],[Last Name]])</f>
        <v>Taisei Sonezaki</v>
      </c>
      <c r="BC166" t="str">
        <f>IF(OR(Table1[[#This Row],[Teacher]]="Alex",Table1[[#This Row],[Teacher]]=""), "", Table1[[#This Row],[For Salary]])</f>
        <v/>
      </c>
      <c r="BD166" t="str">
        <f>IF(OR(Table1[[#This Row],[Teacher]]="Alex",Table1[[#This Row],[Teacher]]=""), "", Table1[[#This Row],[For Amount]])</f>
        <v/>
      </c>
      <c r="BE166" t="str">
        <f>IFERROR(IF(VLOOKUP(Table1[[#This Row],[Teacher]],'Teachers Salaries'!A:C,2,FALSE)="","",VLOOKUP(Table1[[#This Row],[Teacher]],'Teachers Salaries'!A:C,2,FALSE)),"")</f>
        <v/>
      </c>
      <c r="BF166" t="str">
        <f>IFERROR(IF(VLOOKUP(Table1[[#This Row],[Teacher]],'Teachers Salaries'!A:C,3,FALSE)="","",VLOOKUP(Table1[[#This Row],[Teacher]],'Teachers Salaries'!A:C,3,FALSE)),"")</f>
        <v/>
      </c>
      <c r="BG166">
        <f ca="1">IFERROR(IF(Table1[[#This Row],[Pay Type]]="Fixed","-",Table1[[#This Row],[Final Group Frequency2]]*Table1[[#This Row],[Salary / Hourly Rate]]),0)</f>
        <v>0</v>
      </c>
      <c r="BH166">
        <f>IFERROR(IF(Table1[[#This Row],[Pay Type]]="Fixed","----",Table1[[#This Row],[Salary / Hourly Rate]]*Table1[[#This Row],[Final PrivateFrequency]]),0)</f>
        <v>0</v>
      </c>
      <c r="BI166">
        <f ca="1">IF(Table1[[#This Row],[Pay Type]]="Fixed","---",Table1[[#This Row],[Group Salary]]+Table1[[#This Row],[Private Salary]])</f>
        <v>0</v>
      </c>
      <c r="BJ166" t="str">
        <f>IF(OR(J166="Alex", J166=""),"", Table1[[#This Row],[For Amount]])</f>
        <v/>
      </c>
      <c r="BK166">
        <f ca="1">IFERROR(Table1[[#This Row],[Fee]]-Table1[[#This Row],[Total Salary]],"")</f>
        <v>0</v>
      </c>
      <c r="BL166" t="e">
        <f>IF(Table1[[#This Row],[Joining Date]]="","",IF(Table1[[#This Row],[Joining Date]]&lt;='KPI+Pivot'!$CP$1,Table1[[#This Row],[Fee]],""))</f>
        <v>#N/A</v>
      </c>
      <c r="BM16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6" t="e">
        <f>IF(Table1[[#This Row],[Joining Date]]="","",IF(Table1[[#This Row],[Joining Date]]&lt;='KPI+Pivot'!$CP$1,Table1[[#This Row],[Total Salary]],""))</f>
        <v>#N/A</v>
      </c>
      <c r="BO166" t="e">
        <f>IF(Table1[[#This Row],[Joining Date]]="","",IF(Table1[[#This Row],[Joining Date]]&lt;='KPI+Pivot'!$CP$1,Table1[[#This Row],[Frequency]],""))</f>
        <v>#N/A</v>
      </c>
      <c r="BP166" s="38" t="str">
        <f>IF(Table1[[#This Row],[Stop]]="","",(IF(Table1[[#This Row],[Joining Date]]="","",IF(Table1[[#This Row],[Joining Date]]&lt;='KPI+Pivot'!$CP$1,Table1[[#This Row],[Stop]],""))))</f>
        <v/>
      </c>
    </row>
    <row r="167" spans="1:68" ht="18" customHeight="1">
      <c r="A167">
        <v>137</v>
      </c>
      <c r="B167" t="s">
        <v>66</v>
      </c>
      <c r="C167" t="s">
        <v>1190</v>
      </c>
      <c r="D167" t="s">
        <v>1199</v>
      </c>
      <c r="F167" t="s">
        <v>1200</v>
      </c>
      <c r="G167" t="s">
        <v>1201</v>
      </c>
      <c r="H167" t="s">
        <v>832</v>
      </c>
      <c r="I167" t="str">
        <f>IFERROR(HYPERLINK("#Finance!B" &amp; MATCH(A167, 'F 2025'!A:A, 0), "🔗 Go to finance"), "❌ ID introuvable")</f>
        <v>🔗 Go to finance</v>
      </c>
      <c r="J167" t="s">
        <v>109</v>
      </c>
      <c r="K167" t="s">
        <v>117</v>
      </c>
      <c r="L167" t="s">
        <v>502</v>
      </c>
      <c r="O167">
        <v>12100</v>
      </c>
      <c r="T167" s="38">
        <v>45716</v>
      </c>
      <c r="U167" s="38"/>
      <c r="V167" t="s">
        <v>834</v>
      </c>
      <c r="W167" t="s">
        <v>834</v>
      </c>
      <c r="Y167" t="s">
        <v>835</v>
      </c>
      <c r="Z167" t="s">
        <v>75</v>
      </c>
      <c r="AB167" t="s">
        <v>836</v>
      </c>
      <c r="AD167" s="130">
        <v>45352</v>
      </c>
      <c r="AE167"/>
      <c r="AG167" t="s">
        <v>76</v>
      </c>
      <c r="AI167" t="s">
        <v>836</v>
      </c>
      <c r="AK167" t="s">
        <v>362</v>
      </c>
      <c r="AM167" s="38">
        <v>45716</v>
      </c>
      <c r="AO167" t="s">
        <v>1201</v>
      </c>
      <c r="AR167" t="str">
        <f t="shared" si="10"/>
        <v>group</v>
      </c>
      <c r="AS167">
        <f t="shared" si="11"/>
        <v>4</v>
      </c>
      <c r="AT167" t="str">
        <f>IF(Table1[[#This Row],[Joining Date]]="", "", TEXT(Table1[[#This Row],[Joining Date]], "mmm"))</f>
        <v>Mar</v>
      </c>
      <c r="AU167">
        <f>IF(Table1[[#This Row],[Joining Date]]="", "", YEAR(Table1[[#This Row],[Joining Date]]))</f>
        <v>2024</v>
      </c>
      <c r="AV167" t="str">
        <f>IF(Table1[[#This Row],[Group Name]]="","", M167 &amp; Table1[[#This Row],[Teacher]])</f>
        <v/>
      </c>
      <c r="AW167" t="str">
        <f>IF(Table1[[#This Row],[Helper]]="","",IF(_xlfn.MAXIFS(AT:AT,AW:AW,Table1[[#This Row],[Helper]])=Table1[[#This Row],[Clean Frequency]],_xlfn.MAXIFS(AT:AT,AW:AW,Table1[[#This Row],[Helper]]),""))</f>
        <v/>
      </c>
      <c r="AX167" t="str">
        <f ca="1">IF(AND(AW167=_xlfn.MAXIFS(AX:AX, AW:AW, AV167), COUNTIFS(AV$3:AV167, AV167, AW$3:AW167, AW167)=1), 1, "")</f>
        <v/>
      </c>
      <c r="AY167" t="str">
        <f>IF(Table1[[#This Row],[lesson type]]="private",Table1[[#This Row],[Clean Frequency]],"")</f>
        <v/>
      </c>
      <c r="AZ167" t="str">
        <f ca="1">IF(Table1[[#This Row],[First Occurrence]]=1,Table1[[#This Row],[Group Frequency]],"")</f>
        <v/>
      </c>
      <c r="BA167" t="str">
        <f ca="1">IF(B167="Y", IF(Table1[[#This Row],[Stop]]="", TODAY() - Table1[[#This Row],[Joining Date]], Table1[[#This Row],[Stop]] - Table1[[#This Row],[Joining Date]]), "")</f>
        <v/>
      </c>
      <c r="BB167" t="str">
        <f>_xlfn.CONCAT(Table1[[#This Row],[t]]," ",Table1[[#This Row],[Last Name]])</f>
        <v>Taisei Kuroiwa</v>
      </c>
      <c r="BC167" t="str">
        <f>IF(OR(Table1[[#This Row],[Teacher]]="Alex",Table1[[#This Row],[Teacher]]=""), "", Table1[[#This Row],[For Salary]])</f>
        <v/>
      </c>
      <c r="BD167" t="str">
        <f>IF(OR(Table1[[#This Row],[Teacher]]="Alex",Table1[[#This Row],[Teacher]]=""), "", Table1[[#This Row],[For Amount]])</f>
        <v/>
      </c>
      <c r="BE167" t="str">
        <f>IFERROR(IF(VLOOKUP(Table1[[#This Row],[Teacher]],'Teachers Salaries'!A:C,2,FALSE)="","",VLOOKUP(Table1[[#This Row],[Teacher]],'Teachers Salaries'!A:C,2,FALSE)),"")</f>
        <v>Fixed</v>
      </c>
      <c r="BF167">
        <f>IFERROR(IF(VLOOKUP(Table1[[#This Row],[Teacher]],'Teachers Salaries'!A:C,3,FALSE)="","",VLOOKUP(Table1[[#This Row],[Teacher]],'Teachers Salaries'!A:C,3,FALSE)),"")</f>
        <v>210000</v>
      </c>
      <c r="BG167" t="str">
        <f>IFERROR(IF(Table1[[#This Row],[Pay Type]]="Fixed","-",Table1[[#This Row],[Final Group Frequency2]]*Table1[[#This Row],[Salary / Hourly Rate]]),0)</f>
        <v>-</v>
      </c>
      <c r="BH167" t="str">
        <f>IFERROR(IF(Table1[[#This Row],[Pay Type]]="Fixed","----",Table1[[#This Row],[Salary / Hourly Rate]]*Table1[[#This Row],[Final PrivateFrequency]]),0)</f>
        <v>----</v>
      </c>
      <c r="BI167" t="str">
        <f>IF(Table1[[#This Row],[Pay Type]]="Fixed","---",Table1[[#This Row],[Group Salary]]+Table1[[#This Row],[Private Salary]])</f>
        <v>---</v>
      </c>
      <c r="BJ167" t="str">
        <f>IF(OR(J167="Alex", J167=""),"", Table1[[#This Row],[For Amount]])</f>
        <v/>
      </c>
      <c r="BK167" t="str">
        <f>IFERROR(Table1[[#This Row],[Fee]]-Table1[[#This Row],[Total Salary]],"")</f>
        <v/>
      </c>
      <c r="BL167" t="e">
        <f>IF(Table1[[#This Row],[Joining Date]]="","",IF(Table1[[#This Row],[Joining Date]]&lt;='KPI+Pivot'!$CP$1,Table1[[#This Row],[Fee]],""))</f>
        <v>#N/A</v>
      </c>
      <c r="BM16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7" t="e">
        <f>IF(Table1[[#This Row],[Joining Date]]="","",IF(Table1[[#This Row],[Joining Date]]&lt;='KPI+Pivot'!$CP$1,Table1[[#This Row],[Total Salary]],""))</f>
        <v>#N/A</v>
      </c>
      <c r="BO167" t="e">
        <f>IF(Table1[[#This Row],[Joining Date]]="","",IF(Table1[[#This Row],[Joining Date]]&lt;='KPI+Pivot'!$CP$1,Table1[[#This Row],[Frequency]],""))</f>
        <v>#N/A</v>
      </c>
      <c r="BP167" s="38" t="e">
        <f>IF(Table1[[#This Row],[Stop]]="","",(IF(Table1[[#This Row],[Joining Date]]="","",IF(Table1[[#This Row],[Joining Date]]&lt;='KPI+Pivot'!$CP$1,Table1[[#This Row],[Stop]],""))))</f>
        <v>#N/A</v>
      </c>
    </row>
    <row r="168" spans="1:68" ht="22.9" customHeight="1">
      <c r="B168" t="s">
        <v>66</v>
      </c>
      <c r="C168" t="s">
        <v>1202</v>
      </c>
      <c r="D168" t="s">
        <v>1203</v>
      </c>
      <c r="F168" t="s">
        <v>1204</v>
      </c>
      <c r="G168" t="s">
        <v>1205</v>
      </c>
      <c r="H168" t="s">
        <v>1206</v>
      </c>
      <c r="I168" t="str">
        <f>IFERROR(HYPERLINK("#Finance!B" &amp; MATCH(A168, 'F 2025'!A:A, 0), "🔗 Go to finance"), "❌ ID introuvable")</f>
        <v>❌ ID introuvable</v>
      </c>
      <c r="V168" t="s">
        <v>1207</v>
      </c>
      <c r="Y168">
        <v>9027172239</v>
      </c>
      <c r="Z168" t="s">
        <v>75</v>
      </c>
      <c r="AB168" t="s">
        <v>1208</v>
      </c>
      <c r="AD168" s="130">
        <v>44713</v>
      </c>
      <c r="AE168"/>
      <c r="AG168" t="s">
        <v>76</v>
      </c>
      <c r="AI168" t="s">
        <v>1208</v>
      </c>
      <c r="AK168" t="s">
        <v>1134</v>
      </c>
      <c r="AM168" s="38"/>
      <c r="AO168" t="s">
        <v>1205</v>
      </c>
      <c r="AR168" t="str">
        <f t="shared" si="10"/>
        <v/>
      </c>
      <c r="AS168" t="str">
        <f t="shared" si="11"/>
        <v/>
      </c>
      <c r="AT168" t="str">
        <f>IF(Table1[[#This Row],[Joining Date]]="", "", TEXT(Table1[[#This Row],[Joining Date]], "mmm"))</f>
        <v>Jun</v>
      </c>
      <c r="AU168">
        <f>IF(Table1[[#This Row],[Joining Date]]="", "", YEAR(Table1[[#This Row],[Joining Date]]))</f>
        <v>2022</v>
      </c>
      <c r="AV168" t="str">
        <f>IF(Table1[[#This Row],[Group Name]]="","", M168 &amp; Table1[[#This Row],[Teacher]])</f>
        <v/>
      </c>
      <c r="AW168" t="str">
        <f>IF(Table1[[#This Row],[Helper]]="","",IF(_xlfn.MAXIFS(AT:AT,AW:AW,Table1[[#This Row],[Helper]])=Table1[[#This Row],[Clean Frequency]],_xlfn.MAXIFS(AT:AT,AW:AW,Table1[[#This Row],[Helper]]),""))</f>
        <v/>
      </c>
      <c r="AX168" t="str">
        <f ca="1">IF(AND(AW168=_xlfn.MAXIFS(AX:AX, AW:AW, AV168), COUNTIFS(AV$3:AV168, AV168, AW$3:AW168, AW168)=1), 1, "")</f>
        <v/>
      </c>
      <c r="AY168" t="str">
        <f>IF(Table1[[#This Row],[lesson type]]="private",Table1[[#This Row],[Clean Frequency]],"")</f>
        <v/>
      </c>
      <c r="AZ168" t="str">
        <f ca="1">IF(Table1[[#This Row],[First Occurrence]]=1,Table1[[#This Row],[Group Frequency]],"")</f>
        <v/>
      </c>
      <c r="BA168" t="str">
        <f ca="1">IF(B168="Y", IF(Table1[[#This Row],[Stop]]="", TODAY() - Table1[[#This Row],[Joining Date]], Table1[[#This Row],[Stop]] - Table1[[#This Row],[Joining Date]]), "")</f>
        <v/>
      </c>
      <c r="BB168" t="str">
        <f>_xlfn.CONCAT(Table1[[#This Row],[t]]," ",Table1[[#This Row],[Last Name]])</f>
        <v>Taishi Yamawaki</v>
      </c>
      <c r="BC168" t="str">
        <f>IF(OR(Table1[[#This Row],[Teacher]]="Alex",Table1[[#This Row],[Teacher]]=""), "", Table1[[#This Row],[For Salary]])</f>
        <v/>
      </c>
      <c r="BD168" t="str">
        <f>IF(OR(Table1[[#This Row],[Teacher]]="Alex",Table1[[#This Row],[Teacher]]=""), "", Table1[[#This Row],[For Amount]])</f>
        <v/>
      </c>
      <c r="BE168" t="str">
        <f>IFERROR(IF(VLOOKUP(Table1[[#This Row],[Teacher]],'Teachers Salaries'!A:C,2,FALSE)="","",VLOOKUP(Table1[[#This Row],[Teacher]],'Teachers Salaries'!A:C,2,FALSE)),"")</f>
        <v/>
      </c>
      <c r="BF168" t="str">
        <f>IFERROR(IF(VLOOKUP(Table1[[#This Row],[Teacher]],'Teachers Salaries'!A:C,3,FALSE)="","",VLOOKUP(Table1[[#This Row],[Teacher]],'Teachers Salaries'!A:C,3,FALSE)),"")</f>
        <v/>
      </c>
      <c r="BG168">
        <f ca="1">IFERROR(IF(Table1[[#This Row],[Pay Type]]="Fixed","-",Table1[[#This Row],[Final Group Frequency2]]*Table1[[#This Row],[Salary / Hourly Rate]]),0)</f>
        <v>0</v>
      </c>
      <c r="BH168">
        <f>IFERROR(IF(Table1[[#This Row],[Pay Type]]="Fixed","----",Table1[[#This Row],[Salary / Hourly Rate]]*Table1[[#This Row],[Final PrivateFrequency]]),0)</f>
        <v>0</v>
      </c>
      <c r="BI168">
        <f ca="1">IF(Table1[[#This Row],[Pay Type]]="Fixed","---",Table1[[#This Row],[Group Salary]]+Table1[[#This Row],[Private Salary]])</f>
        <v>0</v>
      </c>
      <c r="BJ168" t="str">
        <f>IF(OR(J168="Alex", J168=""),"", Table1[[#This Row],[For Amount]])</f>
        <v/>
      </c>
      <c r="BK168">
        <f ca="1">IFERROR(Table1[[#This Row],[Fee]]-Table1[[#This Row],[Total Salary]],"")</f>
        <v>0</v>
      </c>
      <c r="BL168" t="e">
        <f>IF(Table1[[#This Row],[Joining Date]]="","",IF(Table1[[#This Row],[Joining Date]]&lt;='KPI+Pivot'!$CP$1,Table1[[#This Row],[Fee]],""))</f>
        <v>#N/A</v>
      </c>
      <c r="BM16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8" t="e">
        <f>IF(Table1[[#This Row],[Joining Date]]="","",IF(Table1[[#This Row],[Joining Date]]&lt;='KPI+Pivot'!$CP$1,Table1[[#This Row],[Total Salary]],""))</f>
        <v>#N/A</v>
      </c>
      <c r="BO168" t="e">
        <f>IF(Table1[[#This Row],[Joining Date]]="","",IF(Table1[[#This Row],[Joining Date]]&lt;='KPI+Pivot'!$CP$1,Table1[[#This Row],[Frequency]],""))</f>
        <v>#N/A</v>
      </c>
      <c r="BP168" s="38" t="str">
        <f>IF(Table1[[#This Row],[Stop]]="","",(IF(Table1[[#This Row],[Joining Date]]="","",IF(Table1[[#This Row],[Joining Date]]&lt;='KPI+Pivot'!$CP$1,Table1[[#This Row],[Stop]],""))))</f>
        <v/>
      </c>
    </row>
    <row r="169" spans="1:68" ht="22.9" customHeight="1">
      <c r="A169">
        <v>137</v>
      </c>
      <c r="B169" t="s">
        <v>103</v>
      </c>
      <c r="C169" t="s">
        <v>1190</v>
      </c>
      <c r="D169" t="s">
        <v>1199</v>
      </c>
      <c r="E169" t="s">
        <v>1199</v>
      </c>
      <c r="F169" t="s">
        <v>1200</v>
      </c>
      <c r="G169" t="s">
        <v>1201</v>
      </c>
      <c r="H169" t="s">
        <v>832</v>
      </c>
      <c r="I169" t="str">
        <f>IFERROR(HYPERLINK("#Finance!B" &amp; MATCH(A169, 'F 2025'!A:A, 0), "🔗 Go to finance"), "❌ ID introuvable")</f>
        <v>🔗 Go to finance</v>
      </c>
      <c r="J169" t="s">
        <v>109</v>
      </c>
      <c r="K169" t="s">
        <v>1209</v>
      </c>
      <c r="L169" t="s">
        <v>502</v>
      </c>
      <c r="O169">
        <v>7000</v>
      </c>
      <c r="P169" s="38">
        <v>45875</v>
      </c>
      <c r="T169" s="130">
        <v>45352</v>
      </c>
      <c r="U169" s="38">
        <v>45716</v>
      </c>
      <c r="V169" t="s">
        <v>834</v>
      </c>
      <c r="W169" t="s">
        <v>834</v>
      </c>
      <c r="Y169" t="s">
        <v>835</v>
      </c>
      <c r="Z169" t="s">
        <v>75</v>
      </c>
      <c r="AB169" t="s">
        <v>836</v>
      </c>
      <c r="AD169" s="130">
        <v>45352</v>
      </c>
      <c r="AE169" s="38">
        <v>45716</v>
      </c>
      <c r="AF169" s="38"/>
      <c r="AG169" t="s">
        <v>1201</v>
      </c>
      <c r="AJ169" t="s">
        <v>117</v>
      </c>
      <c r="AK169">
        <v>4</v>
      </c>
      <c r="AL169" t="s">
        <v>1210</v>
      </c>
      <c r="AM169">
        <v>2024</v>
      </c>
      <c r="AN169"/>
      <c r="AO169"/>
      <c r="AS169">
        <v>364</v>
      </c>
      <c r="AT169" t="s">
        <v>1211</v>
      </c>
      <c r="AW169" t="s">
        <v>1212</v>
      </c>
      <c r="AX169">
        <v>210000</v>
      </c>
      <c r="AY169" t="s">
        <v>1213</v>
      </c>
      <c r="AZ169" t="s">
        <v>1214</v>
      </c>
      <c r="BA169" t="s">
        <v>1215</v>
      </c>
      <c r="BD169">
        <v>7000</v>
      </c>
      <c r="BE169" t="s">
        <v>1216</v>
      </c>
      <c r="BF169" t="s">
        <v>1215</v>
      </c>
      <c r="BG169">
        <v>0</v>
      </c>
      <c r="BH169" s="38">
        <v>45716</v>
      </c>
      <c r="BP169" s="38"/>
    </row>
    <row r="170" spans="1:68" ht="18" customHeight="1">
      <c r="A170">
        <v>138</v>
      </c>
      <c r="B170" t="s">
        <v>103</v>
      </c>
      <c r="C170" t="s">
        <v>1217</v>
      </c>
      <c r="D170" t="s">
        <v>1121</v>
      </c>
      <c r="F170" t="s">
        <v>1218</v>
      </c>
      <c r="G170" t="s">
        <v>1219</v>
      </c>
      <c r="H170" t="s">
        <v>1124</v>
      </c>
      <c r="I170" t="str">
        <f>IFERROR(HYPERLINK("#Finance!B" &amp; MATCH(A170, 'F 2025'!A:A, 0), "🔗 Go to finance"), "❌ ID introuvable")</f>
        <v>🔗 Go to finance</v>
      </c>
      <c r="J170" t="s">
        <v>109</v>
      </c>
      <c r="K170" t="s">
        <v>117</v>
      </c>
      <c r="L170" t="s">
        <v>1220</v>
      </c>
      <c r="O170">
        <v>6600</v>
      </c>
      <c r="R170">
        <v>17600</v>
      </c>
      <c r="T170" s="130">
        <v>45415</v>
      </c>
      <c r="V170" t="s">
        <v>1125</v>
      </c>
      <c r="W170" t="s">
        <v>1125</v>
      </c>
      <c r="Z170" t="s">
        <v>75</v>
      </c>
      <c r="AB170" t="s">
        <v>1126</v>
      </c>
      <c r="AD170" s="130">
        <v>45383</v>
      </c>
      <c r="AE170"/>
      <c r="AG170" t="s">
        <v>76</v>
      </c>
      <c r="AI170" t="s">
        <v>1126</v>
      </c>
      <c r="AK170" t="s">
        <v>111</v>
      </c>
      <c r="AM170" s="38"/>
      <c r="AO170" t="s">
        <v>1219</v>
      </c>
      <c r="AR170" t="str">
        <f t="shared" ref="AR170:AR201" si="12">IF(OR(ISNUMBER(SEARCH("private",K170)), ISNUMBER(SEARCH("プら",K170)), ISNUMBER(SEARCH("プら,大人",K170)), ISNUMBER(SEARCH("セミプラ",K170))), "private", IF(OR(ISNUMBER(SEARCH("group",K170)), ISNUMBER(SEARCH("グループ",K170)), ISNUMBER(SEARCH("gr",K170))), "group", ""))</f>
        <v>group</v>
      </c>
      <c r="AS170">
        <f t="shared" ref="AS170:AS201" si="13">IF(J170&lt;&gt;"", IF(N170="", 4, N170), "")</f>
        <v>4</v>
      </c>
      <c r="AT170" t="str">
        <f>IF(Table1[[#This Row],[Joining Date]]="", "", TEXT(Table1[[#This Row],[Joining Date]], "mmm"))</f>
        <v>Apr</v>
      </c>
      <c r="AU170">
        <f>IF(Table1[[#This Row],[Joining Date]]="", "", YEAR(Table1[[#This Row],[Joining Date]]))</f>
        <v>2024</v>
      </c>
      <c r="AV170" t="str">
        <f>IF(Table1[[#This Row],[Group Name]]="","", M170 &amp; Table1[[#This Row],[Teacher]])</f>
        <v/>
      </c>
      <c r="AW170" t="str">
        <f>IF(Table1[[#This Row],[Helper]]="","",IF(_xlfn.MAXIFS(AT:AT,AW:AW,Table1[[#This Row],[Helper]])=Table1[[#This Row],[Clean Frequency]],_xlfn.MAXIFS(AT:AT,AW:AW,Table1[[#This Row],[Helper]]),""))</f>
        <v/>
      </c>
      <c r="AX170" t="str">
        <f ca="1">IF(AND(AW170=_xlfn.MAXIFS(AX:AX, AW:AW, AV170), COUNTIFS(AV$3:AV170, AV170, AW$3:AW170, AW170)=1), 1, "")</f>
        <v/>
      </c>
      <c r="AY170" t="str">
        <f>IF(Table1[[#This Row],[lesson type]]="private",Table1[[#This Row],[Clean Frequency]],"")</f>
        <v/>
      </c>
      <c r="AZ170" t="str">
        <f ca="1">IF(Table1[[#This Row],[First Occurrence]]=1,Table1[[#This Row],[Group Frequency]],"")</f>
        <v/>
      </c>
      <c r="BA170">
        <f ca="1">IF(B170="Y", IF(Table1[[#This Row],[Stop]]="", TODAY() - Table1[[#This Row],[Joining Date]], Table1[[#This Row],[Stop]] - Table1[[#This Row],[Joining Date]]), "")</f>
        <v>794</v>
      </c>
      <c r="BB170" t="str">
        <f>_xlfn.CONCAT(Table1[[#This Row],[t]]," ",Table1[[#This Row],[Last Name]])</f>
        <v>Taisuke Nonaka</v>
      </c>
      <c r="BC170" t="str">
        <f>IF(OR(Table1[[#This Row],[Teacher]]="Alex",Table1[[#This Row],[Teacher]]=""), "", Table1[[#This Row],[For Salary]])</f>
        <v/>
      </c>
      <c r="BD170" t="str">
        <f>IF(OR(Table1[[#This Row],[Teacher]]="Alex",Table1[[#This Row],[Teacher]]=""), "", Table1[[#This Row],[For Amount]])</f>
        <v/>
      </c>
      <c r="BE170" t="str">
        <f>IFERROR(IF(VLOOKUP(Table1[[#This Row],[Teacher]],'Teachers Salaries'!A:C,2,FALSE)="","",VLOOKUP(Table1[[#This Row],[Teacher]],'Teachers Salaries'!A:C,2,FALSE)),"")</f>
        <v>Fixed</v>
      </c>
      <c r="BF170">
        <f>IFERROR(IF(VLOOKUP(Table1[[#This Row],[Teacher]],'Teachers Salaries'!A:C,3,FALSE)="","",VLOOKUP(Table1[[#This Row],[Teacher]],'Teachers Salaries'!A:C,3,FALSE)),"")</f>
        <v>210000</v>
      </c>
      <c r="BG170" t="str">
        <f>IFERROR(IF(Table1[[#This Row],[Pay Type]]="Fixed","-",Table1[[#This Row],[Final Group Frequency2]]*Table1[[#This Row],[Salary / Hourly Rate]]),0)</f>
        <v>-</v>
      </c>
      <c r="BH170" t="str">
        <f>IFERROR(IF(Table1[[#This Row],[Pay Type]]="Fixed","----",Table1[[#This Row],[Salary / Hourly Rate]]*Table1[[#This Row],[Final PrivateFrequency]]),0)</f>
        <v>----</v>
      </c>
      <c r="BI170" t="str">
        <f>IF(Table1[[#This Row],[Pay Type]]="Fixed","---",Table1[[#This Row],[Group Salary]]+Table1[[#This Row],[Private Salary]])</f>
        <v>---</v>
      </c>
      <c r="BJ170" t="str">
        <f>IF(OR(J170="Alex", J170=""),"", Table1[[#This Row],[For Amount]])</f>
        <v/>
      </c>
      <c r="BK170" t="str">
        <f>IFERROR(Table1[[#This Row],[Fee]]-Table1[[#This Row],[Total Salary]],"")</f>
        <v/>
      </c>
      <c r="BL170" t="e">
        <f>IF(Table1[[#This Row],[Joining Date]]="","",IF(Table1[[#This Row],[Joining Date]]&lt;='KPI+Pivot'!$CP$1,Table1[[#This Row],[Fee]],""))</f>
        <v>#N/A</v>
      </c>
      <c r="BM17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0" t="e">
        <f>IF(Table1[[#This Row],[Joining Date]]="","",IF(Table1[[#This Row],[Joining Date]]&lt;='KPI+Pivot'!$CP$1,Table1[[#This Row],[Total Salary]],""))</f>
        <v>#N/A</v>
      </c>
      <c r="BO170" t="e">
        <f>IF(Table1[[#This Row],[Joining Date]]="","",IF(Table1[[#This Row],[Joining Date]]&lt;='KPI+Pivot'!$CP$1,Table1[[#This Row],[Frequency]],""))</f>
        <v>#N/A</v>
      </c>
      <c r="BP170" s="38" t="str">
        <f>IF(Table1[[#This Row],[Stop]]="","",(IF(Table1[[#This Row],[Joining Date]]="","",IF(Table1[[#This Row],[Joining Date]]&lt;='KPI+Pivot'!$CP$1,Table1[[#This Row],[Stop]],""))))</f>
        <v/>
      </c>
    </row>
    <row r="171" spans="1:68" ht="18" customHeight="1">
      <c r="A171">
        <v>140</v>
      </c>
      <c r="B171" t="s">
        <v>103</v>
      </c>
      <c r="C171" t="s">
        <v>2457</v>
      </c>
      <c r="D171" t="s">
        <v>631</v>
      </c>
      <c r="F171" t="s">
        <v>1221</v>
      </c>
      <c r="G171" t="s">
        <v>1222</v>
      </c>
      <c r="H171" t="s">
        <v>634</v>
      </c>
      <c r="I171" t="str">
        <f>IFERROR(HYPERLINK("#Finance!B" &amp; MATCH(A171, 'F 2025'!A:A, 0), "🔗 Go to finance"), "❌ ID introuvable")</f>
        <v>🔗 Go to finance</v>
      </c>
      <c r="J171" t="s">
        <v>109</v>
      </c>
      <c r="K171" t="s">
        <v>117</v>
      </c>
      <c r="L171" t="s">
        <v>502</v>
      </c>
      <c r="O171">
        <v>6050</v>
      </c>
      <c r="R171">
        <v>17050</v>
      </c>
      <c r="T171" s="130">
        <v>45444</v>
      </c>
      <c r="V171" s="13" t="s">
        <v>635</v>
      </c>
      <c r="W171" t="s">
        <v>635</v>
      </c>
      <c r="Y171">
        <v>9086635651</v>
      </c>
      <c r="Z171" t="s">
        <v>75</v>
      </c>
      <c r="AB171" t="s">
        <v>1223</v>
      </c>
      <c r="AD171" s="130">
        <v>45444</v>
      </c>
      <c r="AE171"/>
      <c r="AG171" t="s">
        <v>76</v>
      </c>
      <c r="AI171" t="s">
        <v>1223</v>
      </c>
      <c r="AK171" t="s">
        <v>102</v>
      </c>
      <c r="AM171" s="38"/>
      <c r="AO171" t="s">
        <v>1222</v>
      </c>
      <c r="AR171" t="str">
        <f t="shared" si="12"/>
        <v>group</v>
      </c>
      <c r="AS171">
        <f t="shared" si="13"/>
        <v>4</v>
      </c>
      <c r="AT171" t="str">
        <f>IF(Table1[[#This Row],[Joining Date]]="", "", TEXT(Table1[[#This Row],[Joining Date]], "mmm"))</f>
        <v>Jun</v>
      </c>
      <c r="AU171">
        <f>IF(Table1[[#This Row],[Joining Date]]="", "", YEAR(Table1[[#This Row],[Joining Date]]))</f>
        <v>2024</v>
      </c>
      <c r="AV171" t="str">
        <f>IF(Table1[[#This Row],[Group Name]]="","", M171 &amp; Table1[[#This Row],[Teacher]])</f>
        <v/>
      </c>
      <c r="AW171" t="str">
        <f>IF(Table1[[#This Row],[Helper]]="","",IF(_xlfn.MAXIFS(AT:AT,AW:AW,Table1[[#This Row],[Helper]])=Table1[[#This Row],[Clean Frequency]],_xlfn.MAXIFS(AT:AT,AW:AW,Table1[[#This Row],[Helper]]),""))</f>
        <v/>
      </c>
      <c r="AX171" t="str">
        <f ca="1">IF(AND(AW171=_xlfn.MAXIFS(AX:AX, AW:AW, AV171), COUNTIFS(AV$3:AV171, AV171, AW$3:AW171, AW171)=1), 1, "")</f>
        <v/>
      </c>
      <c r="AY171" t="str">
        <f>IF(Table1[[#This Row],[lesson type]]="private",Table1[[#This Row],[Clean Frequency]],"")</f>
        <v/>
      </c>
      <c r="AZ171" t="str">
        <f ca="1">IF(Table1[[#This Row],[First Occurrence]]=1,Table1[[#This Row],[Group Frequency]],"")</f>
        <v/>
      </c>
      <c r="BA171">
        <f ca="1">IF(B171="Y", IF(Table1[[#This Row],[Stop]]="", TODAY() - Table1[[#This Row],[Joining Date]], Table1[[#This Row],[Stop]] - Table1[[#This Row],[Joining Date]]), "")</f>
        <v>733</v>
      </c>
      <c r="BB171" t="str">
        <f>_xlfn.CONCAT(Table1[[#This Row],[t]]," ",Table1[[#This Row],[Last Name]])</f>
        <v>karen Takada</v>
      </c>
      <c r="BC171" t="str">
        <f>IF(OR(Table1[[#This Row],[Teacher]]="Alex",Table1[[#This Row],[Teacher]]=""), "", Table1[[#This Row],[For Salary]])</f>
        <v/>
      </c>
      <c r="BD171" t="str">
        <f>IF(OR(Table1[[#This Row],[Teacher]]="Alex",Table1[[#This Row],[Teacher]]=""), "", Table1[[#This Row],[For Amount]])</f>
        <v/>
      </c>
      <c r="BE171" t="str">
        <f>IFERROR(IF(VLOOKUP(Table1[[#This Row],[Teacher]],'Teachers Salaries'!A:C,2,FALSE)="","",VLOOKUP(Table1[[#This Row],[Teacher]],'Teachers Salaries'!A:C,2,FALSE)),"")</f>
        <v>Fixed</v>
      </c>
      <c r="BF171">
        <f>IFERROR(IF(VLOOKUP(Table1[[#This Row],[Teacher]],'Teachers Salaries'!A:C,3,FALSE)="","",VLOOKUP(Table1[[#This Row],[Teacher]],'Teachers Salaries'!A:C,3,FALSE)),"")</f>
        <v>210000</v>
      </c>
      <c r="BG171" t="str">
        <f>IFERROR(IF(Table1[[#This Row],[Pay Type]]="Fixed","-",Table1[[#This Row],[Final Group Frequency2]]*Table1[[#This Row],[Salary / Hourly Rate]]),0)</f>
        <v>-</v>
      </c>
      <c r="BH171" t="str">
        <f>IFERROR(IF(Table1[[#This Row],[Pay Type]]="Fixed","----",Table1[[#This Row],[Salary / Hourly Rate]]*Table1[[#This Row],[Final PrivateFrequency]]),0)</f>
        <v>----</v>
      </c>
      <c r="BI171" t="str">
        <f>IF(Table1[[#This Row],[Pay Type]]="Fixed","---",Table1[[#This Row],[Group Salary]]+Table1[[#This Row],[Private Salary]])</f>
        <v>---</v>
      </c>
      <c r="BJ171" t="str">
        <f>IF(OR(J171="Alex", J171=""),"", Table1[[#This Row],[For Amount]])</f>
        <v/>
      </c>
      <c r="BK171" t="str">
        <f>IFERROR(Table1[[#This Row],[Fee]]-Table1[[#This Row],[Total Salary]],"")</f>
        <v/>
      </c>
      <c r="BL171" t="e">
        <f>IF(Table1[[#This Row],[Joining Date]]="","",IF(Table1[[#This Row],[Joining Date]]&lt;='KPI+Pivot'!$CP$1,Table1[[#This Row],[Fee]],""))</f>
        <v>#N/A</v>
      </c>
      <c r="BM17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1" t="e">
        <f>IF(Table1[[#This Row],[Joining Date]]="","",IF(Table1[[#This Row],[Joining Date]]&lt;='KPI+Pivot'!$CP$1,Table1[[#This Row],[Total Salary]],""))</f>
        <v>#N/A</v>
      </c>
      <c r="BO171" t="e">
        <f>IF(Table1[[#This Row],[Joining Date]]="","",IF(Table1[[#This Row],[Joining Date]]&lt;='KPI+Pivot'!$CP$1,Table1[[#This Row],[Frequency]],""))</f>
        <v>#N/A</v>
      </c>
      <c r="BP171" s="38" t="str">
        <f>IF(Table1[[#This Row],[Stop]]="","",(IF(Table1[[#This Row],[Joining Date]]="","",IF(Table1[[#This Row],[Joining Date]]&lt;='KPI+Pivot'!$CP$1,Table1[[#This Row],[Stop]],""))))</f>
        <v/>
      </c>
    </row>
    <row r="172" spans="1:68" ht="22.9" customHeight="1">
      <c r="B172" t="s">
        <v>66</v>
      </c>
      <c r="C172" t="s">
        <v>1224</v>
      </c>
      <c r="D172" t="s">
        <v>302</v>
      </c>
      <c r="F172" t="s">
        <v>1225</v>
      </c>
      <c r="G172" t="s">
        <v>1226</v>
      </c>
      <c r="H172" t="s">
        <v>305</v>
      </c>
      <c r="I172" t="str">
        <f>IFERROR(HYPERLINK("#Finance!B" &amp; MATCH(A172, 'F 2025'!A:A, 0), "🔗 Go to finance"), "❌ ID introuvable")</f>
        <v>❌ ID introuvable</v>
      </c>
      <c r="L172" t="s">
        <v>102</v>
      </c>
      <c r="V172" t="s">
        <v>306</v>
      </c>
      <c r="Y172" t="s">
        <v>308</v>
      </c>
      <c r="Z172" t="s">
        <v>75</v>
      </c>
      <c r="AB172" t="s">
        <v>309</v>
      </c>
      <c r="AD172" s="130">
        <v>43638</v>
      </c>
      <c r="AE172"/>
      <c r="AG172" t="s">
        <v>76</v>
      </c>
      <c r="AI172" t="s">
        <v>309</v>
      </c>
      <c r="AK172" t="s">
        <v>102</v>
      </c>
      <c r="AM172" s="38"/>
      <c r="AO172" t="s">
        <v>1226</v>
      </c>
      <c r="AR172" t="str">
        <f t="shared" si="12"/>
        <v/>
      </c>
      <c r="AS172" t="str">
        <f t="shared" si="13"/>
        <v/>
      </c>
      <c r="AT172" t="str">
        <f>IF(Table1[[#This Row],[Joining Date]]="", "", TEXT(Table1[[#This Row],[Joining Date]], "mmm"))</f>
        <v>Jun</v>
      </c>
      <c r="AU172">
        <f>IF(Table1[[#This Row],[Joining Date]]="", "", YEAR(Table1[[#This Row],[Joining Date]]))</f>
        <v>2019</v>
      </c>
      <c r="AV172" t="str">
        <f>IF(Table1[[#This Row],[Group Name]]="","", M172 &amp; Table1[[#This Row],[Teacher]])</f>
        <v/>
      </c>
      <c r="AW172" t="str">
        <f>IF(Table1[[#This Row],[Helper]]="","",IF(_xlfn.MAXIFS(AT:AT,AW:AW,Table1[[#This Row],[Helper]])=Table1[[#This Row],[Clean Frequency]],_xlfn.MAXIFS(AT:AT,AW:AW,Table1[[#This Row],[Helper]]),""))</f>
        <v/>
      </c>
      <c r="AX172" t="str">
        <f ca="1">IF(AND(AW172=_xlfn.MAXIFS(AX:AX, AW:AW, AV172), COUNTIFS(AV$3:AV172, AV172, AW$3:AW172, AW172)=1), 1, "")</f>
        <v/>
      </c>
      <c r="AY172" t="str">
        <f>IF(Table1[[#This Row],[lesson type]]="private",Table1[[#This Row],[Clean Frequency]],"")</f>
        <v/>
      </c>
      <c r="AZ172" t="str">
        <f ca="1">IF(Table1[[#This Row],[First Occurrence]]=1,Table1[[#This Row],[Group Frequency]],"")</f>
        <v/>
      </c>
      <c r="BA172" t="str">
        <f ca="1">IF(B172="Y", IF(Table1[[#This Row],[Stop]]="", TODAY() - Table1[[#This Row],[Joining Date]], Table1[[#This Row],[Stop]] - Table1[[#This Row],[Joining Date]]), "")</f>
        <v/>
      </c>
      <c r="BB172" t="str">
        <f>_xlfn.CONCAT(Table1[[#This Row],[t]]," ",Table1[[#This Row],[Last Name]])</f>
        <v>Takane Nagai</v>
      </c>
      <c r="BC172" t="str">
        <f>IF(OR(Table1[[#This Row],[Teacher]]="Alex",Table1[[#This Row],[Teacher]]=""), "", Table1[[#This Row],[For Salary]])</f>
        <v/>
      </c>
      <c r="BD172" t="str">
        <f>IF(OR(Table1[[#This Row],[Teacher]]="Alex",Table1[[#This Row],[Teacher]]=""), "", Table1[[#This Row],[For Amount]])</f>
        <v/>
      </c>
      <c r="BE172" t="str">
        <f>IFERROR(IF(VLOOKUP(Table1[[#This Row],[Teacher]],'Teachers Salaries'!A:C,2,FALSE)="","",VLOOKUP(Table1[[#This Row],[Teacher]],'Teachers Salaries'!A:C,2,FALSE)),"")</f>
        <v/>
      </c>
      <c r="BF172" t="str">
        <f>IFERROR(IF(VLOOKUP(Table1[[#This Row],[Teacher]],'Teachers Salaries'!A:C,3,FALSE)="","",VLOOKUP(Table1[[#This Row],[Teacher]],'Teachers Salaries'!A:C,3,FALSE)),"")</f>
        <v/>
      </c>
      <c r="BG172">
        <f ca="1">IFERROR(IF(Table1[[#This Row],[Pay Type]]="Fixed","-",Table1[[#This Row],[Final Group Frequency2]]*Table1[[#This Row],[Salary / Hourly Rate]]),0)</f>
        <v>0</v>
      </c>
      <c r="BH172">
        <f>IFERROR(IF(Table1[[#This Row],[Pay Type]]="Fixed","----",Table1[[#This Row],[Salary / Hourly Rate]]*Table1[[#This Row],[Final PrivateFrequency]]),0)</f>
        <v>0</v>
      </c>
      <c r="BI172">
        <f ca="1">IF(Table1[[#This Row],[Pay Type]]="Fixed","---",Table1[[#This Row],[Group Salary]]+Table1[[#This Row],[Private Salary]])</f>
        <v>0</v>
      </c>
      <c r="BJ172" t="str">
        <f>IF(OR(J172="Alex", J172=""),"", Table1[[#This Row],[For Amount]])</f>
        <v/>
      </c>
      <c r="BK172">
        <f ca="1">IFERROR(Table1[[#This Row],[Fee]]-Table1[[#This Row],[Total Salary]],"")</f>
        <v>0</v>
      </c>
      <c r="BL172" t="e">
        <f>IF(Table1[[#This Row],[Joining Date]]="","",IF(Table1[[#This Row],[Joining Date]]&lt;='KPI+Pivot'!$CP$1,Table1[[#This Row],[Fee]],""))</f>
        <v>#N/A</v>
      </c>
      <c r="BM17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2" t="e">
        <f>IF(Table1[[#This Row],[Joining Date]]="","",IF(Table1[[#This Row],[Joining Date]]&lt;='KPI+Pivot'!$CP$1,Table1[[#This Row],[Total Salary]],""))</f>
        <v>#N/A</v>
      </c>
      <c r="BO172" t="e">
        <f>IF(Table1[[#This Row],[Joining Date]]="","",IF(Table1[[#This Row],[Joining Date]]&lt;='KPI+Pivot'!$CP$1,Table1[[#This Row],[Frequency]],""))</f>
        <v>#N/A</v>
      </c>
      <c r="BP172" s="38" t="str">
        <f>IF(Table1[[#This Row],[Stop]]="","",(IF(Table1[[#This Row],[Joining Date]]="","",IF(Table1[[#This Row],[Joining Date]]&lt;='KPI+Pivot'!$CP$1,Table1[[#This Row],[Stop]],""))))</f>
        <v/>
      </c>
    </row>
    <row r="173" spans="1:68" ht="18" customHeight="1">
      <c r="A173">
        <v>10</v>
      </c>
      <c r="B173" t="s">
        <v>66</v>
      </c>
      <c r="C173" t="s">
        <v>1227</v>
      </c>
      <c r="D173" t="s">
        <v>1228</v>
      </c>
      <c r="F173" t="s">
        <v>1229</v>
      </c>
      <c r="G173" t="s">
        <v>1230</v>
      </c>
      <c r="H173" t="s">
        <v>1231</v>
      </c>
      <c r="I173" t="str">
        <f>IFERROR(HYPERLINK("#Finance!B" &amp; MATCH(A173, 'F 2025'!A:A, 0), "🔗 Go to finance"), "❌ ID introuvable")</f>
        <v>🔗 Go to finance</v>
      </c>
      <c r="J173" t="s">
        <v>196</v>
      </c>
      <c r="K173" t="s">
        <v>110</v>
      </c>
      <c r="L173" t="s">
        <v>197</v>
      </c>
      <c r="N173">
        <v>4</v>
      </c>
      <c r="O173">
        <v>17600</v>
      </c>
      <c r="R173">
        <v>0</v>
      </c>
      <c r="Y173" t="s">
        <v>1232</v>
      </c>
      <c r="Z173" t="s">
        <v>75</v>
      </c>
      <c r="AB173" t="s">
        <v>1233</v>
      </c>
      <c r="AD173" s="130">
        <v>43101</v>
      </c>
      <c r="AE173"/>
      <c r="AG173" t="s">
        <v>76</v>
      </c>
      <c r="AI173" t="s">
        <v>1233</v>
      </c>
      <c r="AK173" t="s">
        <v>300</v>
      </c>
      <c r="AM173" s="38">
        <v>45900</v>
      </c>
      <c r="AO173" t="s">
        <v>1230</v>
      </c>
      <c r="AP173">
        <v>10</v>
      </c>
      <c r="AQ173" t="s">
        <v>1230</v>
      </c>
      <c r="AR173" t="str">
        <f t="shared" si="12"/>
        <v>private</v>
      </c>
      <c r="AS173">
        <f t="shared" si="13"/>
        <v>4</v>
      </c>
      <c r="AT173" t="str">
        <f>IF(Table1[[#This Row],[Joining Date]]="", "", TEXT(Table1[[#This Row],[Joining Date]], "mmm"))</f>
        <v>Jan</v>
      </c>
      <c r="AU173">
        <f>IF(Table1[[#This Row],[Joining Date]]="", "", YEAR(Table1[[#This Row],[Joining Date]]))</f>
        <v>2018</v>
      </c>
      <c r="AV173" t="str">
        <f>IF(Table1[[#This Row],[Group Name]]="","", M173 &amp; Table1[[#This Row],[Teacher]])</f>
        <v/>
      </c>
      <c r="AW173" t="str">
        <f>IF(Table1[[#This Row],[Helper]]="","",IF(_xlfn.MAXIFS(AT:AT,AW:AW,Table1[[#This Row],[Helper]])=Table1[[#This Row],[Clean Frequency]],_xlfn.MAXIFS(AT:AT,AW:AW,Table1[[#This Row],[Helper]]),""))</f>
        <v/>
      </c>
      <c r="AX173" t="str">
        <f ca="1">IF(AND(AW173=_xlfn.MAXIFS(AX:AX, AW:AW, AV173), COUNTIFS(AV$3:AV173, AV173, AW$3:AW173, AW173)=1), 1, "")</f>
        <v/>
      </c>
      <c r="AY173">
        <f>IF(Table1[[#This Row],[lesson type]]="private",Table1[[#This Row],[Clean Frequency]],"")</f>
        <v>4</v>
      </c>
      <c r="AZ173" t="str">
        <f ca="1">IF(Table1[[#This Row],[First Occurrence]]=1,Table1[[#This Row],[Group Frequency]],"")</f>
        <v/>
      </c>
      <c r="BA173" t="str">
        <f ca="1">IF(B173="Y", IF(Table1[[#This Row],[Stop]]="", TODAY() - Table1[[#This Row],[Joining Date]], Table1[[#This Row],[Stop]] - Table1[[#This Row],[Joining Date]]), "")</f>
        <v/>
      </c>
      <c r="BB173" t="str">
        <f>_xlfn.CONCAT(Table1[[#This Row],[t]]," ",Table1[[#This Row],[Last Name]])</f>
        <v>Tomoko Omagari</v>
      </c>
      <c r="BC173" t="e">
        <f>IF(OR(Table1[[#This Row],[Teacher]]="Alex",Table1[[#This Row],[Teacher]]=""), "", Table1[[#This Row],[For Salary]])</f>
        <v>#N/A</v>
      </c>
      <c r="BD173" t="e">
        <f>IF(OR(Table1[[#This Row],[Teacher]]="Alex",Table1[[#This Row],[Teacher]]=""), "", Table1[[#This Row],[For Amount]])</f>
        <v>#N/A</v>
      </c>
      <c r="BE173" t="str">
        <f>IFERROR(IF(VLOOKUP(Table1[[#This Row],[Teacher]],'Teachers Salaries'!A:C,2,FALSE)="","",VLOOKUP(Table1[[#This Row],[Teacher]],'Teachers Salaries'!A:C,2,FALSE)),"")</f>
        <v>Hourly</v>
      </c>
      <c r="BF173">
        <f>IFERROR(IF(VLOOKUP(Table1[[#This Row],[Teacher]],'Teachers Salaries'!A:C,3,FALSE)="","",VLOOKUP(Table1[[#This Row],[Teacher]],'Teachers Salaries'!A:C,3,FALSE)),"")</f>
        <v>2600</v>
      </c>
      <c r="BG173">
        <f ca="1">IFERROR(IF(Table1[[#This Row],[Pay Type]]="Fixed","-",Table1[[#This Row],[Final Group Frequency2]]*Table1[[#This Row],[Salary / Hourly Rate]]),0)</f>
        <v>0</v>
      </c>
      <c r="BH173">
        <f>IFERROR(IF(Table1[[#This Row],[Pay Type]]="Fixed","----",Table1[[#This Row],[Salary / Hourly Rate]]*Table1[[#This Row],[Final PrivateFrequency]]),0)</f>
        <v>10400</v>
      </c>
      <c r="BI173">
        <f ca="1">IF(Table1[[#This Row],[Pay Type]]="Fixed","---",Table1[[#This Row],[Group Salary]]+Table1[[#This Row],[Private Salary]])</f>
        <v>10400</v>
      </c>
      <c r="BJ173" t="e">
        <f>IF(OR(J173="Alex", J173=""),"", Table1[[#This Row],[For Amount]])</f>
        <v>#N/A</v>
      </c>
      <c r="BK173">
        <f ca="1">IFERROR(Table1[[#This Row],[Fee]]-Table1[[#This Row],[Total Salary]],"")</f>
        <v>7200</v>
      </c>
      <c r="BL173" t="e">
        <f>IF(Table1[[#This Row],[Joining Date]]="","",IF(Table1[[#This Row],[Joining Date]]&lt;='KPI+Pivot'!$CP$1,Table1[[#This Row],[Fee]],""))</f>
        <v>#N/A</v>
      </c>
      <c r="BM17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3" t="e">
        <f>IF(Table1[[#This Row],[Joining Date]]="","",IF(Table1[[#This Row],[Joining Date]]&lt;='KPI+Pivot'!$CP$1,Table1[[#This Row],[Total Salary]],""))</f>
        <v>#N/A</v>
      </c>
      <c r="BO173" t="e">
        <f>IF(Table1[[#This Row],[Joining Date]]="","",IF(Table1[[#This Row],[Joining Date]]&lt;='KPI+Pivot'!$CP$1,Table1[[#This Row],[Frequency]],""))</f>
        <v>#N/A</v>
      </c>
      <c r="BP173" s="38" t="e">
        <f>IF(Table1[[#This Row],[Stop]]="","",(IF(Table1[[#This Row],[Joining Date]]="","",IF(Table1[[#This Row],[Joining Date]]&lt;='KPI+Pivot'!$CP$1,Table1[[#This Row],[Stop]],""))))</f>
        <v>#N/A</v>
      </c>
    </row>
    <row r="174" spans="1:68" ht="22.9" customHeight="1">
      <c r="B174" t="s">
        <v>66</v>
      </c>
      <c r="C174" t="s">
        <v>1227</v>
      </c>
      <c r="D174" t="s">
        <v>157</v>
      </c>
      <c r="F174" t="s">
        <v>1229</v>
      </c>
      <c r="G174" t="s">
        <v>1234</v>
      </c>
      <c r="H174" t="s">
        <v>1235</v>
      </c>
      <c r="I174" t="str">
        <f>IFERROR(HYPERLINK("#Finance!B" &amp; MATCH(A174, 'F 2025'!A:A, 0), "🔗 Go to finance"), "❌ ID introuvable")</f>
        <v>❌ ID introuvable</v>
      </c>
      <c r="V174" t="s">
        <v>1236</v>
      </c>
      <c r="Y174" t="s">
        <v>1237</v>
      </c>
      <c r="Z174" t="s">
        <v>75</v>
      </c>
      <c r="AD174" s="130"/>
      <c r="AE174"/>
      <c r="AG174" t="s">
        <v>76</v>
      </c>
      <c r="AM174" s="38"/>
      <c r="AO174" t="s">
        <v>1234</v>
      </c>
      <c r="AR174" t="str">
        <f t="shared" si="12"/>
        <v/>
      </c>
      <c r="AS174" t="str">
        <f t="shared" si="13"/>
        <v/>
      </c>
      <c r="AT174" t="str">
        <f>IF(Table1[[#This Row],[Joining Date]]="", "", TEXT(Table1[[#This Row],[Joining Date]], "mmm"))</f>
        <v/>
      </c>
      <c r="AU174" t="str">
        <f>IF(Table1[[#This Row],[Joining Date]]="", "", YEAR(Table1[[#This Row],[Joining Date]]))</f>
        <v/>
      </c>
      <c r="AV174" t="str">
        <f>IF(Table1[[#This Row],[Group Name]]="","", M174 &amp; Table1[[#This Row],[Teacher]])</f>
        <v/>
      </c>
      <c r="AW174" t="str">
        <f>IF(Table1[[#This Row],[Helper]]="","",IF(_xlfn.MAXIFS(AT:AT,AW:AW,Table1[[#This Row],[Helper]])=Table1[[#This Row],[Clean Frequency]],_xlfn.MAXIFS(AT:AT,AW:AW,Table1[[#This Row],[Helper]]),""))</f>
        <v/>
      </c>
      <c r="AX174" t="str">
        <f ca="1">IF(AND(AW174=_xlfn.MAXIFS(AX:AX, AW:AW, AV174), COUNTIFS(AV$3:AV174, AV174, AW$3:AW174, AW174)=1), 1, "")</f>
        <v/>
      </c>
      <c r="AY174" t="str">
        <f>IF(Table1[[#This Row],[lesson type]]="private",Table1[[#This Row],[Clean Frequency]],"")</f>
        <v/>
      </c>
      <c r="AZ174" t="str">
        <f ca="1">IF(Table1[[#This Row],[First Occurrence]]=1,Table1[[#This Row],[Group Frequency]],"")</f>
        <v/>
      </c>
      <c r="BA174" t="str">
        <f ca="1">IF(B174="Y", IF(Table1[[#This Row],[Stop]]="", TODAY() - Table1[[#This Row],[Joining Date]], Table1[[#This Row],[Stop]] - Table1[[#This Row],[Joining Date]]), "")</f>
        <v/>
      </c>
      <c r="BB174" t="str">
        <f>_xlfn.CONCAT(Table1[[#This Row],[t]]," ",Table1[[#This Row],[Last Name]])</f>
        <v>Tomoko Kinoshita</v>
      </c>
      <c r="BC174" t="str">
        <f>IF(OR(Table1[[#This Row],[Teacher]]="Alex",Table1[[#This Row],[Teacher]]=""), "", Table1[[#This Row],[For Salary]])</f>
        <v/>
      </c>
      <c r="BD174" t="str">
        <f>IF(OR(Table1[[#This Row],[Teacher]]="Alex",Table1[[#This Row],[Teacher]]=""), "", Table1[[#This Row],[For Amount]])</f>
        <v/>
      </c>
      <c r="BE174" t="str">
        <f>IFERROR(IF(VLOOKUP(Table1[[#This Row],[Teacher]],'Teachers Salaries'!A:C,2,FALSE)="","",VLOOKUP(Table1[[#This Row],[Teacher]],'Teachers Salaries'!A:C,2,FALSE)),"")</f>
        <v/>
      </c>
      <c r="BF174" t="str">
        <f>IFERROR(IF(VLOOKUP(Table1[[#This Row],[Teacher]],'Teachers Salaries'!A:C,3,FALSE)="","",VLOOKUP(Table1[[#This Row],[Teacher]],'Teachers Salaries'!A:C,3,FALSE)),"")</f>
        <v/>
      </c>
      <c r="BG174">
        <f ca="1">IFERROR(IF(Table1[[#This Row],[Pay Type]]="Fixed","-",Table1[[#This Row],[Final Group Frequency2]]*Table1[[#This Row],[Salary / Hourly Rate]]),0)</f>
        <v>0</v>
      </c>
      <c r="BH174">
        <f>IFERROR(IF(Table1[[#This Row],[Pay Type]]="Fixed","----",Table1[[#This Row],[Salary / Hourly Rate]]*Table1[[#This Row],[Final PrivateFrequency]]),0)</f>
        <v>0</v>
      </c>
      <c r="BI174">
        <f ca="1">IF(Table1[[#This Row],[Pay Type]]="Fixed","---",Table1[[#This Row],[Group Salary]]+Table1[[#This Row],[Private Salary]])</f>
        <v>0</v>
      </c>
      <c r="BJ174" t="str">
        <f>IF(OR(J174="Alex", J174=""),"", Table1[[#This Row],[For Amount]])</f>
        <v/>
      </c>
      <c r="BK174">
        <f ca="1">IFERROR(Table1[[#This Row],[Fee]]-Table1[[#This Row],[Total Salary]],"")</f>
        <v>0</v>
      </c>
      <c r="BL174" t="str">
        <f>IF(Table1[[#This Row],[Joining Date]]="","",IF(Table1[[#This Row],[Joining Date]]&lt;='KPI+Pivot'!$CP$1,Table1[[#This Row],[Fee]],""))</f>
        <v/>
      </c>
      <c r="BM17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74" t="str">
        <f>IF(Table1[[#This Row],[Joining Date]]="","",IF(Table1[[#This Row],[Joining Date]]&lt;='KPI+Pivot'!$CP$1,Table1[[#This Row],[Total Salary]],""))</f>
        <v/>
      </c>
      <c r="BO174" t="str">
        <f>IF(Table1[[#This Row],[Joining Date]]="","",IF(Table1[[#This Row],[Joining Date]]&lt;='KPI+Pivot'!$CP$1,Table1[[#This Row],[Frequency]],""))</f>
        <v/>
      </c>
      <c r="BP174" s="38" t="str">
        <f>IF(Table1[[#This Row],[Stop]]="","",(IF(Table1[[#This Row],[Joining Date]]="","",IF(Table1[[#This Row],[Joining Date]]&lt;='KPI+Pivot'!$CP$1,Table1[[#This Row],[Stop]],""))))</f>
        <v/>
      </c>
    </row>
    <row r="175" spans="1:68" ht="18" customHeight="1">
      <c r="A175">
        <v>120</v>
      </c>
      <c r="B175" t="s">
        <v>103</v>
      </c>
      <c r="C175" t="s">
        <v>1238</v>
      </c>
      <c r="D175" t="s">
        <v>1239</v>
      </c>
      <c r="F175" t="s">
        <v>1240</v>
      </c>
      <c r="G175" t="s">
        <v>1241</v>
      </c>
      <c r="H175" t="s">
        <v>1242</v>
      </c>
      <c r="I175" t="str">
        <f>IFERROR(HYPERLINK("#Finance!B" &amp; MATCH(A175, 'F 2025'!A:A, 0), "🔗 Go to finance"), "❌ ID introuvable")</f>
        <v>🔗 Go to finance</v>
      </c>
      <c r="J175" t="s">
        <v>494</v>
      </c>
      <c r="K175" t="s">
        <v>110</v>
      </c>
      <c r="L175" t="s">
        <v>486</v>
      </c>
      <c r="N175">
        <v>3</v>
      </c>
      <c r="O175">
        <v>15000</v>
      </c>
      <c r="T175" s="130">
        <v>45201</v>
      </c>
      <c r="V175" t="s">
        <v>1243</v>
      </c>
      <c r="Y175">
        <v>9066451205</v>
      </c>
      <c r="Z175" t="s">
        <v>75</v>
      </c>
      <c r="AB175" t="s">
        <v>1244</v>
      </c>
      <c r="AD175" s="130">
        <v>45201</v>
      </c>
      <c r="AE175"/>
      <c r="AG175" t="s">
        <v>76</v>
      </c>
      <c r="AI175" t="s">
        <v>1244</v>
      </c>
      <c r="AK175" t="s">
        <v>84</v>
      </c>
      <c r="AM175" s="38"/>
      <c r="AO175" t="s">
        <v>1241</v>
      </c>
      <c r="AP175">
        <v>120</v>
      </c>
      <c r="AQ175" t="s">
        <v>1241</v>
      </c>
      <c r="AR175" t="str">
        <f t="shared" si="12"/>
        <v>private</v>
      </c>
      <c r="AS175">
        <f t="shared" si="13"/>
        <v>3</v>
      </c>
      <c r="AT175" t="str">
        <f>IF(Table1[[#This Row],[Joining Date]]="", "", TEXT(Table1[[#This Row],[Joining Date]], "mmm"))</f>
        <v>Oct</v>
      </c>
      <c r="AU175">
        <f>IF(Table1[[#This Row],[Joining Date]]="", "", YEAR(Table1[[#This Row],[Joining Date]]))</f>
        <v>2023</v>
      </c>
      <c r="AV175" t="str">
        <f>IF(Table1[[#This Row],[Group Name]]="","", M175 &amp; Table1[[#This Row],[Teacher]])</f>
        <v/>
      </c>
      <c r="AW175" t="str">
        <f>IF(Table1[[#This Row],[Helper]]="","",IF(_xlfn.MAXIFS(AT:AT,AW:AW,Table1[[#This Row],[Helper]])=Table1[[#This Row],[Clean Frequency]],_xlfn.MAXIFS(AT:AT,AW:AW,Table1[[#This Row],[Helper]]),""))</f>
        <v/>
      </c>
      <c r="AX175" t="str">
        <f ca="1">IF(AND(AW175=_xlfn.MAXIFS(AX:AX, AW:AW, AV175), COUNTIFS(AV$3:AV175, AV175, AW$3:AW175, AW175)=1), 1, "")</f>
        <v/>
      </c>
      <c r="AY175">
        <f>IF(Table1[[#This Row],[lesson type]]="private",Table1[[#This Row],[Clean Frequency]],"")</f>
        <v>3</v>
      </c>
      <c r="AZ175" t="str">
        <f ca="1">IF(Table1[[#This Row],[First Occurrence]]=1,Table1[[#This Row],[Group Frequency]],"")</f>
        <v/>
      </c>
      <c r="BA175">
        <f ca="1">IF(B175="Y", IF(Table1[[#This Row],[Stop]]="", TODAY() - Table1[[#This Row],[Joining Date]], Table1[[#This Row],[Stop]] - Table1[[#This Row],[Joining Date]]), "")</f>
        <v>976</v>
      </c>
      <c r="BB175" t="str">
        <f>_xlfn.CONCAT(Table1[[#This Row],[t]]," ",Table1[[#This Row],[Last Name]])</f>
        <v>Tomoyuki Miyahara</v>
      </c>
      <c r="BC175" t="e">
        <f>IF(OR(Table1[[#This Row],[Teacher]]="Alex",Table1[[#This Row],[Teacher]]=""), "", Table1[[#This Row],[For Salary]])</f>
        <v>#N/A</v>
      </c>
      <c r="BD175" t="e">
        <f>IF(OR(Table1[[#This Row],[Teacher]]="Alex",Table1[[#This Row],[Teacher]]=""), "", Table1[[#This Row],[For Amount]])</f>
        <v>#N/A</v>
      </c>
      <c r="BE175" t="str">
        <f>IFERROR(IF(VLOOKUP(Table1[[#This Row],[Teacher]],'Teachers Salaries'!A:C,2,FALSE)="","",VLOOKUP(Table1[[#This Row],[Teacher]],'Teachers Salaries'!A:C,2,FALSE)),"")</f>
        <v>Hourly</v>
      </c>
      <c r="BF175">
        <f>IFERROR(IF(VLOOKUP(Table1[[#This Row],[Teacher]],'Teachers Salaries'!A:C,3,FALSE)="","",VLOOKUP(Table1[[#This Row],[Teacher]],'Teachers Salaries'!A:C,3,FALSE)),"")</f>
        <v>3000</v>
      </c>
      <c r="BG175">
        <f ca="1">IFERROR(IF(Table1[[#This Row],[Pay Type]]="Fixed","-",Table1[[#This Row],[Final Group Frequency2]]*Table1[[#This Row],[Salary / Hourly Rate]]),0)</f>
        <v>0</v>
      </c>
      <c r="BH175">
        <f>IFERROR(IF(Table1[[#This Row],[Pay Type]]="Fixed","----",Table1[[#This Row],[Salary / Hourly Rate]]*Table1[[#This Row],[Final PrivateFrequency]]),0)</f>
        <v>9000</v>
      </c>
      <c r="BI175">
        <f ca="1">IF(Table1[[#This Row],[Pay Type]]="Fixed","---",Table1[[#This Row],[Group Salary]]+Table1[[#This Row],[Private Salary]])</f>
        <v>9000</v>
      </c>
      <c r="BJ175" t="e">
        <f>IF(OR(J175="Alex", J175=""),"", Table1[[#This Row],[For Amount]])</f>
        <v>#N/A</v>
      </c>
      <c r="BK175">
        <f ca="1">IFERROR(Table1[[#This Row],[Fee]]-Table1[[#This Row],[Total Salary]],"")</f>
        <v>6000</v>
      </c>
      <c r="BL175" t="e">
        <f>IF(Table1[[#This Row],[Joining Date]]="","",IF(Table1[[#This Row],[Joining Date]]&lt;='KPI+Pivot'!$CP$1,Table1[[#This Row],[Fee]],""))</f>
        <v>#N/A</v>
      </c>
      <c r="BM17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5" t="e">
        <f>IF(Table1[[#This Row],[Joining Date]]="","",IF(Table1[[#This Row],[Joining Date]]&lt;='KPI+Pivot'!$CP$1,Table1[[#This Row],[Total Salary]],""))</f>
        <v>#N/A</v>
      </c>
      <c r="BO175" t="e">
        <f>IF(Table1[[#This Row],[Joining Date]]="","",IF(Table1[[#This Row],[Joining Date]]&lt;='KPI+Pivot'!$CP$1,Table1[[#This Row],[Frequency]],""))</f>
        <v>#N/A</v>
      </c>
      <c r="BP175" s="38" t="str">
        <f>IF(Table1[[#This Row],[Stop]]="","",(IF(Table1[[#This Row],[Joining Date]]="","",IF(Table1[[#This Row],[Joining Date]]&lt;='KPI+Pivot'!$CP$1,Table1[[#This Row],[Stop]],""))))</f>
        <v/>
      </c>
    </row>
    <row r="176" spans="1:68" ht="22.9" customHeight="1">
      <c r="B176" t="s">
        <v>66</v>
      </c>
      <c r="C176" t="s">
        <v>1245</v>
      </c>
      <c r="D176" t="s">
        <v>762</v>
      </c>
      <c r="F176" t="s">
        <v>1246</v>
      </c>
      <c r="G176" t="s">
        <v>1247</v>
      </c>
      <c r="H176" t="s">
        <v>765</v>
      </c>
      <c r="I176" t="str">
        <f>IFERROR(HYPERLINK("#Finance!B" &amp; MATCH(A176, 'F 2025'!A:A, 0), "🔗 Go to finance"), "❌ ID introuvable")</f>
        <v>❌ ID introuvable</v>
      </c>
      <c r="Y176" t="s">
        <v>1248</v>
      </c>
      <c r="Z176" t="s">
        <v>75</v>
      </c>
      <c r="AD176" s="130"/>
      <c r="AE176"/>
      <c r="AG176" t="s">
        <v>76</v>
      </c>
      <c r="AM176" s="38"/>
      <c r="AO176" t="s">
        <v>1247</v>
      </c>
      <c r="AR176" t="str">
        <f t="shared" si="12"/>
        <v/>
      </c>
      <c r="AS176" t="str">
        <f t="shared" si="13"/>
        <v/>
      </c>
      <c r="AT176" t="str">
        <f>IF(Table1[[#This Row],[Joining Date]]="", "", TEXT(Table1[[#This Row],[Joining Date]], "mmm"))</f>
        <v/>
      </c>
      <c r="AU176" t="str">
        <f>IF(Table1[[#This Row],[Joining Date]]="", "", YEAR(Table1[[#This Row],[Joining Date]]))</f>
        <v/>
      </c>
      <c r="AV176" t="str">
        <f>IF(Table1[[#This Row],[Group Name]]="","", M176 &amp; Table1[[#This Row],[Teacher]])</f>
        <v/>
      </c>
      <c r="AW176" t="str">
        <f>IF(Table1[[#This Row],[Helper]]="","",IF(_xlfn.MAXIFS(AT:AT,AW:AW,Table1[[#This Row],[Helper]])=Table1[[#This Row],[Clean Frequency]],_xlfn.MAXIFS(AT:AT,AW:AW,Table1[[#This Row],[Helper]]),""))</f>
        <v/>
      </c>
      <c r="AX176" t="str">
        <f ca="1">IF(AND(AW176=_xlfn.MAXIFS(AX:AX, AW:AW, AV176), COUNTIFS(AV$3:AV176, AV176, AW$3:AW176, AW176)=1), 1, "")</f>
        <v/>
      </c>
      <c r="AY176" t="str">
        <f>IF(Table1[[#This Row],[lesson type]]="private",Table1[[#This Row],[Clean Frequency]],"")</f>
        <v/>
      </c>
      <c r="AZ176" t="str">
        <f ca="1">IF(Table1[[#This Row],[First Occurrence]]=1,Table1[[#This Row],[Group Frequency]],"")</f>
        <v/>
      </c>
      <c r="BA176" t="str">
        <f ca="1">IF(B176="Y", IF(Table1[[#This Row],[Stop]]="", TODAY() - Table1[[#This Row],[Joining Date]], Table1[[#This Row],[Stop]] - Table1[[#This Row],[Joining Date]]), "")</f>
        <v/>
      </c>
      <c r="BB176" t="str">
        <f>_xlfn.CONCAT(Table1[[#This Row],[t]]," ",Table1[[#This Row],[Last Name]])</f>
        <v>Touru Nakamura</v>
      </c>
      <c r="BC176" t="str">
        <f>IF(OR(Table1[[#This Row],[Teacher]]="Alex",Table1[[#This Row],[Teacher]]=""), "", Table1[[#This Row],[For Salary]])</f>
        <v/>
      </c>
      <c r="BD176" t="str">
        <f>IF(OR(Table1[[#This Row],[Teacher]]="Alex",Table1[[#This Row],[Teacher]]=""), "", Table1[[#This Row],[For Amount]])</f>
        <v/>
      </c>
      <c r="BE176" t="str">
        <f>IFERROR(IF(VLOOKUP(Table1[[#This Row],[Teacher]],'Teachers Salaries'!A:C,2,FALSE)="","",VLOOKUP(Table1[[#This Row],[Teacher]],'Teachers Salaries'!A:C,2,FALSE)),"")</f>
        <v/>
      </c>
      <c r="BF176" t="str">
        <f>IFERROR(IF(VLOOKUP(Table1[[#This Row],[Teacher]],'Teachers Salaries'!A:C,3,FALSE)="","",VLOOKUP(Table1[[#This Row],[Teacher]],'Teachers Salaries'!A:C,3,FALSE)),"")</f>
        <v/>
      </c>
      <c r="BG176">
        <f ca="1">IFERROR(IF(Table1[[#This Row],[Pay Type]]="Fixed","-",Table1[[#This Row],[Final Group Frequency2]]*Table1[[#This Row],[Salary / Hourly Rate]]),0)</f>
        <v>0</v>
      </c>
      <c r="BH176">
        <f>IFERROR(IF(Table1[[#This Row],[Pay Type]]="Fixed","----",Table1[[#This Row],[Salary / Hourly Rate]]*Table1[[#This Row],[Final PrivateFrequency]]),0)</f>
        <v>0</v>
      </c>
      <c r="BI176">
        <f ca="1">IF(Table1[[#This Row],[Pay Type]]="Fixed","---",Table1[[#This Row],[Group Salary]]+Table1[[#This Row],[Private Salary]])</f>
        <v>0</v>
      </c>
      <c r="BJ176" t="str">
        <f>IF(OR(J176="Alex", J176=""),"", Table1[[#This Row],[For Amount]])</f>
        <v/>
      </c>
      <c r="BK176">
        <f ca="1">IFERROR(Table1[[#This Row],[Fee]]-Table1[[#This Row],[Total Salary]],"")</f>
        <v>0</v>
      </c>
      <c r="BL176" t="str">
        <f>IF(Table1[[#This Row],[Joining Date]]="","",IF(Table1[[#This Row],[Joining Date]]&lt;='KPI+Pivot'!$CP$1,Table1[[#This Row],[Fee]],""))</f>
        <v/>
      </c>
      <c r="BM17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76" t="str">
        <f>IF(Table1[[#This Row],[Joining Date]]="","",IF(Table1[[#This Row],[Joining Date]]&lt;='KPI+Pivot'!$CP$1,Table1[[#This Row],[Total Salary]],""))</f>
        <v/>
      </c>
      <c r="BO176" t="str">
        <f>IF(Table1[[#This Row],[Joining Date]]="","",IF(Table1[[#This Row],[Joining Date]]&lt;='KPI+Pivot'!$CP$1,Table1[[#This Row],[Frequency]],""))</f>
        <v/>
      </c>
      <c r="BP176" s="38" t="str">
        <f>IF(Table1[[#This Row],[Stop]]="","",(IF(Table1[[#This Row],[Joining Date]]="","",IF(Table1[[#This Row],[Joining Date]]&lt;='KPI+Pivot'!$CP$1,Table1[[#This Row],[Stop]],""))))</f>
        <v/>
      </c>
    </row>
    <row r="177" spans="1:68" ht="22.9" customHeight="1">
      <c r="B177" t="s">
        <v>66</v>
      </c>
      <c r="C177" t="s">
        <v>406</v>
      </c>
      <c r="D177" t="s">
        <v>1249</v>
      </c>
      <c r="F177" t="s">
        <v>1250</v>
      </c>
      <c r="G177" t="s">
        <v>1251</v>
      </c>
      <c r="H177" t="s">
        <v>409</v>
      </c>
      <c r="I177" t="str">
        <f>IFERROR(HYPERLINK("#Finance!B" &amp; MATCH(A177, 'F 2025'!A:A, 0), "🔗 Go to finance"), "❌ ID introuvable")</f>
        <v>❌ ID introuvable</v>
      </c>
      <c r="L177" t="s">
        <v>72</v>
      </c>
      <c r="V177" t="s">
        <v>410</v>
      </c>
      <c r="W177" t="s">
        <v>410</v>
      </c>
      <c r="Y177">
        <v>9059355284</v>
      </c>
      <c r="Z177" t="s">
        <v>75</v>
      </c>
      <c r="AD177" s="130"/>
      <c r="AE177"/>
      <c r="AG177" t="s">
        <v>76</v>
      </c>
      <c r="AK177" t="s">
        <v>72</v>
      </c>
      <c r="AM177" s="38"/>
      <c r="AO177" t="s">
        <v>1251</v>
      </c>
      <c r="AR177" t="str">
        <f t="shared" si="12"/>
        <v/>
      </c>
      <c r="AS177" t="str">
        <f t="shared" si="13"/>
        <v/>
      </c>
      <c r="AT177" t="str">
        <f>IF(Table1[[#This Row],[Joining Date]]="", "", TEXT(Table1[[#This Row],[Joining Date]], "mmm"))</f>
        <v/>
      </c>
      <c r="AU177" t="str">
        <f>IF(Table1[[#This Row],[Joining Date]]="", "", YEAR(Table1[[#This Row],[Joining Date]]))</f>
        <v/>
      </c>
      <c r="AV177" t="str">
        <f>IF(Table1[[#This Row],[Group Name]]="","", M177 &amp; Table1[[#This Row],[Teacher]])</f>
        <v/>
      </c>
      <c r="AW177" t="str">
        <f>IF(Table1[[#This Row],[Helper]]="","",IF(_xlfn.MAXIFS(AT:AT,AW:AW,Table1[[#This Row],[Helper]])=Table1[[#This Row],[Clean Frequency]],_xlfn.MAXIFS(AT:AT,AW:AW,Table1[[#This Row],[Helper]]),""))</f>
        <v/>
      </c>
      <c r="AX177" t="str">
        <f ca="1">IF(AND(AW177=_xlfn.MAXIFS(AX:AX, AW:AW, AV177), COUNTIFS(AV$3:AV177, AV177, AW$3:AW177, AW177)=1), 1, "")</f>
        <v/>
      </c>
      <c r="AY177" t="str">
        <f>IF(Table1[[#This Row],[lesson type]]="private",Table1[[#This Row],[Clean Frequency]],"")</f>
        <v/>
      </c>
      <c r="AZ177" t="str">
        <f ca="1">IF(Table1[[#This Row],[First Occurrence]]=1,Table1[[#This Row],[Group Frequency]],"")</f>
        <v/>
      </c>
      <c r="BA177" t="str">
        <f ca="1">IF(B177="Y", IF(Table1[[#This Row],[Stop]]="", TODAY() - Table1[[#This Row],[Joining Date]], Table1[[#This Row],[Stop]] - Table1[[#This Row],[Joining Date]]), "")</f>
        <v/>
      </c>
      <c r="BB177" t="str">
        <f>_xlfn.CONCAT(Table1[[#This Row],[t]]," ",Table1[[#This Row],[Last Name]])</f>
        <v>Uchiyama Seicho</v>
      </c>
      <c r="BC177" t="str">
        <f>IF(OR(Table1[[#This Row],[Teacher]]="Alex",Table1[[#This Row],[Teacher]]=""), "", Table1[[#This Row],[For Salary]])</f>
        <v/>
      </c>
      <c r="BD177" t="str">
        <f>IF(OR(Table1[[#This Row],[Teacher]]="Alex",Table1[[#This Row],[Teacher]]=""), "", Table1[[#This Row],[For Amount]])</f>
        <v/>
      </c>
      <c r="BE177" t="str">
        <f>IFERROR(IF(VLOOKUP(Table1[[#This Row],[Teacher]],'Teachers Salaries'!A:C,2,FALSE)="","",VLOOKUP(Table1[[#This Row],[Teacher]],'Teachers Salaries'!A:C,2,FALSE)),"")</f>
        <v/>
      </c>
      <c r="BF177" t="str">
        <f>IFERROR(IF(VLOOKUP(Table1[[#This Row],[Teacher]],'Teachers Salaries'!A:C,3,FALSE)="","",VLOOKUP(Table1[[#This Row],[Teacher]],'Teachers Salaries'!A:C,3,FALSE)),"")</f>
        <v/>
      </c>
      <c r="BG177">
        <f ca="1">IFERROR(IF(Table1[[#This Row],[Pay Type]]="Fixed","-",Table1[[#This Row],[Final Group Frequency2]]*Table1[[#This Row],[Salary / Hourly Rate]]),0)</f>
        <v>0</v>
      </c>
      <c r="BH177">
        <f>IFERROR(IF(Table1[[#This Row],[Pay Type]]="Fixed","----",Table1[[#This Row],[Salary / Hourly Rate]]*Table1[[#This Row],[Final PrivateFrequency]]),0)</f>
        <v>0</v>
      </c>
      <c r="BI177">
        <f ca="1">IF(Table1[[#This Row],[Pay Type]]="Fixed","---",Table1[[#This Row],[Group Salary]]+Table1[[#This Row],[Private Salary]])</f>
        <v>0</v>
      </c>
      <c r="BJ177" t="str">
        <f>IF(OR(J177="Alex", J177=""),"", Table1[[#This Row],[For Amount]])</f>
        <v/>
      </c>
      <c r="BK177">
        <f ca="1">IFERROR(Table1[[#This Row],[Fee]]-Table1[[#This Row],[Total Salary]],"")</f>
        <v>0</v>
      </c>
      <c r="BL177" t="str">
        <f>IF(Table1[[#This Row],[Joining Date]]="","",IF(Table1[[#This Row],[Joining Date]]&lt;='KPI+Pivot'!$CP$1,Table1[[#This Row],[Fee]],""))</f>
        <v/>
      </c>
      <c r="BM17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77" t="str">
        <f>IF(Table1[[#This Row],[Joining Date]]="","",IF(Table1[[#This Row],[Joining Date]]&lt;='KPI+Pivot'!$CP$1,Table1[[#This Row],[Total Salary]],""))</f>
        <v/>
      </c>
      <c r="BO177" t="str">
        <f>IF(Table1[[#This Row],[Joining Date]]="","",IF(Table1[[#This Row],[Joining Date]]&lt;='KPI+Pivot'!$CP$1,Table1[[#This Row],[Frequency]],""))</f>
        <v/>
      </c>
      <c r="BP177" s="38" t="str">
        <f>IF(Table1[[#This Row],[Stop]]="","",(IF(Table1[[#This Row],[Joining Date]]="","",IF(Table1[[#This Row],[Joining Date]]&lt;='KPI+Pivot'!$CP$1,Table1[[#This Row],[Stop]],""))))</f>
        <v/>
      </c>
    </row>
    <row r="178" spans="1:68" ht="17.25" customHeight="1">
      <c r="A178">
        <v>103</v>
      </c>
      <c r="B178" t="s">
        <v>66</v>
      </c>
      <c r="C178" t="s">
        <v>1252</v>
      </c>
      <c r="D178" t="s">
        <v>184</v>
      </c>
      <c r="F178" t="s">
        <v>1253</v>
      </c>
      <c r="G178" t="s">
        <v>1254</v>
      </c>
      <c r="H178" t="s">
        <v>187</v>
      </c>
      <c r="I178" t="str">
        <f>IFERROR(HYPERLINK("#Finance!B" &amp; MATCH(A178, 'F 2025'!A:A, 0), "🔗 Go to finance"), "❌ ID introuvable")</f>
        <v>🔗 Go to finance</v>
      </c>
      <c r="J178" t="s">
        <v>109</v>
      </c>
      <c r="K178" t="s">
        <v>117</v>
      </c>
      <c r="L178" t="s">
        <v>502</v>
      </c>
      <c r="O178">
        <v>6050</v>
      </c>
      <c r="R178">
        <v>46200</v>
      </c>
      <c r="S178" t="s">
        <v>1255</v>
      </c>
      <c r="T178" s="130">
        <v>45020</v>
      </c>
      <c r="V178" t="s">
        <v>188</v>
      </c>
      <c r="W178" t="s">
        <v>189</v>
      </c>
      <c r="Y178">
        <v>9048027828</v>
      </c>
      <c r="Z178" t="s">
        <v>75</v>
      </c>
      <c r="AB178" t="s">
        <v>1256</v>
      </c>
      <c r="AD178" s="130">
        <v>45020</v>
      </c>
      <c r="AE178"/>
      <c r="AG178" t="s">
        <v>76</v>
      </c>
      <c r="AI178" t="s">
        <v>1256</v>
      </c>
      <c r="AK178" t="s">
        <v>111</v>
      </c>
      <c r="AM178" s="38">
        <v>45961</v>
      </c>
      <c r="AO178" t="s">
        <v>1254</v>
      </c>
      <c r="AR178" t="str">
        <f t="shared" si="12"/>
        <v>group</v>
      </c>
      <c r="AS178">
        <f t="shared" si="13"/>
        <v>4</v>
      </c>
      <c r="AT178" t="str">
        <f>IF(Table1[[#This Row],[Joining Date]]="", "", TEXT(Table1[[#This Row],[Joining Date]], "mmm"))</f>
        <v>Apr</v>
      </c>
      <c r="AU178">
        <f>IF(Table1[[#This Row],[Joining Date]]="", "", YEAR(Table1[[#This Row],[Joining Date]]))</f>
        <v>2023</v>
      </c>
      <c r="AV178" t="str">
        <f>IF(Table1[[#This Row],[Group Name]]="","", M178 &amp; Table1[[#This Row],[Teacher]])</f>
        <v/>
      </c>
      <c r="AW178" t="str">
        <f>IF(Table1[[#This Row],[Helper]]="","",IF(_xlfn.MAXIFS(AT:AT,AW:AW,Table1[[#This Row],[Helper]])=Table1[[#This Row],[Clean Frequency]],_xlfn.MAXIFS(AT:AT,AW:AW,Table1[[#This Row],[Helper]]),""))</f>
        <v/>
      </c>
      <c r="AX178" t="str">
        <f ca="1">IF(AND(AW178=_xlfn.MAXIFS(AX:AX, AW:AW, AV178), COUNTIFS(AV$3:AV178, AV178, AW$3:AW178, AW178)=1), 1, "")</f>
        <v/>
      </c>
      <c r="AY178" t="str">
        <f>IF(Table1[[#This Row],[lesson type]]="private",Table1[[#This Row],[Clean Frequency]],"")</f>
        <v/>
      </c>
      <c r="AZ178" t="str">
        <f ca="1">IF(Table1[[#This Row],[First Occurrence]]=1,Table1[[#This Row],[Group Frequency]],"")</f>
        <v/>
      </c>
      <c r="BA178" t="str">
        <f ca="1">IF(B178="Y", IF(Table1[[#This Row],[Stop]]="", TODAY() - Table1[[#This Row],[Joining Date]], Table1[[#This Row],[Stop]] - Table1[[#This Row],[Joining Date]]), "")</f>
        <v/>
      </c>
      <c r="BB178" t="str">
        <f>_xlfn.CONCAT(Table1[[#This Row],[t]]," ",Table1[[#This Row],[Last Name]])</f>
        <v>Uta Takara</v>
      </c>
      <c r="BC178" t="str">
        <f>IF(OR(Table1[[#This Row],[Teacher]]="Alex",Table1[[#This Row],[Teacher]]=""), "", Table1[[#This Row],[For Salary]])</f>
        <v/>
      </c>
      <c r="BD178" t="str">
        <f>IF(OR(Table1[[#This Row],[Teacher]]="Alex",Table1[[#This Row],[Teacher]]=""), "", Table1[[#This Row],[For Amount]])</f>
        <v/>
      </c>
      <c r="BE178" t="str">
        <f>IFERROR(IF(VLOOKUP(Table1[[#This Row],[Teacher]],'Teachers Salaries'!A:C,2,FALSE)="","",VLOOKUP(Table1[[#This Row],[Teacher]],'Teachers Salaries'!A:C,2,FALSE)),"")</f>
        <v>Fixed</v>
      </c>
      <c r="BF178">
        <f>IFERROR(IF(VLOOKUP(Table1[[#This Row],[Teacher]],'Teachers Salaries'!A:C,3,FALSE)="","",VLOOKUP(Table1[[#This Row],[Teacher]],'Teachers Salaries'!A:C,3,FALSE)),"")</f>
        <v>210000</v>
      </c>
      <c r="BG178" t="str">
        <f>IFERROR(IF(Table1[[#This Row],[Pay Type]]="Fixed","-",Table1[[#This Row],[Final Group Frequency2]]*Table1[[#This Row],[Salary / Hourly Rate]]),0)</f>
        <v>-</v>
      </c>
      <c r="BH178" t="str">
        <f>IFERROR(IF(Table1[[#This Row],[Pay Type]]="Fixed","----",Table1[[#This Row],[Salary / Hourly Rate]]*Table1[[#This Row],[Final PrivateFrequency]]),0)</f>
        <v>----</v>
      </c>
      <c r="BI178" t="str">
        <f>IF(Table1[[#This Row],[Pay Type]]="Fixed","---",Table1[[#This Row],[Group Salary]]+Table1[[#This Row],[Private Salary]])</f>
        <v>---</v>
      </c>
      <c r="BJ178" t="str">
        <f>IF(OR(J178="Alex", J178=""),"", Table1[[#This Row],[For Amount]])</f>
        <v/>
      </c>
      <c r="BK178" t="str">
        <f>IFERROR(Table1[[#This Row],[Fee]]-Table1[[#This Row],[Total Salary]],"")</f>
        <v/>
      </c>
      <c r="BL178" t="e">
        <f>IF(Table1[[#This Row],[Joining Date]]="","",IF(Table1[[#This Row],[Joining Date]]&lt;='KPI+Pivot'!$CP$1,Table1[[#This Row],[Fee]],""))</f>
        <v>#N/A</v>
      </c>
      <c r="BM17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8" t="e">
        <f>IF(Table1[[#This Row],[Joining Date]]="","",IF(Table1[[#This Row],[Joining Date]]&lt;='KPI+Pivot'!$CP$1,Table1[[#This Row],[Total Salary]],""))</f>
        <v>#N/A</v>
      </c>
      <c r="BO178" t="e">
        <f>IF(Table1[[#This Row],[Joining Date]]="","",IF(Table1[[#This Row],[Joining Date]]&lt;='KPI+Pivot'!$CP$1,Table1[[#This Row],[Frequency]],""))</f>
        <v>#N/A</v>
      </c>
      <c r="BP178" s="38" t="e">
        <f>IF(Table1[[#This Row],[Stop]]="","",(IF(Table1[[#This Row],[Joining Date]]="","",IF(Table1[[#This Row],[Joining Date]]&lt;='KPI+Pivot'!$CP$1,Table1[[#This Row],[Stop]],""))))</f>
        <v>#N/A</v>
      </c>
    </row>
    <row r="179" spans="1:68" ht="18" customHeight="1">
      <c r="A179">
        <v>134</v>
      </c>
      <c r="B179" t="s">
        <v>103</v>
      </c>
      <c r="C179" t="s">
        <v>1257</v>
      </c>
      <c r="D179" t="s">
        <v>1258</v>
      </c>
      <c r="F179" t="s">
        <v>1259</v>
      </c>
      <c r="G179" t="s">
        <v>1260</v>
      </c>
      <c r="H179" t="s">
        <v>1261</v>
      </c>
      <c r="I179" t="str">
        <f>IFERROR(HYPERLINK("#Finance!B" &amp; MATCH(A179, 'F 2025'!A:A, 0), "🔗 Go to finance"), "❌ ID introuvable")</f>
        <v>🔗 Go to finance</v>
      </c>
      <c r="J179" t="s">
        <v>494</v>
      </c>
      <c r="K179" t="s">
        <v>110</v>
      </c>
      <c r="L179" t="s">
        <v>507</v>
      </c>
      <c r="N179">
        <v>2</v>
      </c>
      <c r="O179">
        <v>9900</v>
      </c>
      <c r="T179" s="130">
        <v>45323</v>
      </c>
      <c r="V179" t="s">
        <v>1262</v>
      </c>
      <c r="W179" t="s">
        <v>1262</v>
      </c>
      <c r="Y179">
        <v>9053836589</v>
      </c>
      <c r="Z179" t="s">
        <v>75</v>
      </c>
      <c r="AB179" t="s">
        <v>1263</v>
      </c>
      <c r="AD179" s="130">
        <v>45323</v>
      </c>
      <c r="AE179"/>
      <c r="AG179" t="s">
        <v>76</v>
      </c>
      <c r="AI179" t="s">
        <v>1263</v>
      </c>
      <c r="AK179" t="s">
        <v>84</v>
      </c>
      <c r="AM179" s="38"/>
      <c r="AO179" t="s">
        <v>1260</v>
      </c>
      <c r="AR179" t="str">
        <f t="shared" si="12"/>
        <v>private</v>
      </c>
      <c r="AS179">
        <f t="shared" si="13"/>
        <v>2</v>
      </c>
      <c r="AT179" t="str">
        <f>IF(Table1[[#This Row],[Joining Date]]="", "", TEXT(Table1[[#This Row],[Joining Date]], "mmm"))</f>
        <v>Feb</v>
      </c>
      <c r="AU179">
        <f>IF(Table1[[#This Row],[Joining Date]]="", "", YEAR(Table1[[#This Row],[Joining Date]]))</f>
        <v>2024</v>
      </c>
      <c r="AV179" t="str">
        <f>IF(Table1[[#This Row],[Group Name]]="","", M179 &amp; Table1[[#This Row],[Teacher]])</f>
        <v/>
      </c>
      <c r="AW179" t="str">
        <f>IF(Table1[[#This Row],[Helper]]="","",IF(_xlfn.MAXIFS(AT:AT,AW:AW,Table1[[#This Row],[Helper]])=Table1[[#This Row],[Clean Frequency]],_xlfn.MAXIFS(AT:AT,AW:AW,Table1[[#This Row],[Helper]]),""))</f>
        <v/>
      </c>
      <c r="AX179" t="str">
        <f ca="1">IF(AND(AW179=_xlfn.MAXIFS(AX:AX, AW:AW, AV179), COUNTIFS(AV$3:AV179, AV179, AW$3:AW179, AW179)=1), 1, "")</f>
        <v/>
      </c>
      <c r="AY179">
        <f>IF(Table1[[#This Row],[lesson type]]="private",Table1[[#This Row],[Clean Frequency]],"")</f>
        <v>2</v>
      </c>
      <c r="AZ179" t="str">
        <f ca="1">IF(Table1[[#This Row],[First Occurrence]]=1,Table1[[#This Row],[Group Frequency]],"")</f>
        <v/>
      </c>
      <c r="BA179">
        <f ca="1">IF(B179="Y", IF(Table1[[#This Row],[Stop]]="", TODAY() - Table1[[#This Row],[Joining Date]], Table1[[#This Row],[Stop]] - Table1[[#This Row],[Joining Date]]), "")</f>
        <v>854</v>
      </c>
      <c r="BB179" t="str">
        <f>_xlfn.CONCAT(Table1[[#This Row],[t]]," ",Table1[[#This Row],[Last Name]])</f>
        <v>Wakana Nagae</v>
      </c>
      <c r="BC179" t="e">
        <f>IF(OR(Table1[[#This Row],[Teacher]]="Alex",Table1[[#This Row],[Teacher]]=""), "", Table1[[#This Row],[For Salary]])</f>
        <v>#N/A</v>
      </c>
      <c r="BD179" t="e">
        <f>IF(OR(Table1[[#This Row],[Teacher]]="Alex",Table1[[#This Row],[Teacher]]=""), "", Table1[[#This Row],[For Amount]])</f>
        <v>#N/A</v>
      </c>
      <c r="BE179" t="str">
        <f>IFERROR(IF(VLOOKUP(Table1[[#This Row],[Teacher]],'Teachers Salaries'!A:C,2,FALSE)="","",VLOOKUP(Table1[[#This Row],[Teacher]],'Teachers Salaries'!A:C,2,FALSE)),"")</f>
        <v>Hourly</v>
      </c>
      <c r="BF179">
        <f>IFERROR(IF(VLOOKUP(Table1[[#This Row],[Teacher]],'Teachers Salaries'!A:C,3,FALSE)="","",VLOOKUP(Table1[[#This Row],[Teacher]],'Teachers Salaries'!A:C,3,FALSE)),"")</f>
        <v>3000</v>
      </c>
      <c r="BG179">
        <f ca="1">IFERROR(IF(Table1[[#This Row],[Pay Type]]="Fixed","-",Table1[[#This Row],[Final Group Frequency2]]*Table1[[#This Row],[Salary / Hourly Rate]]),0)</f>
        <v>0</v>
      </c>
      <c r="BH179">
        <f>IFERROR(IF(Table1[[#This Row],[Pay Type]]="Fixed","----",Table1[[#This Row],[Salary / Hourly Rate]]*Table1[[#This Row],[Final PrivateFrequency]]),0)</f>
        <v>6000</v>
      </c>
      <c r="BI179">
        <f ca="1">IF(Table1[[#This Row],[Pay Type]]="Fixed","---",Table1[[#This Row],[Group Salary]]+Table1[[#This Row],[Private Salary]])</f>
        <v>6000</v>
      </c>
      <c r="BJ179" t="e">
        <f>IF(OR(J179="Alex", J179=""),"", Table1[[#This Row],[For Amount]])</f>
        <v>#N/A</v>
      </c>
      <c r="BK179">
        <f ca="1">IFERROR(Table1[[#This Row],[Fee]]-Table1[[#This Row],[Total Salary]],"")</f>
        <v>3900</v>
      </c>
      <c r="BL179" t="e">
        <f>IF(Table1[[#This Row],[Joining Date]]="","",IF(Table1[[#This Row],[Joining Date]]&lt;='KPI+Pivot'!$CP$1,Table1[[#This Row],[Fee]],""))</f>
        <v>#N/A</v>
      </c>
      <c r="BM17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9" t="e">
        <f>IF(Table1[[#This Row],[Joining Date]]="","",IF(Table1[[#This Row],[Joining Date]]&lt;='KPI+Pivot'!$CP$1,Table1[[#This Row],[Total Salary]],""))</f>
        <v>#N/A</v>
      </c>
      <c r="BO179" t="e">
        <f>IF(Table1[[#This Row],[Joining Date]]="","",IF(Table1[[#This Row],[Joining Date]]&lt;='KPI+Pivot'!$CP$1,Table1[[#This Row],[Frequency]],""))</f>
        <v>#N/A</v>
      </c>
      <c r="BP179" s="38" t="str">
        <f>IF(Table1[[#This Row],[Stop]]="","",(IF(Table1[[#This Row],[Joining Date]]="","",IF(Table1[[#This Row],[Joining Date]]&lt;='KPI+Pivot'!$CP$1,Table1[[#This Row],[Stop]],""))))</f>
        <v/>
      </c>
    </row>
    <row r="180" spans="1:68" ht="18" customHeight="1">
      <c r="A180">
        <v>134</v>
      </c>
      <c r="B180" t="s">
        <v>103</v>
      </c>
      <c r="C180" t="s">
        <v>1257</v>
      </c>
      <c r="D180" t="s">
        <v>1258</v>
      </c>
      <c r="F180" t="s">
        <v>1259</v>
      </c>
      <c r="G180" t="s">
        <v>1260</v>
      </c>
      <c r="H180" t="s">
        <v>1261</v>
      </c>
      <c r="I180" t="str">
        <f>IFERROR(HYPERLINK("#Finance!B" &amp; MATCH(A180, 'F 2025'!A:A, 0), "🔗 Go to finance"), "❌ ID introuvable")</f>
        <v>🔗 Go to finance</v>
      </c>
      <c r="J180" t="s">
        <v>494</v>
      </c>
      <c r="K180" t="s">
        <v>117</v>
      </c>
      <c r="L180" t="s">
        <v>507</v>
      </c>
      <c r="N180">
        <v>2</v>
      </c>
      <c r="O180">
        <v>3300</v>
      </c>
      <c r="T180" s="130">
        <v>45323</v>
      </c>
      <c r="V180" t="s">
        <v>1262</v>
      </c>
      <c r="W180" t="s">
        <v>1262</v>
      </c>
      <c r="Y180">
        <v>9053836589</v>
      </c>
      <c r="Z180" t="s">
        <v>75</v>
      </c>
      <c r="AB180" t="s">
        <v>1263</v>
      </c>
      <c r="AD180" s="130">
        <v>45323</v>
      </c>
      <c r="AE180"/>
      <c r="AG180" t="s">
        <v>76</v>
      </c>
      <c r="AI180" t="s">
        <v>1263</v>
      </c>
      <c r="AK180" t="s">
        <v>84</v>
      </c>
      <c r="AM180" s="38"/>
      <c r="AO180" t="s">
        <v>1260</v>
      </c>
      <c r="AR180" t="str">
        <f t="shared" si="12"/>
        <v>group</v>
      </c>
      <c r="AS180">
        <f t="shared" si="13"/>
        <v>2</v>
      </c>
      <c r="AT180" t="str">
        <f>IF(Table1[[#This Row],[Joining Date]]="", "", TEXT(Table1[[#This Row],[Joining Date]], "mmm"))</f>
        <v>Feb</v>
      </c>
      <c r="AU180">
        <f>IF(Table1[[#This Row],[Joining Date]]="", "", YEAR(Table1[[#This Row],[Joining Date]]))</f>
        <v>2024</v>
      </c>
      <c r="AV180" t="str">
        <f>IF(Table1[[#This Row],[Group Name]]="","", M180 &amp; Table1[[#This Row],[Teacher]])</f>
        <v/>
      </c>
      <c r="AW180" t="str">
        <f>IF(Table1[[#This Row],[Helper]]="","",IF(_xlfn.MAXIFS(AT:AT,AW:AW,Table1[[#This Row],[Helper]])=Table1[[#This Row],[Clean Frequency]],_xlfn.MAXIFS(AT:AT,AW:AW,Table1[[#This Row],[Helper]]),""))</f>
        <v/>
      </c>
      <c r="AX180" t="str">
        <f ca="1">IF(AND(AW180=_xlfn.MAXIFS(AX:AX, AW:AW, AV180), COUNTIFS(AV$3:AV180, AV180, AW$3:AW180, AW180)=1), 1, "")</f>
        <v/>
      </c>
      <c r="AY180" t="str">
        <f>IF(Table1[[#This Row],[lesson type]]="private",Table1[[#This Row],[Clean Frequency]],"")</f>
        <v/>
      </c>
      <c r="AZ180" t="str">
        <f ca="1">IF(Table1[[#This Row],[First Occurrence]]=1,Table1[[#This Row],[Group Frequency]],"")</f>
        <v/>
      </c>
      <c r="BA180">
        <f ca="1">IF(B180="Y", IF(Table1[[#This Row],[Stop]]="", TODAY() - Table1[[#This Row],[Joining Date]], Table1[[#This Row],[Stop]] - Table1[[#This Row],[Joining Date]]), "")</f>
        <v>854</v>
      </c>
      <c r="BB180" t="str">
        <f>_xlfn.CONCAT(Table1[[#This Row],[t]]," ",Table1[[#This Row],[Last Name]])</f>
        <v>Wakana Nagae</v>
      </c>
      <c r="BC180" t="e">
        <f>IF(OR(Table1[[#This Row],[Teacher]]="Alex",Table1[[#This Row],[Teacher]]=""), "", Table1[[#This Row],[For Salary]])</f>
        <v>#N/A</v>
      </c>
      <c r="BD180" t="e">
        <f>IF(OR(Table1[[#This Row],[Teacher]]="Alex",Table1[[#This Row],[Teacher]]=""), "", Table1[[#This Row],[For Amount]])</f>
        <v>#N/A</v>
      </c>
      <c r="BE180" t="str">
        <f>IFERROR(IF(VLOOKUP(Table1[[#This Row],[Teacher]],'Teachers Salaries'!A:C,2,FALSE)="","",VLOOKUP(Table1[[#This Row],[Teacher]],'Teachers Salaries'!A:C,2,FALSE)),"")</f>
        <v>Hourly</v>
      </c>
      <c r="BF180">
        <f>IFERROR(IF(VLOOKUP(Table1[[#This Row],[Teacher]],'Teachers Salaries'!A:C,3,FALSE)="","",VLOOKUP(Table1[[#This Row],[Teacher]],'Teachers Salaries'!A:C,3,FALSE)),"")</f>
        <v>3000</v>
      </c>
      <c r="BG180">
        <f ca="1">IFERROR(IF(Table1[[#This Row],[Pay Type]]="Fixed","-",Table1[[#This Row],[Final Group Frequency2]]*Table1[[#This Row],[Salary / Hourly Rate]]),0)</f>
        <v>0</v>
      </c>
      <c r="BH180">
        <f>IFERROR(IF(Table1[[#This Row],[Pay Type]]="Fixed","----",Table1[[#This Row],[Salary / Hourly Rate]]*Table1[[#This Row],[Final PrivateFrequency]]),0)</f>
        <v>0</v>
      </c>
      <c r="BI180">
        <f ca="1">IF(Table1[[#This Row],[Pay Type]]="Fixed","---",Table1[[#This Row],[Group Salary]]+Table1[[#This Row],[Private Salary]])</f>
        <v>0</v>
      </c>
      <c r="BJ180" t="e">
        <f>IF(OR(J180="Alex", J180=""),"", Table1[[#This Row],[For Amount]])</f>
        <v>#N/A</v>
      </c>
      <c r="BK180">
        <f ca="1">IFERROR(Table1[[#This Row],[Fee]]-Table1[[#This Row],[Total Salary]],"")</f>
        <v>3300</v>
      </c>
      <c r="BL180" t="e">
        <f>IF(Table1[[#This Row],[Joining Date]]="","",IF(Table1[[#This Row],[Joining Date]]&lt;='KPI+Pivot'!$CP$1,Table1[[#This Row],[Fee]],""))</f>
        <v>#N/A</v>
      </c>
      <c r="BM18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0" t="e">
        <f>IF(Table1[[#This Row],[Joining Date]]="","",IF(Table1[[#This Row],[Joining Date]]&lt;='KPI+Pivot'!$CP$1,Table1[[#This Row],[Total Salary]],""))</f>
        <v>#N/A</v>
      </c>
      <c r="BO180" t="e">
        <f>IF(Table1[[#This Row],[Joining Date]]="","",IF(Table1[[#This Row],[Joining Date]]&lt;='KPI+Pivot'!$CP$1,Table1[[#This Row],[Frequency]],""))</f>
        <v>#N/A</v>
      </c>
      <c r="BP180" s="38" t="str">
        <f>IF(Table1[[#This Row],[Stop]]="","",(IF(Table1[[#This Row],[Joining Date]]="","",IF(Table1[[#This Row],[Joining Date]]&lt;='KPI+Pivot'!$CP$1,Table1[[#This Row],[Stop]],""))))</f>
        <v/>
      </c>
    </row>
    <row r="181" spans="1:68" ht="22.9" customHeight="1">
      <c r="B181" t="s">
        <v>66</v>
      </c>
      <c r="C181" t="s">
        <v>1264</v>
      </c>
      <c r="D181" t="s">
        <v>1265</v>
      </c>
      <c r="F181" t="s">
        <v>1266</v>
      </c>
      <c r="G181" t="s">
        <v>1267</v>
      </c>
      <c r="H181" t="s">
        <v>1268</v>
      </c>
      <c r="I181" t="str">
        <f>IFERROR(HYPERLINK("#Finance!B" &amp; MATCH(A181, 'F 2025'!A:A, 0), "🔗 Go to finance"), "❌ ID introuvable")</f>
        <v>❌ ID introuvable</v>
      </c>
      <c r="L181" t="s">
        <v>72</v>
      </c>
      <c r="V181" t="s">
        <v>1269</v>
      </c>
      <c r="Y181" t="s">
        <v>1270</v>
      </c>
      <c r="Z181" t="s">
        <v>75</v>
      </c>
      <c r="AB181" t="s">
        <v>1271</v>
      </c>
      <c r="AD181" s="130">
        <v>43871</v>
      </c>
      <c r="AE181"/>
      <c r="AG181" t="s">
        <v>76</v>
      </c>
      <c r="AI181" t="s">
        <v>1271</v>
      </c>
      <c r="AK181" t="s">
        <v>84</v>
      </c>
      <c r="AM181" s="38"/>
      <c r="AO181" t="s">
        <v>1267</v>
      </c>
      <c r="AR181" t="str">
        <f t="shared" si="12"/>
        <v/>
      </c>
      <c r="AS181" t="str">
        <f t="shared" si="13"/>
        <v/>
      </c>
      <c r="AT181" t="str">
        <f>IF(Table1[[#This Row],[Joining Date]]="", "", TEXT(Table1[[#This Row],[Joining Date]], "mmm"))</f>
        <v>Feb</v>
      </c>
      <c r="AU181">
        <f>IF(Table1[[#This Row],[Joining Date]]="", "", YEAR(Table1[[#This Row],[Joining Date]]))</f>
        <v>2020</v>
      </c>
      <c r="AV181" t="str">
        <f>IF(Table1[[#This Row],[Group Name]]="","", M181 &amp; Table1[[#This Row],[Teacher]])</f>
        <v/>
      </c>
      <c r="AW181" t="str">
        <f>IF(Table1[[#This Row],[Helper]]="","",IF(_xlfn.MAXIFS(AT:AT,AW:AW,Table1[[#This Row],[Helper]])=Table1[[#This Row],[Clean Frequency]],_xlfn.MAXIFS(AT:AT,AW:AW,Table1[[#This Row],[Helper]]),""))</f>
        <v/>
      </c>
      <c r="AX181" t="str">
        <f ca="1">IF(AND(AW181=_xlfn.MAXIFS(AX:AX, AW:AW, AV181), COUNTIFS(AV$3:AV181, AV181, AW$3:AW181, AW181)=1), 1, "")</f>
        <v/>
      </c>
      <c r="AY181" t="str">
        <f>IF(Table1[[#This Row],[lesson type]]="private",Table1[[#This Row],[Clean Frequency]],"")</f>
        <v/>
      </c>
      <c r="AZ181" t="str">
        <f ca="1">IF(Table1[[#This Row],[First Occurrence]]=1,Table1[[#This Row],[Group Frequency]],"")</f>
        <v/>
      </c>
      <c r="BA181" t="str">
        <f ca="1">IF(B181="Y", IF(Table1[[#This Row],[Stop]]="", TODAY() - Table1[[#This Row],[Joining Date]], Table1[[#This Row],[Stop]] - Table1[[#This Row],[Joining Date]]), "")</f>
        <v/>
      </c>
      <c r="BB181" t="str">
        <f>_xlfn.CONCAT(Table1[[#This Row],[t]]," ",Table1[[#This Row],[Last Name]])</f>
        <v>Wanon Shima</v>
      </c>
      <c r="BC181" t="str">
        <f>IF(OR(Table1[[#This Row],[Teacher]]="Alex",Table1[[#This Row],[Teacher]]=""), "", Table1[[#This Row],[For Salary]])</f>
        <v/>
      </c>
      <c r="BD181" t="str">
        <f>IF(OR(Table1[[#This Row],[Teacher]]="Alex",Table1[[#This Row],[Teacher]]=""), "", Table1[[#This Row],[For Amount]])</f>
        <v/>
      </c>
      <c r="BE181" t="str">
        <f>IFERROR(IF(VLOOKUP(Table1[[#This Row],[Teacher]],'Teachers Salaries'!A:C,2,FALSE)="","",VLOOKUP(Table1[[#This Row],[Teacher]],'Teachers Salaries'!A:C,2,FALSE)),"")</f>
        <v/>
      </c>
      <c r="BF181" t="str">
        <f>IFERROR(IF(VLOOKUP(Table1[[#This Row],[Teacher]],'Teachers Salaries'!A:C,3,FALSE)="","",VLOOKUP(Table1[[#This Row],[Teacher]],'Teachers Salaries'!A:C,3,FALSE)),"")</f>
        <v/>
      </c>
      <c r="BG181">
        <f ca="1">IFERROR(IF(Table1[[#This Row],[Pay Type]]="Fixed","-",Table1[[#This Row],[Final Group Frequency2]]*Table1[[#This Row],[Salary / Hourly Rate]]),0)</f>
        <v>0</v>
      </c>
      <c r="BH181">
        <f>IFERROR(IF(Table1[[#This Row],[Pay Type]]="Fixed","----",Table1[[#This Row],[Salary / Hourly Rate]]*Table1[[#This Row],[Final PrivateFrequency]]),0)</f>
        <v>0</v>
      </c>
      <c r="BI181">
        <f ca="1">IF(Table1[[#This Row],[Pay Type]]="Fixed","---",Table1[[#This Row],[Group Salary]]+Table1[[#This Row],[Private Salary]])</f>
        <v>0</v>
      </c>
      <c r="BJ181" t="str">
        <f>IF(OR(J181="Alex", J181=""),"", Table1[[#This Row],[For Amount]])</f>
        <v/>
      </c>
      <c r="BK181">
        <f ca="1">IFERROR(Table1[[#This Row],[Fee]]-Table1[[#This Row],[Total Salary]],"")</f>
        <v>0</v>
      </c>
      <c r="BL181" t="e">
        <f>IF(Table1[[#This Row],[Joining Date]]="","",IF(Table1[[#This Row],[Joining Date]]&lt;='KPI+Pivot'!$CP$1,Table1[[#This Row],[Fee]],""))</f>
        <v>#N/A</v>
      </c>
      <c r="BM18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1" t="e">
        <f>IF(Table1[[#This Row],[Joining Date]]="","",IF(Table1[[#This Row],[Joining Date]]&lt;='KPI+Pivot'!$CP$1,Table1[[#This Row],[Total Salary]],""))</f>
        <v>#N/A</v>
      </c>
      <c r="BO181" t="e">
        <f>IF(Table1[[#This Row],[Joining Date]]="","",IF(Table1[[#This Row],[Joining Date]]&lt;='KPI+Pivot'!$CP$1,Table1[[#This Row],[Frequency]],""))</f>
        <v>#N/A</v>
      </c>
      <c r="BP181" s="38" t="str">
        <f>IF(Table1[[#This Row],[Stop]]="","",(IF(Table1[[#This Row],[Joining Date]]="","",IF(Table1[[#This Row],[Joining Date]]&lt;='KPI+Pivot'!$CP$1,Table1[[#This Row],[Stop]],""))))</f>
        <v/>
      </c>
    </row>
    <row r="182" spans="1:68" ht="17.25" customHeight="1">
      <c r="A182">
        <v>159</v>
      </c>
      <c r="B182" t="s">
        <v>66</v>
      </c>
      <c r="C182" t="s">
        <v>1272</v>
      </c>
      <c r="D182" t="s">
        <v>1273</v>
      </c>
      <c r="F182" t="s">
        <v>1274</v>
      </c>
      <c r="G182" t="s">
        <v>1275</v>
      </c>
      <c r="H182" t="s">
        <v>1276</v>
      </c>
      <c r="I182" t="str">
        <f>IFERROR(HYPERLINK("#Finance!B" &amp; MATCH(A182, 'F 2025'!A:A, 0), "🔗 Go to finance"), "❌ ID introuvable")</f>
        <v>🔗 Go to finance</v>
      </c>
      <c r="J182" t="s">
        <v>109</v>
      </c>
      <c r="K182" t="s">
        <v>110</v>
      </c>
      <c r="L182" t="s">
        <v>486</v>
      </c>
      <c r="O182">
        <v>33300</v>
      </c>
      <c r="T182" s="130">
        <v>45691</v>
      </c>
      <c r="V182" t="s">
        <v>1277</v>
      </c>
      <c r="W182" t="s">
        <v>1277</v>
      </c>
      <c r="Z182" t="s">
        <v>75</v>
      </c>
      <c r="AB182" t="s">
        <v>1278</v>
      </c>
      <c r="AD182" s="130">
        <v>45691</v>
      </c>
      <c r="AE182"/>
      <c r="AG182" t="s">
        <v>76</v>
      </c>
      <c r="AI182" t="s">
        <v>1278</v>
      </c>
      <c r="AK182" t="s">
        <v>84</v>
      </c>
      <c r="AM182" s="38">
        <v>46011</v>
      </c>
      <c r="AO182" t="s">
        <v>1275</v>
      </c>
      <c r="AR182" t="str">
        <f t="shared" si="12"/>
        <v>private</v>
      </c>
      <c r="AS182">
        <f t="shared" si="13"/>
        <v>4</v>
      </c>
      <c r="AT182" t="str">
        <f>IF(Table1[[#This Row],[Joining Date]]="", "", TEXT(Table1[[#This Row],[Joining Date]], "mmm"))</f>
        <v>Feb</v>
      </c>
      <c r="AU182">
        <f>IF(Table1[[#This Row],[Joining Date]]="", "", YEAR(Table1[[#This Row],[Joining Date]]))</f>
        <v>2025</v>
      </c>
      <c r="AV182" t="str">
        <f>IF(Table1[[#This Row],[Group Name]]="","", M182 &amp; Table1[[#This Row],[Teacher]])</f>
        <v/>
      </c>
      <c r="AW182" t="str">
        <f>IF(Table1[[#This Row],[Helper]]="","",IF(_xlfn.MAXIFS(AT:AT,AW:AW,Table1[[#This Row],[Helper]])=Table1[[#This Row],[Clean Frequency]],_xlfn.MAXIFS(AT:AT,AW:AW,Table1[[#This Row],[Helper]]),""))</f>
        <v/>
      </c>
      <c r="AX182" t="str">
        <f ca="1">IF(AND(AW182=_xlfn.MAXIFS(AX:AX, AW:AW, AV182), COUNTIFS(AV$3:AV182, AV182, AW$3:AW182, AW182)=1), 1, "")</f>
        <v/>
      </c>
      <c r="AY182">
        <f>IF(Table1[[#This Row],[lesson type]]="private",Table1[[#This Row],[Clean Frequency]],"")</f>
        <v>4</v>
      </c>
      <c r="AZ182" t="str">
        <f ca="1">IF(Table1[[#This Row],[First Occurrence]]=1,Table1[[#This Row],[Group Frequency]],"")</f>
        <v/>
      </c>
      <c r="BA182" t="str">
        <f ca="1">IF(B182="Y", IF(Table1[[#This Row],[Stop]]="", TODAY() - Table1[[#This Row],[Joining Date]], Table1[[#This Row],[Stop]] - Table1[[#This Row],[Joining Date]]), "")</f>
        <v/>
      </c>
      <c r="BB182" t="str">
        <f>_xlfn.CONCAT(Table1[[#This Row],[t]]," ",Table1[[#This Row],[Last Name]])</f>
        <v>Wataru Nagamatsu</v>
      </c>
      <c r="BC182" t="str">
        <f>IF(OR(Table1[[#This Row],[Teacher]]="Alex",Table1[[#This Row],[Teacher]]=""), "", Table1[[#This Row],[For Salary]])</f>
        <v/>
      </c>
      <c r="BD182" t="str">
        <f>IF(OR(Table1[[#This Row],[Teacher]]="Alex",Table1[[#This Row],[Teacher]]=""), "", Table1[[#This Row],[For Amount]])</f>
        <v/>
      </c>
      <c r="BE182" t="str">
        <f>IFERROR(IF(VLOOKUP(Table1[[#This Row],[Teacher]],'Teachers Salaries'!A:C,2,FALSE)="","",VLOOKUP(Table1[[#This Row],[Teacher]],'Teachers Salaries'!A:C,2,FALSE)),"")</f>
        <v>Fixed</v>
      </c>
      <c r="BF182">
        <f>IFERROR(IF(VLOOKUP(Table1[[#This Row],[Teacher]],'Teachers Salaries'!A:C,3,FALSE)="","",VLOOKUP(Table1[[#This Row],[Teacher]],'Teachers Salaries'!A:C,3,FALSE)),"")</f>
        <v>210000</v>
      </c>
      <c r="BG182" t="str">
        <f>IFERROR(IF(Table1[[#This Row],[Pay Type]]="Fixed","-",Table1[[#This Row],[Final Group Frequency2]]*Table1[[#This Row],[Salary / Hourly Rate]]),0)</f>
        <v>-</v>
      </c>
      <c r="BH182" t="str">
        <f>IFERROR(IF(Table1[[#This Row],[Pay Type]]="Fixed","----",Table1[[#This Row],[Salary / Hourly Rate]]*Table1[[#This Row],[Final PrivateFrequency]]),0)</f>
        <v>----</v>
      </c>
      <c r="BI182" t="str">
        <f>IF(Table1[[#This Row],[Pay Type]]="Fixed","---",Table1[[#This Row],[Group Salary]]+Table1[[#This Row],[Private Salary]])</f>
        <v>---</v>
      </c>
      <c r="BJ182" t="str">
        <f>IF(OR(J182="Alex", J182=""),"", Table1[[#This Row],[For Amount]])</f>
        <v/>
      </c>
      <c r="BK182" t="str">
        <f>IFERROR(Table1[[#This Row],[Fee]]-Table1[[#This Row],[Total Salary]],"")</f>
        <v/>
      </c>
      <c r="BL182" t="e">
        <f>IF(Table1[[#This Row],[Joining Date]]="","",IF(Table1[[#This Row],[Joining Date]]&lt;='KPI+Pivot'!$CP$1,Table1[[#This Row],[Fee]],""))</f>
        <v>#N/A</v>
      </c>
      <c r="BM18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2" t="e">
        <f>IF(Table1[[#This Row],[Joining Date]]="","",IF(Table1[[#This Row],[Joining Date]]&lt;='KPI+Pivot'!$CP$1,Table1[[#This Row],[Total Salary]],""))</f>
        <v>#N/A</v>
      </c>
      <c r="BO182" t="e">
        <f>IF(Table1[[#This Row],[Joining Date]]="","",IF(Table1[[#This Row],[Joining Date]]&lt;='KPI+Pivot'!$CP$1,Table1[[#This Row],[Frequency]],""))</f>
        <v>#N/A</v>
      </c>
      <c r="BP182" s="38" t="e">
        <f>IF(Table1[[#This Row],[Stop]]="","",(IF(Table1[[#This Row],[Joining Date]]="","",IF(Table1[[#This Row],[Joining Date]]&lt;='KPI+Pivot'!$CP$1,Table1[[#This Row],[Stop]],""))))</f>
        <v>#N/A</v>
      </c>
    </row>
    <row r="183" spans="1:68" ht="18" customHeight="1">
      <c r="A183">
        <v>143</v>
      </c>
      <c r="B183" t="s">
        <v>66</v>
      </c>
      <c r="C183" t="s">
        <v>1279</v>
      </c>
      <c r="D183" t="s">
        <v>909</v>
      </c>
      <c r="F183" t="s">
        <v>1280</v>
      </c>
      <c r="G183" t="s">
        <v>1281</v>
      </c>
      <c r="H183" t="s">
        <v>912</v>
      </c>
      <c r="I183" t="str">
        <f>IFERROR(HYPERLINK("#Finance!B" &amp; MATCH(A183, 'F 2025'!A:A, 0), "🔗 Go to finance"), "❌ ID introuvable")</f>
        <v>🔗 Go to finance</v>
      </c>
      <c r="J183" t="s">
        <v>109</v>
      </c>
      <c r="K183" t="s">
        <v>117</v>
      </c>
      <c r="L183" t="s">
        <v>502</v>
      </c>
      <c r="O183">
        <v>19800</v>
      </c>
      <c r="T183" s="130">
        <v>45475</v>
      </c>
      <c r="V183" s="13" t="s">
        <v>1282</v>
      </c>
      <c r="W183" t="s">
        <v>1277</v>
      </c>
      <c r="Z183" t="s">
        <v>75</v>
      </c>
      <c r="AB183" t="s">
        <v>1278</v>
      </c>
      <c r="AD183" s="130">
        <v>45475</v>
      </c>
      <c r="AE183"/>
      <c r="AG183" t="s">
        <v>76</v>
      </c>
      <c r="AI183" t="s">
        <v>1283</v>
      </c>
      <c r="AK183" t="s">
        <v>84</v>
      </c>
      <c r="AM183" s="38">
        <v>45961</v>
      </c>
      <c r="AO183" t="s">
        <v>1281</v>
      </c>
      <c r="AP183">
        <v>143</v>
      </c>
      <c r="AQ183" t="s">
        <v>1281</v>
      </c>
      <c r="AR183" t="str">
        <f t="shared" si="12"/>
        <v>group</v>
      </c>
      <c r="AS183">
        <f t="shared" si="13"/>
        <v>4</v>
      </c>
      <c r="AT183" t="str">
        <f>IF(Table1[[#This Row],[Joining Date]]="", "", TEXT(Table1[[#This Row],[Joining Date]], "mmm"))</f>
        <v>Jul</v>
      </c>
      <c r="AU183">
        <f>IF(Table1[[#This Row],[Joining Date]]="", "", YEAR(Table1[[#This Row],[Joining Date]]))</f>
        <v>2024</v>
      </c>
      <c r="AV183" t="str">
        <f>IF(Table1[[#This Row],[Group Name]]="","", M183 &amp; Table1[[#This Row],[Teacher]])</f>
        <v/>
      </c>
      <c r="AW183" t="str">
        <f>IF(Table1[[#This Row],[Helper]]="","",IF(_xlfn.MAXIFS(AT:AT,AW:AW,Table1[[#This Row],[Helper]])=Table1[[#This Row],[Clean Frequency]],_xlfn.MAXIFS(AT:AT,AW:AW,Table1[[#This Row],[Helper]]),""))</f>
        <v/>
      </c>
      <c r="AX183" t="str">
        <f ca="1">IF(AND(AW183=_xlfn.MAXIFS(AX:AX, AW:AW, AV183), COUNTIFS(AV$3:AV183, AV183, AW$3:AW183, AW183)=1), 1, "")</f>
        <v/>
      </c>
      <c r="AY183" t="str">
        <f>IF(Table1[[#This Row],[lesson type]]="private",Table1[[#This Row],[Clean Frequency]],"")</f>
        <v/>
      </c>
      <c r="AZ183" t="str">
        <f ca="1">IF(Table1[[#This Row],[First Occurrence]]=1,Table1[[#This Row],[Group Frequency]],"")</f>
        <v/>
      </c>
      <c r="BA183" t="str">
        <f ca="1">IF(B183="Y", IF(Table1[[#This Row],[Stop]]="", TODAY() - Table1[[#This Row],[Joining Date]], Table1[[#This Row],[Stop]] - Table1[[#This Row],[Joining Date]]), "")</f>
        <v/>
      </c>
      <c r="BB183" t="str">
        <f>_xlfn.CONCAT(Table1[[#This Row],[t]]," ",Table1[[#This Row],[Last Name]])</f>
        <v>Yasuaki Deguchi</v>
      </c>
      <c r="BC183" t="str">
        <f>IF(OR(Table1[[#This Row],[Teacher]]="Alex",Table1[[#This Row],[Teacher]]=""), "", Table1[[#This Row],[For Salary]])</f>
        <v/>
      </c>
      <c r="BD183" t="str">
        <f>IF(OR(Table1[[#This Row],[Teacher]]="Alex",Table1[[#This Row],[Teacher]]=""), "", Table1[[#This Row],[For Amount]])</f>
        <v/>
      </c>
      <c r="BE183" t="str">
        <f>IFERROR(IF(VLOOKUP(Table1[[#This Row],[Teacher]],'Teachers Salaries'!A:C,2,FALSE)="","",VLOOKUP(Table1[[#This Row],[Teacher]],'Teachers Salaries'!A:C,2,FALSE)),"")</f>
        <v>Fixed</v>
      </c>
      <c r="BF183">
        <f>IFERROR(IF(VLOOKUP(Table1[[#This Row],[Teacher]],'Teachers Salaries'!A:C,3,FALSE)="","",VLOOKUP(Table1[[#This Row],[Teacher]],'Teachers Salaries'!A:C,3,FALSE)),"")</f>
        <v>210000</v>
      </c>
      <c r="BG183" t="str">
        <f>IFERROR(IF(Table1[[#This Row],[Pay Type]]="Fixed","-",Table1[[#This Row],[Final Group Frequency2]]*Table1[[#This Row],[Salary / Hourly Rate]]),0)</f>
        <v>-</v>
      </c>
      <c r="BH183" t="str">
        <f>IFERROR(IF(Table1[[#This Row],[Pay Type]]="Fixed","----",Table1[[#This Row],[Salary / Hourly Rate]]*Table1[[#This Row],[Final PrivateFrequency]]),0)</f>
        <v>----</v>
      </c>
      <c r="BI183" t="str">
        <f>IF(Table1[[#This Row],[Pay Type]]="Fixed","---",Table1[[#This Row],[Group Salary]]+Table1[[#This Row],[Private Salary]])</f>
        <v>---</v>
      </c>
      <c r="BJ183" t="str">
        <f>IF(OR(J183="Alex", J183=""),"", Table1[[#This Row],[For Amount]])</f>
        <v/>
      </c>
      <c r="BK183" t="str">
        <f>IFERROR(Table1[[#This Row],[Fee]]-Table1[[#This Row],[Total Salary]],"")</f>
        <v/>
      </c>
      <c r="BL183" t="e">
        <f>IF(Table1[[#This Row],[Joining Date]]="","",IF(Table1[[#This Row],[Joining Date]]&lt;='KPI+Pivot'!$CP$1,Table1[[#This Row],[Fee]],""))</f>
        <v>#N/A</v>
      </c>
      <c r="BM18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3" t="e">
        <f>IF(Table1[[#This Row],[Joining Date]]="","",IF(Table1[[#This Row],[Joining Date]]&lt;='KPI+Pivot'!$CP$1,Table1[[#This Row],[Total Salary]],""))</f>
        <v>#N/A</v>
      </c>
      <c r="BO183" t="e">
        <f>IF(Table1[[#This Row],[Joining Date]]="","",IF(Table1[[#This Row],[Joining Date]]&lt;='KPI+Pivot'!$CP$1,Table1[[#This Row],[Frequency]],""))</f>
        <v>#N/A</v>
      </c>
      <c r="BP183" s="38" t="e">
        <f>IF(Table1[[#This Row],[Stop]]="","",(IF(Table1[[#This Row],[Joining Date]]="","",IF(Table1[[#This Row],[Joining Date]]&lt;='KPI+Pivot'!$CP$1,Table1[[#This Row],[Stop]],""))))</f>
        <v>#N/A</v>
      </c>
    </row>
    <row r="184" spans="1:68" ht="22.9" customHeight="1">
      <c r="B184" t="s">
        <v>66</v>
      </c>
      <c r="C184" t="s">
        <v>1284</v>
      </c>
      <c r="D184" t="s">
        <v>733</v>
      </c>
      <c r="F184" t="s">
        <v>1285</v>
      </c>
      <c r="G184" t="s">
        <v>1286</v>
      </c>
      <c r="H184" t="s">
        <v>1287</v>
      </c>
      <c r="I184" t="str">
        <f>IFERROR(HYPERLINK("#Finance!B" &amp; MATCH(A184, 'F 2025'!A:A, 0), "🔗 Go to finance"), "❌ ID introuvable")</f>
        <v>❌ ID introuvable</v>
      </c>
      <c r="L184" t="s">
        <v>90</v>
      </c>
      <c r="V184" t="s">
        <v>1282</v>
      </c>
      <c r="W184" t="s">
        <v>1282</v>
      </c>
      <c r="Z184" t="s">
        <v>75</v>
      </c>
      <c r="AB184" t="s">
        <v>1283</v>
      </c>
      <c r="AD184" s="130"/>
      <c r="AE184"/>
      <c r="AG184" t="s">
        <v>76</v>
      </c>
      <c r="AI184" t="s">
        <v>1288</v>
      </c>
      <c r="AK184" t="s">
        <v>148</v>
      </c>
      <c r="AM184" s="38"/>
      <c r="AO184" t="s">
        <v>1286</v>
      </c>
      <c r="AR184" t="str">
        <f t="shared" si="12"/>
        <v/>
      </c>
      <c r="AS184" t="str">
        <f t="shared" si="13"/>
        <v/>
      </c>
      <c r="AT184" t="str">
        <f>IF(Table1[[#This Row],[Joining Date]]="", "", TEXT(Table1[[#This Row],[Joining Date]], "mmm"))</f>
        <v/>
      </c>
      <c r="AU184" t="str">
        <f>IF(Table1[[#This Row],[Joining Date]]="", "", YEAR(Table1[[#This Row],[Joining Date]]))</f>
        <v/>
      </c>
      <c r="AV184" t="str">
        <f>IF(Table1[[#This Row],[Group Name]]="","", M184 &amp; Table1[[#This Row],[Teacher]])</f>
        <v/>
      </c>
      <c r="AW184" t="str">
        <f>IF(Table1[[#This Row],[Helper]]="","",IF(_xlfn.MAXIFS(AT:AT,AW:AW,Table1[[#This Row],[Helper]])=Table1[[#This Row],[Clean Frequency]],_xlfn.MAXIFS(AT:AT,AW:AW,Table1[[#This Row],[Helper]]),""))</f>
        <v/>
      </c>
      <c r="AX184" t="str">
        <f ca="1">IF(AND(AW184=_xlfn.MAXIFS(AX:AX, AW:AW, AV184), COUNTIFS(AV$3:AV184, AV184, AW$3:AW184, AW184)=1), 1, "")</f>
        <v/>
      </c>
      <c r="AY184" t="str">
        <f>IF(Table1[[#This Row],[lesson type]]="private",Table1[[#This Row],[Clean Frequency]],"")</f>
        <v/>
      </c>
      <c r="AZ184" t="str">
        <f ca="1">IF(Table1[[#This Row],[First Occurrence]]=1,Table1[[#This Row],[Group Frequency]],"")</f>
        <v/>
      </c>
      <c r="BA184" t="str">
        <f ca="1">IF(B184="Y", IF(Table1[[#This Row],[Stop]]="", TODAY() - Table1[[#This Row],[Joining Date]], Table1[[#This Row],[Stop]] - Table1[[#This Row],[Joining Date]]), "")</f>
        <v/>
      </c>
      <c r="BB184" t="str">
        <f>_xlfn.CONCAT(Table1[[#This Row],[t]]," ",Table1[[#This Row],[Last Name]])</f>
        <v>Yasuhisa Adachi</v>
      </c>
      <c r="BC184" t="str">
        <f>IF(OR(Table1[[#This Row],[Teacher]]="Alex",Table1[[#This Row],[Teacher]]=""), "", Table1[[#This Row],[For Salary]])</f>
        <v/>
      </c>
      <c r="BD184" t="str">
        <f>IF(OR(Table1[[#This Row],[Teacher]]="Alex",Table1[[#This Row],[Teacher]]=""), "", Table1[[#This Row],[For Amount]])</f>
        <v/>
      </c>
      <c r="BE184" t="str">
        <f>IFERROR(IF(VLOOKUP(Table1[[#This Row],[Teacher]],'Teachers Salaries'!A:C,2,FALSE)="","",VLOOKUP(Table1[[#This Row],[Teacher]],'Teachers Salaries'!A:C,2,FALSE)),"")</f>
        <v/>
      </c>
      <c r="BF184" t="str">
        <f>IFERROR(IF(VLOOKUP(Table1[[#This Row],[Teacher]],'Teachers Salaries'!A:C,3,FALSE)="","",VLOOKUP(Table1[[#This Row],[Teacher]],'Teachers Salaries'!A:C,3,FALSE)),"")</f>
        <v/>
      </c>
      <c r="BG184">
        <f ca="1">IFERROR(IF(Table1[[#This Row],[Pay Type]]="Fixed","-",Table1[[#This Row],[Final Group Frequency2]]*Table1[[#This Row],[Salary / Hourly Rate]]),0)</f>
        <v>0</v>
      </c>
      <c r="BH184">
        <f>IFERROR(IF(Table1[[#This Row],[Pay Type]]="Fixed","----",Table1[[#This Row],[Salary / Hourly Rate]]*Table1[[#This Row],[Final PrivateFrequency]]),0)</f>
        <v>0</v>
      </c>
      <c r="BI184">
        <f ca="1">IF(Table1[[#This Row],[Pay Type]]="Fixed","---",Table1[[#This Row],[Group Salary]]+Table1[[#This Row],[Private Salary]])</f>
        <v>0</v>
      </c>
      <c r="BJ184" t="str">
        <f>IF(OR(J184="Alex", J184=""),"", Table1[[#This Row],[For Amount]])</f>
        <v/>
      </c>
      <c r="BK184">
        <f ca="1">IFERROR(Table1[[#This Row],[Fee]]-Table1[[#This Row],[Total Salary]],"")</f>
        <v>0</v>
      </c>
      <c r="BL184" t="str">
        <f>IF(Table1[[#This Row],[Joining Date]]="","",IF(Table1[[#This Row],[Joining Date]]&lt;='KPI+Pivot'!$CP$1,Table1[[#This Row],[Fee]],""))</f>
        <v/>
      </c>
      <c r="BM18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84" t="str">
        <f>IF(Table1[[#This Row],[Joining Date]]="","",IF(Table1[[#This Row],[Joining Date]]&lt;='KPI+Pivot'!$CP$1,Table1[[#This Row],[Total Salary]],""))</f>
        <v/>
      </c>
      <c r="BO184" t="str">
        <f>IF(Table1[[#This Row],[Joining Date]]="","",IF(Table1[[#This Row],[Joining Date]]&lt;='KPI+Pivot'!$CP$1,Table1[[#This Row],[Frequency]],""))</f>
        <v/>
      </c>
      <c r="BP184" s="38" t="str">
        <f>IF(Table1[[#This Row],[Stop]]="","",(IF(Table1[[#This Row],[Joining Date]]="","",IF(Table1[[#This Row],[Joining Date]]&lt;='KPI+Pivot'!$CP$1,Table1[[#This Row],[Stop]],""))))</f>
        <v/>
      </c>
    </row>
    <row r="185" spans="1:68" ht="18" customHeight="1">
      <c r="A185">
        <v>20</v>
      </c>
      <c r="B185" t="s">
        <v>103</v>
      </c>
      <c r="C185" t="s">
        <v>1289</v>
      </c>
      <c r="D185" t="s">
        <v>1031</v>
      </c>
      <c r="F185" t="s">
        <v>1290</v>
      </c>
      <c r="G185" t="s">
        <v>1291</v>
      </c>
      <c r="H185" t="s">
        <v>1034</v>
      </c>
      <c r="I185" t="str">
        <f>IFERROR(HYPERLINK("#Finance!B" &amp; MATCH(A185, 'F 2025'!A:A, 0), "🔗 Go to finance"), "❌ ID introuvable")</f>
        <v>🔗 Go to finance</v>
      </c>
      <c r="J185" t="s">
        <v>196</v>
      </c>
      <c r="K185" t="s">
        <v>110</v>
      </c>
      <c r="L185" t="s">
        <v>197</v>
      </c>
      <c r="N185">
        <v>4</v>
      </c>
      <c r="O185">
        <v>14800</v>
      </c>
      <c r="V185" t="s">
        <v>1292</v>
      </c>
      <c r="Y185" t="s">
        <v>1293</v>
      </c>
      <c r="Z185" t="s">
        <v>75</v>
      </c>
      <c r="AB185" t="s">
        <v>1288</v>
      </c>
      <c r="AD185" s="130">
        <v>43101</v>
      </c>
      <c r="AE185"/>
      <c r="AG185" t="s">
        <v>76</v>
      </c>
      <c r="AI185" t="s">
        <v>1294</v>
      </c>
      <c r="AK185" t="s">
        <v>1295</v>
      </c>
      <c r="AM185" s="38"/>
      <c r="AO185" t="s">
        <v>1291</v>
      </c>
      <c r="AR185" t="str">
        <f t="shared" si="12"/>
        <v>private</v>
      </c>
      <c r="AS185">
        <f t="shared" si="13"/>
        <v>4</v>
      </c>
      <c r="AT185" t="str">
        <f>IF(Table1[[#This Row],[Joining Date]]="", "", TEXT(Table1[[#This Row],[Joining Date]], "mmm"))</f>
        <v>Jan</v>
      </c>
      <c r="AU185">
        <f>IF(Table1[[#This Row],[Joining Date]]="", "", YEAR(Table1[[#This Row],[Joining Date]]))</f>
        <v>2018</v>
      </c>
      <c r="AV185" t="str">
        <f>IF(Table1[[#This Row],[Group Name]]="","", M185 &amp; Table1[[#This Row],[Teacher]])</f>
        <v/>
      </c>
      <c r="AW185" t="str">
        <f>IF(Table1[[#This Row],[Helper]]="","",IF(_xlfn.MAXIFS(AT:AT,AW:AW,Table1[[#This Row],[Helper]])=Table1[[#This Row],[Clean Frequency]],_xlfn.MAXIFS(AT:AT,AW:AW,Table1[[#This Row],[Helper]]),""))</f>
        <v/>
      </c>
      <c r="AX185" t="str">
        <f ca="1">IF(AND(AW185=_xlfn.MAXIFS(AX:AX, AW:AW, AV185), COUNTIFS(AV$3:AV185, AV185, AW$3:AW185, AW185)=1), 1, "")</f>
        <v/>
      </c>
      <c r="AY185">
        <f>IF(Table1[[#This Row],[lesson type]]="private",Table1[[#This Row],[Clean Frequency]],"")</f>
        <v>4</v>
      </c>
      <c r="AZ185" t="str">
        <f ca="1">IF(Table1[[#This Row],[First Occurrence]]=1,Table1[[#This Row],[Group Frequency]],"")</f>
        <v/>
      </c>
      <c r="BA185">
        <f ca="1">IF(B185="Y", IF(Table1[[#This Row],[Stop]]="", TODAY() - Table1[[#This Row],[Joining Date]], Table1[[#This Row],[Stop]] - Table1[[#This Row],[Joining Date]]), "")</f>
        <v>3076</v>
      </c>
      <c r="BB185" t="str">
        <f>_xlfn.CONCAT(Table1[[#This Row],[t]]," ",Table1[[#This Row],[Last Name]])</f>
        <v>Yasuko Tsutsui</v>
      </c>
      <c r="BC185" t="e">
        <f>IF(OR(Table1[[#This Row],[Teacher]]="Alex",Table1[[#This Row],[Teacher]]=""), "", Table1[[#This Row],[For Salary]])</f>
        <v>#N/A</v>
      </c>
      <c r="BD185" t="e">
        <f>IF(OR(Table1[[#This Row],[Teacher]]="Alex",Table1[[#This Row],[Teacher]]=""), "", Table1[[#This Row],[For Amount]])</f>
        <v>#N/A</v>
      </c>
      <c r="BE185" t="str">
        <f>IFERROR(IF(VLOOKUP(Table1[[#This Row],[Teacher]],'Teachers Salaries'!A:C,2,FALSE)="","",VLOOKUP(Table1[[#This Row],[Teacher]],'Teachers Salaries'!A:C,2,FALSE)),"")</f>
        <v>Hourly</v>
      </c>
      <c r="BF185">
        <f>IFERROR(IF(VLOOKUP(Table1[[#This Row],[Teacher]],'Teachers Salaries'!A:C,3,FALSE)="","",VLOOKUP(Table1[[#This Row],[Teacher]],'Teachers Salaries'!A:C,3,FALSE)),"")</f>
        <v>2600</v>
      </c>
      <c r="BG185">
        <f ca="1">IFERROR(IF(Table1[[#This Row],[Pay Type]]="Fixed","-",Table1[[#This Row],[Final Group Frequency2]]*Table1[[#This Row],[Salary / Hourly Rate]]),0)</f>
        <v>0</v>
      </c>
      <c r="BH185">
        <f>IFERROR(IF(Table1[[#This Row],[Pay Type]]="Fixed","----",Table1[[#This Row],[Salary / Hourly Rate]]*Table1[[#This Row],[Final PrivateFrequency]]),0)</f>
        <v>10400</v>
      </c>
      <c r="BI185">
        <f ca="1">IF(Table1[[#This Row],[Pay Type]]="Fixed","---",Table1[[#This Row],[Group Salary]]+Table1[[#This Row],[Private Salary]])</f>
        <v>10400</v>
      </c>
      <c r="BJ185" t="e">
        <f>IF(OR(J185="Alex", J185=""),"", Table1[[#This Row],[For Amount]])</f>
        <v>#N/A</v>
      </c>
      <c r="BK185">
        <f ca="1">IFERROR(Table1[[#This Row],[Fee]]-Table1[[#This Row],[Total Salary]],"")</f>
        <v>4400</v>
      </c>
      <c r="BL185" t="e">
        <f>IF(Table1[[#This Row],[Joining Date]]="","",IF(Table1[[#This Row],[Joining Date]]&lt;='KPI+Pivot'!$CP$1,Table1[[#This Row],[Fee]],""))</f>
        <v>#N/A</v>
      </c>
      <c r="BM18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5" t="e">
        <f>IF(Table1[[#This Row],[Joining Date]]="","",IF(Table1[[#This Row],[Joining Date]]&lt;='KPI+Pivot'!$CP$1,Table1[[#This Row],[Total Salary]],""))</f>
        <v>#N/A</v>
      </c>
      <c r="BO185" t="e">
        <f>IF(Table1[[#This Row],[Joining Date]]="","",IF(Table1[[#This Row],[Joining Date]]&lt;='KPI+Pivot'!$CP$1,Table1[[#This Row],[Frequency]],""))</f>
        <v>#N/A</v>
      </c>
      <c r="BP185" s="38" t="str">
        <f>IF(Table1[[#This Row],[Stop]]="","",(IF(Table1[[#This Row],[Joining Date]]="","",IF(Table1[[#This Row],[Joining Date]]&lt;='KPI+Pivot'!$CP$1,Table1[[#This Row],[Stop]],""))))</f>
        <v/>
      </c>
    </row>
    <row r="186" spans="1:68" ht="22.9" customHeight="1">
      <c r="B186" t="s">
        <v>66</v>
      </c>
      <c r="C186" t="s">
        <v>1296</v>
      </c>
      <c r="D186" t="s">
        <v>1297</v>
      </c>
      <c r="F186" t="s">
        <v>1298</v>
      </c>
      <c r="G186" t="s">
        <v>1299</v>
      </c>
      <c r="H186" t="s">
        <v>1300</v>
      </c>
      <c r="I186" t="str">
        <f>IFERROR(HYPERLINK("#Finance!B" &amp; MATCH(A186, 'F 2025'!A:A, 0), "🔗 Go to finance"), "❌ ID introuvable")</f>
        <v>❌ ID introuvable</v>
      </c>
      <c r="L186" t="s">
        <v>90</v>
      </c>
      <c r="V186" t="s">
        <v>1301</v>
      </c>
      <c r="Y186" t="s">
        <v>1037</v>
      </c>
      <c r="Z186" t="s">
        <v>75</v>
      </c>
      <c r="AB186" t="s">
        <v>1294</v>
      </c>
      <c r="AD186" s="130"/>
      <c r="AE186"/>
      <c r="AG186" t="s">
        <v>76</v>
      </c>
      <c r="AI186" t="s">
        <v>1302</v>
      </c>
      <c r="AK186" t="s">
        <v>148</v>
      </c>
      <c r="AM186" s="38"/>
      <c r="AO186" t="s">
        <v>1299</v>
      </c>
      <c r="AR186" t="str">
        <f t="shared" si="12"/>
        <v/>
      </c>
      <c r="AS186" t="str">
        <f t="shared" si="13"/>
        <v/>
      </c>
      <c r="AT186" t="str">
        <f>IF(Table1[[#This Row],[Joining Date]]="", "", TEXT(Table1[[#This Row],[Joining Date]], "mmm"))</f>
        <v/>
      </c>
      <c r="AU186" t="str">
        <f>IF(Table1[[#This Row],[Joining Date]]="", "", YEAR(Table1[[#This Row],[Joining Date]]))</f>
        <v/>
      </c>
      <c r="AV186" t="str">
        <f>IF(Table1[[#This Row],[Group Name]]="","", M186 &amp; Table1[[#This Row],[Teacher]])</f>
        <v/>
      </c>
      <c r="AW186" t="str">
        <f>IF(Table1[[#This Row],[Helper]]="","",IF(_xlfn.MAXIFS(AT:AT,AW:AW,Table1[[#This Row],[Helper]])=Table1[[#This Row],[Clean Frequency]],_xlfn.MAXIFS(AT:AT,AW:AW,Table1[[#This Row],[Helper]]),""))</f>
        <v/>
      </c>
      <c r="AX186" t="str">
        <f ca="1">IF(AND(AW186=_xlfn.MAXIFS(AX:AX, AW:AW, AV186), COUNTIFS(AV$3:AV186, AV186, AW$3:AW186, AW186)=1), 1, "")</f>
        <v/>
      </c>
      <c r="AY186" t="str">
        <f>IF(Table1[[#This Row],[lesson type]]="private",Table1[[#This Row],[Clean Frequency]],"")</f>
        <v/>
      </c>
      <c r="AZ186" t="str">
        <f ca="1">IF(Table1[[#This Row],[First Occurrence]]=1,Table1[[#This Row],[Group Frequency]],"")</f>
        <v/>
      </c>
      <c r="BA186" t="str">
        <f ca="1">IF(B186="Y", IF(Table1[[#This Row],[Stop]]="", TODAY() - Table1[[#This Row],[Joining Date]], Table1[[#This Row],[Stop]] - Table1[[#This Row],[Joining Date]]), "")</f>
        <v/>
      </c>
      <c r="BB186" t="str">
        <f>_xlfn.CONCAT(Table1[[#This Row],[t]]," ",Table1[[#This Row],[Last Name]])</f>
        <v>Yoko Uchida</v>
      </c>
      <c r="BC186" t="str">
        <f>IF(OR(Table1[[#This Row],[Teacher]]="Alex",Table1[[#This Row],[Teacher]]=""), "", Table1[[#This Row],[For Salary]])</f>
        <v/>
      </c>
      <c r="BD186" t="str">
        <f>IF(OR(Table1[[#This Row],[Teacher]]="Alex",Table1[[#This Row],[Teacher]]=""), "", Table1[[#This Row],[For Amount]])</f>
        <v/>
      </c>
      <c r="BE186" t="str">
        <f>IFERROR(IF(VLOOKUP(Table1[[#This Row],[Teacher]],'Teachers Salaries'!A:C,2,FALSE)="","",VLOOKUP(Table1[[#This Row],[Teacher]],'Teachers Salaries'!A:C,2,FALSE)),"")</f>
        <v/>
      </c>
      <c r="BF186" t="str">
        <f>IFERROR(IF(VLOOKUP(Table1[[#This Row],[Teacher]],'Teachers Salaries'!A:C,3,FALSE)="","",VLOOKUP(Table1[[#This Row],[Teacher]],'Teachers Salaries'!A:C,3,FALSE)),"")</f>
        <v/>
      </c>
      <c r="BG186">
        <f ca="1">IFERROR(IF(Table1[[#This Row],[Pay Type]]="Fixed","-",Table1[[#This Row],[Final Group Frequency2]]*Table1[[#This Row],[Salary / Hourly Rate]]),0)</f>
        <v>0</v>
      </c>
      <c r="BH186">
        <f>IFERROR(IF(Table1[[#This Row],[Pay Type]]="Fixed","----",Table1[[#This Row],[Salary / Hourly Rate]]*Table1[[#This Row],[Final PrivateFrequency]]),0)</f>
        <v>0</v>
      </c>
      <c r="BI186">
        <f ca="1">IF(Table1[[#This Row],[Pay Type]]="Fixed","---",Table1[[#This Row],[Group Salary]]+Table1[[#This Row],[Private Salary]])</f>
        <v>0</v>
      </c>
      <c r="BJ186" t="str">
        <f>IF(OR(J186="Alex", J186=""),"", Table1[[#This Row],[For Amount]])</f>
        <v/>
      </c>
      <c r="BK186">
        <f ca="1">IFERROR(Table1[[#This Row],[Fee]]-Table1[[#This Row],[Total Salary]],"")</f>
        <v>0</v>
      </c>
      <c r="BL186" t="str">
        <f>IF(Table1[[#This Row],[Joining Date]]="","",IF(Table1[[#This Row],[Joining Date]]&lt;='KPI+Pivot'!$CP$1,Table1[[#This Row],[Fee]],""))</f>
        <v/>
      </c>
      <c r="BM18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86" t="str">
        <f>IF(Table1[[#This Row],[Joining Date]]="","",IF(Table1[[#This Row],[Joining Date]]&lt;='KPI+Pivot'!$CP$1,Table1[[#This Row],[Total Salary]],""))</f>
        <v/>
      </c>
      <c r="BO186" t="str">
        <f>IF(Table1[[#This Row],[Joining Date]]="","",IF(Table1[[#This Row],[Joining Date]]&lt;='KPI+Pivot'!$CP$1,Table1[[#This Row],[Frequency]],""))</f>
        <v/>
      </c>
      <c r="BP186" s="38" t="str">
        <f>IF(Table1[[#This Row],[Stop]]="","",(IF(Table1[[#This Row],[Joining Date]]="","",IF(Table1[[#This Row],[Joining Date]]&lt;='KPI+Pivot'!$CP$1,Table1[[#This Row],[Stop]],""))))</f>
        <v/>
      </c>
    </row>
    <row r="187" spans="1:68" ht="22.9" customHeight="1">
      <c r="B187" t="s">
        <v>66</v>
      </c>
      <c r="C187" t="s">
        <v>1296</v>
      </c>
      <c r="D187" t="s">
        <v>277</v>
      </c>
      <c r="F187" t="s">
        <v>1303</v>
      </c>
      <c r="G187" t="s">
        <v>1304</v>
      </c>
      <c r="H187" t="s">
        <v>280</v>
      </c>
      <c r="I187" t="str">
        <f>IFERROR(HYPERLINK("#Finance!B" &amp; MATCH(A187, 'F 2025'!A:A, 0), "🔗 Go to finance"), "❌ ID introuvable")</f>
        <v>❌ ID introuvable</v>
      </c>
      <c r="L187" t="s">
        <v>90</v>
      </c>
      <c r="V187" t="s">
        <v>1305</v>
      </c>
      <c r="W187" t="s">
        <v>1305</v>
      </c>
      <c r="Y187" t="s">
        <v>1306</v>
      </c>
      <c r="Z187" t="s">
        <v>75</v>
      </c>
      <c r="AB187" t="s">
        <v>1302</v>
      </c>
      <c r="AD187" s="130"/>
      <c r="AE187"/>
      <c r="AG187" t="s">
        <v>76</v>
      </c>
      <c r="AI187" t="s">
        <v>1307</v>
      </c>
      <c r="AK187" t="s">
        <v>94</v>
      </c>
      <c r="AM187" s="38"/>
      <c r="AO187" t="s">
        <v>1304</v>
      </c>
      <c r="AR187" t="str">
        <f t="shared" si="12"/>
        <v/>
      </c>
      <c r="AS187" t="str">
        <f t="shared" si="13"/>
        <v/>
      </c>
      <c r="AT187" t="str">
        <f>IF(Table1[[#This Row],[Joining Date]]="", "", TEXT(Table1[[#This Row],[Joining Date]], "mmm"))</f>
        <v/>
      </c>
      <c r="AU187" t="str">
        <f>IF(Table1[[#This Row],[Joining Date]]="", "", YEAR(Table1[[#This Row],[Joining Date]]))</f>
        <v/>
      </c>
      <c r="AV187" t="str">
        <f>IF(Table1[[#This Row],[Group Name]]="","", M187 &amp; Table1[[#This Row],[Teacher]])</f>
        <v/>
      </c>
      <c r="AW187" t="str">
        <f>IF(Table1[[#This Row],[Helper]]="","",IF(_xlfn.MAXIFS(AT:AT,AW:AW,Table1[[#This Row],[Helper]])=Table1[[#This Row],[Clean Frequency]],_xlfn.MAXIFS(AT:AT,AW:AW,Table1[[#This Row],[Helper]]),""))</f>
        <v/>
      </c>
      <c r="AX187" t="str">
        <f ca="1">IF(AND(AW187=_xlfn.MAXIFS(AX:AX, AW:AW, AV187), COUNTIFS(AV$3:AV187, AV187, AW$3:AW187, AW187)=1), 1, "")</f>
        <v/>
      </c>
      <c r="AY187" t="str">
        <f>IF(Table1[[#This Row],[lesson type]]="private",Table1[[#This Row],[Clean Frequency]],"")</f>
        <v/>
      </c>
      <c r="AZ187" t="str">
        <f ca="1">IF(Table1[[#This Row],[First Occurrence]]=1,Table1[[#This Row],[Group Frequency]],"")</f>
        <v/>
      </c>
      <c r="BA187" t="str">
        <f ca="1">IF(B187="Y", IF(Table1[[#This Row],[Stop]]="", TODAY() - Table1[[#This Row],[Joining Date]], Table1[[#This Row],[Stop]] - Table1[[#This Row],[Joining Date]]), "")</f>
        <v/>
      </c>
      <c r="BB187" t="str">
        <f>_xlfn.CONCAT(Table1[[#This Row],[t]]," ",Table1[[#This Row],[Last Name]])</f>
        <v>Yoko Segawa</v>
      </c>
      <c r="BC187" t="str">
        <f>IF(OR(Table1[[#This Row],[Teacher]]="Alex",Table1[[#This Row],[Teacher]]=""), "", Table1[[#This Row],[For Salary]])</f>
        <v/>
      </c>
      <c r="BD187" t="str">
        <f>IF(OR(Table1[[#This Row],[Teacher]]="Alex",Table1[[#This Row],[Teacher]]=""), "", Table1[[#This Row],[For Amount]])</f>
        <v/>
      </c>
      <c r="BE187" t="str">
        <f>IFERROR(IF(VLOOKUP(Table1[[#This Row],[Teacher]],'Teachers Salaries'!A:C,2,FALSE)="","",VLOOKUP(Table1[[#This Row],[Teacher]],'Teachers Salaries'!A:C,2,FALSE)),"")</f>
        <v/>
      </c>
      <c r="BF187" t="str">
        <f>IFERROR(IF(VLOOKUP(Table1[[#This Row],[Teacher]],'Teachers Salaries'!A:C,3,FALSE)="","",VLOOKUP(Table1[[#This Row],[Teacher]],'Teachers Salaries'!A:C,3,FALSE)),"")</f>
        <v/>
      </c>
      <c r="BG187">
        <f ca="1">IFERROR(IF(Table1[[#This Row],[Pay Type]]="Fixed","-",Table1[[#This Row],[Final Group Frequency2]]*Table1[[#This Row],[Salary / Hourly Rate]]),0)</f>
        <v>0</v>
      </c>
      <c r="BH187">
        <f>IFERROR(IF(Table1[[#This Row],[Pay Type]]="Fixed","----",Table1[[#This Row],[Salary / Hourly Rate]]*Table1[[#This Row],[Final PrivateFrequency]]),0)</f>
        <v>0</v>
      </c>
      <c r="BI187">
        <f ca="1">IF(Table1[[#This Row],[Pay Type]]="Fixed","---",Table1[[#This Row],[Group Salary]]+Table1[[#This Row],[Private Salary]])</f>
        <v>0</v>
      </c>
      <c r="BJ187" t="str">
        <f>IF(OR(J187="Alex", J187=""),"", Table1[[#This Row],[For Amount]])</f>
        <v/>
      </c>
      <c r="BK187">
        <f ca="1">IFERROR(Table1[[#This Row],[Fee]]-Table1[[#This Row],[Total Salary]],"")</f>
        <v>0</v>
      </c>
      <c r="BL187" t="str">
        <f>IF(Table1[[#This Row],[Joining Date]]="","",IF(Table1[[#This Row],[Joining Date]]&lt;='KPI+Pivot'!$CP$1,Table1[[#This Row],[Fee]],""))</f>
        <v/>
      </c>
      <c r="BM18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87" t="str">
        <f>IF(Table1[[#This Row],[Joining Date]]="","",IF(Table1[[#This Row],[Joining Date]]&lt;='KPI+Pivot'!$CP$1,Table1[[#This Row],[Total Salary]],""))</f>
        <v/>
      </c>
      <c r="BO187" t="str">
        <f>IF(Table1[[#This Row],[Joining Date]]="","",IF(Table1[[#This Row],[Joining Date]]&lt;='KPI+Pivot'!$CP$1,Table1[[#This Row],[Frequency]],""))</f>
        <v/>
      </c>
      <c r="BP187" s="38" t="str">
        <f>IF(Table1[[#This Row],[Stop]]="","",(IF(Table1[[#This Row],[Joining Date]]="","",IF(Table1[[#This Row],[Joining Date]]&lt;='KPI+Pivot'!$CP$1,Table1[[#This Row],[Stop]],""))))</f>
        <v/>
      </c>
    </row>
    <row r="188" spans="1:68" ht="18" customHeight="1">
      <c r="A188">
        <v>142</v>
      </c>
      <c r="B188" t="s">
        <v>103</v>
      </c>
      <c r="C188" t="s">
        <v>1308</v>
      </c>
      <c r="D188" t="s">
        <v>762</v>
      </c>
      <c r="F188" t="s">
        <v>1309</v>
      </c>
      <c r="G188" t="s">
        <v>1310</v>
      </c>
      <c r="H188" t="s">
        <v>765</v>
      </c>
      <c r="I188" t="str">
        <f>IFERROR(HYPERLINK("#Finance!B" &amp; MATCH(A188, 'F 2025'!A:A, 0), "🔗 Go to finance"), "❌ ID introuvable")</f>
        <v>🔗 Go to finance</v>
      </c>
      <c r="J188" t="s">
        <v>109</v>
      </c>
      <c r="K188" t="s">
        <v>117</v>
      </c>
      <c r="L188" t="s">
        <v>111</v>
      </c>
      <c r="O188">
        <v>6600</v>
      </c>
      <c r="T188" s="130">
        <v>45536</v>
      </c>
      <c r="V188" s="13" t="s">
        <v>1311</v>
      </c>
      <c r="W188" t="s">
        <v>281</v>
      </c>
      <c r="Y188" t="s">
        <v>282</v>
      </c>
      <c r="Z188" t="s">
        <v>75</v>
      </c>
      <c r="AB188" t="s">
        <v>1307</v>
      </c>
      <c r="AD188" s="130">
        <v>45536</v>
      </c>
      <c r="AE188"/>
      <c r="AG188" t="s">
        <v>76</v>
      </c>
      <c r="AI188" t="s">
        <v>1312</v>
      </c>
      <c r="AK188" t="s">
        <v>102</v>
      </c>
      <c r="AM188" s="38"/>
      <c r="AO188" t="s">
        <v>1310</v>
      </c>
      <c r="AR188" t="str">
        <f t="shared" si="12"/>
        <v>group</v>
      </c>
      <c r="AS188">
        <f t="shared" si="13"/>
        <v>4</v>
      </c>
      <c r="AT188" t="str">
        <f>IF(Table1[[#This Row],[Joining Date]]="", "", TEXT(Table1[[#This Row],[Joining Date]], "mmm"))</f>
        <v>Sep</v>
      </c>
      <c r="AU188">
        <f>IF(Table1[[#This Row],[Joining Date]]="", "", YEAR(Table1[[#This Row],[Joining Date]]))</f>
        <v>2024</v>
      </c>
      <c r="AV188" t="str">
        <f>IF(Table1[[#This Row],[Group Name]]="","", M188 &amp; Table1[[#This Row],[Teacher]])</f>
        <v/>
      </c>
      <c r="AW188" t="str">
        <f>IF(Table1[[#This Row],[Helper]]="","",IF(_xlfn.MAXIFS(AT:AT,AW:AW,Table1[[#This Row],[Helper]])=Table1[[#This Row],[Clean Frequency]],_xlfn.MAXIFS(AT:AT,AW:AW,Table1[[#This Row],[Helper]]),""))</f>
        <v/>
      </c>
      <c r="AX188" t="str">
        <f ca="1">IF(AND(AW188=_xlfn.MAXIFS(AX:AX, AW:AW, AV188), COUNTIFS(AV$3:AV188, AV188, AW$3:AW188, AW188)=1), 1, "")</f>
        <v/>
      </c>
      <c r="AY188" t="str">
        <f>IF(Table1[[#This Row],[lesson type]]="private",Table1[[#This Row],[Clean Frequency]],"")</f>
        <v/>
      </c>
      <c r="AZ188" t="str">
        <f ca="1">IF(Table1[[#This Row],[First Occurrence]]=1,Table1[[#This Row],[Group Frequency]],"")</f>
        <v/>
      </c>
      <c r="BA188">
        <f ca="1">IF(B188="Y", IF(Table1[[#This Row],[Stop]]="", TODAY() - Table1[[#This Row],[Joining Date]], Table1[[#This Row],[Stop]] - Table1[[#This Row],[Joining Date]]), "")</f>
        <v>641</v>
      </c>
      <c r="BB188" t="str">
        <f>_xlfn.CONCAT(Table1[[#This Row],[t]]," ",Table1[[#This Row],[Last Name]])</f>
        <v>Yu Nakamura</v>
      </c>
      <c r="BC188" t="str">
        <f>IF(OR(Table1[[#This Row],[Teacher]]="Alex",Table1[[#This Row],[Teacher]]=""), "", Table1[[#This Row],[For Salary]])</f>
        <v/>
      </c>
      <c r="BD188" t="str">
        <f>IF(OR(Table1[[#This Row],[Teacher]]="Alex",Table1[[#This Row],[Teacher]]=""), "", Table1[[#This Row],[For Amount]])</f>
        <v/>
      </c>
      <c r="BE188" t="str">
        <f>IFERROR(IF(VLOOKUP(Table1[[#This Row],[Teacher]],'Teachers Salaries'!A:C,2,FALSE)="","",VLOOKUP(Table1[[#This Row],[Teacher]],'Teachers Salaries'!A:C,2,FALSE)),"")</f>
        <v>Fixed</v>
      </c>
      <c r="BF188">
        <f>IFERROR(IF(VLOOKUP(Table1[[#This Row],[Teacher]],'Teachers Salaries'!A:C,3,FALSE)="","",VLOOKUP(Table1[[#This Row],[Teacher]],'Teachers Salaries'!A:C,3,FALSE)),"")</f>
        <v>210000</v>
      </c>
      <c r="BG188" t="str">
        <f>IFERROR(IF(Table1[[#This Row],[Pay Type]]="Fixed","-",Table1[[#This Row],[Final Group Frequency2]]*Table1[[#This Row],[Salary / Hourly Rate]]),0)</f>
        <v>-</v>
      </c>
      <c r="BH188" t="str">
        <f>IFERROR(IF(Table1[[#This Row],[Pay Type]]="Fixed","----",Table1[[#This Row],[Salary / Hourly Rate]]*Table1[[#This Row],[Final PrivateFrequency]]),0)</f>
        <v>----</v>
      </c>
      <c r="BI188" t="str">
        <f>IF(Table1[[#This Row],[Pay Type]]="Fixed","---",Table1[[#This Row],[Group Salary]]+Table1[[#This Row],[Private Salary]])</f>
        <v>---</v>
      </c>
      <c r="BJ188" t="str">
        <f>IF(OR(J188="Alex", J188=""),"", Table1[[#This Row],[For Amount]])</f>
        <v/>
      </c>
      <c r="BK188" t="str">
        <f>IFERROR(Table1[[#This Row],[Fee]]-Table1[[#This Row],[Total Salary]],"")</f>
        <v/>
      </c>
      <c r="BL188" t="e">
        <f>IF(Table1[[#This Row],[Joining Date]]="","",IF(Table1[[#This Row],[Joining Date]]&lt;='KPI+Pivot'!$CP$1,Table1[[#This Row],[Fee]],""))</f>
        <v>#N/A</v>
      </c>
      <c r="BM18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8" t="e">
        <f>IF(Table1[[#This Row],[Joining Date]]="","",IF(Table1[[#This Row],[Joining Date]]&lt;='KPI+Pivot'!$CP$1,Table1[[#This Row],[Total Salary]],""))</f>
        <v>#N/A</v>
      </c>
      <c r="BO188" t="e">
        <f>IF(Table1[[#This Row],[Joining Date]]="","",IF(Table1[[#This Row],[Joining Date]]&lt;='KPI+Pivot'!$CP$1,Table1[[#This Row],[Frequency]],""))</f>
        <v>#N/A</v>
      </c>
      <c r="BP188" s="38" t="str">
        <f>IF(Table1[[#This Row],[Stop]]="","",(IF(Table1[[#This Row],[Joining Date]]="","",IF(Table1[[#This Row],[Joining Date]]&lt;='KPI+Pivot'!$CP$1,Table1[[#This Row],[Stop]],""))))</f>
        <v/>
      </c>
    </row>
    <row r="189" spans="1:68" ht="22.9" customHeight="1">
      <c r="B189" t="s">
        <v>66</v>
      </c>
      <c r="C189" t="s">
        <v>1308</v>
      </c>
      <c r="D189" t="s">
        <v>1313</v>
      </c>
      <c r="F189" t="s">
        <v>1314</v>
      </c>
      <c r="G189" t="s">
        <v>1315</v>
      </c>
      <c r="H189" t="s">
        <v>1316</v>
      </c>
      <c r="I189" t="str">
        <f>IFERROR(HYPERLINK("#Finance!B" &amp; MATCH(A189, 'F 2025'!A:A, 0), "🔗 Go to finance"), "❌ ID introuvable")</f>
        <v>❌ ID introuvable</v>
      </c>
      <c r="L189" t="s">
        <v>102</v>
      </c>
      <c r="V189" t="s">
        <v>1311</v>
      </c>
      <c r="Z189" t="s">
        <v>75</v>
      </c>
      <c r="AB189" t="s">
        <v>1312</v>
      </c>
      <c r="AD189" s="130">
        <v>44746</v>
      </c>
      <c r="AE189"/>
      <c r="AG189" t="s">
        <v>76</v>
      </c>
      <c r="AK189" t="s">
        <v>102</v>
      </c>
      <c r="AM189" s="38"/>
      <c r="AO189" t="s">
        <v>1315</v>
      </c>
      <c r="AR189" t="str">
        <f t="shared" si="12"/>
        <v/>
      </c>
      <c r="AS189" t="str">
        <f t="shared" si="13"/>
        <v/>
      </c>
      <c r="AT189" t="str">
        <f>IF(Table1[[#This Row],[Joining Date]]="", "", TEXT(Table1[[#This Row],[Joining Date]], "mmm"))</f>
        <v>Jul</v>
      </c>
      <c r="AU189">
        <f>IF(Table1[[#This Row],[Joining Date]]="", "", YEAR(Table1[[#This Row],[Joining Date]]))</f>
        <v>2022</v>
      </c>
      <c r="AV189" t="str">
        <f>IF(Table1[[#This Row],[Group Name]]="","", M189 &amp; Table1[[#This Row],[Teacher]])</f>
        <v/>
      </c>
      <c r="AW189" t="str">
        <f>IF(Table1[[#This Row],[Helper]]="","",IF(_xlfn.MAXIFS(AT:AT,AW:AW,Table1[[#This Row],[Helper]])=Table1[[#This Row],[Clean Frequency]],_xlfn.MAXIFS(AT:AT,AW:AW,Table1[[#This Row],[Helper]]),""))</f>
        <v/>
      </c>
      <c r="AX189" t="str">
        <f ca="1">IF(AND(AW189=_xlfn.MAXIFS(AX:AX, AW:AW, AV189), COUNTIFS(AV$3:AV189, AV189, AW$3:AW189, AW189)=1), 1, "")</f>
        <v/>
      </c>
      <c r="AY189" t="str">
        <f>IF(Table1[[#This Row],[lesson type]]="private",Table1[[#This Row],[Clean Frequency]],"")</f>
        <v/>
      </c>
      <c r="AZ189" t="str">
        <f ca="1">IF(Table1[[#This Row],[First Occurrence]]=1,Table1[[#This Row],[Group Frequency]],"")</f>
        <v/>
      </c>
      <c r="BA189" t="str">
        <f ca="1">IF(B189="Y", IF(Table1[[#This Row],[Stop]]="", TODAY() - Table1[[#This Row],[Joining Date]], Table1[[#This Row],[Stop]] - Table1[[#This Row],[Joining Date]]), "")</f>
        <v/>
      </c>
      <c r="BB189" t="str">
        <f>_xlfn.CONCAT(Table1[[#This Row],[t]]," ",Table1[[#This Row],[Last Name]])</f>
        <v>Yu Sakurai</v>
      </c>
      <c r="BC189" t="str">
        <f>IF(OR(Table1[[#This Row],[Teacher]]="Alex",Table1[[#This Row],[Teacher]]=""), "", Table1[[#This Row],[For Salary]])</f>
        <v/>
      </c>
      <c r="BD189" t="str">
        <f>IF(OR(Table1[[#This Row],[Teacher]]="Alex",Table1[[#This Row],[Teacher]]=""), "", Table1[[#This Row],[For Amount]])</f>
        <v/>
      </c>
      <c r="BE189" t="str">
        <f>IFERROR(IF(VLOOKUP(Table1[[#This Row],[Teacher]],'Teachers Salaries'!A:C,2,FALSE)="","",VLOOKUP(Table1[[#This Row],[Teacher]],'Teachers Salaries'!A:C,2,FALSE)),"")</f>
        <v/>
      </c>
      <c r="BF189" t="str">
        <f>IFERROR(IF(VLOOKUP(Table1[[#This Row],[Teacher]],'Teachers Salaries'!A:C,3,FALSE)="","",VLOOKUP(Table1[[#This Row],[Teacher]],'Teachers Salaries'!A:C,3,FALSE)),"")</f>
        <v/>
      </c>
      <c r="BG189">
        <f ca="1">IFERROR(IF(Table1[[#This Row],[Pay Type]]="Fixed","-",Table1[[#This Row],[Final Group Frequency2]]*Table1[[#This Row],[Salary / Hourly Rate]]),0)</f>
        <v>0</v>
      </c>
      <c r="BH189">
        <f>IFERROR(IF(Table1[[#This Row],[Pay Type]]="Fixed","----",Table1[[#This Row],[Salary / Hourly Rate]]*Table1[[#This Row],[Final PrivateFrequency]]),0)</f>
        <v>0</v>
      </c>
      <c r="BI189">
        <f ca="1">IF(Table1[[#This Row],[Pay Type]]="Fixed","---",Table1[[#This Row],[Group Salary]]+Table1[[#This Row],[Private Salary]])</f>
        <v>0</v>
      </c>
      <c r="BJ189" t="str">
        <f>IF(OR(J189="Alex", J189=""),"", Table1[[#This Row],[For Amount]])</f>
        <v/>
      </c>
      <c r="BK189">
        <f ca="1">IFERROR(Table1[[#This Row],[Fee]]-Table1[[#This Row],[Total Salary]],"")</f>
        <v>0</v>
      </c>
      <c r="BL189" t="e">
        <f>IF(Table1[[#This Row],[Joining Date]]="","",IF(Table1[[#This Row],[Joining Date]]&lt;='KPI+Pivot'!$CP$1,Table1[[#This Row],[Fee]],""))</f>
        <v>#N/A</v>
      </c>
      <c r="BM18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9" t="e">
        <f>IF(Table1[[#This Row],[Joining Date]]="","",IF(Table1[[#This Row],[Joining Date]]&lt;='KPI+Pivot'!$CP$1,Table1[[#This Row],[Total Salary]],""))</f>
        <v>#N/A</v>
      </c>
      <c r="BO189" t="e">
        <f>IF(Table1[[#This Row],[Joining Date]]="","",IF(Table1[[#This Row],[Joining Date]]&lt;='KPI+Pivot'!$CP$1,Table1[[#This Row],[Frequency]],""))</f>
        <v>#N/A</v>
      </c>
      <c r="BP189" s="38" t="str">
        <f>IF(Table1[[#This Row],[Stop]]="","",(IF(Table1[[#This Row],[Joining Date]]="","",IF(Table1[[#This Row],[Joining Date]]&lt;='KPI+Pivot'!$CP$1,Table1[[#This Row],[Stop]],""))))</f>
        <v/>
      </c>
    </row>
    <row r="190" spans="1:68" ht="22.9" customHeight="1">
      <c r="B190" t="s">
        <v>66</v>
      </c>
      <c r="C190" t="s">
        <v>1308</v>
      </c>
      <c r="D190" t="s">
        <v>1313</v>
      </c>
      <c r="F190" t="s">
        <v>1314</v>
      </c>
      <c r="G190" t="s">
        <v>1315</v>
      </c>
      <c r="H190" t="s">
        <v>1316</v>
      </c>
      <c r="I190" t="str">
        <f>IFERROR(HYPERLINK("#Finance!B" &amp; MATCH(A190, 'F 2025'!A:A, 0), "🔗 Go to finance"), "❌ ID introuvable")</f>
        <v>❌ ID introuvable</v>
      </c>
      <c r="L190" t="s">
        <v>102</v>
      </c>
      <c r="V190" t="s">
        <v>1317</v>
      </c>
      <c r="W190" t="s">
        <v>1317</v>
      </c>
      <c r="Z190" t="s">
        <v>75</v>
      </c>
      <c r="AB190" t="s">
        <v>1318</v>
      </c>
      <c r="AD190" s="130">
        <v>44758</v>
      </c>
      <c r="AE190"/>
      <c r="AG190" t="s">
        <v>76</v>
      </c>
      <c r="AI190" t="s">
        <v>1318</v>
      </c>
      <c r="AK190" t="s">
        <v>102</v>
      </c>
      <c r="AM190" s="38"/>
      <c r="AO190" t="s">
        <v>1315</v>
      </c>
      <c r="AR190" t="str">
        <f t="shared" si="12"/>
        <v/>
      </c>
      <c r="AS190" t="str">
        <f t="shared" si="13"/>
        <v/>
      </c>
      <c r="AT190" t="str">
        <f>IF(Table1[[#This Row],[Joining Date]]="", "", TEXT(Table1[[#This Row],[Joining Date]], "mmm"))</f>
        <v>Jul</v>
      </c>
      <c r="AU190">
        <f>IF(Table1[[#This Row],[Joining Date]]="", "", YEAR(Table1[[#This Row],[Joining Date]]))</f>
        <v>2022</v>
      </c>
      <c r="AV190" t="str">
        <f>IF(Table1[[#This Row],[Group Name]]="","", M190 &amp; Table1[[#This Row],[Teacher]])</f>
        <v/>
      </c>
      <c r="AW190" t="str">
        <f>IF(Table1[[#This Row],[Helper]]="","",IF(_xlfn.MAXIFS(AT:AT,AW:AW,Table1[[#This Row],[Helper]])=Table1[[#This Row],[Clean Frequency]],_xlfn.MAXIFS(AT:AT,AW:AW,Table1[[#This Row],[Helper]]),""))</f>
        <v/>
      </c>
      <c r="AX190" t="str">
        <f ca="1">IF(AND(AW190=_xlfn.MAXIFS(AX:AX, AW:AW, AV190), COUNTIFS(AV$3:AV190, AV190, AW$3:AW190, AW190)=1), 1, "")</f>
        <v/>
      </c>
      <c r="AY190" t="str">
        <f>IF(Table1[[#This Row],[lesson type]]="private",Table1[[#This Row],[Clean Frequency]],"")</f>
        <v/>
      </c>
      <c r="AZ190" t="str">
        <f ca="1">IF(Table1[[#This Row],[First Occurrence]]=1,Table1[[#This Row],[Group Frequency]],"")</f>
        <v/>
      </c>
      <c r="BA190" t="str">
        <f ca="1">IF(B190="Y", IF(Table1[[#This Row],[Stop]]="", TODAY() - Table1[[#This Row],[Joining Date]], Table1[[#This Row],[Stop]] - Table1[[#This Row],[Joining Date]]), "")</f>
        <v/>
      </c>
      <c r="BB190" t="str">
        <f>_xlfn.CONCAT(Table1[[#This Row],[t]]," ",Table1[[#This Row],[Last Name]])</f>
        <v>Yu Sakurai</v>
      </c>
      <c r="BC190" t="str">
        <f>IF(OR(Table1[[#This Row],[Teacher]]="Alex",Table1[[#This Row],[Teacher]]=""), "", Table1[[#This Row],[For Salary]])</f>
        <v/>
      </c>
      <c r="BD190" t="str">
        <f>IF(OR(Table1[[#This Row],[Teacher]]="Alex",Table1[[#This Row],[Teacher]]=""), "", Table1[[#This Row],[For Amount]])</f>
        <v/>
      </c>
      <c r="BE190" t="str">
        <f>IFERROR(IF(VLOOKUP(Table1[[#This Row],[Teacher]],'Teachers Salaries'!A:C,2,FALSE)="","",VLOOKUP(Table1[[#This Row],[Teacher]],'Teachers Salaries'!A:C,2,FALSE)),"")</f>
        <v/>
      </c>
      <c r="BF190" t="str">
        <f>IFERROR(IF(VLOOKUP(Table1[[#This Row],[Teacher]],'Teachers Salaries'!A:C,3,FALSE)="","",VLOOKUP(Table1[[#This Row],[Teacher]],'Teachers Salaries'!A:C,3,FALSE)),"")</f>
        <v/>
      </c>
      <c r="BG190">
        <f ca="1">IFERROR(IF(Table1[[#This Row],[Pay Type]]="Fixed","-",Table1[[#This Row],[Final Group Frequency2]]*Table1[[#This Row],[Salary / Hourly Rate]]),0)</f>
        <v>0</v>
      </c>
      <c r="BH190">
        <f>IFERROR(IF(Table1[[#This Row],[Pay Type]]="Fixed","----",Table1[[#This Row],[Salary / Hourly Rate]]*Table1[[#This Row],[Final PrivateFrequency]]),0)</f>
        <v>0</v>
      </c>
      <c r="BI190">
        <f ca="1">IF(Table1[[#This Row],[Pay Type]]="Fixed","---",Table1[[#This Row],[Group Salary]]+Table1[[#This Row],[Private Salary]])</f>
        <v>0</v>
      </c>
      <c r="BJ190" t="str">
        <f>IF(OR(J190="Alex", J190=""),"", Table1[[#This Row],[For Amount]])</f>
        <v/>
      </c>
      <c r="BK190">
        <f ca="1">IFERROR(Table1[[#This Row],[Fee]]-Table1[[#This Row],[Total Salary]],"")</f>
        <v>0</v>
      </c>
      <c r="BL190" t="e">
        <f>IF(Table1[[#This Row],[Joining Date]]="","",IF(Table1[[#This Row],[Joining Date]]&lt;='KPI+Pivot'!$CP$1,Table1[[#This Row],[Fee]],""))</f>
        <v>#N/A</v>
      </c>
      <c r="BM19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90" t="e">
        <f>IF(Table1[[#This Row],[Joining Date]]="","",IF(Table1[[#This Row],[Joining Date]]&lt;='KPI+Pivot'!$CP$1,Table1[[#This Row],[Total Salary]],""))</f>
        <v>#N/A</v>
      </c>
      <c r="BO190" t="e">
        <f>IF(Table1[[#This Row],[Joining Date]]="","",IF(Table1[[#This Row],[Joining Date]]&lt;='KPI+Pivot'!$CP$1,Table1[[#This Row],[Frequency]],""))</f>
        <v>#N/A</v>
      </c>
      <c r="BP190" s="38" t="str">
        <f>IF(Table1[[#This Row],[Stop]]="","",(IF(Table1[[#This Row],[Joining Date]]="","",IF(Table1[[#This Row],[Joining Date]]&lt;='KPI+Pivot'!$CP$1,Table1[[#This Row],[Stop]],""))))</f>
        <v/>
      </c>
    </row>
    <row r="191" spans="1:68" ht="22.9" customHeight="1">
      <c r="B191" t="s">
        <v>66</v>
      </c>
      <c r="C191" t="s">
        <v>1319</v>
      </c>
      <c r="D191" t="s">
        <v>1320</v>
      </c>
      <c r="F191" t="s">
        <v>1321</v>
      </c>
      <c r="G191" t="s">
        <v>1322</v>
      </c>
      <c r="H191" t="s">
        <v>1323</v>
      </c>
      <c r="I191" t="str">
        <f>IFERROR(HYPERLINK("#Finance!B" &amp; MATCH(A191, 'F 2025'!A:A, 0), "🔗 Go to finance"), "❌ ID introuvable")</f>
        <v>❌ ID introuvable</v>
      </c>
      <c r="L191" t="s">
        <v>90</v>
      </c>
      <c r="V191" t="s">
        <v>1324</v>
      </c>
      <c r="W191" t="s">
        <v>1324</v>
      </c>
      <c r="Y191" t="s">
        <v>1325</v>
      </c>
      <c r="Z191" t="s">
        <v>75</v>
      </c>
      <c r="AB191" t="s">
        <v>1326</v>
      </c>
      <c r="AD191" s="130"/>
      <c r="AE191"/>
      <c r="AG191" t="s">
        <v>76</v>
      </c>
      <c r="AI191" t="s">
        <v>1326</v>
      </c>
      <c r="AK191" t="s">
        <v>401</v>
      </c>
      <c r="AM191" s="38"/>
      <c r="AO191" t="s">
        <v>1322</v>
      </c>
      <c r="AR191" t="str">
        <f t="shared" si="12"/>
        <v/>
      </c>
      <c r="AS191" t="str">
        <f t="shared" si="13"/>
        <v/>
      </c>
      <c r="AT191" t="str">
        <f>IF(Table1[[#This Row],[Joining Date]]="", "", TEXT(Table1[[#This Row],[Joining Date]], "mmm"))</f>
        <v/>
      </c>
      <c r="AU191" t="str">
        <f>IF(Table1[[#This Row],[Joining Date]]="", "", YEAR(Table1[[#This Row],[Joining Date]]))</f>
        <v/>
      </c>
      <c r="AV191" t="str">
        <f>IF(Table1[[#This Row],[Group Name]]="","", M191 &amp; Table1[[#This Row],[Teacher]])</f>
        <v/>
      </c>
      <c r="AW191" t="str">
        <f>IF(Table1[[#This Row],[Helper]]="","",IF(_xlfn.MAXIFS(AT:AT,AW:AW,Table1[[#This Row],[Helper]])=Table1[[#This Row],[Clean Frequency]],_xlfn.MAXIFS(AT:AT,AW:AW,Table1[[#This Row],[Helper]]),""))</f>
        <v/>
      </c>
      <c r="AX191" t="str">
        <f ca="1">IF(AND(AW191=_xlfn.MAXIFS(AX:AX, AW:AW, AV191), COUNTIFS(AV$3:AV191, AV191, AW$3:AW191, AW191)=1), 1, "")</f>
        <v/>
      </c>
      <c r="AY191" t="str">
        <f>IF(Table1[[#This Row],[lesson type]]="private",Table1[[#This Row],[Clean Frequency]],"")</f>
        <v/>
      </c>
      <c r="AZ191" t="str">
        <f ca="1">IF(Table1[[#This Row],[First Occurrence]]=1,Table1[[#This Row],[Group Frequency]],"")</f>
        <v/>
      </c>
      <c r="BA191" t="str">
        <f ca="1">IF(B191="Y", IF(Table1[[#This Row],[Stop]]="", TODAY() - Table1[[#This Row],[Joining Date]], Table1[[#This Row],[Stop]] - Table1[[#This Row],[Joining Date]]), "")</f>
        <v/>
      </c>
      <c r="BB191" t="str">
        <f>_xlfn.CONCAT(Table1[[#This Row],[t]]," ",Table1[[#This Row],[Last Name]])</f>
        <v>Yudai Okuno</v>
      </c>
      <c r="BC191" t="str">
        <f>IF(OR(Table1[[#This Row],[Teacher]]="Alex",Table1[[#This Row],[Teacher]]=""), "", Table1[[#This Row],[For Salary]])</f>
        <v/>
      </c>
      <c r="BD191" t="str">
        <f>IF(OR(Table1[[#This Row],[Teacher]]="Alex",Table1[[#This Row],[Teacher]]=""), "", Table1[[#This Row],[For Amount]])</f>
        <v/>
      </c>
      <c r="BE191" t="str">
        <f>IFERROR(IF(VLOOKUP(Table1[[#This Row],[Teacher]],'Teachers Salaries'!A:C,2,FALSE)="","",VLOOKUP(Table1[[#This Row],[Teacher]],'Teachers Salaries'!A:C,2,FALSE)),"")</f>
        <v/>
      </c>
      <c r="BF191" t="str">
        <f>IFERROR(IF(VLOOKUP(Table1[[#This Row],[Teacher]],'Teachers Salaries'!A:C,3,FALSE)="","",VLOOKUP(Table1[[#This Row],[Teacher]],'Teachers Salaries'!A:C,3,FALSE)),"")</f>
        <v/>
      </c>
      <c r="BG191">
        <f ca="1">IFERROR(IF(Table1[[#This Row],[Pay Type]]="Fixed","-",Table1[[#This Row],[Final Group Frequency2]]*Table1[[#This Row],[Salary / Hourly Rate]]),0)</f>
        <v>0</v>
      </c>
      <c r="BH191">
        <f>IFERROR(IF(Table1[[#This Row],[Pay Type]]="Fixed","----",Table1[[#This Row],[Salary / Hourly Rate]]*Table1[[#This Row],[Final PrivateFrequency]]),0)</f>
        <v>0</v>
      </c>
      <c r="BI191">
        <f ca="1">IF(Table1[[#This Row],[Pay Type]]="Fixed","---",Table1[[#This Row],[Group Salary]]+Table1[[#This Row],[Private Salary]])</f>
        <v>0</v>
      </c>
      <c r="BJ191" t="str">
        <f>IF(OR(J191="Alex", J191=""),"", Table1[[#This Row],[For Amount]])</f>
        <v/>
      </c>
      <c r="BK191">
        <f ca="1">IFERROR(Table1[[#This Row],[Fee]]-Table1[[#This Row],[Total Salary]],"")</f>
        <v>0</v>
      </c>
      <c r="BL191" t="str">
        <f>IF(Table1[[#This Row],[Joining Date]]="","",IF(Table1[[#This Row],[Joining Date]]&lt;='KPI+Pivot'!$CP$1,Table1[[#This Row],[Fee]],""))</f>
        <v/>
      </c>
      <c r="BM19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1" t="str">
        <f>IF(Table1[[#This Row],[Joining Date]]="","",IF(Table1[[#This Row],[Joining Date]]&lt;='KPI+Pivot'!$CP$1,Table1[[#This Row],[Total Salary]],""))</f>
        <v/>
      </c>
      <c r="BO191" t="str">
        <f>IF(Table1[[#This Row],[Joining Date]]="","",IF(Table1[[#This Row],[Joining Date]]&lt;='KPI+Pivot'!$CP$1,Table1[[#This Row],[Frequency]],""))</f>
        <v/>
      </c>
      <c r="BP191" s="38" t="str">
        <f>IF(Table1[[#This Row],[Stop]]="","",(IF(Table1[[#This Row],[Joining Date]]="","",IF(Table1[[#This Row],[Joining Date]]&lt;='KPI+Pivot'!$CP$1,Table1[[#This Row],[Stop]],""))))</f>
        <v/>
      </c>
    </row>
    <row r="192" spans="1:68" ht="22.9" customHeight="1">
      <c r="B192" t="s">
        <v>66</v>
      </c>
      <c r="C192" t="s">
        <v>1327</v>
      </c>
      <c r="D192" t="s">
        <v>1328</v>
      </c>
      <c r="F192" t="s">
        <v>1329</v>
      </c>
      <c r="G192" t="s">
        <v>1330</v>
      </c>
      <c r="H192" t="s">
        <v>1331</v>
      </c>
      <c r="I192" t="str">
        <f>IFERROR(HYPERLINK("#Finance!B" &amp; MATCH(A192, 'F 2025'!A:A, 0), "🔗 Go to finance"), "❌ ID introuvable")</f>
        <v>❌ ID introuvable</v>
      </c>
      <c r="L192" t="s">
        <v>102</v>
      </c>
      <c r="V192" t="s">
        <v>1332</v>
      </c>
      <c r="W192" t="s">
        <v>1332</v>
      </c>
      <c r="Z192" t="s">
        <v>75</v>
      </c>
      <c r="AB192" t="s">
        <v>1333</v>
      </c>
      <c r="AD192" s="130">
        <v>44348</v>
      </c>
      <c r="AE192"/>
      <c r="AG192" t="s">
        <v>76</v>
      </c>
      <c r="AI192" t="s">
        <v>1333</v>
      </c>
      <c r="AK192" t="s">
        <v>1334</v>
      </c>
      <c r="AM192" s="38"/>
      <c r="AO192" t="s">
        <v>1330</v>
      </c>
      <c r="AR192" t="str">
        <f t="shared" si="12"/>
        <v/>
      </c>
      <c r="AS192" t="str">
        <f t="shared" si="13"/>
        <v/>
      </c>
      <c r="AT192" t="str">
        <f>IF(Table1[[#This Row],[Joining Date]]="", "", TEXT(Table1[[#This Row],[Joining Date]], "mmm"))</f>
        <v>Jun</v>
      </c>
      <c r="AU192">
        <f>IF(Table1[[#This Row],[Joining Date]]="", "", YEAR(Table1[[#This Row],[Joining Date]]))</f>
        <v>2021</v>
      </c>
      <c r="AV192" t="str">
        <f>IF(Table1[[#This Row],[Group Name]]="","", M192 &amp; Table1[[#This Row],[Teacher]])</f>
        <v/>
      </c>
      <c r="AW192" t="str">
        <f>IF(Table1[[#This Row],[Helper]]="","",IF(_xlfn.MAXIFS(AT:AT,AW:AW,Table1[[#This Row],[Helper]])=Table1[[#This Row],[Clean Frequency]],_xlfn.MAXIFS(AT:AT,AW:AW,Table1[[#This Row],[Helper]]),""))</f>
        <v/>
      </c>
      <c r="AX192" t="str">
        <f ca="1">IF(AND(AW192=_xlfn.MAXIFS(AX:AX, AW:AW, AV192), COUNTIFS(AV$3:AV192, AV192, AW$3:AW192, AW192)=1), 1, "")</f>
        <v/>
      </c>
      <c r="AY192" t="str">
        <f>IF(Table1[[#This Row],[lesson type]]="private",Table1[[#This Row],[Clean Frequency]],"")</f>
        <v/>
      </c>
      <c r="AZ192" t="str">
        <f ca="1">IF(Table1[[#This Row],[First Occurrence]]=1,Table1[[#This Row],[Group Frequency]],"")</f>
        <v/>
      </c>
      <c r="BA192" t="str">
        <f ca="1">IF(B192="Y", IF(Table1[[#This Row],[Stop]]="", TODAY() - Table1[[#This Row],[Joining Date]], Table1[[#This Row],[Stop]] - Table1[[#This Row],[Joining Date]]), "")</f>
        <v/>
      </c>
      <c r="BB192" t="str">
        <f>_xlfn.CONCAT(Table1[[#This Row],[t]]," ",Table1[[#This Row],[Last Name]])</f>
        <v>Yui Kusano</v>
      </c>
      <c r="BC192" t="str">
        <f>IF(OR(Table1[[#This Row],[Teacher]]="Alex",Table1[[#This Row],[Teacher]]=""), "", Table1[[#This Row],[For Salary]])</f>
        <v/>
      </c>
      <c r="BD192" t="str">
        <f>IF(OR(Table1[[#This Row],[Teacher]]="Alex",Table1[[#This Row],[Teacher]]=""), "", Table1[[#This Row],[For Amount]])</f>
        <v/>
      </c>
      <c r="BE192" t="str">
        <f>IFERROR(IF(VLOOKUP(Table1[[#This Row],[Teacher]],'Teachers Salaries'!A:C,2,FALSE)="","",VLOOKUP(Table1[[#This Row],[Teacher]],'Teachers Salaries'!A:C,2,FALSE)),"")</f>
        <v/>
      </c>
      <c r="BF192" t="str">
        <f>IFERROR(IF(VLOOKUP(Table1[[#This Row],[Teacher]],'Teachers Salaries'!A:C,3,FALSE)="","",VLOOKUP(Table1[[#This Row],[Teacher]],'Teachers Salaries'!A:C,3,FALSE)),"")</f>
        <v/>
      </c>
      <c r="BG192">
        <f ca="1">IFERROR(IF(Table1[[#This Row],[Pay Type]]="Fixed","-",Table1[[#This Row],[Final Group Frequency2]]*Table1[[#This Row],[Salary / Hourly Rate]]),0)</f>
        <v>0</v>
      </c>
      <c r="BH192">
        <f>IFERROR(IF(Table1[[#This Row],[Pay Type]]="Fixed","----",Table1[[#This Row],[Salary / Hourly Rate]]*Table1[[#This Row],[Final PrivateFrequency]]),0)</f>
        <v>0</v>
      </c>
      <c r="BI192">
        <f ca="1">IF(Table1[[#This Row],[Pay Type]]="Fixed","---",Table1[[#This Row],[Group Salary]]+Table1[[#This Row],[Private Salary]])</f>
        <v>0</v>
      </c>
      <c r="BJ192" t="str">
        <f>IF(OR(J192="Alex", J192=""),"", Table1[[#This Row],[For Amount]])</f>
        <v/>
      </c>
      <c r="BK192">
        <f ca="1">IFERROR(Table1[[#This Row],[Fee]]-Table1[[#This Row],[Total Salary]],"")</f>
        <v>0</v>
      </c>
      <c r="BL192" t="e">
        <f>IF(Table1[[#This Row],[Joining Date]]="","",IF(Table1[[#This Row],[Joining Date]]&lt;='KPI+Pivot'!$CP$1,Table1[[#This Row],[Fee]],""))</f>
        <v>#N/A</v>
      </c>
      <c r="BM19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92" t="e">
        <f>IF(Table1[[#This Row],[Joining Date]]="","",IF(Table1[[#This Row],[Joining Date]]&lt;='KPI+Pivot'!$CP$1,Table1[[#This Row],[Total Salary]],""))</f>
        <v>#N/A</v>
      </c>
      <c r="BO192" t="e">
        <f>IF(Table1[[#This Row],[Joining Date]]="","",IF(Table1[[#This Row],[Joining Date]]&lt;='KPI+Pivot'!$CP$1,Table1[[#This Row],[Frequency]],""))</f>
        <v>#N/A</v>
      </c>
      <c r="BP192" s="38" t="str">
        <f>IF(Table1[[#This Row],[Stop]]="","",(IF(Table1[[#This Row],[Joining Date]]="","",IF(Table1[[#This Row],[Joining Date]]&lt;='KPI+Pivot'!$CP$1,Table1[[#This Row],[Stop]],""))))</f>
        <v/>
      </c>
    </row>
    <row r="193" spans="1:68" ht="22.9" customHeight="1">
      <c r="B193" t="s">
        <v>66</v>
      </c>
      <c r="C193" t="s">
        <v>1335</v>
      </c>
      <c r="D193" t="s">
        <v>1336</v>
      </c>
      <c r="F193" t="s">
        <v>1337</v>
      </c>
      <c r="G193" t="s">
        <v>1338</v>
      </c>
      <c r="H193" t="s">
        <v>1339</v>
      </c>
      <c r="I193" t="str">
        <f>IFERROR(HYPERLINK("#Finance!B" &amp; MATCH(A193, 'F 2025'!A:A, 0), "🔗 Go to finance"), "❌ ID introuvable")</f>
        <v>❌ ID introuvable</v>
      </c>
      <c r="L193" t="s">
        <v>102</v>
      </c>
      <c r="V193" t="s">
        <v>1340</v>
      </c>
      <c r="Y193" t="s">
        <v>1341</v>
      </c>
      <c r="Z193" t="s">
        <v>75</v>
      </c>
      <c r="AB193" t="s">
        <v>1342</v>
      </c>
      <c r="AD193" s="130"/>
      <c r="AE193"/>
      <c r="AG193" t="s">
        <v>76</v>
      </c>
      <c r="AI193" t="s">
        <v>1342</v>
      </c>
      <c r="AK193" t="s">
        <v>102</v>
      </c>
      <c r="AM193" s="38"/>
      <c r="AO193" t="s">
        <v>1338</v>
      </c>
      <c r="AR193" t="str">
        <f t="shared" si="12"/>
        <v/>
      </c>
      <c r="AS193" t="str">
        <f t="shared" si="13"/>
        <v/>
      </c>
      <c r="AT193" t="str">
        <f>IF(Table1[[#This Row],[Joining Date]]="", "", TEXT(Table1[[#This Row],[Joining Date]], "mmm"))</f>
        <v/>
      </c>
      <c r="AU193" t="str">
        <f>IF(Table1[[#This Row],[Joining Date]]="", "", YEAR(Table1[[#This Row],[Joining Date]]))</f>
        <v/>
      </c>
      <c r="AV193" t="str">
        <f>IF(Table1[[#This Row],[Group Name]]="","", M193 &amp; Table1[[#This Row],[Teacher]])</f>
        <v/>
      </c>
      <c r="AW193" t="str">
        <f>IF(Table1[[#This Row],[Helper]]="","",IF(_xlfn.MAXIFS(AT:AT,AW:AW,Table1[[#This Row],[Helper]])=Table1[[#This Row],[Clean Frequency]],_xlfn.MAXIFS(AT:AT,AW:AW,Table1[[#This Row],[Helper]]),""))</f>
        <v/>
      </c>
      <c r="AX193" t="str">
        <f ca="1">IF(AND(AW193=_xlfn.MAXIFS(AX:AX, AW:AW, AV193), COUNTIFS(AV$3:AV193, AV193, AW$3:AW193, AW193)=1), 1, "")</f>
        <v/>
      </c>
      <c r="AY193" t="str">
        <f>IF(Table1[[#This Row],[lesson type]]="private",Table1[[#This Row],[Clean Frequency]],"")</f>
        <v/>
      </c>
      <c r="AZ193" t="str">
        <f ca="1">IF(Table1[[#This Row],[First Occurrence]]=1,Table1[[#This Row],[Group Frequency]],"")</f>
        <v/>
      </c>
      <c r="BA193" t="str">
        <f ca="1">IF(B193="Y", IF(Table1[[#This Row],[Stop]]="", TODAY() - Table1[[#This Row],[Joining Date]], Table1[[#This Row],[Stop]] - Table1[[#This Row],[Joining Date]]), "")</f>
        <v/>
      </c>
      <c r="BB193" t="str">
        <f>_xlfn.CONCAT(Table1[[#This Row],[t]]," ",Table1[[#This Row],[Last Name]])</f>
        <v>Yuka Shimizu</v>
      </c>
      <c r="BC193" t="str">
        <f>IF(OR(Table1[[#This Row],[Teacher]]="Alex",Table1[[#This Row],[Teacher]]=""), "", Table1[[#This Row],[For Salary]])</f>
        <v/>
      </c>
      <c r="BD193" t="str">
        <f>IF(OR(Table1[[#This Row],[Teacher]]="Alex",Table1[[#This Row],[Teacher]]=""), "", Table1[[#This Row],[For Amount]])</f>
        <v/>
      </c>
      <c r="BE193" t="str">
        <f>IFERROR(IF(VLOOKUP(Table1[[#This Row],[Teacher]],'Teachers Salaries'!A:C,2,FALSE)="","",VLOOKUP(Table1[[#This Row],[Teacher]],'Teachers Salaries'!A:C,2,FALSE)),"")</f>
        <v/>
      </c>
      <c r="BF193" t="str">
        <f>IFERROR(IF(VLOOKUP(Table1[[#This Row],[Teacher]],'Teachers Salaries'!A:C,3,FALSE)="","",VLOOKUP(Table1[[#This Row],[Teacher]],'Teachers Salaries'!A:C,3,FALSE)),"")</f>
        <v/>
      </c>
      <c r="BG193">
        <f ca="1">IFERROR(IF(Table1[[#This Row],[Pay Type]]="Fixed","-",Table1[[#This Row],[Final Group Frequency2]]*Table1[[#This Row],[Salary / Hourly Rate]]),0)</f>
        <v>0</v>
      </c>
      <c r="BH193">
        <f>IFERROR(IF(Table1[[#This Row],[Pay Type]]="Fixed","----",Table1[[#This Row],[Salary / Hourly Rate]]*Table1[[#This Row],[Final PrivateFrequency]]),0)</f>
        <v>0</v>
      </c>
      <c r="BI193">
        <f ca="1">IF(Table1[[#This Row],[Pay Type]]="Fixed","---",Table1[[#This Row],[Group Salary]]+Table1[[#This Row],[Private Salary]])</f>
        <v>0</v>
      </c>
      <c r="BJ193" t="str">
        <f>IF(OR(J193="Alex", J193=""),"", Table1[[#This Row],[For Amount]])</f>
        <v/>
      </c>
      <c r="BK193">
        <f ca="1">IFERROR(Table1[[#This Row],[Fee]]-Table1[[#This Row],[Total Salary]],"")</f>
        <v>0</v>
      </c>
      <c r="BL193" t="str">
        <f>IF(Table1[[#This Row],[Joining Date]]="","",IF(Table1[[#This Row],[Joining Date]]&lt;='KPI+Pivot'!$CP$1,Table1[[#This Row],[Fee]],""))</f>
        <v/>
      </c>
      <c r="BM19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3" t="str">
        <f>IF(Table1[[#This Row],[Joining Date]]="","",IF(Table1[[#This Row],[Joining Date]]&lt;='KPI+Pivot'!$CP$1,Table1[[#This Row],[Total Salary]],""))</f>
        <v/>
      </c>
      <c r="BO193" t="str">
        <f>IF(Table1[[#This Row],[Joining Date]]="","",IF(Table1[[#This Row],[Joining Date]]&lt;='KPI+Pivot'!$CP$1,Table1[[#This Row],[Frequency]],""))</f>
        <v/>
      </c>
      <c r="BP193" s="38" t="str">
        <f>IF(Table1[[#This Row],[Stop]]="","",(IF(Table1[[#This Row],[Joining Date]]="","",IF(Table1[[#This Row],[Joining Date]]&lt;='KPI+Pivot'!$CP$1,Table1[[#This Row],[Stop]],""))))</f>
        <v/>
      </c>
    </row>
    <row r="194" spans="1:68" ht="22.9" customHeight="1">
      <c r="B194" t="s">
        <v>66</v>
      </c>
      <c r="C194" t="s">
        <v>1335</v>
      </c>
      <c r="D194" t="s">
        <v>381</v>
      </c>
      <c r="F194" t="s">
        <v>1343</v>
      </c>
      <c r="G194" t="s">
        <v>1344</v>
      </c>
      <c r="H194" t="s">
        <v>1345</v>
      </c>
      <c r="I194" t="str">
        <f>IFERROR(HYPERLINK("#Finance!B" &amp; MATCH(A194, 'F 2025'!A:A, 0), "🔗 Go to finance"), "❌ ID introuvable")</f>
        <v>❌ ID introuvable</v>
      </c>
      <c r="L194" t="s">
        <v>90</v>
      </c>
      <c r="V194" t="s">
        <v>1346</v>
      </c>
      <c r="Y194" t="s">
        <v>1347</v>
      </c>
      <c r="Z194" t="s">
        <v>75</v>
      </c>
      <c r="AB194" t="s">
        <v>1348</v>
      </c>
      <c r="AD194" s="130"/>
      <c r="AE194"/>
      <c r="AG194" t="s">
        <v>76</v>
      </c>
      <c r="AI194" t="s">
        <v>1348</v>
      </c>
      <c r="AK194" t="s">
        <v>1349</v>
      </c>
      <c r="AM194" s="38"/>
      <c r="AO194" t="s">
        <v>1344</v>
      </c>
      <c r="AR194" t="str">
        <f t="shared" si="12"/>
        <v/>
      </c>
      <c r="AS194" t="str">
        <f t="shared" si="13"/>
        <v/>
      </c>
      <c r="AT194" t="str">
        <f>IF(Table1[[#This Row],[Joining Date]]="", "", TEXT(Table1[[#This Row],[Joining Date]], "mmm"))</f>
        <v/>
      </c>
      <c r="AU194" t="str">
        <f>IF(Table1[[#This Row],[Joining Date]]="", "", YEAR(Table1[[#This Row],[Joining Date]]))</f>
        <v/>
      </c>
      <c r="AV194" t="str">
        <f>IF(Table1[[#This Row],[Group Name]]="","", M194 &amp; Table1[[#This Row],[Teacher]])</f>
        <v/>
      </c>
      <c r="AW194" t="str">
        <f>IF(Table1[[#This Row],[Helper]]="","",IF(_xlfn.MAXIFS(AT:AT,AW:AW,Table1[[#This Row],[Helper]])=Table1[[#This Row],[Clean Frequency]],_xlfn.MAXIFS(AT:AT,AW:AW,Table1[[#This Row],[Helper]]),""))</f>
        <v/>
      </c>
      <c r="AX194" t="str">
        <f ca="1">IF(AND(AW194=_xlfn.MAXIFS(AX:AX, AW:AW, AV194), COUNTIFS(AV$3:AV194, AV194, AW$3:AW194, AW194)=1), 1, "")</f>
        <v/>
      </c>
      <c r="AY194" t="str">
        <f>IF(Table1[[#This Row],[lesson type]]="private",Table1[[#This Row],[Clean Frequency]],"")</f>
        <v/>
      </c>
      <c r="AZ194" t="str">
        <f ca="1">IF(Table1[[#This Row],[First Occurrence]]=1,Table1[[#This Row],[Group Frequency]],"")</f>
        <v/>
      </c>
      <c r="BA194" t="str">
        <f ca="1">IF(B194="Y", IF(Table1[[#This Row],[Stop]]="", TODAY() - Table1[[#This Row],[Joining Date]], Table1[[#This Row],[Stop]] - Table1[[#This Row],[Joining Date]]), "")</f>
        <v/>
      </c>
      <c r="BB194" t="str">
        <f>_xlfn.CONCAT(Table1[[#This Row],[t]]," ",Table1[[#This Row],[Last Name]])</f>
        <v>Yuka Abe</v>
      </c>
      <c r="BC194" t="str">
        <f>IF(OR(Table1[[#This Row],[Teacher]]="Alex",Table1[[#This Row],[Teacher]]=""), "", Table1[[#This Row],[For Salary]])</f>
        <v/>
      </c>
      <c r="BD194" t="str">
        <f>IF(OR(Table1[[#This Row],[Teacher]]="Alex",Table1[[#This Row],[Teacher]]=""), "", Table1[[#This Row],[For Amount]])</f>
        <v/>
      </c>
      <c r="BE194" t="str">
        <f>IFERROR(IF(VLOOKUP(Table1[[#This Row],[Teacher]],'Teachers Salaries'!A:C,2,FALSE)="","",VLOOKUP(Table1[[#This Row],[Teacher]],'Teachers Salaries'!A:C,2,FALSE)),"")</f>
        <v/>
      </c>
      <c r="BF194" t="str">
        <f>IFERROR(IF(VLOOKUP(Table1[[#This Row],[Teacher]],'Teachers Salaries'!A:C,3,FALSE)="","",VLOOKUP(Table1[[#This Row],[Teacher]],'Teachers Salaries'!A:C,3,FALSE)),"")</f>
        <v/>
      </c>
      <c r="BG194">
        <f ca="1">IFERROR(IF(Table1[[#This Row],[Pay Type]]="Fixed","-",Table1[[#This Row],[Final Group Frequency2]]*Table1[[#This Row],[Salary / Hourly Rate]]),0)</f>
        <v>0</v>
      </c>
      <c r="BH194">
        <f>IFERROR(IF(Table1[[#This Row],[Pay Type]]="Fixed","----",Table1[[#This Row],[Salary / Hourly Rate]]*Table1[[#This Row],[Final PrivateFrequency]]),0)</f>
        <v>0</v>
      </c>
      <c r="BI194">
        <f ca="1">IF(Table1[[#This Row],[Pay Type]]="Fixed","---",Table1[[#This Row],[Group Salary]]+Table1[[#This Row],[Private Salary]])</f>
        <v>0</v>
      </c>
      <c r="BJ194" t="str">
        <f>IF(OR(J194="Alex", J194=""),"", Table1[[#This Row],[For Amount]])</f>
        <v/>
      </c>
      <c r="BK194">
        <f ca="1">IFERROR(Table1[[#This Row],[Fee]]-Table1[[#This Row],[Total Salary]],"")</f>
        <v>0</v>
      </c>
      <c r="BL194" t="str">
        <f>IF(Table1[[#This Row],[Joining Date]]="","",IF(Table1[[#This Row],[Joining Date]]&lt;='KPI+Pivot'!$CP$1,Table1[[#This Row],[Fee]],""))</f>
        <v/>
      </c>
      <c r="BM19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4" t="str">
        <f>IF(Table1[[#This Row],[Joining Date]]="","",IF(Table1[[#This Row],[Joining Date]]&lt;='KPI+Pivot'!$CP$1,Table1[[#This Row],[Total Salary]],""))</f>
        <v/>
      </c>
      <c r="BO194" t="str">
        <f>IF(Table1[[#This Row],[Joining Date]]="","",IF(Table1[[#This Row],[Joining Date]]&lt;='KPI+Pivot'!$CP$1,Table1[[#This Row],[Frequency]],""))</f>
        <v/>
      </c>
      <c r="BP194" s="38" t="str">
        <f>IF(Table1[[#This Row],[Stop]]="","",(IF(Table1[[#This Row],[Joining Date]]="","",IF(Table1[[#This Row],[Joining Date]]&lt;='KPI+Pivot'!$CP$1,Table1[[#This Row],[Stop]],""))))</f>
        <v/>
      </c>
    </row>
    <row r="195" spans="1:68" ht="22.9" customHeight="1">
      <c r="C195" t="s">
        <v>1350</v>
      </c>
      <c r="D195" t="s">
        <v>2064</v>
      </c>
      <c r="I195" t="str">
        <f>IFERROR(HYPERLINK("#Finance!B" &amp; MATCH(A195, 'F 2025'!A:A, 0), "🔗 Go to finance"), "❌ ID introuvable")</f>
        <v>❌ ID introuvable</v>
      </c>
      <c r="Z195" t="s">
        <v>75</v>
      </c>
      <c r="AD195" s="130"/>
      <c r="AE195"/>
      <c r="AG195" t="s">
        <v>76</v>
      </c>
      <c r="AM195" s="38"/>
      <c r="AO195"/>
      <c r="AR195" t="str">
        <f t="shared" si="12"/>
        <v/>
      </c>
      <c r="AS195" t="str">
        <f t="shared" si="13"/>
        <v/>
      </c>
      <c r="AT195" t="str">
        <f>IF(Table1[[#This Row],[Joining Date]]="", "", TEXT(Table1[[#This Row],[Joining Date]], "mmm"))</f>
        <v/>
      </c>
      <c r="AU195" t="str">
        <f>IF(Table1[[#This Row],[Joining Date]]="", "", YEAR(Table1[[#This Row],[Joining Date]]))</f>
        <v/>
      </c>
      <c r="AV195" t="str">
        <f>IF(Table1[[#This Row],[Group Name]]="","", M195 &amp; Table1[[#This Row],[Teacher]])</f>
        <v/>
      </c>
      <c r="AW195" t="str">
        <f>IF(Table1[[#This Row],[Helper]]="","",IF(_xlfn.MAXIFS(AT:AT,AW:AW,Table1[[#This Row],[Helper]])=Table1[[#This Row],[Clean Frequency]],_xlfn.MAXIFS(AT:AT,AW:AW,Table1[[#This Row],[Helper]]),""))</f>
        <v/>
      </c>
      <c r="AX195" t="str">
        <f ca="1">IF(AND(AW195=_xlfn.MAXIFS(AX:AX, AW:AW, AV195), COUNTIFS(AV$3:AV195, AV195, AW$3:AW195, AW195)=1), 1, "")</f>
        <v/>
      </c>
      <c r="AY195" t="str">
        <f>IF(Table1[[#This Row],[lesson type]]="private",Table1[[#This Row],[Clean Frequency]],"")</f>
        <v/>
      </c>
      <c r="AZ195" t="str">
        <f ca="1">IF(Table1[[#This Row],[First Occurrence]]=1,Table1[[#This Row],[Group Frequency]],"")</f>
        <v/>
      </c>
      <c r="BA195" t="str">
        <f ca="1">IF(B195="Y", IF(Table1[[#This Row],[Stop]]="", TODAY() - Table1[[#This Row],[Joining Date]], Table1[[#This Row],[Stop]] - Table1[[#This Row],[Joining Date]]), "")</f>
        <v/>
      </c>
      <c r="BB195" t="str">
        <f>_xlfn.CONCAT(Table1[[#This Row],[t]]," ",Table1[[#This Row],[Last Name]])</f>
        <v>Yuki F</v>
      </c>
      <c r="BC195" t="str">
        <f>IF(OR(Table1[[#This Row],[Teacher]]="Alex",Table1[[#This Row],[Teacher]]=""), "", Table1[[#This Row],[For Salary]])</f>
        <v/>
      </c>
      <c r="BD195" t="str">
        <f>IF(OR(Table1[[#This Row],[Teacher]]="Alex",Table1[[#This Row],[Teacher]]=""), "", Table1[[#This Row],[For Amount]])</f>
        <v/>
      </c>
      <c r="BE195" t="str">
        <f>IFERROR(IF(VLOOKUP(Table1[[#This Row],[Teacher]],'Teachers Salaries'!A:C,2,FALSE)="","",VLOOKUP(Table1[[#This Row],[Teacher]],'Teachers Salaries'!A:C,2,FALSE)),"")</f>
        <v/>
      </c>
      <c r="BF195" t="str">
        <f>IFERROR(IF(VLOOKUP(Table1[[#This Row],[Teacher]],'Teachers Salaries'!A:C,3,FALSE)="","",VLOOKUP(Table1[[#This Row],[Teacher]],'Teachers Salaries'!A:C,3,FALSE)),"")</f>
        <v/>
      </c>
      <c r="BG195">
        <f ca="1">IFERROR(IF(Table1[[#This Row],[Pay Type]]="Fixed","-",Table1[[#This Row],[Final Group Frequency2]]*Table1[[#This Row],[Salary / Hourly Rate]]),0)</f>
        <v>0</v>
      </c>
      <c r="BH195">
        <f>IFERROR(IF(Table1[[#This Row],[Pay Type]]="Fixed","----",Table1[[#This Row],[Salary / Hourly Rate]]*Table1[[#This Row],[Final PrivateFrequency]]),0)</f>
        <v>0</v>
      </c>
      <c r="BI195">
        <f ca="1">IF(Table1[[#This Row],[Pay Type]]="Fixed","---",Table1[[#This Row],[Group Salary]]+Table1[[#This Row],[Private Salary]])</f>
        <v>0</v>
      </c>
      <c r="BJ195" t="str">
        <f>IF(OR(J195="Alex", J195=""),"", Table1[[#This Row],[For Amount]])</f>
        <v/>
      </c>
      <c r="BK195">
        <f ca="1">IFERROR(Table1[[#This Row],[Fee]]-Table1[[#This Row],[Total Salary]],"")</f>
        <v>0</v>
      </c>
      <c r="BL195" t="str">
        <f>IF(Table1[[#This Row],[Joining Date]]="","",IF(Table1[[#This Row],[Joining Date]]&lt;='KPI+Pivot'!$CP$1,Table1[[#This Row],[Fee]],""))</f>
        <v/>
      </c>
      <c r="BM19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5" t="str">
        <f>IF(Table1[[#This Row],[Joining Date]]="","",IF(Table1[[#This Row],[Joining Date]]&lt;='KPI+Pivot'!$CP$1,Table1[[#This Row],[Total Salary]],""))</f>
        <v/>
      </c>
      <c r="BO195" t="str">
        <f>IF(Table1[[#This Row],[Joining Date]]="","",IF(Table1[[#This Row],[Joining Date]]&lt;='KPI+Pivot'!$CP$1,Table1[[#This Row],[Frequency]],""))</f>
        <v/>
      </c>
      <c r="BP195" s="38" t="str">
        <f>IF(Table1[[#This Row],[Stop]]="","",(IF(Table1[[#This Row],[Joining Date]]="","",IF(Table1[[#This Row],[Joining Date]]&lt;='KPI+Pivot'!$CP$1,Table1[[#This Row],[Stop]],""))))</f>
        <v/>
      </c>
    </row>
    <row r="196" spans="1:68" ht="22.9" customHeight="1">
      <c r="B196" t="s">
        <v>66</v>
      </c>
      <c r="C196" t="s">
        <v>1350</v>
      </c>
      <c r="D196" t="s">
        <v>157</v>
      </c>
      <c r="F196" t="s">
        <v>839</v>
      </c>
      <c r="G196" t="s">
        <v>1351</v>
      </c>
      <c r="H196" t="s">
        <v>1352</v>
      </c>
      <c r="I196" t="str">
        <f>IFERROR(HYPERLINK("#Finance!B" &amp; MATCH(A196, 'F 2025'!A:A, 0), "🔗 Go to finance"), "❌ ID introuvable")</f>
        <v>❌ ID introuvable</v>
      </c>
      <c r="V196" t="s">
        <v>1353</v>
      </c>
      <c r="W196" t="s">
        <v>1353</v>
      </c>
      <c r="Y196" t="s">
        <v>1354</v>
      </c>
      <c r="Z196" t="s">
        <v>75</v>
      </c>
      <c r="AD196" s="130"/>
      <c r="AE196"/>
      <c r="AG196" t="s">
        <v>76</v>
      </c>
      <c r="AM196" s="38"/>
      <c r="AO196" t="s">
        <v>1351</v>
      </c>
      <c r="AR196" t="str">
        <f t="shared" si="12"/>
        <v/>
      </c>
      <c r="AS196" t="str">
        <f t="shared" si="13"/>
        <v/>
      </c>
      <c r="AT196" t="str">
        <f>IF(Table1[[#This Row],[Joining Date]]="", "", TEXT(Table1[[#This Row],[Joining Date]], "mmm"))</f>
        <v/>
      </c>
      <c r="AU196" t="str">
        <f>IF(Table1[[#This Row],[Joining Date]]="", "", YEAR(Table1[[#This Row],[Joining Date]]))</f>
        <v/>
      </c>
      <c r="AV196" t="str">
        <f>IF(Table1[[#This Row],[Group Name]]="","", M196 &amp; Table1[[#This Row],[Teacher]])</f>
        <v/>
      </c>
      <c r="AW196" t="str">
        <f>IF(Table1[[#This Row],[Helper]]="","",IF(_xlfn.MAXIFS(AT:AT,AW:AW,Table1[[#This Row],[Helper]])=Table1[[#This Row],[Clean Frequency]],_xlfn.MAXIFS(AT:AT,AW:AW,Table1[[#This Row],[Helper]]),""))</f>
        <v/>
      </c>
      <c r="AX196" t="str">
        <f ca="1">IF(AND(AW196=_xlfn.MAXIFS(AX:AX, AW:AW, AV196), COUNTIFS(AV$3:AV196, AV196, AW$3:AW196, AW196)=1), 1, "")</f>
        <v/>
      </c>
      <c r="AY196" t="str">
        <f>IF(Table1[[#This Row],[lesson type]]="private",Table1[[#This Row],[Clean Frequency]],"")</f>
        <v/>
      </c>
      <c r="AZ196" t="str">
        <f ca="1">IF(Table1[[#This Row],[First Occurrence]]=1,Table1[[#This Row],[Group Frequency]],"")</f>
        <v/>
      </c>
      <c r="BA196" t="str">
        <f ca="1">IF(B196="Y", IF(Table1[[#This Row],[Stop]]="", TODAY() - Table1[[#This Row],[Joining Date]], Table1[[#This Row],[Stop]] - Table1[[#This Row],[Joining Date]]), "")</f>
        <v/>
      </c>
      <c r="BB196" t="str">
        <f>_xlfn.CONCAT(Table1[[#This Row],[t]]," ",Table1[[#This Row],[Last Name]])</f>
        <v>Yuki Kinoshita</v>
      </c>
      <c r="BC196" t="str">
        <f>IF(OR(Table1[[#This Row],[Teacher]]="Alex",Table1[[#This Row],[Teacher]]=""), "", Table1[[#This Row],[For Salary]])</f>
        <v/>
      </c>
      <c r="BD196" t="str">
        <f>IF(OR(Table1[[#This Row],[Teacher]]="Alex",Table1[[#This Row],[Teacher]]=""), "", Table1[[#This Row],[For Amount]])</f>
        <v/>
      </c>
      <c r="BE196" t="str">
        <f>IFERROR(IF(VLOOKUP(Table1[[#This Row],[Teacher]],'Teachers Salaries'!A:C,2,FALSE)="","",VLOOKUP(Table1[[#This Row],[Teacher]],'Teachers Salaries'!A:C,2,FALSE)),"")</f>
        <v/>
      </c>
      <c r="BF196" t="str">
        <f>IFERROR(IF(VLOOKUP(Table1[[#This Row],[Teacher]],'Teachers Salaries'!A:C,3,FALSE)="","",VLOOKUP(Table1[[#This Row],[Teacher]],'Teachers Salaries'!A:C,3,FALSE)),"")</f>
        <v/>
      </c>
      <c r="BG196">
        <f ca="1">IFERROR(IF(Table1[[#This Row],[Pay Type]]="Fixed","-",Table1[[#This Row],[Final Group Frequency2]]*Table1[[#This Row],[Salary / Hourly Rate]]),0)</f>
        <v>0</v>
      </c>
      <c r="BH196">
        <f>IFERROR(IF(Table1[[#This Row],[Pay Type]]="Fixed","----",Table1[[#This Row],[Salary / Hourly Rate]]*Table1[[#This Row],[Final PrivateFrequency]]),0)</f>
        <v>0</v>
      </c>
      <c r="BI196">
        <f ca="1">IF(Table1[[#This Row],[Pay Type]]="Fixed","---",Table1[[#This Row],[Group Salary]]+Table1[[#This Row],[Private Salary]])</f>
        <v>0</v>
      </c>
      <c r="BJ196" t="str">
        <f>IF(OR(J196="Alex", J196=""),"", Table1[[#This Row],[For Amount]])</f>
        <v/>
      </c>
      <c r="BK196">
        <f ca="1">IFERROR(Table1[[#This Row],[Fee]]-Table1[[#This Row],[Total Salary]],"")</f>
        <v>0</v>
      </c>
      <c r="BL196" t="str">
        <f>IF(Table1[[#This Row],[Joining Date]]="","",IF(Table1[[#This Row],[Joining Date]]&lt;='KPI+Pivot'!$CP$1,Table1[[#This Row],[Fee]],""))</f>
        <v/>
      </c>
      <c r="BM19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6" t="str">
        <f>IF(Table1[[#This Row],[Joining Date]]="","",IF(Table1[[#This Row],[Joining Date]]&lt;='KPI+Pivot'!$CP$1,Table1[[#This Row],[Total Salary]],""))</f>
        <v/>
      </c>
      <c r="BO196" t="str">
        <f>IF(Table1[[#This Row],[Joining Date]]="","",IF(Table1[[#This Row],[Joining Date]]&lt;='KPI+Pivot'!$CP$1,Table1[[#This Row],[Frequency]],""))</f>
        <v/>
      </c>
      <c r="BP196" s="38" t="str">
        <f>IF(Table1[[#This Row],[Stop]]="","",(IF(Table1[[#This Row],[Joining Date]]="","",IF(Table1[[#This Row],[Joining Date]]&lt;='KPI+Pivot'!$CP$1,Table1[[#This Row],[Stop]],""))))</f>
        <v/>
      </c>
    </row>
    <row r="197" spans="1:68" ht="18" customHeight="1">
      <c r="A197">
        <v>141</v>
      </c>
      <c r="B197" t="s">
        <v>66</v>
      </c>
      <c r="C197" t="s">
        <v>1350</v>
      </c>
      <c r="D197" t="s">
        <v>1355</v>
      </c>
      <c r="F197" t="s">
        <v>1356</v>
      </c>
      <c r="G197" t="s">
        <v>1357</v>
      </c>
      <c r="H197" t="s">
        <v>1358</v>
      </c>
      <c r="I197" t="str">
        <f>IFERROR(HYPERLINK("#Finance!B" &amp; MATCH(A197, 'F 2025'!A:A, 0), "🔗 Go to finance"), "❌ ID introuvable")</f>
        <v>🔗 Go to finance</v>
      </c>
      <c r="J197" t="s">
        <v>196</v>
      </c>
      <c r="K197" t="s">
        <v>110</v>
      </c>
      <c r="L197" t="s">
        <v>495</v>
      </c>
      <c r="N197">
        <v>4</v>
      </c>
      <c r="O197">
        <v>19800</v>
      </c>
      <c r="R197">
        <v>0</v>
      </c>
      <c r="Y197">
        <v>8017866884</v>
      </c>
      <c r="Z197" t="s">
        <v>75</v>
      </c>
      <c r="AB197" t="s">
        <v>1359</v>
      </c>
      <c r="AD197" s="130">
        <v>45383</v>
      </c>
      <c r="AE197"/>
      <c r="AG197" t="s">
        <v>76</v>
      </c>
      <c r="AI197" t="s">
        <v>1359</v>
      </c>
      <c r="AK197" t="s">
        <v>84</v>
      </c>
      <c r="AM197" s="38">
        <v>45698</v>
      </c>
      <c r="AO197" t="s">
        <v>1357</v>
      </c>
      <c r="AR197" t="str">
        <f t="shared" si="12"/>
        <v>private</v>
      </c>
      <c r="AS197">
        <f t="shared" si="13"/>
        <v>4</v>
      </c>
      <c r="AT197" t="str">
        <f>IF(Table1[[#This Row],[Joining Date]]="", "", TEXT(Table1[[#This Row],[Joining Date]], "mmm"))</f>
        <v>Apr</v>
      </c>
      <c r="AU197">
        <f>IF(Table1[[#This Row],[Joining Date]]="", "", YEAR(Table1[[#This Row],[Joining Date]]))</f>
        <v>2024</v>
      </c>
      <c r="AV197" t="str">
        <f>IF(Table1[[#This Row],[Group Name]]="","", M197 &amp; Table1[[#This Row],[Teacher]])</f>
        <v/>
      </c>
      <c r="AW197" t="str">
        <f>IF(Table1[[#This Row],[Helper]]="","",IF(_xlfn.MAXIFS(AT:AT,AW:AW,Table1[[#This Row],[Helper]])=Table1[[#This Row],[Clean Frequency]],_xlfn.MAXIFS(AT:AT,AW:AW,Table1[[#This Row],[Helper]]),""))</f>
        <v/>
      </c>
      <c r="AX197" t="str">
        <f ca="1">IF(AND(AW197=_xlfn.MAXIFS(AX:AX, AW:AW, AV197), COUNTIFS(AV$3:AV197, AV197, AW$3:AW197, AW197)=1), 1, "")</f>
        <v/>
      </c>
      <c r="AY197">
        <f>IF(Table1[[#This Row],[lesson type]]="private",Table1[[#This Row],[Clean Frequency]],"")</f>
        <v>4</v>
      </c>
      <c r="AZ197" t="str">
        <f ca="1">IF(Table1[[#This Row],[First Occurrence]]=1,Table1[[#This Row],[Group Frequency]],"")</f>
        <v/>
      </c>
      <c r="BA197" t="str">
        <f ca="1">IF(B197="Y", IF(Table1[[#This Row],[Stop]]="", TODAY() - Table1[[#This Row],[Joining Date]], Table1[[#This Row],[Stop]] - Table1[[#This Row],[Joining Date]]), "")</f>
        <v/>
      </c>
      <c r="BB197" t="str">
        <f>_xlfn.CONCAT(Table1[[#This Row],[t]]," ",Table1[[#This Row],[Last Name]])</f>
        <v>Yuki Kado</v>
      </c>
      <c r="BC197" t="e">
        <f>IF(OR(Table1[[#This Row],[Teacher]]="Alex",Table1[[#This Row],[Teacher]]=""), "", Table1[[#This Row],[For Salary]])</f>
        <v>#N/A</v>
      </c>
      <c r="BD197" t="e">
        <f>IF(OR(Table1[[#This Row],[Teacher]]="Alex",Table1[[#This Row],[Teacher]]=""), "", Table1[[#This Row],[For Amount]])</f>
        <v>#N/A</v>
      </c>
      <c r="BE197" t="str">
        <f>IFERROR(IF(VLOOKUP(Table1[[#This Row],[Teacher]],'Teachers Salaries'!A:C,2,FALSE)="","",VLOOKUP(Table1[[#This Row],[Teacher]],'Teachers Salaries'!A:C,2,FALSE)),"")</f>
        <v>Hourly</v>
      </c>
      <c r="BF197">
        <f>IFERROR(IF(VLOOKUP(Table1[[#This Row],[Teacher]],'Teachers Salaries'!A:C,3,FALSE)="","",VLOOKUP(Table1[[#This Row],[Teacher]],'Teachers Salaries'!A:C,3,FALSE)),"")</f>
        <v>2600</v>
      </c>
      <c r="BG197">
        <f ca="1">IFERROR(IF(Table1[[#This Row],[Pay Type]]="Fixed","-",Table1[[#This Row],[Final Group Frequency2]]*Table1[[#This Row],[Salary / Hourly Rate]]),0)</f>
        <v>0</v>
      </c>
      <c r="BH197">
        <f>IFERROR(IF(Table1[[#This Row],[Pay Type]]="Fixed","----",Table1[[#This Row],[Salary / Hourly Rate]]*Table1[[#This Row],[Final PrivateFrequency]]),0)</f>
        <v>10400</v>
      </c>
      <c r="BI197">
        <f ca="1">IF(Table1[[#This Row],[Pay Type]]="Fixed","---",Table1[[#This Row],[Group Salary]]+Table1[[#This Row],[Private Salary]])</f>
        <v>10400</v>
      </c>
      <c r="BJ197" t="e">
        <f>IF(OR(J197="Alex", J197=""),"", Table1[[#This Row],[For Amount]])</f>
        <v>#N/A</v>
      </c>
      <c r="BK197">
        <f ca="1">IFERROR(Table1[[#This Row],[Fee]]-Table1[[#This Row],[Total Salary]],"")</f>
        <v>9400</v>
      </c>
      <c r="BL197" t="e">
        <f>IF(Table1[[#This Row],[Joining Date]]="","",IF(Table1[[#This Row],[Joining Date]]&lt;='KPI+Pivot'!$CP$1,Table1[[#This Row],[Fee]],""))</f>
        <v>#N/A</v>
      </c>
      <c r="BM19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97" t="e">
        <f>IF(Table1[[#This Row],[Joining Date]]="","",IF(Table1[[#This Row],[Joining Date]]&lt;='KPI+Pivot'!$CP$1,Table1[[#This Row],[Total Salary]],""))</f>
        <v>#N/A</v>
      </c>
      <c r="BO197" t="e">
        <f>IF(Table1[[#This Row],[Joining Date]]="","",IF(Table1[[#This Row],[Joining Date]]&lt;='KPI+Pivot'!$CP$1,Table1[[#This Row],[Frequency]],""))</f>
        <v>#N/A</v>
      </c>
      <c r="BP197" s="38" t="e">
        <f>IF(Table1[[#This Row],[Stop]]="","",(IF(Table1[[#This Row],[Joining Date]]="","",IF(Table1[[#This Row],[Joining Date]]&lt;='KPI+Pivot'!$CP$1,Table1[[#This Row],[Stop]],""))))</f>
        <v>#N/A</v>
      </c>
    </row>
    <row r="198" spans="1:68" ht="22.9" customHeight="1">
      <c r="B198" t="s">
        <v>66</v>
      </c>
      <c r="C198" t="s">
        <v>1360</v>
      </c>
      <c r="D198" t="s">
        <v>1361</v>
      </c>
      <c r="F198" t="s">
        <v>1362</v>
      </c>
      <c r="G198" t="s">
        <v>1363</v>
      </c>
      <c r="H198" t="s">
        <v>1364</v>
      </c>
      <c r="I198" t="str">
        <f>IFERROR(HYPERLINK("#Finance!B" &amp; MATCH(A198, 'F 2025'!A:A, 0), "🔗 Go to finance"), "❌ ID introuvable")</f>
        <v>❌ ID introuvable</v>
      </c>
      <c r="L198" t="s">
        <v>90</v>
      </c>
      <c r="V198" t="s">
        <v>1365</v>
      </c>
      <c r="Y198" t="s">
        <v>1366</v>
      </c>
      <c r="Z198" t="s">
        <v>75</v>
      </c>
      <c r="AB198" t="s">
        <v>1367</v>
      </c>
      <c r="AD198" s="130"/>
      <c r="AE198"/>
      <c r="AG198" t="s">
        <v>76</v>
      </c>
      <c r="AI198" t="s">
        <v>1367</v>
      </c>
      <c r="AK198" t="s">
        <v>539</v>
      </c>
      <c r="AM198" s="38"/>
      <c r="AO198" t="s">
        <v>1363</v>
      </c>
      <c r="AR198" t="str">
        <f t="shared" si="12"/>
        <v/>
      </c>
      <c r="AS198" t="str">
        <f t="shared" si="13"/>
        <v/>
      </c>
      <c r="AT198" t="str">
        <f>IF(Table1[[#This Row],[Joining Date]]="", "", TEXT(Table1[[#This Row],[Joining Date]], "mmm"))</f>
        <v/>
      </c>
      <c r="AU198" t="str">
        <f>IF(Table1[[#This Row],[Joining Date]]="", "", YEAR(Table1[[#This Row],[Joining Date]]))</f>
        <v/>
      </c>
      <c r="AV198" t="str">
        <f>IF(Table1[[#This Row],[Group Name]]="","", M198 &amp; Table1[[#This Row],[Teacher]])</f>
        <v/>
      </c>
      <c r="AW198" t="str">
        <f>IF(Table1[[#This Row],[Helper]]="","",IF(_xlfn.MAXIFS(AT:AT,AW:AW,Table1[[#This Row],[Helper]])=Table1[[#This Row],[Clean Frequency]],_xlfn.MAXIFS(AT:AT,AW:AW,Table1[[#This Row],[Helper]]),""))</f>
        <v/>
      </c>
      <c r="AX198" t="str">
        <f ca="1">IF(AND(AW198=_xlfn.MAXIFS(AX:AX, AW:AW, AV198), COUNTIFS(AV$3:AV198, AV198, AW$3:AW198, AW198)=1), 1, "")</f>
        <v/>
      </c>
      <c r="AY198" t="str">
        <f>IF(Table1[[#This Row],[lesson type]]="private",Table1[[#This Row],[Clean Frequency]],"")</f>
        <v/>
      </c>
      <c r="AZ198" t="str">
        <f ca="1">IF(Table1[[#This Row],[First Occurrence]]=1,Table1[[#This Row],[Group Frequency]],"")</f>
        <v/>
      </c>
      <c r="BA198" t="str">
        <f ca="1">IF(B198="Y", IF(Table1[[#This Row],[Stop]]="", TODAY() - Table1[[#This Row],[Joining Date]], Table1[[#This Row],[Stop]] - Table1[[#This Row],[Joining Date]]), "")</f>
        <v/>
      </c>
      <c r="BB198" t="str">
        <f>_xlfn.CONCAT(Table1[[#This Row],[t]]," ",Table1[[#This Row],[Last Name]])</f>
        <v>Yukiko Shigetomi</v>
      </c>
      <c r="BC198" t="str">
        <f>IF(OR(Table1[[#This Row],[Teacher]]="Alex",Table1[[#This Row],[Teacher]]=""), "", Table1[[#This Row],[For Salary]])</f>
        <v/>
      </c>
      <c r="BD198" t="str">
        <f>IF(OR(Table1[[#This Row],[Teacher]]="Alex",Table1[[#This Row],[Teacher]]=""), "", Table1[[#This Row],[For Amount]])</f>
        <v/>
      </c>
      <c r="BE198" t="str">
        <f>IFERROR(IF(VLOOKUP(Table1[[#This Row],[Teacher]],'Teachers Salaries'!A:C,2,FALSE)="","",VLOOKUP(Table1[[#This Row],[Teacher]],'Teachers Salaries'!A:C,2,FALSE)),"")</f>
        <v/>
      </c>
      <c r="BF198" t="str">
        <f>IFERROR(IF(VLOOKUP(Table1[[#This Row],[Teacher]],'Teachers Salaries'!A:C,3,FALSE)="","",VLOOKUP(Table1[[#This Row],[Teacher]],'Teachers Salaries'!A:C,3,FALSE)),"")</f>
        <v/>
      </c>
      <c r="BG198">
        <f ca="1">IFERROR(IF(Table1[[#This Row],[Pay Type]]="Fixed","-",Table1[[#This Row],[Final Group Frequency2]]*Table1[[#This Row],[Salary / Hourly Rate]]),0)</f>
        <v>0</v>
      </c>
      <c r="BH198">
        <f>IFERROR(IF(Table1[[#This Row],[Pay Type]]="Fixed","----",Table1[[#This Row],[Salary / Hourly Rate]]*Table1[[#This Row],[Final PrivateFrequency]]),0)</f>
        <v>0</v>
      </c>
      <c r="BI198">
        <f ca="1">IF(Table1[[#This Row],[Pay Type]]="Fixed","---",Table1[[#This Row],[Group Salary]]+Table1[[#This Row],[Private Salary]])</f>
        <v>0</v>
      </c>
      <c r="BJ198" t="str">
        <f>IF(OR(J198="Alex", J198=""),"", Table1[[#This Row],[For Amount]])</f>
        <v/>
      </c>
      <c r="BK198">
        <f ca="1">IFERROR(Table1[[#This Row],[Fee]]-Table1[[#This Row],[Total Salary]],"")</f>
        <v>0</v>
      </c>
      <c r="BL198" t="str">
        <f>IF(Table1[[#This Row],[Joining Date]]="","",IF(Table1[[#This Row],[Joining Date]]&lt;='KPI+Pivot'!$CP$1,Table1[[#This Row],[Fee]],""))</f>
        <v/>
      </c>
      <c r="BM19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8" t="str">
        <f>IF(Table1[[#This Row],[Joining Date]]="","",IF(Table1[[#This Row],[Joining Date]]&lt;='KPI+Pivot'!$CP$1,Table1[[#This Row],[Total Salary]],""))</f>
        <v/>
      </c>
      <c r="BO198" t="str">
        <f>IF(Table1[[#This Row],[Joining Date]]="","",IF(Table1[[#This Row],[Joining Date]]&lt;='KPI+Pivot'!$CP$1,Table1[[#This Row],[Frequency]],""))</f>
        <v/>
      </c>
      <c r="BP198" s="38" t="str">
        <f>IF(Table1[[#This Row],[Stop]]="","",(IF(Table1[[#This Row],[Joining Date]]="","",IF(Table1[[#This Row],[Joining Date]]&lt;='KPI+Pivot'!$CP$1,Table1[[#This Row],[Stop]],""))))</f>
        <v/>
      </c>
    </row>
    <row r="199" spans="1:68" ht="22.9" customHeight="1">
      <c r="B199" t="s">
        <v>66</v>
      </c>
      <c r="C199" t="s">
        <v>1368</v>
      </c>
      <c r="D199" t="s">
        <v>1369</v>
      </c>
      <c r="F199" t="s">
        <v>1370</v>
      </c>
      <c r="G199" t="s">
        <v>1371</v>
      </c>
      <c r="H199" t="s">
        <v>1372</v>
      </c>
      <c r="I199" t="str">
        <f>IFERROR(HYPERLINK("#Finance!B" &amp; MATCH(A199, 'F 2025'!A:A, 0), "🔗 Go to finance"), "❌ ID introuvable")</f>
        <v>❌ ID introuvable</v>
      </c>
      <c r="L199" t="s">
        <v>90</v>
      </c>
      <c r="V199" t="s">
        <v>1373</v>
      </c>
      <c r="W199" t="s">
        <v>1373</v>
      </c>
      <c r="Y199" t="s">
        <v>1374</v>
      </c>
      <c r="Z199" t="s">
        <v>75</v>
      </c>
      <c r="AB199" t="s">
        <v>1375</v>
      </c>
      <c r="AD199" s="130"/>
      <c r="AE199"/>
      <c r="AG199" t="s">
        <v>76</v>
      </c>
      <c r="AI199" t="s">
        <v>1375</v>
      </c>
      <c r="AK199" t="s">
        <v>354</v>
      </c>
      <c r="AM199" s="38"/>
      <c r="AO199" t="s">
        <v>1371</v>
      </c>
      <c r="AR199" t="str">
        <f t="shared" si="12"/>
        <v/>
      </c>
      <c r="AS199" t="str">
        <f t="shared" si="13"/>
        <v/>
      </c>
      <c r="AT199" t="str">
        <f>IF(Table1[[#This Row],[Joining Date]]="", "", TEXT(Table1[[#This Row],[Joining Date]], "mmm"))</f>
        <v/>
      </c>
      <c r="AU199" t="str">
        <f>IF(Table1[[#This Row],[Joining Date]]="", "", YEAR(Table1[[#This Row],[Joining Date]]))</f>
        <v/>
      </c>
      <c r="AV199" t="str">
        <f>IF(Table1[[#This Row],[Group Name]]="","", M199 &amp; Table1[[#This Row],[Teacher]])</f>
        <v/>
      </c>
      <c r="AW199" t="str">
        <f>IF(Table1[[#This Row],[Helper]]="","",IF(_xlfn.MAXIFS(AT:AT,AW:AW,Table1[[#This Row],[Helper]])=Table1[[#This Row],[Clean Frequency]],_xlfn.MAXIFS(AT:AT,AW:AW,Table1[[#This Row],[Helper]]),""))</f>
        <v/>
      </c>
      <c r="AX199" t="str">
        <f ca="1">IF(AND(AW199=_xlfn.MAXIFS(AX:AX, AW:AW, AV199), COUNTIFS(AV$3:AV199, AV199, AW$3:AW199, AW199)=1), 1, "")</f>
        <v/>
      </c>
      <c r="AY199" t="str">
        <f>IF(Table1[[#This Row],[lesson type]]="private",Table1[[#This Row],[Clean Frequency]],"")</f>
        <v/>
      </c>
      <c r="AZ199" t="str">
        <f ca="1">IF(Table1[[#This Row],[First Occurrence]]=1,Table1[[#This Row],[Group Frequency]],"")</f>
        <v/>
      </c>
      <c r="BA199" t="str">
        <f ca="1">IF(B199="Y", IF(Table1[[#This Row],[Stop]]="", TODAY() - Table1[[#This Row],[Joining Date]], Table1[[#This Row],[Stop]] - Table1[[#This Row],[Joining Date]]), "")</f>
        <v/>
      </c>
      <c r="BB199" t="str">
        <f>_xlfn.CONCAT(Table1[[#This Row],[t]]," ",Table1[[#This Row],[Last Name]])</f>
        <v>Yukiyo Koyama(Yamaguchi)</v>
      </c>
      <c r="BC199" t="str">
        <f>IF(OR(Table1[[#This Row],[Teacher]]="Alex",Table1[[#This Row],[Teacher]]=""), "", Table1[[#This Row],[For Salary]])</f>
        <v/>
      </c>
      <c r="BD199" t="str">
        <f>IF(OR(Table1[[#This Row],[Teacher]]="Alex",Table1[[#This Row],[Teacher]]=""), "", Table1[[#This Row],[For Amount]])</f>
        <v/>
      </c>
      <c r="BE199" t="str">
        <f>IFERROR(IF(VLOOKUP(Table1[[#This Row],[Teacher]],'Teachers Salaries'!A:C,2,FALSE)="","",VLOOKUP(Table1[[#This Row],[Teacher]],'Teachers Salaries'!A:C,2,FALSE)),"")</f>
        <v/>
      </c>
      <c r="BF199" t="str">
        <f>IFERROR(IF(VLOOKUP(Table1[[#This Row],[Teacher]],'Teachers Salaries'!A:C,3,FALSE)="","",VLOOKUP(Table1[[#This Row],[Teacher]],'Teachers Salaries'!A:C,3,FALSE)),"")</f>
        <v/>
      </c>
      <c r="BG199">
        <f ca="1">IFERROR(IF(Table1[[#This Row],[Pay Type]]="Fixed","-",Table1[[#This Row],[Final Group Frequency2]]*Table1[[#This Row],[Salary / Hourly Rate]]),0)</f>
        <v>0</v>
      </c>
      <c r="BH199">
        <f>IFERROR(IF(Table1[[#This Row],[Pay Type]]="Fixed","----",Table1[[#This Row],[Salary / Hourly Rate]]*Table1[[#This Row],[Final PrivateFrequency]]),0)</f>
        <v>0</v>
      </c>
      <c r="BI199">
        <f ca="1">IF(Table1[[#This Row],[Pay Type]]="Fixed","---",Table1[[#This Row],[Group Salary]]+Table1[[#This Row],[Private Salary]])</f>
        <v>0</v>
      </c>
      <c r="BJ199" t="str">
        <f>IF(OR(J199="Alex", J199=""),"", Table1[[#This Row],[For Amount]])</f>
        <v/>
      </c>
      <c r="BK199">
        <f ca="1">IFERROR(Table1[[#This Row],[Fee]]-Table1[[#This Row],[Total Salary]],"")</f>
        <v>0</v>
      </c>
      <c r="BL199" t="str">
        <f>IF(Table1[[#This Row],[Joining Date]]="","",IF(Table1[[#This Row],[Joining Date]]&lt;='KPI+Pivot'!$CP$1,Table1[[#This Row],[Fee]],""))</f>
        <v/>
      </c>
      <c r="BM19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9" t="str">
        <f>IF(Table1[[#This Row],[Joining Date]]="","",IF(Table1[[#This Row],[Joining Date]]&lt;='KPI+Pivot'!$CP$1,Table1[[#This Row],[Total Salary]],""))</f>
        <v/>
      </c>
      <c r="BO199" t="str">
        <f>IF(Table1[[#This Row],[Joining Date]]="","",IF(Table1[[#This Row],[Joining Date]]&lt;='KPI+Pivot'!$CP$1,Table1[[#This Row],[Frequency]],""))</f>
        <v/>
      </c>
      <c r="BP199" s="38" t="str">
        <f>IF(Table1[[#This Row],[Stop]]="","",(IF(Table1[[#This Row],[Joining Date]]="","",IF(Table1[[#This Row],[Joining Date]]&lt;='KPI+Pivot'!$CP$1,Table1[[#This Row],[Stop]],""))))</f>
        <v/>
      </c>
    </row>
    <row r="200" spans="1:68" ht="22.9" customHeight="1">
      <c r="B200" t="s">
        <v>66</v>
      </c>
      <c r="C200" t="s">
        <v>1376</v>
      </c>
      <c r="D200" t="s">
        <v>1377</v>
      </c>
      <c r="F200" t="s">
        <v>1378</v>
      </c>
      <c r="G200" t="s">
        <v>1379</v>
      </c>
      <c r="H200" t="s">
        <v>1380</v>
      </c>
      <c r="I200" t="str">
        <f>IFERROR(HYPERLINK("#Finance!B" &amp; MATCH(A200, 'F 2025'!A:A, 0), "🔗 Go to finance"), "❌ ID introuvable")</f>
        <v>❌ ID introuvable</v>
      </c>
      <c r="V200" t="s">
        <v>1381</v>
      </c>
      <c r="Y200" t="s">
        <v>1382</v>
      </c>
      <c r="Z200" t="s">
        <v>75</v>
      </c>
      <c r="AD200" s="130"/>
      <c r="AE200"/>
      <c r="AG200" t="s">
        <v>76</v>
      </c>
      <c r="AM200" s="38"/>
      <c r="AO200" t="s">
        <v>1379</v>
      </c>
      <c r="AR200" t="str">
        <f t="shared" si="12"/>
        <v/>
      </c>
      <c r="AS200" t="str">
        <f t="shared" si="13"/>
        <v/>
      </c>
      <c r="AT200" t="str">
        <f>IF(Table1[[#This Row],[Joining Date]]="", "", TEXT(Table1[[#This Row],[Joining Date]], "mmm"))</f>
        <v/>
      </c>
      <c r="AU200" t="str">
        <f>IF(Table1[[#This Row],[Joining Date]]="", "", YEAR(Table1[[#This Row],[Joining Date]]))</f>
        <v/>
      </c>
      <c r="AV200" t="str">
        <f>IF(Table1[[#This Row],[Group Name]]="","", M200 &amp; Table1[[#This Row],[Teacher]])</f>
        <v/>
      </c>
      <c r="AW200" t="str">
        <f>IF(Table1[[#This Row],[Helper]]="","",IF(_xlfn.MAXIFS(AT:AT,AW:AW,Table1[[#This Row],[Helper]])=Table1[[#This Row],[Clean Frequency]],_xlfn.MAXIFS(AT:AT,AW:AW,Table1[[#This Row],[Helper]]),""))</f>
        <v/>
      </c>
      <c r="AX200" t="str">
        <f ca="1">IF(AND(AW200=_xlfn.MAXIFS(AX:AX, AW:AW, AV200), COUNTIFS(AV$3:AV200, AV200, AW$3:AW200, AW200)=1), 1, "")</f>
        <v/>
      </c>
      <c r="AY200" t="str">
        <f>IF(Table1[[#This Row],[lesson type]]="private",Table1[[#This Row],[Clean Frequency]],"")</f>
        <v/>
      </c>
      <c r="AZ200" t="str">
        <f ca="1">IF(Table1[[#This Row],[First Occurrence]]=1,Table1[[#This Row],[Group Frequency]],"")</f>
        <v/>
      </c>
      <c r="BA200" t="str">
        <f ca="1">IF(B200="Y", IF(Table1[[#This Row],[Stop]]="", TODAY() - Table1[[#This Row],[Joining Date]], Table1[[#This Row],[Stop]] - Table1[[#This Row],[Joining Date]]), "")</f>
        <v/>
      </c>
      <c r="BB200" t="str">
        <f>_xlfn.CONCAT(Table1[[#This Row],[t]]," ",Table1[[#This Row],[Last Name]])</f>
        <v>Yuko Iwamoto</v>
      </c>
      <c r="BC200" t="str">
        <f>IF(OR(Table1[[#This Row],[Teacher]]="Alex",Table1[[#This Row],[Teacher]]=""), "", Table1[[#This Row],[For Salary]])</f>
        <v/>
      </c>
      <c r="BD200" t="str">
        <f>IF(OR(Table1[[#This Row],[Teacher]]="Alex",Table1[[#This Row],[Teacher]]=""), "", Table1[[#This Row],[For Amount]])</f>
        <v/>
      </c>
      <c r="BE200" t="str">
        <f>IFERROR(IF(VLOOKUP(Table1[[#This Row],[Teacher]],'Teachers Salaries'!A:C,2,FALSE)="","",VLOOKUP(Table1[[#This Row],[Teacher]],'Teachers Salaries'!A:C,2,FALSE)),"")</f>
        <v/>
      </c>
      <c r="BF200" t="str">
        <f>IFERROR(IF(VLOOKUP(Table1[[#This Row],[Teacher]],'Teachers Salaries'!A:C,3,FALSE)="","",VLOOKUP(Table1[[#This Row],[Teacher]],'Teachers Salaries'!A:C,3,FALSE)),"")</f>
        <v/>
      </c>
      <c r="BG200">
        <f ca="1">IFERROR(IF(Table1[[#This Row],[Pay Type]]="Fixed","-",Table1[[#This Row],[Final Group Frequency2]]*Table1[[#This Row],[Salary / Hourly Rate]]),0)</f>
        <v>0</v>
      </c>
      <c r="BH200">
        <f>IFERROR(IF(Table1[[#This Row],[Pay Type]]="Fixed","----",Table1[[#This Row],[Salary / Hourly Rate]]*Table1[[#This Row],[Final PrivateFrequency]]),0)</f>
        <v>0</v>
      </c>
      <c r="BI200">
        <f ca="1">IF(Table1[[#This Row],[Pay Type]]="Fixed","---",Table1[[#This Row],[Group Salary]]+Table1[[#This Row],[Private Salary]])</f>
        <v>0</v>
      </c>
      <c r="BJ200" t="str">
        <f>IF(OR(J200="Alex", J200=""),"", Table1[[#This Row],[For Amount]])</f>
        <v/>
      </c>
      <c r="BK200">
        <f ca="1">IFERROR(Table1[[#This Row],[Fee]]-Table1[[#This Row],[Total Salary]],"")</f>
        <v>0</v>
      </c>
      <c r="BL200" t="str">
        <f>IF(Table1[[#This Row],[Joining Date]]="","",IF(Table1[[#This Row],[Joining Date]]&lt;='KPI+Pivot'!$CP$1,Table1[[#This Row],[Fee]],""))</f>
        <v/>
      </c>
      <c r="BM20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00" t="str">
        <f>IF(Table1[[#This Row],[Joining Date]]="","",IF(Table1[[#This Row],[Joining Date]]&lt;='KPI+Pivot'!$CP$1,Table1[[#This Row],[Total Salary]],""))</f>
        <v/>
      </c>
      <c r="BO200" t="str">
        <f>IF(Table1[[#This Row],[Joining Date]]="","",IF(Table1[[#This Row],[Joining Date]]&lt;='KPI+Pivot'!$CP$1,Table1[[#This Row],[Frequency]],""))</f>
        <v/>
      </c>
      <c r="BP200" s="38" t="str">
        <f>IF(Table1[[#This Row],[Stop]]="","",(IF(Table1[[#This Row],[Joining Date]]="","",IF(Table1[[#This Row],[Joining Date]]&lt;='KPI+Pivot'!$CP$1,Table1[[#This Row],[Stop]],""))))</f>
        <v/>
      </c>
    </row>
    <row r="201" spans="1:68" ht="22.9" customHeight="1">
      <c r="B201" t="s">
        <v>66</v>
      </c>
      <c r="C201" t="s">
        <v>1383</v>
      </c>
      <c r="D201" t="s">
        <v>1384</v>
      </c>
      <c r="F201" t="s">
        <v>1385</v>
      </c>
      <c r="G201" t="s">
        <v>1386</v>
      </c>
      <c r="H201" t="s">
        <v>1387</v>
      </c>
      <c r="I201" t="str">
        <f>IFERROR(HYPERLINK("#Finance!B" &amp; MATCH(A201, 'F 2025'!A:A, 0), "🔗 Go to finance"), "❌ ID introuvable")</f>
        <v>❌ ID introuvable</v>
      </c>
      <c r="V201" t="s">
        <v>1388</v>
      </c>
      <c r="Y201">
        <v>8034773326</v>
      </c>
      <c r="Z201" t="s">
        <v>75</v>
      </c>
      <c r="AB201" t="s">
        <v>1389</v>
      </c>
      <c r="AD201" s="130">
        <v>45079</v>
      </c>
      <c r="AE201"/>
      <c r="AG201" t="s">
        <v>76</v>
      </c>
      <c r="AI201" t="s">
        <v>1389</v>
      </c>
      <c r="AK201" t="s">
        <v>362</v>
      </c>
      <c r="AM201" s="38"/>
      <c r="AO201" t="s">
        <v>1386</v>
      </c>
      <c r="AR201" t="str">
        <f t="shared" si="12"/>
        <v/>
      </c>
      <c r="AS201" t="str">
        <f t="shared" si="13"/>
        <v/>
      </c>
      <c r="AT201" t="str">
        <f>IF(Table1[[#This Row],[Joining Date]]="", "", TEXT(Table1[[#This Row],[Joining Date]], "mmm"))</f>
        <v>Jun</v>
      </c>
      <c r="AU201">
        <f>IF(Table1[[#This Row],[Joining Date]]="", "", YEAR(Table1[[#This Row],[Joining Date]]))</f>
        <v>2023</v>
      </c>
      <c r="AV201" t="str">
        <f>IF(Table1[[#This Row],[Group Name]]="","", M201 &amp; Table1[[#This Row],[Teacher]])</f>
        <v/>
      </c>
      <c r="AW201" t="str">
        <f>IF(Table1[[#This Row],[Helper]]="","",IF(_xlfn.MAXIFS(AT:AT,AW:AW,Table1[[#This Row],[Helper]])=Table1[[#This Row],[Clean Frequency]],_xlfn.MAXIFS(AT:AT,AW:AW,Table1[[#This Row],[Helper]]),""))</f>
        <v/>
      </c>
      <c r="AX201" t="str">
        <f ca="1">IF(AND(AW201=_xlfn.MAXIFS(AX:AX, AW:AW, AV201), COUNTIFS(AV$3:AV201, AV201, AW$3:AW201, AW201)=1), 1, "")</f>
        <v/>
      </c>
      <c r="AY201" t="str">
        <f>IF(Table1[[#This Row],[lesson type]]="private",Table1[[#This Row],[Clean Frequency]],"")</f>
        <v/>
      </c>
      <c r="AZ201" t="str">
        <f ca="1">IF(Table1[[#This Row],[First Occurrence]]=1,Table1[[#This Row],[Group Frequency]],"")</f>
        <v/>
      </c>
      <c r="BA201" t="str">
        <f ca="1">IF(B201="Y", IF(Table1[[#This Row],[Stop]]="", TODAY() - Table1[[#This Row],[Joining Date]], Table1[[#This Row],[Stop]] - Table1[[#This Row],[Joining Date]]), "")</f>
        <v/>
      </c>
      <c r="BB201" t="str">
        <f>_xlfn.CONCAT(Table1[[#This Row],[t]]," ",Table1[[#This Row],[Last Name]])</f>
        <v>Yume Nakae</v>
      </c>
      <c r="BC201" t="str">
        <f>IF(OR(Table1[[#This Row],[Teacher]]="Alex",Table1[[#This Row],[Teacher]]=""), "", Table1[[#This Row],[For Salary]])</f>
        <v/>
      </c>
      <c r="BD201" t="str">
        <f>IF(OR(Table1[[#This Row],[Teacher]]="Alex",Table1[[#This Row],[Teacher]]=""), "", Table1[[#This Row],[For Amount]])</f>
        <v/>
      </c>
      <c r="BE201" t="str">
        <f>IFERROR(IF(VLOOKUP(Table1[[#This Row],[Teacher]],'Teachers Salaries'!A:C,2,FALSE)="","",VLOOKUP(Table1[[#This Row],[Teacher]],'Teachers Salaries'!A:C,2,FALSE)),"")</f>
        <v/>
      </c>
      <c r="BF201" t="str">
        <f>IFERROR(IF(VLOOKUP(Table1[[#This Row],[Teacher]],'Teachers Salaries'!A:C,3,FALSE)="","",VLOOKUP(Table1[[#This Row],[Teacher]],'Teachers Salaries'!A:C,3,FALSE)),"")</f>
        <v/>
      </c>
      <c r="BG201">
        <f ca="1">IFERROR(IF(Table1[[#This Row],[Pay Type]]="Fixed","-",Table1[[#This Row],[Final Group Frequency2]]*Table1[[#This Row],[Salary / Hourly Rate]]),0)</f>
        <v>0</v>
      </c>
      <c r="BH201">
        <f>IFERROR(IF(Table1[[#This Row],[Pay Type]]="Fixed","----",Table1[[#This Row],[Salary / Hourly Rate]]*Table1[[#This Row],[Final PrivateFrequency]]),0)</f>
        <v>0</v>
      </c>
      <c r="BI201">
        <f ca="1">IF(Table1[[#This Row],[Pay Type]]="Fixed","---",Table1[[#This Row],[Group Salary]]+Table1[[#This Row],[Private Salary]])</f>
        <v>0</v>
      </c>
      <c r="BJ201" t="str">
        <f>IF(OR(J201="Alex", J201=""),"", Table1[[#This Row],[For Amount]])</f>
        <v/>
      </c>
      <c r="BK201">
        <f ca="1">IFERROR(Table1[[#This Row],[Fee]]-Table1[[#This Row],[Total Salary]],"")</f>
        <v>0</v>
      </c>
      <c r="BL201" t="e">
        <f>IF(Table1[[#This Row],[Joining Date]]="","",IF(Table1[[#This Row],[Joining Date]]&lt;='KPI+Pivot'!$CP$1,Table1[[#This Row],[Fee]],""))</f>
        <v>#N/A</v>
      </c>
      <c r="BM20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1" t="e">
        <f>IF(Table1[[#This Row],[Joining Date]]="","",IF(Table1[[#This Row],[Joining Date]]&lt;='KPI+Pivot'!$CP$1,Table1[[#This Row],[Total Salary]],""))</f>
        <v>#N/A</v>
      </c>
      <c r="BO201" t="e">
        <f>IF(Table1[[#This Row],[Joining Date]]="","",IF(Table1[[#This Row],[Joining Date]]&lt;='KPI+Pivot'!$CP$1,Table1[[#This Row],[Frequency]],""))</f>
        <v>#N/A</v>
      </c>
      <c r="BP201" s="38" t="str">
        <f>IF(Table1[[#This Row],[Stop]]="","",(IF(Table1[[#This Row],[Joining Date]]="","",IF(Table1[[#This Row],[Joining Date]]&lt;='KPI+Pivot'!$CP$1,Table1[[#This Row],[Stop]],""))))</f>
        <v/>
      </c>
    </row>
    <row r="202" spans="1:68" ht="18" customHeight="1">
      <c r="A202">
        <v>100</v>
      </c>
      <c r="B202" t="s">
        <v>103</v>
      </c>
      <c r="C202" t="s">
        <v>1390</v>
      </c>
      <c r="D202" t="s">
        <v>381</v>
      </c>
      <c r="F202" t="s">
        <v>1391</v>
      </c>
      <c r="G202" t="s">
        <v>1392</v>
      </c>
      <c r="H202" t="s">
        <v>384</v>
      </c>
      <c r="I202" t="str">
        <f>IFERROR(HYPERLINK("#Finance!B" &amp; MATCH(A202, 'F 2025'!A:A, 0), "🔗 Go to finance"), "❌ ID introuvable")</f>
        <v>🔗 Go to finance</v>
      </c>
      <c r="J202" t="s">
        <v>109</v>
      </c>
      <c r="K202" t="s">
        <v>110</v>
      </c>
      <c r="L202" t="s">
        <v>111</v>
      </c>
      <c r="O202">
        <v>6050</v>
      </c>
      <c r="T202" s="130">
        <v>45022</v>
      </c>
      <c r="V202" t="s">
        <v>1393</v>
      </c>
      <c r="Y202">
        <v>9043563891</v>
      </c>
      <c r="Z202" t="s">
        <v>75</v>
      </c>
      <c r="AB202" t="s">
        <v>1394</v>
      </c>
      <c r="AD202" s="130">
        <v>45022</v>
      </c>
      <c r="AE202"/>
      <c r="AG202" t="s">
        <v>76</v>
      </c>
      <c r="AI202" t="s">
        <v>1394</v>
      </c>
      <c r="AK202" t="s">
        <v>182</v>
      </c>
      <c r="AM202" s="38"/>
      <c r="AO202" t="s">
        <v>1392</v>
      </c>
      <c r="AR202" t="str">
        <f t="shared" ref="AR202:AR232" si="14">IF(OR(ISNUMBER(SEARCH("private",K202)), ISNUMBER(SEARCH("プら",K202)), ISNUMBER(SEARCH("プら,大人",K202)), ISNUMBER(SEARCH("セミプラ",K202))), "private", IF(OR(ISNUMBER(SEARCH("group",K202)), ISNUMBER(SEARCH("グループ",K202)), ISNUMBER(SEARCH("gr",K202))), "group", ""))</f>
        <v>private</v>
      </c>
      <c r="AS202">
        <f t="shared" ref="AS202:AS232" si="15">IF(J202&lt;&gt;"", IF(N202="", 4, N202), "")</f>
        <v>4</v>
      </c>
      <c r="AT202" t="str">
        <f>IF(Table1[[#This Row],[Joining Date]]="", "", TEXT(Table1[[#This Row],[Joining Date]], "mmm"))</f>
        <v>Apr</v>
      </c>
      <c r="AU202">
        <f>IF(Table1[[#This Row],[Joining Date]]="", "", YEAR(Table1[[#This Row],[Joining Date]]))</f>
        <v>2023</v>
      </c>
      <c r="AV202" t="str">
        <f>IF(Table1[[#This Row],[Group Name]]="","", M202 &amp; Table1[[#This Row],[Teacher]])</f>
        <v/>
      </c>
      <c r="AW202" t="str">
        <f>IF(Table1[[#This Row],[Helper]]="","",IF(_xlfn.MAXIFS(AT:AT,AW:AW,Table1[[#This Row],[Helper]])=Table1[[#This Row],[Clean Frequency]],_xlfn.MAXIFS(AT:AT,AW:AW,Table1[[#This Row],[Helper]]),""))</f>
        <v/>
      </c>
      <c r="AX202" t="str">
        <f ca="1">IF(AND(AW202=_xlfn.MAXIFS(AX:AX, AW:AW, AV202), COUNTIFS(AV$3:AV202, AV202, AW$3:AW202, AW202)=1), 1, "")</f>
        <v/>
      </c>
      <c r="AY202">
        <f>IF(Table1[[#This Row],[lesson type]]="private",Table1[[#This Row],[Clean Frequency]],"")</f>
        <v>4</v>
      </c>
      <c r="AZ202" t="str">
        <f ca="1">IF(Table1[[#This Row],[First Occurrence]]=1,Table1[[#This Row],[Group Frequency]],"")</f>
        <v/>
      </c>
      <c r="BA202">
        <f ca="1">IF(B202="Y", IF(Table1[[#This Row],[Stop]]="", TODAY() - Table1[[#This Row],[Joining Date]], Table1[[#This Row],[Stop]] - Table1[[#This Row],[Joining Date]]), "")</f>
        <v>1155</v>
      </c>
      <c r="BB202" t="str">
        <f>_xlfn.CONCAT(Table1[[#This Row],[t]]," ",Table1[[#This Row],[Last Name]])</f>
        <v>Yuna Abe</v>
      </c>
      <c r="BC202" t="str">
        <f>IF(OR(Table1[[#This Row],[Teacher]]="Alex",Table1[[#This Row],[Teacher]]=""), "", Table1[[#This Row],[For Salary]])</f>
        <v/>
      </c>
      <c r="BD202" t="str">
        <f>IF(OR(Table1[[#This Row],[Teacher]]="Alex",Table1[[#This Row],[Teacher]]=""), "", Table1[[#This Row],[For Amount]])</f>
        <v/>
      </c>
      <c r="BE202" t="str">
        <f>IFERROR(IF(VLOOKUP(Table1[[#This Row],[Teacher]],'Teachers Salaries'!A:C,2,FALSE)="","",VLOOKUP(Table1[[#This Row],[Teacher]],'Teachers Salaries'!A:C,2,FALSE)),"")</f>
        <v>Fixed</v>
      </c>
      <c r="BF202">
        <f>IFERROR(IF(VLOOKUP(Table1[[#This Row],[Teacher]],'Teachers Salaries'!A:C,3,FALSE)="","",VLOOKUP(Table1[[#This Row],[Teacher]],'Teachers Salaries'!A:C,3,FALSE)),"")</f>
        <v>210000</v>
      </c>
      <c r="BG202" t="str">
        <f>IFERROR(IF(Table1[[#This Row],[Pay Type]]="Fixed","-",Table1[[#This Row],[Final Group Frequency2]]*Table1[[#This Row],[Salary / Hourly Rate]]),0)</f>
        <v>-</v>
      </c>
      <c r="BH202" t="str">
        <f>IFERROR(IF(Table1[[#This Row],[Pay Type]]="Fixed","----",Table1[[#This Row],[Salary / Hourly Rate]]*Table1[[#This Row],[Final PrivateFrequency]]),0)</f>
        <v>----</v>
      </c>
      <c r="BI202" t="str">
        <f>IF(Table1[[#This Row],[Pay Type]]="Fixed","---",Table1[[#This Row],[Group Salary]]+Table1[[#This Row],[Private Salary]])</f>
        <v>---</v>
      </c>
      <c r="BJ202" t="str">
        <f>IF(OR(J202="Alex", J202=""),"", Table1[[#This Row],[For Amount]])</f>
        <v/>
      </c>
      <c r="BK202" t="str">
        <f>IFERROR(Table1[[#This Row],[Fee]]-Table1[[#This Row],[Total Salary]],"")</f>
        <v/>
      </c>
      <c r="BL202" t="e">
        <f>IF(Table1[[#This Row],[Joining Date]]="","",IF(Table1[[#This Row],[Joining Date]]&lt;='KPI+Pivot'!$CP$1,Table1[[#This Row],[Fee]],""))</f>
        <v>#N/A</v>
      </c>
      <c r="BM20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2" t="e">
        <f>IF(Table1[[#This Row],[Joining Date]]="","",IF(Table1[[#This Row],[Joining Date]]&lt;='KPI+Pivot'!$CP$1,Table1[[#This Row],[Total Salary]],""))</f>
        <v>#N/A</v>
      </c>
      <c r="BO202" t="e">
        <f>IF(Table1[[#This Row],[Joining Date]]="","",IF(Table1[[#This Row],[Joining Date]]&lt;='KPI+Pivot'!$CP$1,Table1[[#This Row],[Frequency]],""))</f>
        <v>#N/A</v>
      </c>
      <c r="BP202" s="38" t="str">
        <f>IF(Table1[[#This Row],[Stop]]="","",(IF(Table1[[#This Row],[Joining Date]]="","",IF(Table1[[#This Row],[Joining Date]]&lt;='KPI+Pivot'!$CP$1,Table1[[#This Row],[Stop]],""))))</f>
        <v/>
      </c>
    </row>
    <row r="203" spans="1:68" ht="22.9" customHeight="1">
      <c r="B203" t="s">
        <v>66</v>
      </c>
      <c r="C203" t="s">
        <v>1390</v>
      </c>
      <c r="D203" t="s">
        <v>1395</v>
      </c>
      <c r="F203" t="s">
        <v>1396</v>
      </c>
      <c r="G203" t="s">
        <v>1397</v>
      </c>
      <c r="H203" t="s">
        <v>1398</v>
      </c>
      <c r="I203" t="str">
        <f>IFERROR(HYPERLINK("#Finance!B" &amp; MATCH(A203, 'F 2025'!A:A, 0), "🔗 Go to finance"), "❌ ID introuvable")</f>
        <v>❌ ID introuvable</v>
      </c>
      <c r="L203" t="s">
        <v>90</v>
      </c>
      <c r="V203" t="s">
        <v>1399</v>
      </c>
      <c r="W203" t="s">
        <v>1399</v>
      </c>
      <c r="Y203">
        <v>8017441415</v>
      </c>
      <c r="Z203" t="s">
        <v>75</v>
      </c>
      <c r="AB203" t="s">
        <v>1400</v>
      </c>
      <c r="AD203" s="130">
        <v>44713</v>
      </c>
      <c r="AE203"/>
      <c r="AG203" t="s">
        <v>76</v>
      </c>
      <c r="AI203" t="s">
        <v>1400</v>
      </c>
      <c r="AK203" t="s">
        <v>148</v>
      </c>
      <c r="AM203" s="38"/>
      <c r="AO203" t="s">
        <v>1397</v>
      </c>
      <c r="AR203" t="str">
        <f t="shared" si="14"/>
        <v/>
      </c>
      <c r="AS203" t="str">
        <f t="shared" si="15"/>
        <v/>
      </c>
      <c r="AT203" t="str">
        <f>IF(Table1[[#This Row],[Joining Date]]="", "", TEXT(Table1[[#This Row],[Joining Date]], "mmm"))</f>
        <v>Jun</v>
      </c>
      <c r="AU203">
        <f>IF(Table1[[#This Row],[Joining Date]]="", "", YEAR(Table1[[#This Row],[Joining Date]]))</f>
        <v>2022</v>
      </c>
      <c r="AV203" t="str">
        <f>IF(Table1[[#This Row],[Group Name]]="","", M203 &amp; Table1[[#This Row],[Teacher]])</f>
        <v/>
      </c>
      <c r="AW203" t="str">
        <f>IF(Table1[[#This Row],[Helper]]="","",IF(_xlfn.MAXIFS(AT:AT,AW:AW,Table1[[#This Row],[Helper]])=Table1[[#This Row],[Clean Frequency]],_xlfn.MAXIFS(AT:AT,AW:AW,Table1[[#This Row],[Helper]]),""))</f>
        <v/>
      </c>
      <c r="AX203" t="str">
        <f ca="1">IF(AND(AW203=_xlfn.MAXIFS(AX:AX, AW:AW, AV203), COUNTIFS(AV$3:AV203, AV203, AW$3:AW203, AW203)=1), 1, "")</f>
        <v/>
      </c>
      <c r="AY203" t="str">
        <f>IF(Table1[[#This Row],[lesson type]]="private",Table1[[#This Row],[Clean Frequency]],"")</f>
        <v/>
      </c>
      <c r="AZ203" t="str">
        <f ca="1">IF(Table1[[#This Row],[First Occurrence]]=1,Table1[[#This Row],[Group Frequency]],"")</f>
        <v/>
      </c>
      <c r="BA203" t="str">
        <f ca="1">IF(B203="Y", IF(Table1[[#This Row],[Stop]]="", TODAY() - Table1[[#This Row],[Joining Date]], Table1[[#This Row],[Stop]] - Table1[[#This Row],[Joining Date]]), "")</f>
        <v/>
      </c>
      <c r="BB203" t="str">
        <f>_xlfn.CONCAT(Table1[[#This Row],[t]]," ",Table1[[#This Row],[Last Name]])</f>
        <v>Yuna Kubota</v>
      </c>
      <c r="BC203" t="str">
        <f>IF(OR(Table1[[#This Row],[Teacher]]="Alex",Table1[[#This Row],[Teacher]]=""), "", Table1[[#This Row],[For Salary]])</f>
        <v/>
      </c>
      <c r="BD203" t="str">
        <f>IF(OR(Table1[[#This Row],[Teacher]]="Alex",Table1[[#This Row],[Teacher]]=""), "", Table1[[#This Row],[For Amount]])</f>
        <v/>
      </c>
      <c r="BE203" t="str">
        <f>IFERROR(IF(VLOOKUP(Table1[[#This Row],[Teacher]],'Teachers Salaries'!A:C,2,FALSE)="","",VLOOKUP(Table1[[#This Row],[Teacher]],'Teachers Salaries'!A:C,2,FALSE)),"")</f>
        <v/>
      </c>
      <c r="BF203" t="str">
        <f>IFERROR(IF(VLOOKUP(Table1[[#This Row],[Teacher]],'Teachers Salaries'!A:C,3,FALSE)="","",VLOOKUP(Table1[[#This Row],[Teacher]],'Teachers Salaries'!A:C,3,FALSE)),"")</f>
        <v/>
      </c>
      <c r="BG203">
        <f ca="1">IFERROR(IF(Table1[[#This Row],[Pay Type]]="Fixed","-",Table1[[#This Row],[Final Group Frequency2]]*Table1[[#This Row],[Salary / Hourly Rate]]),0)</f>
        <v>0</v>
      </c>
      <c r="BH203">
        <f>IFERROR(IF(Table1[[#This Row],[Pay Type]]="Fixed","----",Table1[[#This Row],[Salary / Hourly Rate]]*Table1[[#This Row],[Final PrivateFrequency]]),0)</f>
        <v>0</v>
      </c>
      <c r="BI203">
        <f ca="1">IF(Table1[[#This Row],[Pay Type]]="Fixed","---",Table1[[#This Row],[Group Salary]]+Table1[[#This Row],[Private Salary]])</f>
        <v>0</v>
      </c>
      <c r="BJ203" t="str">
        <f>IF(OR(J203="Alex", J203=""),"", Table1[[#This Row],[For Amount]])</f>
        <v/>
      </c>
      <c r="BK203">
        <f ca="1">IFERROR(Table1[[#This Row],[Fee]]-Table1[[#This Row],[Total Salary]],"")</f>
        <v>0</v>
      </c>
      <c r="BL203" t="e">
        <f>IF(Table1[[#This Row],[Joining Date]]="","",IF(Table1[[#This Row],[Joining Date]]&lt;='KPI+Pivot'!$CP$1,Table1[[#This Row],[Fee]],""))</f>
        <v>#N/A</v>
      </c>
      <c r="BM20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3" t="e">
        <f>IF(Table1[[#This Row],[Joining Date]]="","",IF(Table1[[#This Row],[Joining Date]]&lt;='KPI+Pivot'!$CP$1,Table1[[#This Row],[Total Salary]],""))</f>
        <v>#N/A</v>
      </c>
      <c r="BO203" t="e">
        <f>IF(Table1[[#This Row],[Joining Date]]="","",IF(Table1[[#This Row],[Joining Date]]&lt;='KPI+Pivot'!$CP$1,Table1[[#This Row],[Frequency]],""))</f>
        <v>#N/A</v>
      </c>
      <c r="BP203" s="38" t="str">
        <f>IF(Table1[[#This Row],[Stop]]="","",(IF(Table1[[#This Row],[Joining Date]]="","",IF(Table1[[#This Row],[Joining Date]]&lt;='KPI+Pivot'!$CP$1,Table1[[#This Row],[Stop]],""))))</f>
        <v/>
      </c>
    </row>
    <row r="204" spans="1:68" ht="18" customHeight="1">
      <c r="A204">
        <v>121</v>
      </c>
      <c r="B204" t="s">
        <v>103</v>
      </c>
      <c r="C204" t="s">
        <v>1401</v>
      </c>
      <c r="D204" t="s">
        <v>1115</v>
      </c>
      <c r="F204" t="s">
        <v>1309</v>
      </c>
      <c r="G204" t="s">
        <v>1402</v>
      </c>
      <c r="H204" t="s">
        <v>1118</v>
      </c>
      <c r="I204" t="str">
        <f>IFERROR(HYPERLINK("#Finance!B" &amp; MATCH(A204, 'F 2025'!A:A, 0), "🔗 Go to finance"), "❌ ID introuvable")</f>
        <v>🔗 Go to finance</v>
      </c>
      <c r="J204" t="s">
        <v>494</v>
      </c>
      <c r="K204" t="s">
        <v>117</v>
      </c>
      <c r="L204" t="s">
        <v>502</v>
      </c>
      <c r="M204" t="s">
        <v>503</v>
      </c>
      <c r="N204">
        <v>4</v>
      </c>
      <c r="O204">
        <v>6600</v>
      </c>
      <c r="T204" s="130">
        <v>44927</v>
      </c>
      <c r="V204" s="13" t="s">
        <v>2224</v>
      </c>
      <c r="W204" t="s">
        <v>1404</v>
      </c>
      <c r="Z204" t="s">
        <v>75</v>
      </c>
      <c r="AB204" t="s">
        <v>1405</v>
      </c>
      <c r="AD204" s="130">
        <v>44927</v>
      </c>
      <c r="AE204"/>
      <c r="AG204" t="s">
        <v>76</v>
      </c>
      <c r="AI204" t="s">
        <v>1405</v>
      </c>
      <c r="AK204" t="s">
        <v>102</v>
      </c>
      <c r="AM204" s="38"/>
      <c r="AO204" t="s">
        <v>1402</v>
      </c>
      <c r="AR204" t="str">
        <f t="shared" si="14"/>
        <v>group</v>
      </c>
      <c r="AS204">
        <f t="shared" si="15"/>
        <v>4</v>
      </c>
      <c r="AT204" t="str">
        <f>IF(Table1[[#This Row],[Joining Date]]="", "", TEXT(Table1[[#This Row],[Joining Date]], "mmm"))</f>
        <v>Jan</v>
      </c>
      <c r="AU204">
        <f>IF(Table1[[#This Row],[Joining Date]]="", "", YEAR(Table1[[#This Row],[Joining Date]]))</f>
        <v>2023</v>
      </c>
      <c r="AV204" t="str">
        <f>IF(Table1[[#This Row],[Group Name]]="","", M204 &amp; Table1[[#This Row],[Teacher]])</f>
        <v>Group DThomas</v>
      </c>
      <c r="AW204">
        <f ca="1">IF(Table1[[#This Row],[Helper]]="","",IF(_xlfn.MAXIFS(AT:AT,AW:AW,Table1[[#This Row],[Helper]])=Table1[[#This Row],[Clean Frequency]],_xlfn.MAXIFS(AT:AT,AW:AW,Table1[[#This Row],[Helper]]),""))</f>
        <v>4</v>
      </c>
      <c r="AX204" t="str">
        <f ca="1">IF(AND(AW204=_xlfn.MAXIFS(AX:AX, AW:AW, AV204), COUNTIFS(AV$3:AV204, AV204, AW$3:AW204, AW204)=1), 1, "")</f>
        <v/>
      </c>
      <c r="AY204" t="str">
        <f>IF(Table1[[#This Row],[lesson type]]="private",Table1[[#This Row],[Clean Frequency]],"")</f>
        <v/>
      </c>
      <c r="AZ204" t="str">
        <f ca="1">IF(Table1[[#This Row],[First Occurrence]]=1,Table1[[#This Row],[Group Frequency]],"")</f>
        <v/>
      </c>
      <c r="BA204">
        <f ca="1">IF(B204="Y", IF(Table1[[#This Row],[Stop]]="", TODAY() - Table1[[#This Row],[Joining Date]], Table1[[#This Row],[Stop]] - Table1[[#This Row],[Joining Date]]), "")</f>
        <v>1250</v>
      </c>
      <c r="BB204" t="str">
        <f>_xlfn.CONCAT(Table1[[#This Row],[t]]," ",Table1[[#This Row],[Last Name]])</f>
        <v>Yuri Matsumoto</v>
      </c>
      <c r="BC204" t="e">
        <f>IF(OR(Table1[[#This Row],[Teacher]]="Alex",Table1[[#This Row],[Teacher]]=""), "", Table1[[#This Row],[For Salary]])</f>
        <v>#N/A</v>
      </c>
      <c r="BD204" t="e">
        <f>IF(OR(Table1[[#This Row],[Teacher]]="Alex",Table1[[#This Row],[Teacher]]=""), "", Table1[[#This Row],[For Amount]])</f>
        <v>#N/A</v>
      </c>
      <c r="BE204" t="str">
        <f>IFERROR(IF(VLOOKUP(Table1[[#This Row],[Teacher]],'Teachers Salaries'!A:C,2,FALSE)="","",VLOOKUP(Table1[[#This Row],[Teacher]],'Teachers Salaries'!A:C,2,FALSE)),"")</f>
        <v>Hourly</v>
      </c>
      <c r="BF204">
        <f>IFERROR(IF(VLOOKUP(Table1[[#This Row],[Teacher]],'Teachers Salaries'!A:C,3,FALSE)="","",VLOOKUP(Table1[[#This Row],[Teacher]],'Teachers Salaries'!A:C,3,FALSE)),"")</f>
        <v>3000</v>
      </c>
      <c r="BG204">
        <f ca="1">IFERROR(IF(Table1[[#This Row],[Pay Type]]="Fixed","-",Table1[[#This Row],[Final Group Frequency2]]*Table1[[#This Row],[Salary / Hourly Rate]]),0)</f>
        <v>0</v>
      </c>
      <c r="BH204">
        <f>IFERROR(IF(Table1[[#This Row],[Pay Type]]="Fixed","----",Table1[[#This Row],[Salary / Hourly Rate]]*Table1[[#This Row],[Final PrivateFrequency]]),0)</f>
        <v>0</v>
      </c>
      <c r="BI204">
        <f ca="1">IF(Table1[[#This Row],[Pay Type]]="Fixed","---",Table1[[#This Row],[Group Salary]]+Table1[[#This Row],[Private Salary]])</f>
        <v>0</v>
      </c>
      <c r="BJ204" t="e">
        <f>IF(OR(J204="Alex", J204=""),"", Table1[[#This Row],[For Amount]])</f>
        <v>#N/A</v>
      </c>
      <c r="BK204">
        <f ca="1">IFERROR(Table1[[#This Row],[Fee]]-Table1[[#This Row],[Total Salary]],"")</f>
        <v>6600</v>
      </c>
      <c r="BL204" t="e">
        <f>IF(Table1[[#This Row],[Joining Date]]="","",IF(Table1[[#This Row],[Joining Date]]&lt;='KPI+Pivot'!$CP$1,Table1[[#This Row],[Fee]],""))</f>
        <v>#N/A</v>
      </c>
      <c r="BM20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4" t="e">
        <f>IF(Table1[[#This Row],[Joining Date]]="","",IF(Table1[[#This Row],[Joining Date]]&lt;='KPI+Pivot'!$CP$1,Table1[[#This Row],[Total Salary]],""))</f>
        <v>#N/A</v>
      </c>
      <c r="BO204" t="e">
        <f>IF(Table1[[#This Row],[Joining Date]]="","",IF(Table1[[#This Row],[Joining Date]]&lt;='KPI+Pivot'!$CP$1,Table1[[#This Row],[Frequency]],""))</f>
        <v>#N/A</v>
      </c>
      <c r="BP204" s="38" t="str">
        <f>IF(Table1[[#This Row],[Stop]]="","",(IF(Table1[[#This Row],[Joining Date]]="","",IF(Table1[[#This Row],[Joining Date]]&lt;='KPI+Pivot'!$CP$1,Table1[[#This Row],[Stop]],""))))</f>
        <v/>
      </c>
    </row>
    <row r="205" spans="1:68" ht="22.9" customHeight="1">
      <c r="B205" t="s">
        <v>66</v>
      </c>
      <c r="C205" t="s">
        <v>1406</v>
      </c>
      <c r="D205" t="s">
        <v>119</v>
      </c>
      <c r="F205" t="s">
        <v>1407</v>
      </c>
      <c r="G205" t="s">
        <v>1408</v>
      </c>
      <c r="H205" t="s">
        <v>122</v>
      </c>
      <c r="I205" t="str">
        <f>IFERROR(HYPERLINK("#Finance!B" &amp; MATCH(A205, 'F 2025'!A:A, 0), "🔗 Go to finance"), "❌ ID introuvable")</f>
        <v>❌ ID introuvable</v>
      </c>
      <c r="L205" t="s">
        <v>132</v>
      </c>
      <c r="V205" t="s">
        <v>123</v>
      </c>
      <c r="Y205" t="s">
        <v>124</v>
      </c>
      <c r="Z205" t="s">
        <v>75</v>
      </c>
      <c r="AB205" t="s">
        <v>125</v>
      </c>
      <c r="AD205" s="130">
        <v>43661</v>
      </c>
      <c r="AE205"/>
      <c r="AG205" t="s">
        <v>76</v>
      </c>
      <c r="AI205" t="s">
        <v>125</v>
      </c>
      <c r="AK205" t="s">
        <v>132</v>
      </c>
      <c r="AM205" s="38"/>
      <c r="AO205" t="s">
        <v>1408</v>
      </c>
      <c r="AR205" t="str">
        <f t="shared" si="14"/>
        <v/>
      </c>
      <c r="AS205" t="str">
        <f t="shared" si="15"/>
        <v/>
      </c>
      <c r="AT205" t="str">
        <f>IF(Table1[[#This Row],[Joining Date]]="", "", TEXT(Table1[[#This Row],[Joining Date]], "mmm"))</f>
        <v>Jul</v>
      </c>
      <c r="AU205">
        <f>IF(Table1[[#This Row],[Joining Date]]="", "", YEAR(Table1[[#This Row],[Joining Date]]))</f>
        <v>2019</v>
      </c>
      <c r="AV205" t="str">
        <f>IF(Table1[[#This Row],[Group Name]]="","", M205 &amp; Table1[[#This Row],[Teacher]])</f>
        <v/>
      </c>
      <c r="AW205" t="str">
        <f>IF(Table1[[#This Row],[Helper]]="","",IF(_xlfn.MAXIFS(AT:AT,AW:AW,Table1[[#This Row],[Helper]])=Table1[[#This Row],[Clean Frequency]],_xlfn.MAXIFS(AT:AT,AW:AW,Table1[[#This Row],[Helper]]),""))</f>
        <v/>
      </c>
      <c r="AX205" t="str">
        <f ca="1">IF(AND(AW205=_xlfn.MAXIFS(AX:AX, AW:AW, AV205), COUNTIFS(AV$3:AV205, AV205, AW$3:AW205, AW205)=1), 1, "")</f>
        <v/>
      </c>
      <c r="AY205" t="str">
        <f>IF(Table1[[#This Row],[lesson type]]="private",Table1[[#This Row],[Clean Frequency]],"")</f>
        <v/>
      </c>
      <c r="AZ205" t="str">
        <f ca="1">IF(Table1[[#This Row],[First Occurrence]]=1,Table1[[#This Row],[Group Frequency]],"")</f>
        <v/>
      </c>
      <c r="BA205" t="str">
        <f ca="1">IF(B205="Y", IF(Table1[[#This Row],[Stop]]="", TODAY() - Table1[[#This Row],[Joining Date]], Table1[[#This Row],[Stop]] - Table1[[#This Row],[Joining Date]]), "")</f>
        <v/>
      </c>
      <c r="BB205" t="str">
        <f>_xlfn.CONCAT(Table1[[#This Row],[t]]," ",Table1[[#This Row],[Last Name]])</f>
        <v>Yuria Maruyama</v>
      </c>
      <c r="BC205" t="str">
        <f>IF(OR(Table1[[#This Row],[Teacher]]="Alex",Table1[[#This Row],[Teacher]]=""), "", Table1[[#This Row],[For Salary]])</f>
        <v/>
      </c>
      <c r="BD205" t="str">
        <f>IF(OR(Table1[[#This Row],[Teacher]]="Alex",Table1[[#This Row],[Teacher]]=""), "", Table1[[#This Row],[For Amount]])</f>
        <v/>
      </c>
      <c r="BE205" t="str">
        <f>IFERROR(IF(VLOOKUP(Table1[[#This Row],[Teacher]],'Teachers Salaries'!A:C,2,FALSE)="","",VLOOKUP(Table1[[#This Row],[Teacher]],'Teachers Salaries'!A:C,2,FALSE)),"")</f>
        <v/>
      </c>
      <c r="BF205" t="str">
        <f>IFERROR(IF(VLOOKUP(Table1[[#This Row],[Teacher]],'Teachers Salaries'!A:C,3,FALSE)="","",VLOOKUP(Table1[[#This Row],[Teacher]],'Teachers Salaries'!A:C,3,FALSE)),"")</f>
        <v/>
      </c>
      <c r="BG205">
        <f ca="1">IFERROR(IF(Table1[[#This Row],[Pay Type]]="Fixed","-",Table1[[#This Row],[Final Group Frequency2]]*Table1[[#This Row],[Salary / Hourly Rate]]),0)</f>
        <v>0</v>
      </c>
      <c r="BH205">
        <f>IFERROR(IF(Table1[[#This Row],[Pay Type]]="Fixed","----",Table1[[#This Row],[Salary / Hourly Rate]]*Table1[[#This Row],[Final PrivateFrequency]]),0)</f>
        <v>0</v>
      </c>
      <c r="BI205">
        <f ca="1">IF(Table1[[#This Row],[Pay Type]]="Fixed","---",Table1[[#This Row],[Group Salary]]+Table1[[#This Row],[Private Salary]])</f>
        <v>0</v>
      </c>
      <c r="BJ205" t="str">
        <f>IF(OR(J205="Alex", J205=""),"", Table1[[#This Row],[For Amount]])</f>
        <v/>
      </c>
      <c r="BK205">
        <f ca="1">IFERROR(Table1[[#This Row],[Fee]]-Table1[[#This Row],[Total Salary]],"")</f>
        <v>0</v>
      </c>
      <c r="BL205" t="e">
        <f>IF(Table1[[#This Row],[Joining Date]]="","",IF(Table1[[#This Row],[Joining Date]]&lt;='KPI+Pivot'!$CP$1,Table1[[#This Row],[Fee]],""))</f>
        <v>#N/A</v>
      </c>
      <c r="BM20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5" t="e">
        <f>IF(Table1[[#This Row],[Joining Date]]="","",IF(Table1[[#This Row],[Joining Date]]&lt;='KPI+Pivot'!$CP$1,Table1[[#This Row],[Total Salary]],""))</f>
        <v>#N/A</v>
      </c>
      <c r="BO205" t="e">
        <f>IF(Table1[[#This Row],[Joining Date]]="","",IF(Table1[[#This Row],[Joining Date]]&lt;='KPI+Pivot'!$CP$1,Table1[[#This Row],[Frequency]],""))</f>
        <v>#N/A</v>
      </c>
      <c r="BP205" s="38" t="str">
        <f>IF(Table1[[#This Row],[Stop]]="","",(IF(Table1[[#This Row],[Joining Date]]="","",IF(Table1[[#This Row],[Joining Date]]&lt;='KPI+Pivot'!$CP$1,Table1[[#This Row],[Stop]],""))))</f>
        <v/>
      </c>
    </row>
    <row r="206" spans="1:68" ht="22.9" customHeight="1">
      <c r="B206" t="s">
        <v>66</v>
      </c>
      <c r="C206" t="s">
        <v>1409</v>
      </c>
      <c r="D206" t="s">
        <v>1191</v>
      </c>
      <c r="F206" t="s">
        <v>1410</v>
      </c>
      <c r="G206" t="s">
        <v>1411</v>
      </c>
      <c r="H206" t="s">
        <v>1194</v>
      </c>
      <c r="I206" t="str">
        <f>IFERROR(HYPERLINK("#Finance!B" &amp; MATCH(A206, 'F 2025'!A:A, 0), "🔗 Go to finance"), "❌ ID introuvable")</f>
        <v>❌ ID introuvable</v>
      </c>
      <c r="L206" t="s">
        <v>102</v>
      </c>
      <c r="V206" t="s">
        <v>1195</v>
      </c>
      <c r="W206" t="s">
        <v>1196</v>
      </c>
      <c r="Y206" t="s">
        <v>1197</v>
      </c>
      <c r="Z206" t="s">
        <v>75</v>
      </c>
      <c r="AB206" t="s">
        <v>1198</v>
      </c>
      <c r="AD206" s="130">
        <v>43845</v>
      </c>
      <c r="AE206"/>
      <c r="AG206" t="s">
        <v>76</v>
      </c>
      <c r="AI206" t="s">
        <v>1198</v>
      </c>
      <c r="AK206" t="s">
        <v>102</v>
      </c>
      <c r="AM206" s="38"/>
      <c r="AO206" t="s">
        <v>1411</v>
      </c>
      <c r="AR206" t="str">
        <f t="shared" si="14"/>
        <v/>
      </c>
      <c r="AS206" t="str">
        <f t="shared" si="15"/>
        <v/>
      </c>
      <c r="AT206" t="str">
        <f>IF(Table1[[#This Row],[Joining Date]]="", "", TEXT(Table1[[#This Row],[Joining Date]], "mmm"))</f>
        <v>Jan</v>
      </c>
      <c r="AU206">
        <f>IF(Table1[[#This Row],[Joining Date]]="", "", YEAR(Table1[[#This Row],[Joining Date]]))</f>
        <v>2020</v>
      </c>
      <c r="AV206" t="str">
        <f>IF(Table1[[#This Row],[Group Name]]="","", M206 &amp; Table1[[#This Row],[Teacher]])</f>
        <v/>
      </c>
      <c r="AW206" t="str">
        <f>IF(Table1[[#This Row],[Helper]]="","",IF(_xlfn.MAXIFS(AT:AT,AW:AW,Table1[[#This Row],[Helper]])=Table1[[#This Row],[Clean Frequency]],_xlfn.MAXIFS(AT:AT,AW:AW,Table1[[#This Row],[Helper]]),""))</f>
        <v/>
      </c>
      <c r="AX206" t="str">
        <f ca="1">IF(AND(AW206=_xlfn.MAXIFS(AX:AX, AW:AW, AV206), COUNTIFS(AV$3:AV206, AV206, AW$3:AW206, AW206)=1), 1, "")</f>
        <v/>
      </c>
      <c r="AY206" t="str">
        <f>IF(Table1[[#This Row],[lesson type]]="private",Table1[[#This Row],[Clean Frequency]],"")</f>
        <v/>
      </c>
      <c r="AZ206" t="str">
        <f ca="1">IF(Table1[[#This Row],[First Occurrence]]=1,Table1[[#This Row],[Group Frequency]],"")</f>
        <v/>
      </c>
      <c r="BA206" t="str">
        <f ca="1">IF(B206="Y", IF(Table1[[#This Row],[Stop]]="", TODAY() - Table1[[#This Row],[Joining Date]], Table1[[#This Row],[Stop]] - Table1[[#This Row],[Joining Date]]), "")</f>
        <v/>
      </c>
      <c r="BB206" t="str">
        <f>_xlfn.CONCAT(Table1[[#This Row],[t]]," ",Table1[[#This Row],[Last Name]])</f>
        <v>Yushin Sonezaki</v>
      </c>
      <c r="BC206" t="str">
        <f>IF(OR(Table1[[#This Row],[Teacher]]="Alex",Table1[[#This Row],[Teacher]]=""), "", Table1[[#This Row],[For Salary]])</f>
        <v/>
      </c>
      <c r="BD206" t="str">
        <f>IF(OR(Table1[[#This Row],[Teacher]]="Alex",Table1[[#This Row],[Teacher]]=""), "", Table1[[#This Row],[For Amount]])</f>
        <v/>
      </c>
      <c r="BE206" t="str">
        <f>IFERROR(IF(VLOOKUP(Table1[[#This Row],[Teacher]],'Teachers Salaries'!A:C,2,FALSE)="","",VLOOKUP(Table1[[#This Row],[Teacher]],'Teachers Salaries'!A:C,2,FALSE)),"")</f>
        <v/>
      </c>
      <c r="BF206" t="str">
        <f>IFERROR(IF(VLOOKUP(Table1[[#This Row],[Teacher]],'Teachers Salaries'!A:C,3,FALSE)="","",VLOOKUP(Table1[[#This Row],[Teacher]],'Teachers Salaries'!A:C,3,FALSE)),"")</f>
        <v/>
      </c>
      <c r="BG206">
        <f ca="1">IFERROR(IF(Table1[[#This Row],[Pay Type]]="Fixed","-",Table1[[#This Row],[Final Group Frequency2]]*Table1[[#This Row],[Salary / Hourly Rate]]),0)</f>
        <v>0</v>
      </c>
      <c r="BH206">
        <f>IFERROR(IF(Table1[[#This Row],[Pay Type]]="Fixed","----",Table1[[#This Row],[Salary / Hourly Rate]]*Table1[[#This Row],[Final PrivateFrequency]]),0)</f>
        <v>0</v>
      </c>
      <c r="BI206">
        <f ca="1">IF(Table1[[#This Row],[Pay Type]]="Fixed","---",Table1[[#This Row],[Group Salary]]+Table1[[#This Row],[Private Salary]])</f>
        <v>0</v>
      </c>
      <c r="BJ206" t="str">
        <f>IF(OR(J206="Alex", J206=""),"", Table1[[#This Row],[For Amount]])</f>
        <v/>
      </c>
      <c r="BK206">
        <f ca="1">IFERROR(Table1[[#This Row],[Fee]]-Table1[[#This Row],[Total Salary]],"")</f>
        <v>0</v>
      </c>
      <c r="BL206" t="e">
        <f>IF(Table1[[#This Row],[Joining Date]]="","",IF(Table1[[#This Row],[Joining Date]]&lt;='KPI+Pivot'!$CP$1,Table1[[#This Row],[Fee]],""))</f>
        <v>#N/A</v>
      </c>
      <c r="BM20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6" t="e">
        <f>IF(Table1[[#This Row],[Joining Date]]="","",IF(Table1[[#This Row],[Joining Date]]&lt;='KPI+Pivot'!$CP$1,Table1[[#This Row],[Total Salary]],""))</f>
        <v>#N/A</v>
      </c>
      <c r="BO206" t="e">
        <f>IF(Table1[[#This Row],[Joining Date]]="","",IF(Table1[[#This Row],[Joining Date]]&lt;='KPI+Pivot'!$CP$1,Table1[[#This Row],[Frequency]],""))</f>
        <v>#N/A</v>
      </c>
      <c r="BP206" s="38" t="str">
        <f>IF(Table1[[#This Row],[Stop]]="","",(IF(Table1[[#This Row],[Joining Date]]="","",IF(Table1[[#This Row],[Joining Date]]&lt;='KPI+Pivot'!$CP$1,Table1[[#This Row],[Stop]],""))))</f>
        <v/>
      </c>
    </row>
    <row r="207" spans="1:68" ht="18" customHeight="1">
      <c r="A207">
        <v>95</v>
      </c>
      <c r="B207" t="s">
        <v>103</v>
      </c>
      <c r="C207" t="s">
        <v>1412</v>
      </c>
      <c r="D207" t="s">
        <v>1413</v>
      </c>
      <c r="F207" t="s">
        <v>1414</v>
      </c>
      <c r="G207" t="s">
        <v>1415</v>
      </c>
      <c r="H207" t="s">
        <v>1416</v>
      </c>
      <c r="I207" t="str">
        <f>IFERROR(HYPERLINK("#Finance!B" &amp; MATCH(A207, 'F 2025'!A:A, 0), "🔗 Go to finance"), "❌ ID introuvable")</f>
        <v>🔗 Go to finance</v>
      </c>
      <c r="J207" t="s">
        <v>494</v>
      </c>
      <c r="K207" t="s">
        <v>110</v>
      </c>
      <c r="L207" t="s">
        <v>197</v>
      </c>
      <c r="N207">
        <v>4</v>
      </c>
      <c r="O207">
        <v>19800</v>
      </c>
      <c r="T207" s="130">
        <v>45017</v>
      </c>
      <c r="V207" t="s">
        <v>1417</v>
      </c>
      <c r="Y207">
        <v>8029871908</v>
      </c>
      <c r="Z207" t="s">
        <v>75</v>
      </c>
      <c r="AB207" t="s">
        <v>1418</v>
      </c>
      <c r="AD207" s="130">
        <v>45017</v>
      </c>
      <c r="AE207"/>
      <c r="AG207" t="s">
        <v>76</v>
      </c>
      <c r="AI207" t="s">
        <v>1418</v>
      </c>
      <c r="AK207" t="s">
        <v>300</v>
      </c>
      <c r="AM207" s="38"/>
      <c r="AO207" t="s">
        <v>1415</v>
      </c>
      <c r="AP207">
        <v>95</v>
      </c>
      <c r="AQ207" t="s">
        <v>1415</v>
      </c>
      <c r="AR207" t="str">
        <f t="shared" si="14"/>
        <v>private</v>
      </c>
      <c r="AS207">
        <f t="shared" si="15"/>
        <v>4</v>
      </c>
      <c r="AT207" t="str">
        <f>IF(Table1[[#This Row],[Joining Date]]="", "", TEXT(Table1[[#This Row],[Joining Date]], "mmm"))</f>
        <v>Apr</v>
      </c>
      <c r="AU207">
        <f>IF(Table1[[#This Row],[Joining Date]]="", "", YEAR(Table1[[#This Row],[Joining Date]]))</f>
        <v>2023</v>
      </c>
      <c r="AV207" t="str">
        <f>IF(Table1[[#This Row],[Group Name]]="","", M207 &amp; Table1[[#This Row],[Teacher]])</f>
        <v/>
      </c>
      <c r="AW207" t="str">
        <f>IF(Table1[[#This Row],[Helper]]="","",IF(_xlfn.MAXIFS(AT:AT,AW:AW,Table1[[#This Row],[Helper]])=Table1[[#This Row],[Clean Frequency]],_xlfn.MAXIFS(AT:AT,AW:AW,Table1[[#This Row],[Helper]]),""))</f>
        <v/>
      </c>
      <c r="AX207" t="str">
        <f ca="1">IF(AND(AW207=_xlfn.MAXIFS(AX:AX, AW:AW, AV207), COUNTIFS(AV$3:AV207, AV207, AW$3:AW207, AW207)=1), 1, "")</f>
        <v/>
      </c>
      <c r="AY207">
        <f>IF(Table1[[#This Row],[lesson type]]="private",Table1[[#This Row],[Clean Frequency]],"")</f>
        <v>4</v>
      </c>
      <c r="AZ207" t="str">
        <f ca="1">IF(Table1[[#This Row],[First Occurrence]]=1,Table1[[#This Row],[Group Frequency]],"")</f>
        <v/>
      </c>
      <c r="BA207">
        <f ca="1">IF(B207="Y", IF(Table1[[#This Row],[Stop]]="", TODAY() - Table1[[#This Row],[Joining Date]], Table1[[#This Row],[Stop]] - Table1[[#This Row],[Joining Date]]), "")</f>
        <v>1160</v>
      </c>
      <c r="BB207" t="str">
        <f>_xlfn.CONCAT(Table1[[#This Row],[t]]," ",Table1[[#This Row],[Last Name]])</f>
        <v>Yuta tomooka</v>
      </c>
      <c r="BC207" t="e">
        <f>IF(OR(Table1[[#This Row],[Teacher]]="Alex",Table1[[#This Row],[Teacher]]=""), "", Table1[[#This Row],[For Salary]])</f>
        <v>#N/A</v>
      </c>
      <c r="BD207" t="e">
        <f>IF(OR(Table1[[#This Row],[Teacher]]="Alex",Table1[[#This Row],[Teacher]]=""), "", Table1[[#This Row],[For Amount]])</f>
        <v>#N/A</v>
      </c>
      <c r="BE207" t="str">
        <f>IFERROR(IF(VLOOKUP(Table1[[#This Row],[Teacher]],'Teachers Salaries'!A:C,2,FALSE)="","",VLOOKUP(Table1[[#This Row],[Teacher]],'Teachers Salaries'!A:C,2,FALSE)),"")</f>
        <v>Hourly</v>
      </c>
      <c r="BF207">
        <f>IFERROR(IF(VLOOKUP(Table1[[#This Row],[Teacher]],'Teachers Salaries'!A:C,3,FALSE)="","",VLOOKUP(Table1[[#This Row],[Teacher]],'Teachers Salaries'!A:C,3,FALSE)),"")</f>
        <v>3000</v>
      </c>
      <c r="BG207">
        <f ca="1">IFERROR(IF(Table1[[#This Row],[Pay Type]]="Fixed","-",Table1[[#This Row],[Final Group Frequency2]]*Table1[[#This Row],[Salary / Hourly Rate]]),0)</f>
        <v>0</v>
      </c>
      <c r="BH207">
        <f>IFERROR(IF(Table1[[#This Row],[Pay Type]]="Fixed","----",Table1[[#This Row],[Salary / Hourly Rate]]*Table1[[#This Row],[Final PrivateFrequency]]),0)</f>
        <v>12000</v>
      </c>
      <c r="BI207">
        <f ca="1">IF(Table1[[#This Row],[Pay Type]]="Fixed","---",Table1[[#This Row],[Group Salary]]+Table1[[#This Row],[Private Salary]])</f>
        <v>12000</v>
      </c>
      <c r="BJ207" t="e">
        <f>IF(OR(J207="Alex", J207=""),"", Table1[[#This Row],[For Amount]])</f>
        <v>#N/A</v>
      </c>
      <c r="BK207">
        <f ca="1">IFERROR(Table1[[#This Row],[Fee]]-Table1[[#This Row],[Total Salary]],"")</f>
        <v>7800</v>
      </c>
      <c r="BL207" t="e">
        <f>IF(Table1[[#This Row],[Joining Date]]="","",IF(Table1[[#This Row],[Joining Date]]&lt;='KPI+Pivot'!$CP$1,Table1[[#This Row],[Fee]],""))</f>
        <v>#N/A</v>
      </c>
      <c r="BM20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7" t="e">
        <f>IF(Table1[[#This Row],[Joining Date]]="","",IF(Table1[[#This Row],[Joining Date]]&lt;='KPI+Pivot'!$CP$1,Table1[[#This Row],[Total Salary]],""))</f>
        <v>#N/A</v>
      </c>
      <c r="BO207" t="e">
        <f>IF(Table1[[#This Row],[Joining Date]]="","",IF(Table1[[#This Row],[Joining Date]]&lt;='KPI+Pivot'!$CP$1,Table1[[#This Row],[Frequency]],""))</f>
        <v>#N/A</v>
      </c>
      <c r="BP207" s="38" t="str">
        <f>IF(Table1[[#This Row],[Stop]]="","",(IF(Table1[[#This Row],[Joining Date]]="","",IF(Table1[[#This Row],[Joining Date]]&lt;='KPI+Pivot'!$CP$1,Table1[[#This Row],[Stop]],""))))</f>
        <v/>
      </c>
    </row>
    <row r="208" spans="1:68" ht="22.9" customHeight="1">
      <c r="B208" t="s">
        <v>66</v>
      </c>
      <c r="C208" t="s">
        <v>1412</v>
      </c>
      <c r="D208" t="s">
        <v>854</v>
      </c>
      <c r="F208" t="s">
        <v>1419</v>
      </c>
      <c r="G208" t="s">
        <v>1420</v>
      </c>
      <c r="H208" t="s">
        <v>857</v>
      </c>
      <c r="I208" t="str">
        <f>IFERROR(HYPERLINK("#Finance!B" &amp; MATCH(A208, 'F 2025'!A:A, 0), "🔗 Go to finance"), "❌ ID introuvable")</f>
        <v>❌ ID introuvable</v>
      </c>
      <c r="V208" t="s">
        <v>1421</v>
      </c>
      <c r="Z208" t="s">
        <v>75</v>
      </c>
      <c r="AB208" t="s">
        <v>1422</v>
      </c>
      <c r="AD208" s="130">
        <v>44935</v>
      </c>
      <c r="AE208"/>
      <c r="AG208" t="s">
        <v>76</v>
      </c>
      <c r="AI208" t="s">
        <v>1422</v>
      </c>
      <c r="AK208" t="s">
        <v>362</v>
      </c>
      <c r="AM208" s="38"/>
      <c r="AO208" t="s">
        <v>1420</v>
      </c>
      <c r="AR208" t="str">
        <f t="shared" si="14"/>
        <v/>
      </c>
      <c r="AS208" t="str">
        <f t="shared" si="15"/>
        <v/>
      </c>
      <c r="AT208" t="str">
        <f>IF(Table1[[#This Row],[Joining Date]]="", "", TEXT(Table1[[#This Row],[Joining Date]], "mmm"))</f>
        <v>Jan</v>
      </c>
      <c r="AU208">
        <f>IF(Table1[[#This Row],[Joining Date]]="", "", YEAR(Table1[[#This Row],[Joining Date]]))</f>
        <v>2023</v>
      </c>
      <c r="AV208" t="str">
        <f>IF(Table1[[#This Row],[Group Name]]="","", M208 &amp; Table1[[#This Row],[Teacher]])</f>
        <v/>
      </c>
      <c r="AW208" t="str">
        <f>IF(Table1[[#This Row],[Helper]]="","",IF(_xlfn.MAXIFS(AT:AT,AW:AW,Table1[[#This Row],[Helper]])=Table1[[#This Row],[Clean Frequency]],_xlfn.MAXIFS(AT:AT,AW:AW,Table1[[#This Row],[Helper]]),""))</f>
        <v/>
      </c>
      <c r="AX208" t="str">
        <f ca="1">IF(AND(AW208=_xlfn.MAXIFS(AX:AX, AW:AW, AV208), COUNTIFS(AV$3:AV208, AV208, AW$3:AW208, AW208)=1), 1, "")</f>
        <v/>
      </c>
      <c r="AY208" t="str">
        <f>IF(Table1[[#This Row],[lesson type]]="private",Table1[[#This Row],[Clean Frequency]],"")</f>
        <v/>
      </c>
      <c r="AZ208" t="str">
        <f ca="1">IF(Table1[[#This Row],[First Occurrence]]=1,Table1[[#This Row],[Group Frequency]],"")</f>
        <v/>
      </c>
      <c r="BA208" t="str">
        <f ca="1">IF(B208="Y", IF(Table1[[#This Row],[Stop]]="", TODAY() - Table1[[#This Row],[Joining Date]], Table1[[#This Row],[Stop]] - Table1[[#This Row],[Joining Date]]), "")</f>
        <v/>
      </c>
      <c r="BB208" t="str">
        <f>_xlfn.CONCAT(Table1[[#This Row],[t]]," ",Table1[[#This Row],[Last Name]])</f>
        <v>Yuta Watanabe</v>
      </c>
      <c r="BC208" t="str">
        <f>IF(OR(Table1[[#This Row],[Teacher]]="Alex",Table1[[#This Row],[Teacher]]=""), "", Table1[[#This Row],[For Salary]])</f>
        <v/>
      </c>
      <c r="BD208" t="str">
        <f>IF(OR(Table1[[#This Row],[Teacher]]="Alex",Table1[[#This Row],[Teacher]]=""), "", Table1[[#This Row],[For Amount]])</f>
        <v/>
      </c>
      <c r="BE208" t="str">
        <f>IFERROR(IF(VLOOKUP(Table1[[#This Row],[Teacher]],'Teachers Salaries'!A:C,2,FALSE)="","",VLOOKUP(Table1[[#This Row],[Teacher]],'Teachers Salaries'!A:C,2,FALSE)),"")</f>
        <v/>
      </c>
      <c r="BF208" t="str">
        <f>IFERROR(IF(VLOOKUP(Table1[[#This Row],[Teacher]],'Teachers Salaries'!A:C,3,FALSE)="","",VLOOKUP(Table1[[#This Row],[Teacher]],'Teachers Salaries'!A:C,3,FALSE)),"")</f>
        <v/>
      </c>
      <c r="BG208">
        <f ca="1">IFERROR(IF(Table1[[#This Row],[Pay Type]]="Fixed","-",Table1[[#This Row],[Final Group Frequency2]]*Table1[[#This Row],[Salary / Hourly Rate]]),0)</f>
        <v>0</v>
      </c>
      <c r="BH208">
        <f>IFERROR(IF(Table1[[#This Row],[Pay Type]]="Fixed","----",Table1[[#This Row],[Salary / Hourly Rate]]*Table1[[#This Row],[Final PrivateFrequency]]),0)</f>
        <v>0</v>
      </c>
      <c r="BI208">
        <f ca="1">IF(Table1[[#This Row],[Pay Type]]="Fixed","---",Table1[[#This Row],[Group Salary]]+Table1[[#This Row],[Private Salary]])</f>
        <v>0</v>
      </c>
      <c r="BJ208" t="str">
        <f>IF(OR(J208="Alex", J208=""),"", Table1[[#This Row],[For Amount]])</f>
        <v/>
      </c>
      <c r="BK208">
        <f ca="1">IFERROR(Table1[[#This Row],[Fee]]-Table1[[#This Row],[Total Salary]],"")</f>
        <v>0</v>
      </c>
      <c r="BL208" t="e">
        <f>IF(Table1[[#This Row],[Joining Date]]="","",IF(Table1[[#This Row],[Joining Date]]&lt;='KPI+Pivot'!$CP$1,Table1[[#This Row],[Fee]],""))</f>
        <v>#N/A</v>
      </c>
      <c r="BM20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8" t="e">
        <f>IF(Table1[[#This Row],[Joining Date]]="","",IF(Table1[[#This Row],[Joining Date]]&lt;='KPI+Pivot'!$CP$1,Table1[[#This Row],[Total Salary]],""))</f>
        <v>#N/A</v>
      </c>
      <c r="BO208" t="e">
        <f>IF(Table1[[#This Row],[Joining Date]]="","",IF(Table1[[#This Row],[Joining Date]]&lt;='KPI+Pivot'!$CP$1,Table1[[#This Row],[Frequency]],""))</f>
        <v>#N/A</v>
      </c>
      <c r="BP208" s="38" t="str">
        <f>IF(Table1[[#This Row],[Stop]]="","",(IF(Table1[[#This Row],[Joining Date]]="","",IF(Table1[[#This Row],[Joining Date]]&lt;='KPI+Pivot'!$CP$1,Table1[[#This Row],[Stop]],""))))</f>
        <v/>
      </c>
    </row>
    <row r="209" spans="1:68" ht="22.9" customHeight="1">
      <c r="B209" t="s">
        <v>66</v>
      </c>
      <c r="C209" t="s">
        <v>1412</v>
      </c>
      <c r="D209" t="s">
        <v>901</v>
      </c>
      <c r="F209" t="s">
        <v>1423</v>
      </c>
      <c r="G209" t="s">
        <v>1424</v>
      </c>
      <c r="H209" t="s">
        <v>1425</v>
      </c>
      <c r="I209" t="str">
        <f>IFERROR(HYPERLINK("#Finance!B" &amp; MATCH(A209, 'F 2025'!A:A, 0), "🔗 Go to finance"), "❌ ID introuvable")</f>
        <v>❌ ID introuvable</v>
      </c>
      <c r="L209" t="s">
        <v>661</v>
      </c>
      <c r="V209" t="s">
        <v>1426</v>
      </c>
      <c r="Y209" t="s">
        <v>1427</v>
      </c>
      <c r="Z209" t="s">
        <v>75</v>
      </c>
      <c r="AB209" t="s">
        <v>1428</v>
      </c>
      <c r="AD209" s="130"/>
      <c r="AE209"/>
      <c r="AG209" t="s">
        <v>76</v>
      </c>
      <c r="AI209" t="s">
        <v>1428</v>
      </c>
      <c r="AK209" t="s">
        <v>182</v>
      </c>
      <c r="AM209" s="38"/>
      <c r="AO209" t="s">
        <v>1424</v>
      </c>
      <c r="AR209" t="str">
        <f t="shared" si="14"/>
        <v/>
      </c>
      <c r="AS209" t="str">
        <f t="shared" si="15"/>
        <v/>
      </c>
      <c r="AT209" t="str">
        <f>IF(Table1[[#This Row],[Joining Date]]="", "", TEXT(Table1[[#This Row],[Joining Date]], "mmm"))</f>
        <v/>
      </c>
      <c r="AU209" t="str">
        <f>IF(Table1[[#This Row],[Joining Date]]="", "", YEAR(Table1[[#This Row],[Joining Date]]))</f>
        <v/>
      </c>
      <c r="AV209" t="str">
        <f>IF(Table1[[#This Row],[Group Name]]="","", M209 &amp; Table1[[#This Row],[Teacher]])</f>
        <v/>
      </c>
      <c r="AW209" t="str">
        <f>IF(Table1[[#This Row],[Helper]]="","",IF(_xlfn.MAXIFS(AT:AT,AW:AW,Table1[[#This Row],[Helper]])=Table1[[#This Row],[Clean Frequency]],_xlfn.MAXIFS(AT:AT,AW:AW,Table1[[#This Row],[Helper]]),""))</f>
        <v/>
      </c>
      <c r="AX209" t="str">
        <f ca="1">IF(AND(AW209=_xlfn.MAXIFS(AX:AX, AW:AW, AV209), COUNTIFS(AV$3:AV209, AV209, AW$3:AW209, AW209)=1), 1, "")</f>
        <v/>
      </c>
      <c r="AY209" t="str">
        <f>IF(Table1[[#This Row],[lesson type]]="private",Table1[[#This Row],[Clean Frequency]],"")</f>
        <v/>
      </c>
      <c r="AZ209" t="str">
        <f ca="1">IF(Table1[[#This Row],[First Occurrence]]=1,Table1[[#This Row],[Group Frequency]],"")</f>
        <v/>
      </c>
      <c r="BA209" t="str">
        <f ca="1">IF(B209="Y", IF(Table1[[#This Row],[Stop]]="", TODAY() - Table1[[#This Row],[Joining Date]], Table1[[#This Row],[Stop]] - Table1[[#This Row],[Joining Date]]), "")</f>
        <v/>
      </c>
      <c r="BB209" t="str">
        <f>_xlfn.CONCAT(Table1[[#This Row],[t]]," ",Table1[[#This Row],[Last Name]])</f>
        <v>Yuta Tou</v>
      </c>
      <c r="BC209" t="str">
        <f>IF(OR(Table1[[#This Row],[Teacher]]="Alex",Table1[[#This Row],[Teacher]]=""), "", Table1[[#This Row],[For Salary]])</f>
        <v/>
      </c>
      <c r="BD209" t="str">
        <f>IF(OR(Table1[[#This Row],[Teacher]]="Alex",Table1[[#This Row],[Teacher]]=""), "", Table1[[#This Row],[For Amount]])</f>
        <v/>
      </c>
      <c r="BE209" t="str">
        <f>IFERROR(IF(VLOOKUP(Table1[[#This Row],[Teacher]],'Teachers Salaries'!A:C,2,FALSE)="","",VLOOKUP(Table1[[#This Row],[Teacher]],'Teachers Salaries'!A:C,2,FALSE)),"")</f>
        <v/>
      </c>
      <c r="BF209" t="str">
        <f>IFERROR(IF(VLOOKUP(Table1[[#This Row],[Teacher]],'Teachers Salaries'!A:C,3,FALSE)="","",VLOOKUP(Table1[[#This Row],[Teacher]],'Teachers Salaries'!A:C,3,FALSE)),"")</f>
        <v/>
      </c>
      <c r="BG209">
        <f ca="1">IFERROR(IF(Table1[[#This Row],[Pay Type]]="Fixed","-",Table1[[#This Row],[Final Group Frequency2]]*Table1[[#This Row],[Salary / Hourly Rate]]),0)</f>
        <v>0</v>
      </c>
      <c r="BH209">
        <f>IFERROR(IF(Table1[[#This Row],[Pay Type]]="Fixed","----",Table1[[#This Row],[Salary / Hourly Rate]]*Table1[[#This Row],[Final PrivateFrequency]]),0)</f>
        <v>0</v>
      </c>
      <c r="BI209">
        <f ca="1">IF(Table1[[#This Row],[Pay Type]]="Fixed","---",Table1[[#This Row],[Group Salary]]+Table1[[#This Row],[Private Salary]])</f>
        <v>0</v>
      </c>
      <c r="BJ209" t="str">
        <f>IF(OR(J209="Alex", J209=""),"", Table1[[#This Row],[For Amount]])</f>
        <v/>
      </c>
      <c r="BK209">
        <f ca="1">IFERROR(Table1[[#This Row],[Fee]]-Table1[[#This Row],[Total Salary]],"")</f>
        <v>0</v>
      </c>
      <c r="BL209" t="str">
        <f>IF(Table1[[#This Row],[Joining Date]]="","",IF(Table1[[#This Row],[Joining Date]]&lt;='KPI+Pivot'!$CP$1,Table1[[#This Row],[Fee]],""))</f>
        <v/>
      </c>
      <c r="BM20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09" t="str">
        <f>IF(Table1[[#This Row],[Joining Date]]="","",IF(Table1[[#This Row],[Joining Date]]&lt;='KPI+Pivot'!$CP$1,Table1[[#This Row],[Total Salary]],""))</f>
        <v/>
      </c>
      <c r="BO209" t="str">
        <f>IF(Table1[[#This Row],[Joining Date]]="","",IF(Table1[[#This Row],[Joining Date]]&lt;='KPI+Pivot'!$CP$1,Table1[[#This Row],[Frequency]],""))</f>
        <v/>
      </c>
      <c r="BP209" s="38" t="str">
        <f>IF(Table1[[#This Row],[Stop]]="","",(IF(Table1[[#This Row],[Joining Date]]="","",IF(Table1[[#This Row],[Joining Date]]&lt;='KPI+Pivot'!$CP$1,Table1[[#This Row],[Stop]],""))))</f>
        <v/>
      </c>
    </row>
    <row r="210" spans="1:68" ht="22.9" customHeight="1">
      <c r="B210" t="s">
        <v>66</v>
      </c>
      <c r="C210" t="s">
        <v>1429</v>
      </c>
      <c r="D210" t="s">
        <v>157</v>
      </c>
      <c r="F210" t="s">
        <v>1430</v>
      </c>
      <c r="G210" t="s">
        <v>1431</v>
      </c>
      <c r="H210" t="s">
        <v>1432</v>
      </c>
      <c r="I210" t="str">
        <f>IFERROR(HYPERLINK("#Finance!B" &amp; MATCH(A210, 'F 2025'!A:A, 0), "🔗 Go to finance"), "❌ ID introuvable")</f>
        <v>❌ ID introuvable</v>
      </c>
      <c r="V210" t="s">
        <v>1433</v>
      </c>
      <c r="Z210" t="s">
        <v>75</v>
      </c>
      <c r="AD210" s="130"/>
      <c r="AE210"/>
      <c r="AG210" t="s">
        <v>76</v>
      </c>
      <c r="AM210" s="38"/>
      <c r="AO210" t="s">
        <v>1431</v>
      </c>
      <c r="AR210" t="str">
        <f t="shared" si="14"/>
        <v/>
      </c>
      <c r="AS210" t="str">
        <f t="shared" si="15"/>
        <v/>
      </c>
      <c r="AT210" t="str">
        <f>IF(Table1[[#This Row],[Joining Date]]="", "", TEXT(Table1[[#This Row],[Joining Date]], "mmm"))</f>
        <v/>
      </c>
      <c r="AU210" t="str">
        <f>IF(Table1[[#This Row],[Joining Date]]="", "", YEAR(Table1[[#This Row],[Joining Date]]))</f>
        <v/>
      </c>
      <c r="AV210" t="str">
        <f>IF(Table1[[#This Row],[Group Name]]="","", M210 &amp; Table1[[#This Row],[Teacher]])</f>
        <v/>
      </c>
      <c r="AW210" t="str">
        <f>IF(Table1[[#This Row],[Helper]]="","",IF(_xlfn.MAXIFS(AT:AT,AW:AW,Table1[[#This Row],[Helper]])=Table1[[#This Row],[Clean Frequency]],_xlfn.MAXIFS(AT:AT,AW:AW,Table1[[#This Row],[Helper]]),""))</f>
        <v/>
      </c>
      <c r="AX210" t="str">
        <f ca="1">IF(AND(AW210=_xlfn.MAXIFS(AX:AX, AW:AW, AV210), COUNTIFS(AV$3:AV210, AV210, AW$3:AW210, AW210)=1), 1, "")</f>
        <v/>
      </c>
      <c r="AY210" t="str">
        <f>IF(Table1[[#This Row],[lesson type]]="private",Table1[[#This Row],[Clean Frequency]],"")</f>
        <v/>
      </c>
      <c r="AZ210" t="str">
        <f ca="1">IF(Table1[[#This Row],[First Occurrence]]=1,Table1[[#This Row],[Group Frequency]],"")</f>
        <v/>
      </c>
      <c r="BA210" t="str">
        <f ca="1">IF(B210="Y", IF(Table1[[#This Row],[Stop]]="", TODAY() - Table1[[#This Row],[Joining Date]], Table1[[#This Row],[Stop]] - Table1[[#This Row],[Joining Date]]), "")</f>
        <v/>
      </c>
      <c r="BB210" t="str">
        <f>_xlfn.CONCAT(Table1[[#This Row],[t]]," ",Table1[[#This Row],[Last Name]])</f>
        <v>Yuto Kinoshita</v>
      </c>
      <c r="BC210" t="str">
        <f>IF(OR(Table1[[#This Row],[Teacher]]="Alex",Table1[[#This Row],[Teacher]]=""), "", Table1[[#This Row],[For Salary]])</f>
        <v/>
      </c>
      <c r="BD210" t="str">
        <f>IF(OR(Table1[[#This Row],[Teacher]]="Alex",Table1[[#This Row],[Teacher]]=""), "", Table1[[#This Row],[For Amount]])</f>
        <v/>
      </c>
      <c r="BE210" t="str">
        <f>IFERROR(IF(VLOOKUP(Table1[[#This Row],[Teacher]],'Teachers Salaries'!A:C,2,FALSE)="","",VLOOKUP(Table1[[#This Row],[Teacher]],'Teachers Salaries'!A:C,2,FALSE)),"")</f>
        <v/>
      </c>
      <c r="BF210" t="str">
        <f>IFERROR(IF(VLOOKUP(Table1[[#This Row],[Teacher]],'Teachers Salaries'!A:C,3,FALSE)="","",VLOOKUP(Table1[[#This Row],[Teacher]],'Teachers Salaries'!A:C,3,FALSE)),"")</f>
        <v/>
      </c>
      <c r="BG210">
        <f ca="1">IFERROR(IF(Table1[[#This Row],[Pay Type]]="Fixed","-",Table1[[#This Row],[Final Group Frequency2]]*Table1[[#This Row],[Salary / Hourly Rate]]),0)</f>
        <v>0</v>
      </c>
      <c r="BH210">
        <f>IFERROR(IF(Table1[[#This Row],[Pay Type]]="Fixed","----",Table1[[#This Row],[Salary / Hourly Rate]]*Table1[[#This Row],[Final PrivateFrequency]]),0)</f>
        <v>0</v>
      </c>
      <c r="BI210">
        <f ca="1">IF(Table1[[#This Row],[Pay Type]]="Fixed","---",Table1[[#This Row],[Group Salary]]+Table1[[#This Row],[Private Salary]])</f>
        <v>0</v>
      </c>
      <c r="BJ210" t="str">
        <f>IF(OR(J210="Alex", J210=""),"", Table1[[#This Row],[For Amount]])</f>
        <v/>
      </c>
      <c r="BK210">
        <f ca="1">IFERROR(Table1[[#This Row],[Fee]]-Table1[[#This Row],[Total Salary]],"")</f>
        <v>0</v>
      </c>
      <c r="BL210" t="str">
        <f>IF(Table1[[#This Row],[Joining Date]]="","",IF(Table1[[#This Row],[Joining Date]]&lt;='KPI+Pivot'!$CP$1,Table1[[#This Row],[Fee]],""))</f>
        <v/>
      </c>
      <c r="BM21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0" t="str">
        <f>IF(Table1[[#This Row],[Joining Date]]="","",IF(Table1[[#This Row],[Joining Date]]&lt;='KPI+Pivot'!$CP$1,Table1[[#This Row],[Total Salary]],""))</f>
        <v/>
      </c>
      <c r="BO210" t="str">
        <f>IF(Table1[[#This Row],[Joining Date]]="","",IF(Table1[[#This Row],[Joining Date]]&lt;='KPI+Pivot'!$CP$1,Table1[[#This Row],[Frequency]],""))</f>
        <v/>
      </c>
      <c r="BP210" s="38" t="str">
        <f>IF(Table1[[#This Row],[Stop]]="","",(IF(Table1[[#This Row],[Joining Date]]="","",IF(Table1[[#This Row],[Joining Date]]&lt;='KPI+Pivot'!$CP$1,Table1[[#This Row],[Stop]],""))))</f>
        <v/>
      </c>
    </row>
    <row r="211" spans="1:68" ht="22.9" customHeight="1">
      <c r="B211" t="s">
        <v>66</v>
      </c>
      <c r="C211" t="s">
        <v>1434</v>
      </c>
      <c r="D211" t="s">
        <v>854</v>
      </c>
      <c r="F211" t="s">
        <v>1435</v>
      </c>
      <c r="G211" t="s">
        <v>1436</v>
      </c>
      <c r="H211" t="s">
        <v>857</v>
      </c>
      <c r="I211" t="str">
        <f>IFERROR(HYPERLINK("#Finance!B" &amp; MATCH(A211, 'F 2025'!A:A, 0), "🔗 Go to finance"), "❌ ID introuvable")</f>
        <v>❌ ID introuvable</v>
      </c>
      <c r="L211" t="s">
        <v>72</v>
      </c>
      <c r="V211" t="s">
        <v>863</v>
      </c>
      <c r="Y211" t="s">
        <v>864</v>
      </c>
      <c r="Z211" t="s">
        <v>75</v>
      </c>
      <c r="AB211" t="s">
        <v>1437</v>
      </c>
      <c r="AD211" s="130">
        <v>44294</v>
      </c>
      <c r="AE211"/>
      <c r="AG211" t="s">
        <v>76</v>
      </c>
      <c r="AI211" t="s">
        <v>1437</v>
      </c>
      <c r="AK211" t="s">
        <v>102</v>
      </c>
      <c r="AM211" s="38"/>
      <c r="AO211" t="s">
        <v>1436</v>
      </c>
      <c r="AR211" t="str">
        <f t="shared" si="14"/>
        <v/>
      </c>
      <c r="AS211" t="str">
        <f t="shared" si="15"/>
        <v/>
      </c>
      <c r="AT211" t="str">
        <f>IF(Table1[[#This Row],[Joining Date]]="", "", TEXT(Table1[[#This Row],[Joining Date]], "mmm"))</f>
        <v>Apr</v>
      </c>
      <c r="AU211">
        <f>IF(Table1[[#This Row],[Joining Date]]="", "", YEAR(Table1[[#This Row],[Joining Date]]))</f>
        <v>2021</v>
      </c>
      <c r="AV211" t="str">
        <f>IF(Table1[[#This Row],[Group Name]]="","", M211 &amp; Table1[[#This Row],[Teacher]])</f>
        <v/>
      </c>
      <c r="AW211" t="str">
        <f>IF(Table1[[#This Row],[Helper]]="","",IF(_xlfn.MAXIFS(AT:AT,AW:AW,Table1[[#This Row],[Helper]])=Table1[[#This Row],[Clean Frequency]],_xlfn.MAXIFS(AT:AT,AW:AW,Table1[[#This Row],[Helper]]),""))</f>
        <v/>
      </c>
      <c r="AX211" t="str">
        <f ca="1">IF(AND(AW211=_xlfn.MAXIFS(AX:AX, AW:AW, AV211), COUNTIFS(AV$3:AV211, AV211, AW$3:AW211, AW211)=1), 1, "")</f>
        <v/>
      </c>
      <c r="AY211" t="str">
        <f>IF(Table1[[#This Row],[lesson type]]="private",Table1[[#This Row],[Clean Frequency]],"")</f>
        <v/>
      </c>
      <c r="AZ211" t="str">
        <f ca="1">IF(Table1[[#This Row],[First Occurrence]]=1,Table1[[#This Row],[Group Frequency]],"")</f>
        <v/>
      </c>
      <c r="BA211" t="str">
        <f ca="1">IF(B211="Y", IF(Table1[[#This Row],[Stop]]="", TODAY() - Table1[[#This Row],[Joining Date]], Table1[[#This Row],[Stop]] - Table1[[#This Row],[Joining Date]]), "")</f>
        <v/>
      </c>
      <c r="BB211" t="str">
        <f>_xlfn.CONCAT(Table1[[#This Row],[t]]," ",Table1[[#This Row],[Last Name]])</f>
        <v>Yuzu Watanabe</v>
      </c>
      <c r="BC211" t="str">
        <f>IF(OR(Table1[[#This Row],[Teacher]]="Alex",Table1[[#This Row],[Teacher]]=""), "", Table1[[#This Row],[For Salary]])</f>
        <v/>
      </c>
      <c r="BD211" t="str">
        <f>IF(OR(Table1[[#This Row],[Teacher]]="Alex",Table1[[#This Row],[Teacher]]=""), "", Table1[[#This Row],[For Amount]])</f>
        <v/>
      </c>
      <c r="BE211" t="str">
        <f>IFERROR(IF(VLOOKUP(Table1[[#This Row],[Teacher]],'Teachers Salaries'!A:C,2,FALSE)="","",VLOOKUP(Table1[[#This Row],[Teacher]],'Teachers Salaries'!A:C,2,FALSE)),"")</f>
        <v/>
      </c>
      <c r="BF211" t="str">
        <f>IFERROR(IF(VLOOKUP(Table1[[#This Row],[Teacher]],'Teachers Salaries'!A:C,3,FALSE)="","",VLOOKUP(Table1[[#This Row],[Teacher]],'Teachers Salaries'!A:C,3,FALSE)),"")</f>
        <v/>
      </c>
      <c r="BG211">
        <f ca="1">IFERROR(IF(Table1[[#This Row],[Pay Type]]="Fixed","-",Table1[[#This Row],[Final Group Frequency2]]*Table1[[#This Row],[Salary / Hourly Rate]]),0)</f>
        <v>0</v>
      </c>
      <c r="BH211">
        <f>IFERROR(IF(Table1[[#This Row],[Pay Type]]="Fixed","----",Table1[[#This Row],[Salary / Hourly Rate]]*Table1[[#This Row],[Final PrivateFrequency]]),0)</f>
        <v>0</v>
      </c>
      <c r="BI211">
        <f ca="1">IF(Table1[[#This Row],[Pay Type]]="Fixed","---",Table1[[#This Row],[Group Salary]]+Table1[[#This Row],[Private Salary]])</f>
        <v>0</v>
      </c>
      <c r="BJ211" t="str">
        <f>IF(OR(J211="Alex", J211=""),"", Table1[[#This Row],[For Amount]])</f>
        <v/>
      </c>
      <c r="BK211">
        <f ca="1">IFERROR(Table1[[#This Row],[Fee]]-Table1[[#This Row],[Total Salary]],"")</f>
        <v>0</v>
      </c>
      <c r="BL211" t="e">
        <f>IF(Table1[[#This Row],[Joining Date]]="","",IF(Table1[[#This Row],[Joining Date]]&lt;='KPI+Pivot'!$CP$1,Table1[[#This Row],[Fee]],""))</f>
        <v>#N/A</v>
      </c>
      <c r="BM21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11" t="e">
        <f>IF(Table1[[#This Row],[Joining Date]]="","",IF(Table1[[#This Row],[Joining Date]]&lt;='KPI+Pivot'!$CP$1,Table1[[#This Row],[Total Salary]],""))</f>
        <v>#N/A</v>
      </c>
      <c r="BO211" t="e">
        <f>IF(Table1[[#This Row],[Joining Date]]="","",IF(Table1[[#This Row],[Joining Date]]&lt;='KPI+Pivot'!$CP$1,Table1[[#This Row],[Frequency]],""))</f>
        <v>#N/A</v>
      </c>
      <c r="BP211" s="38" t="str">
        <f>IF(Table1[[#This Row],[Stop]]="","",(IF(Table1[[#This Row],[Joining Date]]="","",IF(Table1[[#This Row],[Joining Date]]&lt;='KPI+Pivot'!$CP$1,Table1[[#This Row],[Stop]],""))))</f>
        <v/>
      </c>
    </row>
    <row r="212" spans="1:68" ht="22.9" customHeight="1">
      <c r="B212" t="s">
        <v>66</v>
      </c>
      <c r="C212" t="s">
        <v>1438</v>
      </c>
      <c r="D212" t="s">
        <v>277</v>
      </c>
      <c r="F212" t="s">
        <v>1439</v>
      </c>
      <c r="G212" t="s">
        <v>1440</v>
      </c>
      <c r="H212" t="s">
        <v>280</v>
      </c>
      <c r="I212" t="str">
        <f>IFERROR(HYPERLINK("#Finance!B" &amp; MATCH(A212, 'F 2025'!A:A, 0), "🔗 Go to finance"), "❌ ID introuvable")</f>
        <v>❌ ID introuvable</v>
      </c>
      <c r="V212" t="s">
        <v>281</v>
      </c>
      <c r="W212" t="s">
        <v>281</v>
      </c>
      <c r="Y212" t="s">
        <v>282</v>
      </c>
      <c r="Z212" t="s">
        <v>75</v>
      </c>
      <c r="AD212" s="130"/>
      <c r="AE212"/>
      <c r="AG212" t="s">
        <v>76</v>
      </c>
      <c r="AK212" t="s">
        <v>102</v>
      </c>
      <c r="AM212" s="38"/>
      <c r="AO212" t="s">
        <v>1440</v>
      </c>
      <c r="AR212" t="str">
        <f t="shared" si="14"/>
        <v/>
      </c>
      <c r="AS212" t="str">
        <f t="shared" si="15"/>
        <v/>
      </c>
      <c r="AT212" t="str">
        <f>IF(Table1[[#This Row],[Joining Date]]="", "", TEXT(Table1[[#This Row],[Joining Date]], "mmm"))</f>
        <v/>
      </c>
      <c r="AU212" t="str">
        <f>IF(Table1[[#This Row],[Joining Date]]="", "", YEAR(Table1[[#This Row],[Joining Date]]))</f>
        <v/>
      </c>
      <c r="AV212" t="str">
        <f>IF(Table1[[#This Row],[Group Name]]="","", M212 &amp; Table1[[#This Row],[Teacher]])</f>
        <v/>
      </c>
      <c r="AW212" t="str">
        <f>IF(Table1[[#This Row],[Helper]]="","",IF(_xlfn.MAXIFS(AT:AT,AW:AW,Table1[[#This Row],[Helper]])=Table1[[#This Row],[Clean Frequency]],_xlfn.MAXIFS(AT:AT,AW:AW,Table1[[#This Row],[Helper]]),""))</f>
        <v/>
      </c>
      <c r="AX212" t="str">
        <f ca="1">IF(AND(AW212=_xlfn.MAXIFS(AX:AX, AW:AW, AV212), COUNTIFS(AV$3:AV212, AV212, AW$3:AW212, AW212)=1), 1, "")</f>
        <v/>
      </c>
      <c r="AY212" t="str">
        <f>IF(Table1[[#This Row],[lesson type]]="private",Table1[[#This Row],[Clean Frequency]],"")</f>
        <v/>
      </c>
      <c r="AZ212" t="str">
        <f ca="1">IF(Table1[[#This Row],[First Occurrence]]=1,Table1[[#This Row],[Group Frequency]],"")</f>
        <v/>
      </c>
      <c r="BA212" t="str">
        <f ca="1">IF(B212="Y", IF(Table1[[#This Row],[Stop]]="", TODAY() - Table1[[#This Row],[Joining Date]], Table1[[#This Row],[Stop]] - Table1[[#This Row],[Joining Date]]), "")</f>
        <v/>
      </c>
      <c r="BB212" t="str">
        <f>_xlfn.CONCAT(Table1[[#This Row],[t]]," ",Table1[[#This Row],[Last Name]])</f>
        <v>Yuzuki Segawa</v>
      </c>
      <c r="BC212" t="str">
        <f>IF(OR(Table1[[#This Row],[Teacher]]="Alex",Table1[[#This Row],[Teacher]]=""), "", Table1[[#This Row],[For Salary]])</f>
        <v/>
      </c>
      <c r="BD212" t="str">
        <f>IF(OR(Table1[[#This Row],[Teacher]]="Alex",Table1[[#This Row],[Teacher]]=""), "", Table1[[#This Row],[For Amount]])</f>
        <v/>
      </c>
      <c r="BE212" t="str">
        <f>IFERROR(IF(VLOOKUP(Table1[[#This Row],[Teacher]],'Teachers Salaries'!A:C,2,FALSE)="","",VLOOKUP(Table1[[#This Row],[Teacher]],'Teachers Salaries'!A:C,2,FALSE)),"")</f>
        <v/>
      </c>
      <c r="BF212" t="str">
        <f>IFERROR(IF(VLOOKUP(Table1[[#This Row],[Teacher]],'Teachers Salaries'!A:C,3,FALSE)="","",VLOOKUP(Table1[[#This Row],[Teacher]],'Teachers Salaries'!A:C,3,FALSE)),"")</f>
        <v/>
      </c>
      <c r="BG212">
        <f ca="1">IFERROR(IF(Table1[[#This Row],[Pay Type]]="Fixed","-",Table1[[#This Row],[Final Group Frequency2]]*Table1[[#This Row],[Salary / Hourly Rate]]),0)</f>
        <v>0</v>
      </c>
      <c r="BH212">
        <f>IFERROR(IF(Table1[[#This Row],[Pay Type]]="Fixed","----",Table1[[#This Row],[Salary / Hourly Rate]]*Table1[[#This Row],[Final PrivateFrequency]]),0)</f>
        <v>0</v>
      </c>
      <c r="BI212">
        <f ca="1">IF(Table1[[#This Row],[Pay Type]]="Fixed","---",Table1[[#This Row],[Group Salary]]+Table1[[#This Row],[Private Salary]])</f>
        <v>0</v>
      </c>
      <c r="BJ212" t="str">
        <f>IF(OR(J212="Alex", J212=""),"", Table1[[#This Row],[For Amount]])</f>
        <v/>
      </c>
      <c r="BK212">
        <f ca="1">IFERROR(Table1[[#This Row],[Fee]]-Table1[[#This Row],[Total Salary]],"")</f>
        <v>0</v>
      </c>
      <c r="BL212" t="str">
        <f>IF(Table1[[#This Row],[Joining Date]]="","",IF(Table1[[#This Row],[Joining Date]]&lt;='KPI+Pivot'!$CP$1,Table1[[#This Row],[Fee]],""))</f>
        <v/>
      </c>
      <c r="BM21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2" t="str">
        <f>IF(Table1[[#This Row],[Joining Date]]="","",IF(Table1[[#This Row],[Joining Date]]&lt;='KPI+Pivot'!$CP$1,Table1[[#This Row],[Total Salary]],""))</f>
        <v/>
      </c>
      <c r="BO212" t="str">
        <f>IF(Table1[[#This Row],[Joining Date]]="","",IF(Table1[[#This Row],[Joining Date]]&lt;='KPI+Pivot'!$CP$1,Table1[[#This Row],[Frequency]],""))</f>
        <v/>
      </c>
      <c r="BP212" s="38" t="str">
        <f>IF(Table1[[#This Row],[Stop]]="","",(IF(Table1[[#This Row],[Joining Date]]="","",IF(Table1[[#This Row],[Joining Date]]&lt;='KPI+Pivot'!$CP$1,Table1[[#This Row],[Stop]],""))))</f>
        <v/>
      </c>
    </row>
    <row r="213" spans="1:68" ht="22.9" customHeight="1">
      <c r="B213" t="s">
        <v>66</v>
      </c>
      <c r="C213" t="s">
        <v>177</v>
      </c>
      <c r="D213" t="s">
        <v>178</v>
      </c>
      <c r="F213" t="s">
        <v>179</v>
      </c>
      <c r="G213" t="s">
        <v>180</v>
      </c>
      <c r="H213" t="s">
        <v>181</v>
      </c>
      <c r="I213" t="str">
        <f>IFERROR(HYPERLINK("#Finance!B" &amp; MATCH(A213, 'F 2025'!A:A, 0), "🔗 Go to finance"), "❌ ID introuvable")</f>
        <v>❌ ID introuvable</v>
      </c>
      <c r="V213" t="s">
        <v>1441</v>
      </c>
      <c r="Y213">
        <v>8085705979</v>
      </c>
      <c r="Z213" t="s">
        <v>75</v>
      </c>
      <c r="AB213" t="s">
        <v>1442</v>
      </c>
      <c r="AD213" s="130">
        <v>45465</v>
      </c>
      <c r="AE213"/>
      <c r="AG213" t="s">
        <v>76</v>
      </c>
      <c r="AI213" t="s">
        <v>1442</v>
      </c>
      <c r="AK213" t="s">
        <v>84</v>
      </c>
      <c r="AM213" s="38"/>
      <c r="AO213" t="s">
        <v>180</v>
      </c>
      <c r="AR213" t="str">
        <f t="shared" si="14"/>
        <v/>
      </c>
      <c r="AS213" t="str">
        <f t="shared" si="15"/>
        <v/>
      </c>
      <c r="AT213" t="str">
        <f>IF(Table1[[#This Row],[Joining Date]]="", "", TEXT(Table1[[#This Row],[Joining Date]], "mmm"))</f>
        <v>Jun</v>
      </c>
      <c r="AU213">
        <f>IF(Table1[[#This Row],[Joining Date]]="", "", YEAR(Table1[[#This Row],[Joining Date]]))</f>
        <v>2024</v>
      </c>
      <c r="AV213" t="str">
        <f>IF(Table1[[#This Row],[Group Name]]="","", M213 &amp; Table1[[#This Row],[Teacher]])</f>
        <v/>
      </c>
      <c r="AW213" t="str">
        <f>IF(Table1[[#This Row],[Helper]]="","",IF(_xlfn.MAXIFS(AT:AT,AW:AW,Table1[[#This Row],[Helper]])=Table1[[#This Row],[Clean Frequency]],_xlfn.MAXIFS(AT:AT,AW:AW,Table1[[#This Row],[Helper]]),""))</f>
        <v/>
      </c>
      <c r="AX213" t="str">
        <f ca="1">IF(AND(AW213=_xlfn.MAXIFS(AX:AX, AW:AW, AV213), COUNTIFS(AV$3:AV213, AV213, AW$3:AW213, AW213)=1), 1, "")</f>
        <v/>
      </c>
      <c r="AY213" t="str">
        <f>IF(Table1[[#This Row],[lesson type]]="private",Table1[[#This Row],[Clean Frequency]],"")</f>
        <v/>
      </c>
      <c r="AZ213" t="str">
        <f ca="1">IF(Table1[[#This Row],[First Occurrence]]=1,Table1[[#This Row],[Group Frequency]],"")</f>
        <v/>
      </c>
      <c r="BA213" t="str">
        <f ca="1">IF(B213="Y", IF(Table1[[#This Row],[Stop]]="", TODAY() - Table1[[#This Row],[Joining Date]], Table1[[#This Row],[Stop]] - Table1[[#This Row],[Joining Date]]), "")</f>
        <v/>
      </c>
      <c r="BB213" t="str">
        <f>_xlfn.CONCAT(Table1[[#This Row],[t]]," ",Table1[[#This Row],[Last Name]])</f>
        <v>Yuzuna Baba</v>
      </c>
      <c r="BC213" t="str">
        <f>IF(OR(Table1[[#This Row],[Teacher]]="Alex",Table1[[#This Row],[Teacher]]=""), "", Table1[[#This Row],[For Salary]])</f>
        <v/>
      </c>
      <c r="BD213" t="str">
        <f>IF(OR(Table1[[#This Row],[Teacher]]="Alex",Table1[[#This Row],[Teacher]]=""), "", Table1[[#This Row],[For Amount]])</f>
        <v/>
      </c>
      <c r="BE213" t="str">
        <f>IFERROR(IF(VLOOKUP(Table1[[#This Row],[Teacher]],'Teachers Salaries'!A:C,2,FALSE)="","",VLOOKUP(Table1[[#This Row],[Teacher]],'Teachers Salaries'!A:C,2,FALSE)),"")</f>
        <v/>
      </c>
      <c r="BF213" t="str">
        <f>IFERROR(IF(VLOOKUP(Table1[[#This Row],[Teacher]],'Teachers Salaries'!A:C,3,FALSE)="","",VLOOKUP(Table1[[#This Row],[Teacher]],'Teachers Salaries'!A:C,3,FALSE)),"")</f>
        <v/>
      </c>
      <c r="BG213">
        <f ca="1">IFERROR(IF(Table1[[#This Row],[Pay Type]]="Fixed","-",Table1[[#This Row],[Final Group Frequency2]]*Table1[[#This Row],[Salary / Hourly Rate]]),0)</f>
        <v>0</v>
      </c>
      <c r="BH213">
        <f>IFERROR(IF(Table1[[#This Row],[Pay Type]]="Fixed","----",Table1[[#This Row],[Salary / Hourly Rate]]*Table1[[#This Row],[Final PrivateFrequency]]),0)</f>
        <v>0</v>
      </c>
      <c r="BI213">
        <f ca="1">IF(Table1[[#This Row],[Pay Type]]="Fixed","---",Table1[[#This Row],[Group Salary]]+Table1[[#This Row],[Private Salary]])</f>
        <v>0</v>
      </c>
      <c r="BJ213" t="str">
        <f>IF(OR(J213="Alex", J213=""),"", Table1[[#This Row],[For Amount]])</f>
        <v/>
      </c>
      <c r="BK213">
        <f ca="1">IFERROR(Table1[[#This Row],[Fee]]-Table1[[#This Row],[Total Salary]],"")</f>
        <v>0</v>
      </c>
      <c r="BL213" t="e">
        <f>IF(Table1[[#This Row],[Joining Date]]="","",IF(Table1[[#This Row],[Joining Date]]&lt;='KPI+Pivot'!$CP$1,Table1[[#This Row],[Fee]],""))</f>
        <v>#N/A</v>
      </c>
      <c r="BM21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13" t="e">
        <f>IF(Table1[[#This Row],[Joining Date]]="","",IF(Table1[[#This Row],[Joining Date]]&lt;='KPI+Pivot'!$CP$1,Table1[[#This Row],[Total Salary]],""))</f>
        <v>#N/A</v>
      </c>
      <c r="BO213" t="e">
        <f>IF(Table1[[#This Row],[Joining Date]]="","",IF(Table1[[#This Row],[Joining Date]]&lt;='KPI+Pivot'!$CP$1,Table1[[#This Row],[Frequency]],""))</f>
        <v>#N/A</v>
      </c>
      <c r="BP213" s="38" t="str">
        <f>IF(Table1[[#This Row],[Stop]]="","",(IF(Table1[[#This Row],[Joining Date]]="","",IF(Table1[[#This Row],[Joining Date]]&lt;='KPI+Pivot'!$CP$1,Table1[[#This Row],[Stop]],""))))</f>
        <v/>
      </c>
    </row>
    <row r="214" spans="1:68" ht="22.9" customHeight="1">
      <c r="B214" t="s">
        <v>66</v>
      </c>
      <c r="C214" t="s">
        <v>1443</v>
      </c>
      <c r="I214" t="str">
        <f>IFERROR(HYPERLINK("#Finance!B" &amp; MATCH(A214, 'F 2025'!A:A, 0), "🔗 Go to finance"), "❌ ID introuvable")</f>
        <v>❌ ID introuvable</v>
      </c>
      <c r="Z214" t="s">
        <v>75</v>
      </c>
      <c r="AD214" s="130"/>
      <c r="AE214"/>
      <c r="AG214" t="s">
        <v>76</v>
      </c>
      <c r="AM214" s="38"/>
      <c r="AO214"/>
      <c r="AR214" t="str">
        <f t="shared" si="14"/>
        <v/>
      </c>
      <c r="AS214" t="str">
        <f t="shared" si="15"/>
        <v/>
      </c>
      <c r="AT214" t="str">
        <f>IF(Table1[[#This Row],[Joining Date]]="", "", TEXT(Table1[[#This Row],[Joining Date]], "mmm"))</f>
        <v/>
      </c>
      <c r="AU214" t="str">
        <f>IF(Table1[[#This Row],[Joining Date]]="", "", YEAR(Table1[[#This Row],[Joining Date]]))</f>
        <v/>
      </c>
      <c r="AV214" t="str">
        <f>IF(Table1[[#This Row],[Group Name]]="","", M214 &amp; Table1[[#This Row],[Teacher]])</f>
        <v/>
      </c>
      <c r="AW214" t="str">
        <f>IF(Table1[[#This Row],[Helper]]="","",IF(_xlfn.MAXIFS(AT:AT,AW:AW,Table1[[#This Row],[Helper]])=Table1[[#This Row],[Clean Frequency]],_xlfn.MAXIFS(AT:AT,AW:AW,Table1[[#This Row],[Helper]]),""))</f>
        <v/>
      </c>
      <c r="AX214" t="str">
        <f ca="1">IF(AND(AW214=_xlfn.MAXIFS(AX:AX, AW:AW, AV214), COUNTIFS(AV$3:AV214, AV214, AW$3:AW214, AW214)=1), 1, "")</f>
        <v/>
      </c>
      <c r="AY214" t="str">
        <f>IF(Table1[[#This Row],[lesson type]]="private",Table1[[#This Row],[Clean Frequency]],"")</f>
        <v/>
      </c>
      <c r="AZ214" t="str">
        <f ca="1">IF(Table1[[#This Row],[First Occurrence]]=1,Table1[[#This Row],[Group Frequency]],"")</f>
        <v/>
      </c>
      <c r="BA214" t="str">
        <f ca="1">IF(B214="Y", IF(Table1[[#This Row],[Stop]]="", TODAY() - Table1[[#This Row],[Joining Date]], Table1[[#This Row],[Stop]] - Table1[[#This Row],[Joining Date]]), "")</f>
        <v/>
      </c>
      <c r="BB214" t="str">
        <f>_xlfn.CONCAT(Table1[[#This Row],[t]]," ",Table1[[#This Row],[Last Name]])</f>
        <v xml:space="preserve">マタケいちか </v>
      </c>
      <c r="BC214" t="str">
        <f>IF(OR(Table1[[#This Row],[Teacher]]="Alex",Table1[[#This Row],[Teacher]]=""), "", Table1[[#This Row],[For Salary]])</f>
        <v/>
      </c>
      <c r="BD214" t="str">
        <f>IF(OR(Table1[[#This Row],[Teacher]]="Alex",Table1[[#This Row],[Teacher]]=""), "", Table1[[#This Row],[For Amount]])</f>
        <v/>
      </c>
      <c r="BE214" t="str">
        <f>IFERROR(IF(VLOOKUP(Table1[[#This Row],[Teacher]],'Teachers Salaries'!A:C,2,FALSE)="","",VLOOKUP(Table1[[#This Row],[Teacher]],'Teachers Salaries'!A:C,2,FALSE)),"")</f>
        <v/>
      </c>
      <c r="BF214" t="str">
        <f>IFERROR(IF(VLOOKUP(Table1[[#This Row],[Teacher]],'Teachers Salaries'!A:C,3,FALSE)="","",VLOOKUP(Table1[[#This Row],[Teacher]],'Teachers Salaries'!A:C,3,FALSE)),"")</f>
        <v/>
      </c>
      <c r="BG214">
        <f ca="1">IFERROR(IF(Table1[[#This Row],[Pay Type]]="Fixed","-",Table1[[#This Row],[Final Group Frequency2]]*Table1[[#This Row],[Salary / Hourly Rate]]),0)</f>
        <v>0</v>
      </c>
      <c r="BH214">
        <f>IFERROR(IF(Table1[[#This Row],[Pay Type]]="Fixed","----",Table1[[#This Row],[Salary / Hourly Rate]]*Table1[[#This Row],[Final PrivateFrequency]]),0)</f>
        <v>0</v>
      </c>
      <c r="BI214">
        <f ca="1">IF(Table1[[#This Row],[Pay Type]]="Fixed","---",Table1[[#This Row],[Group Salary]]+Table1[[#This Row],[Private Salary]])</f>
        <v>0</v>
      </c>
      <c r="BJ214" t="str">
        <f>IF(OR(J214="Alex", J214=""),"", Table1[[#This Row],[For Amount]])</f>
        <v/>
      </c>
      <c r="BK214">
        <f ca="1">IFERROR(Table1[[#This Row],[Fee]]-Table1[[#This Row],[Total Salary]],"")</f>
        <v>0</v>
      </c>
      <c r="BL214" t="str">
        <f>IF(Table1[[#This Row],[Joining Date]]="","",IF(Table1[[#This Row],[Joining Date]]&lt;='KPI+Pivot'!$CP$1,Table1[[#This Row],[Fee]],""))</f>
        <v/>
      </c>
      <c r="BM21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4" t="str">
        <f>IF(Table1[[#This Row],[Joining Date]]="","",IF(Table1[[#This Row],[Joining Date]]&lt;='KPI+Pivot'!$CP$1,Table1[[#This Row],[Total Salary]],""))</f>
        <v/>
      </c>
      <c r="BO214" t="str">
        <f>IF(Table1[[#This Row],[Joining Date]]="","",IF(Table1[[#This Row],[Joining Date]]&lt;='KPI+Pivot'!$CP$1,Table1[[#This Row],[Frequency]],""))</f>
        <v/>
      </c>
      <c r="BP214" s="38" t="str">
        <f>IF(Table1[[#This Row],[Stop]]="","",(IF(Table1[[#This Row],[Joining Date]]="","",IF(Table1[[#This Row],[Joining Date]]&lt;='KPI+Pivot'!$CP$1,Table1[[#This Row],[Stop]],""))))</f>
        <v/>
      </c>
    </row>
    <row r="215" spans="1:68" ht="22.9" customHeight="1">
      <c r="B215" t="s">
        <v>66</v>
      </c>
      <c r="C215" t="s">
        <v>1289</v>
      </c>
      <c r="D215" t="s">
        <v>1444</v>
      </c>
      <c r="F215" t="s">
        <v>202</v>
      </c>
      <c r="G215" t="s">
        <v>1445</v>
      </c>
      <c r="H215" t="s">
        <v>1446</v>
      </c>
      <c r="I215" t="str">
        <f>IFERROR(HYPERLINK("#Finance!B" &amp; MATCH(A215, 'F 2025'!A:A, 0), "🔗 Go to finance"), "❌ ID introuvable")</f>
        <v>❌ ID introuvable</v>
      </c>
      <c r="L215" t="s">
        <v>90</v>
      </c>
      <c r="V215" t="s">
        <v>1447</v>
      </c>
      <c r="Y215" t="s">
        <v>1448</v>
      </c>
      <c r="Z215" t="s">
        <v>75</v>
      </c>
      <c r="AB215" t="s">
        <v>1449</v>
      </c>
      <c r="AD215" s="130"/>
      <c r="AE215"/>
      <c r="AG215" t="s">
        <v>76</v>
      </c>
      <c r="AI215" t="s">
        <v>1449</v>
      </c>
      <c r="AK215" t="s">
        <v>1450</v>
      </c>
      <c r="AM215" s="38"/>
      <c r="AO215" t="s">
        <v>1445</v>
      </c>
      <c r="AR215" t="str">
        <f t="shared" si="14"/>
        <v/>
      </c>
      <c r="AS215" t="str">
        <f t="shared" si="15"/>
        <v/>
      </c>
      <c r="AT215" t="str">
        <f>IF(Table1[[#This Row],[Joining Date]]="", "", TEXT(Table1[[#This Row],[Joining Date]], "mmm"))</f>
        <v/>
      </c>
      <c r="AU215" t="str">
        <f>IF(Table1[[#This Row],[Joining Date]]="", "", YEAR(Table1[[#This Row],[Joining Date]]))</f>
        <v/>
      </c>
      <c r="AV215" t="str">
        <f>IF(Table1[[#This Row],[Group Name]]="","", M215 &amp; Table1[[#This Row],[Teacher]])</f>
        <v/>
      </c>
      <c r="AW215" t="str">
        <f>IF(Table1[[#This Row],[Helper]]="","",IF(_xlfn.MAXIFS(AT:AT,AW:AW,Table1[[#This Row],[Helper]])=Table1[[#This Row],[Clean Frequency]],_xlfn.MAXIFS(AT:AT,AW:AW,Table1[[#This Row],[Helper]]),""))</f>
        <v/>
      </c>
      <c r="AX215" t="str">
        <f ca="1">IF(AND(AW215=_xlfn.MAXIFS(AX:AX, AW:AW, AV215), COUNTIFS(AV$3:AV215, AV215, AW$3:AW215, AW215)=1), 1, "")</f>
        <v/>
      </c>
      <c r="AY215" t="str">
        <f>IF(Table1[[#This Row],[lesson type]]="private",Table1[[#This Row],[Clean Frequency]],"")</f>
        <v/>
      </c>
      <c r="AZ215" t="str">
        <f ca="1">IF(Table1[[#This Row],[First Occurrence]]=1,Table1[[#This Row],[Group Frequency]],"")</f>
        <v/>
      </c>
      <c r="BA215" t="str">
        <f ca="1">IF(B215="Y", IF(Table1[[#This Row],[Stop]]="", TODAY() - Table1[[#This Row],[Joining Date]], Table1[[#This Row],[Stop]] - Table1[[#This Row],[Joining Date]]), "")</f>
        <v/>
      </c>
      <c r="BB215" t="str">
        <f>_xlfn.CONCAT(Table1[[#This Row],[t]]," ",Table1[[#This Row],[Last Name]])</f>
        <v>Yasuko Kamo</v>
      </c>
      <c r="BC215" t="str">
        <f>IF(OR(Table1[[#This Row],[Teacher]]="Alex",Table1[[#This Row],[Teacher]]=""), "", Table1[[#This Row],[For Salary]])</f>
        <v/>
      </c>
      <c r="BD215" t="str">
        <f>IF(OR(Table1[[#This Row],[Teacher]]="Alex",Table1[[#This Row],[Teacher]]=""), "", Table1[[#This Row],[For Amount]])</f>
        <v/>
      </c>
      <c r="BE215" t="str">
        <f>IFERROR(IF(VLOOKUP(Table1[[#This Row],[Teacher]],'Teachers Salaries'!A:C,2,FALSE)="","",VLOOKUP(Table1[[#This Row],[Teacher]],'Teachers Salaries'!A:C,2,FALSE)),"")</f>
        <v/>
      </c>
      <c r="BF215" t="str">
        <f>IFERROR(IF(VLOOKUP(Table1[[#This Row],[Teacher]],'Teachers Salaries'!A:C,3,FALSE)="","",VLOOKUP(Table1[[#This Row],[Teacher]],'Teachers Salaries'!A:C,3,FALSE)),"")</f>
        <v/>
      </c>
      <c r="BG215">
        <f ca="1">IFERROR(IF(Table1[[#This Row],[Pay Type]]="Fixed","-",Table1[[#This Row],[Final Group Frequency2]]*Table1[[#This Row],[Salary / Hourly Rate]]),0)</f>
        <v>0</v>
      </c>
      <c r="BH215">
        <f>IFERROR(IF(Table1[[#This Row],[Pay Type]]="Fixed","----",Table1[[#This Row],[Salary / Hourly Rate]]*Table1[[#This Row],[Final PrivateFrequency]]),0)</f>
        <v>0</v>
      </c>
      <c r="BI215">
        <f ca="1">IF(Table1[[#This Row],[Pay Type]]="Fixed","---",Table1[[#This Row],[Group Salary]]+Table1[[#This Row],[Private Salary]])</f>
        <v>0</v>
      </c>
      <c r="BJ215" t="str">
        <f>IF(OR(J215="Alex", J215=""),"", Table1[[#This Row],[For Amount]])</f>
        <v/>
      </c>
      <c r="BK215">
        <f ca="1">IFERROR(Table1[[#This Row],[Fee]]-Table1[[#This Row],[Total Salary]],"")</f>
        <v>0</v>
      </c>
      <c r="BL215" t="str">
        <f>IF(Table1[[#This Row],[Joining Date]]="","",IF(Table1[[#This Row],[Joining Date]]&lt;='KPI+Pivot'!$CP$1,Table1[[#This Row],[Fee]],""))</f>
        <v/>
      </c>
      <c r="BM21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5" t="str">
        <f>IF(Table1[[#This Row],[Joining Date]]="","",IF(Table1[[#This Row],[Joining Date]]&lt;='KPI+Pivot'!$CP$1,Table1[[#This Row],[Total Salary]],""))</f>
        <v/>
      </c>
      <c r="BO215" t="str">
        <f>IF(Table1[[#This Row],[Joining Date]]="","",IF(Table1[[#This Row],[Joining Date]]&lt;='KPI+Pivot'!$CP$1,Table1[[#This Row],[Frequency]],""))</f>
        <v/>
      </c>
      <c r="BP215" s="38" t="str">
        <f>IF(Table1[[#This Row],[Stop]]="","",(IF(Table1[[#This Row],[Joining Date]]="","",IF(Table1[[#This Row],[Joining Date]]&lt;='KPI+Pivot'!$CP$1,Table1[[#This Row],[Stop]],""))))</f>
        <v/>
      </c>
    </row>
    <row r="216" spans="1:68" ht="22.9" customHeight="1">
      <c r="B216" t="s">
        <v>66</v>
      </c>
      <c r="C216" t="s">
        <v>1289</v>
      </c>
      <c r="D216" t="s">
        <v>1451</v>
      </c>
      <c r="F216" t="s">
        <v>1452</v>
      </c>
      <c r="G216" t="s">
        <v>1453</v>
      </c>
      <c r="H216" t="s">
        <v>1454</v>
      </c>
      <c r="I216" t="str">
        <f>IFERROR(HYPERLINK("#Finance!B" &amp; MATCH(A216, 'F 2025'!A:A, 0), "🔗 Go to finance"), "❌ ID introuvable")</f>
        <v>❌ ID introuvable</v>
      </c>
      <c r="V216" t="s">
        <v>1455</v>
      </c>
      <c r="Y216">
        <v>8033080335</v>
      </c>
      <c r="Z216" t="s">
        <v>75</v>
      </c>
      <c r="AB216" t="s">
        <v>1456</v>
      </c>
      <c r="AD216" s="130"/>
      <c r="AE216"/>
      <c r="AG216" t="s">
        <v>76</v>
      </c>
      <c r="AI216" t="s">
        <v>1456</v>
      </c>
      <c r="AK216" t="s">
        <v>1127</v>
      </c>
      <c r="AM216" s="38"/>
      <c r="AO216" t="s">
        <v>1453</v>
      </c>
      <c r="AR216" t="str">
        <f t="shared" si="14"/>
        <v/>
      </c>
      <c r="AS216" t="str">
        <f t="shared" si="15"/>
        <v/>
      </c>
      <c r="AT216" t="str">
        <f>IF(Table1[[#This Row],[Joining Date]]="", "", TEXT(Table1[[#This Row],[Joining Date]], "mmm"))</f>
        <v/>
      </c>
      <c r="AU216" t="str">
        <f>IF(Table1[[#This Row],[Joining Date]]="", "", YEAR(Table1[[#This Row],[Joining Date]]))</f>
        <v/>
      </c>
      <c r="AV216" t="str">
        <f>IF(Table1[[#This Row],[Group Name]]="","", M216 &amp; Table1[[#This Row],[Teacher]])</f>
        <v/>
      </c>
      <c r="AW216" t="str">
        <f>IF(Table1[[#This Row],[Helper]]="","",IF(_xlfn.MAXIFS(AT:AT,AW:AW,Table1[[#This Row],[Helper]])=Table1[[#This Row],[Clean Frequency]],_xlfn.MAXIFS(AT:AT,AW:AW,Table1[[#This Row],[Helper]]),""))</f>
        <v/>
      </c>
      <c r="AX216" t="str">
        <f ca="1">IF(AND(AW216=_xlfn.MAXIFS(AX:AX, AW:AW, AV216), COUNTIFS(AV$3:AV216, AV216, AW$3:AW216, AW216)=1), 1, "")</f>
        <v/>
      </c>
      <c r="AY216" t="str">
        <f>IF(Table1[[#This Row],[lesson type]]="private",Table1[[#This Row],[Clean Frequency]],"")</f>
        <v/>
      </c>
      <c r="AZ216" t="str">
        <f ca="1">IF(Table1[[#This Row],[First Occurrence]]=1,Table1[[#This Row],[Group Frequency]],"")</f>
        <v/>
      </c>
      <c r="BA216" t="str">
        <f ca="1">IF(B216="Y", IF(Table1[[#This Row],[Stop]]="", TODAY() - Table1[[#This Row],[Joining Date]], Table1[[#This Row],[Stop]] - Table1[[#This Row],[Joining Date]]), "")</f>
        <v/>
      </c>
      <c r="BB216" t="str">
        <f>_xlfn.CONCAT(Table1[[#This Row],[t]]," ",Table1[[#This Row],[Last Name]])</f>
        <v>Yasuko Tamura</v>
      </c>
      <c r="BC216" t="str">
        <f>IF(OR(Table1[[#This Row],[Teacher]]="Alex",Table1[[#This Row],[Teacher]]=""), "", Table1[[#This Row],[For Salary]])</f>
        <v/>
      </c>
      <c r="BD216" t="str">
        <f>IF(OR(Table1[[#This Row],[Teacher]]="Alex",Table1[[#This Row],[Teacher]]=""), "", Table1[[#This Row],[For Amount]])</f>
        <v/>
      </c>
      <c r="BE216" t="str">
        <f>IFERROR(IF(VLOOKUP(Table1[[#This Row],[Teacher]],'Teachers Salaries'!A:C,2,FALSE)="","",VLOOKUP(Table1[[#This Row],[Teacher]],'Teachers Salaries'!A:C,2,FALSE)),"")</f>
        <v/>
      </c>
      <c r="BF216" t="str">
        <f>IFERROR(IF(VLOOKUP(Table1[[#This Row],[Teacher]],'Teachers Salaries'!A:C,3,FALSE)="","",VLOOKUP(Table1[[#This Row],[Teacher]],'Teachers Salaries'!A:C,3,FALSE)),"")</f>
        <v/>
      </c>
      <c r="BG216">
        <f ca="1">IFERROR(IF(Table1[[#This Row],[Pay Type]]="Fixed","-",Table1[[#This Row],[Final Group Frequency2]]*Table1[[#This Row],[Salary / Hourly Rate]]),0)</f>
        <v>0</v>
      </c>
      <c r="BH216">
        <f>IFERROR(IF(Table1[[#This Row],[Pay Type]]="Fixed","----",Table1[[#This Row],[Salary / Hourly Rate]]*Table1[[#This Row],[Final PrivateFrequency]]),0)</f>
        <v>0</v>
      </c>
      <c r="BI216">
        <f ca="1">IF(Table1[[#This Row],[Pay Type]]="Fixed","---",Table1[[#This Row],[Group Salary]]+Table1[[#This Row],[Private Salary]])</f>
        <v>0</v>
      </c>
      <c r="BJ216" t="str">
        <f>IF(OR(J216="Alex", J216=""),"", Table1[[#This Row],[For Amount]])</f>
        <v/>
      </c>
      <c r="BK216">
        <f ca="1">IFERROR(Table1[[#This Row],[Fee]]-Table1[[#This Row],[Total Salary]],"")</f>
        <v>0</v>
      </c>
      <c r="BL216" t="str">
        <f>IF(Table1[[#This Row],[Joining Date]]="","",IF(Table1[[#This Row],[Joining Date]]&lt;='KPI+Pivot'!$CP$1,Table1[[#This Row],[Fee]],""))</f>
        <v/>
      </c>
      <c r="BM21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6" t="str">
        <f>IF(Table1[[#This Row],[Joining Date]]="","",IF(Table1[[#This Row],[Joining Date]]&lt;='KPI+Pivot'!$CP$1,Table1[[#This Row],[Total Salary]],""))</f>
        <v/>
      </c>
      <c r="BO216" t="str">
        <f>IF(Table1[[#This Row],[Joining Date]]="","",IF(Table1[[#This Row],[Joining Date]]&lt;='KPI+Pivot'!$CP$1,Table1[[#This Row],[Frequency]],""))</f>
        <v/>
      </c>
      <c r="BP216" s="38" t="str">
        <f>IF(Table1[[#This Row],[Stop]]="","",(IF(Table1[[#This Row],[Joining Date]]="","",IF(Table1[[#This Row],[Joining Date]]&lt;='KPI+Pivot'!$CP$1,Table1[[#This Row],[Stop]],""))))</f>
        <v/>
      </c>
    </row>
    <row r="217" spans="1:68" ht="18" customHeight="1">
      <c r="B217" t="s">
        <v>103</v>
      </c>
      <c r="C217" t="s">
        <v>459</v>
      </c>
      <c r="D217" t="s">
        <v>1457</v>
      </c>
      <c r="F217" t="s">
        <v>1458</v>
      </c>
      <c r="G217" t="s">
        <v>1459</v>
      </c>
      <c r="H217" t="s">
        <v>1460</v>
      </c>
      <c r="I217" t="str">
        <f>IFERROR(HYPERLINK("#Finance!B" &amp; MATCH(A217, 'F 2025'!A:A, 0), "🔗 Go to finance"), "❌ ID introuvable")</f>
        <v>❌ ID introuvable</v>
      </c>
      <c r="J217" t="s">
        <v>494</v>
      </c>
      <c r="K217" t="s">
        <v>117</v>
      </c>
      <c r="L217" t="s">
        <v>507</v>
      </c>
      <c r="M217" t="s">
        <v>508</v>
      </c>
      <c r="N217">
        <v>4</v>
      </c>
      <c r="O217">
        <v>9500</v>
      </c>
      <c r="T217" s="130">
        <v>45694</v>
      </c>
      <c r="V217" t="s">
        <v>1461</v>
      </c>
      <c r="W217" t="s">
        <v>1461</v>
      </c>
      <c r="Y217" t="s">
        <v>1462</v>
      </c>
      <c r="Z217" t="s">
        <v>75</v>
      </c>
      <c r="AD217" s="130">
        <v>45658</v>
      </c>
      <c r="AE217"/>
      <c r="AG217" t="s">
        <v>76</v>
      </c>
      <c r="AM217" s="38"/>
      <c r="AO217" t="s">
        <v>1459</v>
      </c>
      <c r="AR217" t="str">
        <f t="shared" si="14"/>
        <v>group</v>
      </c>
      <c r="AS217">
        <f t="shared" si="15"/>
        <v>4</v>
      </c>
      <c r="AT217" t="str">
        <f>IF(Table1[[#This Row],[Joining Date]]="", "", TEXT(Table1[[#This Row],[Joining Date]], "mmm"))</f>
        <v>Jan</v>
      </c>
      <c r="AU217">
        <f>IF(Table1[[#This Row],[Joining Date]]="", "", YEAR(Table1[[#This Row],[Joining Date]]))</f>
        <v>2025</v>
      </c>
      <c r="AV217" t="str">
        <f>IF(Table1[[#This Row],[Group Name]]="","", M217 &amp; Table1[[#This Row],[Teacher]])</f>
        <v>Group AThomas</v>
      </c>
      <c r="AW217">
        <f ca="1">IF(Table1[[#This Row],[Helper]]="","",IF(_xlfn.MAXIFS(AT:AT,AW:AW,Table1[[#This Row],[Helper]])=Table1[[#This Row],[Clean Frequency]],_xlfn.MAXIFS(AT:AT,AW:AW,Table1[[#This Row],[Helper]]),""))</f>
        <v>4</v>
      </c>
      <c r="AX217" t="str">
        <f ca="1">IF(AND(AW217=_xlfn.MAXIFS(AX:AX, AW:AW, AV217), COUNTIFS(AV$3:AV217, AV217, AW$3:AW217, AW217)=1), 1, "")</f>
        <v/>
      </c>
      <c r="AY217" t="str">
        <f>IF(Table1[[#This Row],[lesson type]]="private",Table1[[#This Row],[Clean Frequency]],"")</f>
        <v/>
      </c>
      <c r="AZ217" t="str">
        <f ca="1">IF(Table1[[#This Row],[First Occurrence]]=1,Table1[[#This Row],[Group Frequency]],"")</f>
        <v/>
      </c>
      <c r="BA217">
        <f ca="1">IF(B217="Y", IF(Table1[[#This Row],[Stop]]="", TODAY() - Table1[[#This Row],[Joining Date]], Table1[[#This Row],[Stop]] - Table1[[#This Row],[Joining Date]]), "")</f>
        <v>519</v>
      </c>
      <c r="BB217" t="str">
        <f>_xlfn.CONCAT(Table1[[#This Row],[t]]," ",Table1[[#This Row],[Last Name]])</f>
        <v>Kanon Takeda</v>
      </c>
      <c r="BC217" t="e">
        <f>IF(OR(Table1[[#This Row],[Teacher]]="Alex",Table1[[#This Row],[Teacher]]=""), "", Table1[[#This Row],[For Salary]])</f>
        <v>#N/A</v>
      </c>
      <c r="BD217" t="e">
        <f>IF(OR(Table1[[#This Row],[Teacher]]="Alex",Table1[[#This Row],[Teacher]]=""), "", Table1[[#This Row],[For Amount]])</f>
        <v>#N/A</v>
      </c>
      <c r="BE217" t="str">
        <f>IFERROR(IF(VLOOKUP(Table1[[#This Row],[Teacher]],'Teachers Salaries'!A:C,2,FALSE)="","",VLOOKUP(Table1[[#This Row],[Teacher]],'Teachers Salaries'!A:C,2,FALSE)),"")</f>
        <v>Hourly</v>
      </c>
      <c r="BF217">
        <f>IFERROR(IF(VLOOKUP(Table1[[#This Row],[Teacher]],'Teachers Salaries'!A:C,3,FALSE)="","",VLOOKUP(Table1[[#This Row],[Teacher]],'Teachers Salaries'!A:C,3,FALSE)),"")</f>
        <v>3000</v>
      </c>
      <c r="BG217">
        <f ca="1">IFERROR(IF(Table1[[#This Row],[Pay Type]]="Fixed","-",Table1[[#This Row],[Final Group Frequency2]]*Table1[[#This Row],[Salary / Hourly Rate]]),0)</f>
        <v>0</v>
      </c>
      <c r="BH217">
        <f>IFERROR(IF(Table1[[#This Row],[Pay Type]]="Fixed","----",Table1[[#This Row],[Salary / Hourly Rate]]*Table1[[#This Row],[Final PrivateFrequency]]),0)</f>
        <v>0</v>
      </c>
      <c r="BI217">
        <f ca="1">IF(Table1[[#This Row],[Pay Type]]="Fixed","---",Table1[[#This Row],[Group Salary]]+Table1[[#This Row],[Private Salary]])</f>
        <v>0</v>
      </c>
      <c r="BJ217" t="e">
        <f>IF(OR(J217="Alex", J217=""),"", Table1[[#This Row],[For Amount]])</f>
        <v>#N/A</v>
      </c>
      <c r="BK217">
        <f ca="1">IFERROR(Table1[[#This Row],[Fee]]-Table1[[#This Row],[Total Salary]],"")</f>
        <v>9500</v>
      </c>
      <c r="BL217" t="e">
        <f>IF(Table1[[#This Row],[Joining Date]]="","",IF(Table1[[#This Row],[Joining Date]]&lt;='KPI+Pivot'!$CP$1,Table1[[#This Row],[Fee]],""))</f>
        <v>#N/A</v>
      </c>
      <c r="BM21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17" t="e">
        <f>IF(Table1[[#This Row],[Joining Date]]="","",IF(Table1[[#This Row],[Joining Date]]&lt;='KPI+Pivot'!$CP$1,Table1[[#This Row],[Total Salary]],""))</f>
        <v>#N/A</v>
      </c>
      <c r="BO217" t="e">
        <f>IF(Table1[[#This Row],[Joining Date]]="","",IF(Table1[[#This Row],[Joining Date]]&lt;='KPI+Pivot'!$CP$1,Table1[[#This Row],[Frequency]],""))</f>
        <v>#N/A</v>
      </c>
      <c r="BP217" s="38" t="str">
        <f>IF(Table1[[#This Row],[Stop]]="","",(IF(Table1[[#This Row],[Joining Date]]="","",IF(Table1[[#This Row],[Joining Date]]&lt;='KPI+Pivot'!$CP$1,Table1[[#This Row],[Stop]],""))))</f>
        <v/>
      </c>
    </row>
    <row r="218" spans="1:68" ht="18" customHeight="1">
      <c r="A218">
        <v>151</v>
      </c>
      <c r="B218" t="s">
        <v>103</v>
      </c>
      <c r="C218" t="s">
        <v>1289</v>
      </c>
      <c r="D218" t="s">
        <v>1463</v>
      </c>
      <c r="F218" t="s">
        <v>1464</v>
      </c>
      <c r="G218" t="s">
        <v>1465</v>
      </c>
      <c r="H218" t="s">
        <v>1466</v>
      </c>
      <c r="I218" t="str">
        <f>IFERROR(HYPERLINK("#Finance!B" &amp; MATCH(A218, 'F 2025'!A:A, 0), "🔗 Go to finance"), "❌ ID introuvable")</f>
        <v>🔗 Go to finance</v>
      </c>
      <c r="J218" t="s">
        <v>109</v>
      </c>
      <c r="K218" t="s">
        <v>110</v>
      </c>
      <c r="L218" t="s">
        <v>197</v>
      </c>
      <c r="O218">
        <v>19800</v>
      </c>
      <c r="T218" s="130">
        <v>45383</v>
      </c>
      <c r="Z218" t="s">
        <v>75</v>
      </c>
      <c r="AD218" s="130">
        <v>45383</v>
      </c>
      <c r="AE218"/>
      <c r="AG218" t="s">
        <v>76</v>
      </c>
      <c r="AM218" s="38"/>
      <c r="AO218"/>
      <c r="AR218" t="str">
        <f t="shared" si="14"/>
        <v>private</v>
      </c>
      <c r="AS218">
        <f t="shared" si="15"/>
        <v>4</v>
      </c>
      <c r="AT218" t="str">
        <f>IF(Table1[[#This Row],[Joining Date]]="", "", TEXT(Table1[[#This Row],[Joining Date]], "mmm"))</f>
        <v>Apr</v>
      </c>
      <c r="AU218">
        <f>IF(Table1[[#This Row],[Joining Date]]="", "", YEAR(Table1[[#This Row],[Joining Date]]))</f>
        <v>2024</v>
      </c>
      <c r="AV218" t="str">
        <f>IF(Table1[[#This Row],[Group Name]]="","", M218 &amp; Table1[[#This Row],[Teacher]])</f>
        <v/>
      </c>
      <c r="AW218" t="str">
        <f>IF(Table1[[#This Row],[Helper]]="","",IF(_xlfn.MAXIFS(AT:AT,AW:AW,Table1[[#This Row],[Helper]])=Table1[[#This Row],[Clean Frequency]],_xlfn.MAXIFS(AT:AT,AW:AW,Table1[[#This Row],[Helper]]),""))</f>
        <v/>
      </c>
      <c r="AX218" t="str">
        <f ca="1">IF(AND(AW218=_xlfn.MAXIFS(AX:AX, AW:AW, AV218), COUNTIFS(AV$3:AV218, AV218, AW$3:AW218, AW218)=1), 1, "")</f>
        <v/>
      </c>
      <c r="AY218">
        <f>IF(Table1[[#This Row],[lesson type]]="private",Table1[[#This Row],[Clean Frequency]],"")</f>
        <v>4</v>
      </c>
      <c r="AZ218" t="str">
        <f ca="1">IF(Table1[[#This Row],[First Occurrence]]=1,Table1[[#This Row],[Group Frequency]],"")</f>
        <v/>
      </c>
      <c r="BA218">
        <f ca="1">IF(B218="Y", IF(Table1[[#This Row],[Stop]]="", TODAY() - Table1[[#This Row],[Joining Date]], Table1[[#This Row],[Stop]] - Table1[[#This Row],[Joining Date]]), "")</f>
        <v>794</v>
      </c>
      <c r="BB218" t="str">
        <f>_xlfn.CONCAT(Table1[[#This Row],[t]]," ",Table1[[#This Row],[Last Name]])</f>
        <v>Yasuko Matono</v>
      </c>
      <c r="BC218" t="str">
        <f>IF(OR(Table1[[#This Row],[Teacher]]="Alex",Table1[[#This Row],[Teacher]]=""), "", Table1[[#This Row],[For Salary]])</f>
        <v/>
      </c>
      <c r="BD218" t="str">
        <f>IF(OR(Table1[[#This Row],[Teacher]]="Alex",Table1[[#This Row],[Teacher]]=""), "", Table1[[#This Row],[For Amount]])</f>
        <v/>
      </c>
      <c r="BE218" t="str">
        <f>IFERROR(IF(VLOOKUP(Table1[[#This Row],[Teacher]],'Teachers Salaries'!A:C,2,FALSE)="","",VLOOKUP(Table1[[#This Row],[Teacher]],'Teachers Salaries'!A:C,2,FALSE)),"")</f>
        <v>Fixed</v>
      </c>
      <c r="BF218">
        <f>IFERROR(IF(VLOOKUP(Table1[[#This Row],[Teacher]],'Teachers Salaries'!A:C,3,FALSE)="","",VLOOKUP(Table1[[#This Row],[Teacher]],'Teachers Salaries'!A:C,3,FALSE)),"")</f>
        <v>210000</v>
      </c>
      <c r="BG218" t="str">
        <f>IFERROR(IF(Table1[[#This Row],[Pay Type]]="Fixed","-",Table1[[#This Row],[Final Group Frequency2]]*Table1[[#This Row],[Salary / Hourly Rate]]),0)</f>
        <v>-</v>
      </c>
      <c r="BH218" t="str">
        <f>IFERROR(IF(Table1[[#This Row],[Pay Type]]="Fixed","----",Table1[[#This Row],[Salary / Hourly Rate]]*Table1[[#This Row],[Final PrivateFrequency]]),0)</f>
        <v>----</v>
      </c>
      <c r="BI218" t="str">
        <f>IF(Table1[[#This Row],[Pay Type]]="Fixed","---",Table1[[#This Row],[Group Salary]]+Table1[[#This Row],[Private Salary]])</f>
        <v>---</v>
      </c>
      <c r="BJ218" t="str">
        <f>IF(OR(J218="Alex", J218=""),"", Table1[[#This Row],[For Amount]])</f>
        <v/>
      </c>
      <c r="BK218" t="str">
        <f>IFERROR(Table1[[#This Row],[Fee]]-Table1[[#This Row],[Total Salary]],"")</f>
        <v/>
      </c>
      <c r="BL218" t="e">
        <f>IF(Table1[[#This Row],[Joining Date]]="","",IF(Table1[[#This Row],[Joining Date]]&lt;='KPI+Pivot'!$CP$1,Table1[[#This Row],[Fee]],""))</f>
        <v>#N/A</v>
      </c>
      <c r="BM21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18" t="e">
        <f>IF(Table1[[#This Row],[Joining Date]]="","",IF(Table1[[#This Row],[Joining Date]]&lt;='KPI+Pivot'!$CP$1,Table1[[#This Row],[Total Salary]],""))</f>
        <v>#N/A</v>
      </c>
      <c r="BO218" t="e">
        <f>IF(Table1[[#This Row],[Joining Date]]="","",IF(Table1[[#This Row],[Joining Date]]&lt;='KPI+Pivot'!$CP$1,Table1[[#This Row],[Frequency]],""))</f>
        <v>#N/A</v>
      </c>
      <c r="BP218" s="38" t="str">
        <f>IF(Table1[[#This Row],[Stop]]="","",(IF(Table1[[#This Row],[Joining Date]]="","",IF(Table1[[#This Row],[Joining Date]]&lt;='KPI+Pivot'!$CP$1,Table1[[#This Row],[Stop]],""))))</f>
        <v/>
      </c>
    </row>
    <row r="219" spans="1:68" ht="22.9" customHeight="1">
      <c r="A219">
        <v>9999</v>
      </c>
      <c r="G219" t="s">
        <v>1467</v>
      </c>
      <c r="H219" t="s">
        <v>1468</v>
      </c>
      <c r="I219" t="str">
        <f>IFERROR(HYPERLINK("#Finance!B" &amp; MATCH(A219, 'F 2025'!A:A, 0), "🔗 Go to finance"), "❌ ID introuvable")</f>
        <v>❌ ID introuvable</v>
      </c>
      <c r="O219">
        <v>6600</v>
      </c>
      <c r="V219" s="13" t="s">
        <v>1469</v>
      </c>
      <c r="Z219" t="s">
        <v>75</v>
      </c>
      <c r="AD219" s="130"/>
      <c r="AE219"/>
      <c r="AG219" t="s">
        <v>76</v>
      </c>
      <c r="AM219" s="38"/>
      <c r="AO219"/>
      <c r="AR219" t="str">
        <f t="shared" si="14"/>
        <v/>
      </c>
      <c r="AS219" t="str">
        <f t="shared" si="15"/>
        <v/>
      </c>
      <c r="AT219" t="str">
        <f>IF(Table1[[#This Row],[Joining Date]]="", "", TEXT(Table1[[#This Row],[Joining Date]], "mmm"))</f>
        <v/>
      </c>
      <c r="AU219" t="str">
        <f>IF(Table1[[#This Row],[Joining Date]]="", "", YEAR(Table1[[#This Row],[Joining Date]]))</f>
        <v/>
      </c>
      <c r="AV219" t="str">
        <f>IF(Table1[[#This Row],[Group Name]]="","", M219 &amp; Table1[[#This Row],[Teacher]])</f>
        <v/>
      </c>
      <c r="AW219" t="str">
        <f>IF(Table1[[#This Row],[Helper]]="","",IF(_xlfn.MAXIFS(AT:AT,AW:AW,Table1[[#This Row],[Helper]])=Table1[[#This Row],[Clean Frequency]],_xlfn.MAXIFS(AT:AT,AW:AW,Table1[[#This Row],[Helper]]),""))</f>
        <v/>
      </c>
      <c r="AX219" t="str">
        <f ca="1">IF(AND(AW219=_xlfn.MAXIFS(AX:AX, AW:AW, AV219), COUNTIFS(AV$3:AV219, AV219, AW$3:AW219, AW219)=1), 1, "")</f>
        <v/>
      </c>
      <c r="AY219" t="str">
        <f>IF(Table1[[#This Row],[lesson type]]="private",Table1[[#This Row],[Clean Frequency]],"")</f>
        <v/>
      </c>
      <c r="AZ219" t="str">
        <f ca="1">IF(Table1[[#This Row],[First Occurrence]]=1,Table1[[#This Row],[Group Frequency]],"")</f>
        <v/>
      </c>
      <c r="BA219" t="str">
        <f ca="1">IF(B219="Y", IF(Table1[[#This Row],[Stop]]="", TODAY() - Table1[[#This Row],[Joining Date]], Table1[[#This Row],[Stop]] - Table1[[#This Row],[Joining Date]]), "")</f>
        <v/>
      </c>
      <c r="BB219" t="str">
        <f>_xlfn.CONCAT(Table1[[#This Row],[t]]," ",Table1[[#This Row],[Last Name]])</f>
        <v xml:space="preserve"> </v>
      </c>
      <c r="BC219" t="str">
        <f>IF(OR(Table1[[#This Row],[Teacher]]="Alex",Table1[[#This Row],[Teacher]]=""), "", Table1[[#This Row],[For Salary]])</f>
        <v/>
      </c>
      <c r="BD219" t="str">
        <f>IF(OR(Table1[[#This Row],[Teacher]]="Alex",Table1[[#This Row],[Teacher]]=""), "", Table1[[#This Row],[For Amount]])</f>
        <v/>
      </c>
      <c r="BE219" t="str">
        <f>IFERROR(IF(VLOOKUP(Table1[[#This Row],[Teacher]],'Teachers Salaries'!A:C,2,FALSE)="","",VLOOKUP(Table1[[#This Row],[Teacher]],'Teachers Salaries'!A:C,2,FALSE)),"")</f>
        <v/>
      </c>
      <c r="BF219" t="str">
        <f>IFERROR(IF(VLOOKUP(Table1[[#This Row],[Teacher]],'Teachers Salaries'!A:C,3,FALSE)="","",VLOOKUP(Table1[[#This Row],[Teacher]],'Teachers Salaries'!A:C,3,FALSE)),"")</f>
        <v/>
      </c>
      <c r="BG219">
        <f ca="1">IFERROR(IF(Table1[[#This Row],[Pay Type]]="Fixed","-",Table1[[#This Row],[Final Group Frequency2]]*Table1[[#This Row],[Salary / Hourly Rate]]),0)</f>
        <v>0</v>
      </c>
      <c r="BH219">
        <f>IFERROR(IF(Table1[[#This Row],[Pay Type]]="Fixed","----",Table1[[#This Row],[Salary / Hourly Rate]]*Table1[[#This Row],[Final PrivateFrequency]]),0)</f>
        <v>0</v>
      </c>
      <c r="BI219">
        <f ca="1">IF(Table1[[#This Row],[Pay Type]]="Fixed","---",Table1[[#This Row],[Group Salary]]+Table1[[#This Row],[Private Salary]])</f>
        <v>0</v>
      </c>
      <c r="BJ219" t="str">
        <f>IF(OR(J219="Alex", J219=""),"", Table1[[#This Row],[For Amount]])</f>
        <v/>
      </c>
      <c r="BK219">
        <f ca="1">IFERROR(Table1[[#This Row],[Fee]]-Table1[[#This Row],[Total Salary]],"")</f>
        <v>6600</v>
      </c>
      <c r="BL219" t="str">
        <f>IF(Table1[[#This Row],[Joining Date]]="","",IF(Table1[[#This Row],[Joining Date]]&lt;='KPI+Pivot'!$CP$1,Table1[[#This Row],[Fee]],""))</f>
        <v/>
      </c>
      <c r="BM21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9" t="str">
        <f>IF(Table1[[#This Row],[Joining Date]]="","",IF(Table1[[#This Row],[Joining Date]]&lt;='KPI+Pivot'!$CP$1,Table1[[#This Row],[Total Salary]],""))</f>
        <v/>
      </c>
      <c r="BO219" t="str">
        <f>IF(Table1[[#This Row],[Joining Date]]="","",IF(Table1[[#This Row],[Joining Date]]&lt;='KPI+Pivot'!$CP$1,Table1[[#This Row],[Frequency]],""))</f>
        <v/>
      </c>
      <c r="BP219" s="38" t="str">
        <f>IF(Table1[[#This Row],[Stop]]="","",(IF(Table1[[#This Row],[Joining Date]]="","",IF(Table1[[#This Row],[Joining Date]]&lt;='KPI+Pivot'!$CP$1,Table1[[#This Row],[Stop]],""))))</f>
        <v/>
      </c>
    </row>
    <row r="220" spans="1:68" ht="18" customHeight="1" thickBot="1">
      <c r="A220">
        <v>165</v>
      </c>
      <c r="B220" t="s">
        <v>103</v>
      </c>
      <c r="C220" t="s">
        <v>1470</v>
      </c>
      <c r="D220" t="s">
        <v>740</v>
      </c>
      <c r="F220" t="s">
        <v>1471</v>
      </c>
      <c r="G220" t="s">
        <v>1472</v>
      </c>
      <c r="H220" t="s">
        <v>743</v>
      </c>
      <c r="I220" t="str">
        <f>IFERROR(HYPERLINK("#Finance!B" &amp; MATCH(A220, 'F 2025'!A:A, 0), "🔗 Go to finance"), "❌ ID introuvable")</f>
        <v>🔗 Go to finance</v>
      </c>
      <c r="J220" t="s">
        <v>109</v>
      </c>
      <c r="K220" t="s">
        <v>117</v>
      </c>
      <c r="L220" t="s">
        <v>111</v>
      </c>
      <c r="O220">
        <v>6600</v>
      </c>
      <c r="T220" s="130">
        <v>45780</v>
      </c>
      <c r="V220" s="13" t="s">
        <v>1473</v>
      </c>
      <c r="Y220" t="s">
        <v>1474</v>
      </c>
      <c r="Z220" t="s">
        <v>75</v>
      </c>
      <c r="AA220" t="s">
        <v>1474</v>
      </c>
      <c r="AB220" s="40" t="s">
        <v>1475</v>
      </c>
      <c r="AD220" s="130">
        <v>45780</v>
      </c>
      <c r="AE220"/>
      <c r="AG220" t="s">
        <v>76</v>
      </c>
      <c r="AI220" s="40" t="s">
        <v>1475</v>
      </c>
      <c r="AK220" t="s">
        <v>1476</v>
      </c>
      <c r="AM220" s="38">
        <v>45869</v>
      </c>
      <c r="AO220"/>
      <c r="AR220" t="str">
        <f t="shared" si="14"/>
        <v>group</v>
      </c>
      <c r="AS220">
        <f t="shared" si="15"/>
        <v>4</v>
      </c>
      <c r="AT220" t="str">
        <f>IF(Table1[[#This Row],[Joining Date]]="", "", TEXT(Table1[[#This Row],[Joining Date]], "mmm"))</f>
        <v>May</v>
      </c>
      <c r="AU220">
        <f>IF(Table1[[#This Row],[Joining Date]]="", "", YEAR(Table1[[#This Row],[Joining Date]]))</f>
        <v>2025</v>
      </c>
      <c r="AV220" t="str">
        <f>IF(Table1[[#This Row],[Group Name]]="","", M220 &amp; Table1[[#This Row],[Teacher]])</f>
        <v/>
      </c>
      <c r="AW220" t="str">
        <f>IF(Table1[[#This Row],[Helper]]="","",IF(_xlfn.MAXIFS(AT:AT,AW:AW,Table1[[#This Row],[Helper]])=Table1[[#This Row],[Clean Frequency]],_xlfn.MAXIFS(AT:AT,AW:AW,Table1[[#This Row],[Helper]]),""))</f>
        <v/>
      </c>
      <c r="AX220" t="str">
        <f ca="1">IF(AND(AW220=_xlfn.MAXIFS(AX:AX, AW:AW, AV220), COUNTIFS(AV$3:AV220, AV220, AW$3:AW220, AW220)=1), 1, "")</f>
        <v/>
      </c>
      <c r="AY220" t="str">
        <f>IF(Table1[[#This Row],[lesson type]]="private",Table1[[#This Row],[Clean Frequency]],"")</f>
        <v/>
      </c>
      <c r="AZ220" t="str">
        <f ca="1">IF(Table1[[#This Row],[First Occurrence]]=1,Table1[[#This Row],[Group Frequency]],"")</f>
        <v/>
      </c>
      <c r="BA220">
        <f ca="1">IF(B220="Y", IF(Table1[[#This Row],[Stop]]="", TODAY() - Table1[[#This Row],[Joining Date]], Table1[[#This Row],[Stop]] - Table1[[#This Row],[Joining Date]]), "")</f>
        <v>89</v>
      </c>
      <c r="BB220" t="str">
        <f>_xlfn.CONCAT(Table1[[#This Row],[t]]," ",Table1[[#This Row],[Last Name]])</f>
        <v>Akinari Yamashita</v>
      </c>
      <c r="BC220" t="str">
        <f>IF(OR(Table1[[#This Row],[Teacher]]="Alex",Table1[[#This Row],[Teacher]]=""), "", Table1[[#This Row],[For Salary]])</f>
        <v/>
      </c>
      <c r="BD220" t="str">
        <f>IF(OR(Table1[[#This Row],[Teacher]]="Alex",Table1[[#This Row],[Teacher]]=""), "", Table1[[#This Row],[For Amount]])</f>
        <v/>
      </c>
      <c r="BE220" t="str">
        <f>IFERROR(IF(VLOOKUP(Table1[[#This Row],[Teacher]],'Teachers Salaries'!A:C,2,FALSE)="","",VLOOKUP(Table1[[#This Row],[Teacher]],'Teachers Salaries'!A:C,2,FALSE)),"")</f>
        <v>Fixed</v>
      </c>
      <c r="BF220">
        <f>IFERROR(IF(VLOOKUP(Table1[[#This Row],[Teacher]],'Teachers Salaries'!A:C,3,FALSE)="","",VLOOKUP(Table1[[#This Row],[Teacher]],'Teachers Salaries'!A:C,3,FALSE)),"")</f>
        <v>210000</v>
      </c>
      <c r="BG220" t="str">
        <f>IFERROR(IF(Table1[[#This Row],[Pay Type]]="Fixed","-",Table1[[#This Row],[Final Group Frequency2]]*Table1[[#This Row],[Salary / Hourly Rate]]),0)</f>
        <v>-</v>
      </c>
      <c r="BH220" t="str">
        <f>IFERROR(IF(Table1[[#This Row],[Pay Type]]="Fixed","----",Table1[[#This Row],[Salary / Hourly Rate]]*Table1[[#This Row],[Final PrivateFrequency]]),0)</f>
        <v>----</v>
      </c>
      <c r="BI220" t="str">
        <f>IF(Table1[[#This Row],[Pay Type]]="Fixed","---",Table1[[#This Row],[Group Salary]]+Table1[[#This Row],[Private Salary]])</f>
        <v>---</v>
      </c>
      <c r="BJ220" t="str">
        <f>IF(OR(J220="Alex", J220=""),"", Table1[[#This Row],[For Amount]])</f>
        <v/>
      </c>
      <c r="BK220" t="str">
        <f>IFERROR(Table1[[#This Row],[Fee]]-Table1[[#This Row],[Total Salary]],"")</f>
        <v/>
      </c>
      <c r="BL220" t="e">
        <f>IF(Table1[[#This Row],[Joining Date]]="","",IF(Table1[[#This Row],[Joining Date]]&lt;='KPI+Pivot'!$CP$1,Table1[[#This Row],[Fee]],""))</f>
        <v>#N/A</v>
      </c>
      <c r="BM22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0" t="e">
        <f>IF(Table1[[#This Row],[Joining Date]]="","",IF(Table1[[#This Row],[Joining Date]]&lt;='KPI+Pivot'!$CP$1,Table1[[#This Row],[Total Salary]],""))</f>
        <v>#N/A</v>
      </c>
      <c r="BO220" t="e">
        <f>IF(Table1[[#This Row],[Joining Date]]="","",IF(Table1[[#This Row],[Joining Date]]&lt;='KPI+Pivot'!$CP$1,Table1[[#This Row],[Frequency]],""))</f>
        <v>#N/A</v>
      </c>
      <c r="BP220" s="38" t="e">
        <f>IF(Table1[[#This Row],[Stop]]="","",(IF(Table1[[#This Row],[Joining Date]]="","",IF(Table1[[#This Row],[Joining Date]]&lt;='KPI+Pivot'!$CP$1,Table1[[#This Row],[Stop]],""))))</f>
        <v>#N/A</v>
      </c>
    </row>
    <row r="221" spans="1:68" ht="18" customHeight="1" thickBot="1">
      <c r="A221">
        <v>163</v>
      </c>
      <c r="B221" t="s">
        <v>66</v>
      </c>
      <c r="C221" s="36" t="s">
        <v>1477</v>
      </c>
      <c r="D221" s="36" t="s">
        <v>1478</v>
      </c>
      <c r="F221" t="s">
        <v>1479</v>
      </c>
      <c r="G221" s="36" t="s">
        <v>1480</v>
      </c>
      <c r="H221" t="s">
        <v>1481</v>
      </c>
      <c r="I221" t="str">
        <f>IFERROR(HYPERLINK("#Finance!B" &amp; MATCH(A221, 'F 2025'!A:A, 0), "🔗 Go to finance"), "❌ ID introuvable")</f>
        <v>🔗 Go to finance</v>
      </c>
      <c r="J221" t="s">
        <v>109</v>
      </c>
      <c r="K221" t="s">
        <v>117</v>
      </c>
      <c r="L221" t="s">
        <v>111</v>
      </c>
      <c r="O221">
        <v>6600</v>
      </c>
      <c r="R221">
        <v>13200</v>
      </c>
      <c r="S221" t="s">
        <v>1482</v>
      </c>
      <c r="T221" s="130">
        <v>45754</v>
      </c>
      <c r="V221" s="24" t="s">
        <v>1483</v>
      </c>
      <c r="Z221" t="s">
        <v>75</v>
      </c>
      <c r="AA221" t="s">
        <v>1484</v>
      </c>
      <c r="AB221" s="40" t="s">
        <v>1485</v>
      </c>
      <c r="AD221" s="130">
        <v>45754</v>
      </c>
      <c r="AE221"/>
      <c r="AG221" t="s">
        <v>76</v>
      </c>
      <c r="AI221" s="40" t="s">
        <v>1485</v>
      </c>
      <c r="AJ221" s="40"/>
      <c r="AK221" t="s">
        <v>1476</v>
      </c>
      <c r="AM221" s="38">
        <v>45869</v>
      </c>
      <c r="AO221"/>
      <c r="AR221" t="str">
        <f t="shared" si="14"/>
        <v>group</v>
      </c>
      <c r="AS221">
        <f t="shared" si="15"/>
        <v>4</v>
      </c>
      <c r="AT221" t="str">
        <f>IF(Table1[[#This Row],[Joining Date]]="", "", TEXT(Table1[[#This Row],[Joining Date]], "mmm"))</f>
        <v>Apr</v>
      </c>
      <c r="AU221">
        <f>IF(Table1[[#This Row],[Joining Date]]="", "", YEAR(Table1[[#This Row],[Joining Date]]))</f>
        <v>2025</v>
      </c>
      <c r="AV221" t="str">
        <f>IF(Table1[[#This Row],[Group Name]]="","", M221 &amp; Table1[[#This Row],[Teacher]])</f>
        <v/>
      </c>
      <c r="AW221" t="str">
        <f>IF(Table1[[#This Row],[Helper]]="","",IF(_xlfn.MAXIFS(AT:AT,AW:AW,Table1[[#This Row],[Helper]])=Table1[[#This Row],[Clean Frequency]],_xlfn.MAXIFS(AT:AT,AW:AW,Table1[[#This Row],[Helper]]),""))</f>
        <v/>
      </c>
      <c r="AX221" t="str">
        <f ca="1">IF(AND(AW221=_xlfn.MAXIFS(AX:AX, AW:AW, AV221), COUNTIFS(AV$3:AV221, AV221, AW$3:AW221, AW221)=1), 1, "")</f>
        <v/>
      </c>
      <c r="AY221" t="str">
        <f>IF(Table1[[#This Row],[lesson type]]="private",Table1[[#This Row],[Clean Frequency]],"")</f>
        <v/>
      </c>
      <c r="AZ221" t="str">
        <f ca="1">IF(Table1[[#This Row],[First Occurrence]]=1,Table1[[#This Row],[Group Frequency]],"")</f>
        <v/>
      </c>
      <c r="BA221" t="str">
        <f ca="1">IF(B221="Y", IF(Table1[[#This Row],[Stop]]="", TODAY() - Table1[[#This Row],[Joining Date]], Table1[[#This Row],[Stop]] - Table1[[#This Row],[Joining Date]]), "")</f>
        <v/>
      </c>
      <c r="BB221" t="str">
        <f>_xlfn.CONCAT(Table1[[#This Row],[t]]," ",Table1[[#This Row],[Last Name]])</f>
        <v>Shimugi Kawahara</v>
      </c>
      <c r="BC221" t="str">
        <f>IF(OR(Table1[[#This Row],[Teacher]]="Alex",Table1[[#This Row],[Teacher]]=""), "", Table1[[#This Row],[For Salary]])</f>
        <v/>
      </c>
      <c r="BD221" t="str">
        <f>IF(OR(Table1[[#This Row],[Teacher]]="Alex",Table1[[#This Row],[Teacher]]=""), "", Table1[[#This Row],[For Amount]])</f>
        <v/>
      </c>
      <c r="BE221" t="str">
        <f>IFERROR(IF(VLOOKUP(Table1[[#This Row],[Teacher]],'Teachers Salaries'!A:C,2,FALSE)="","",VLOOKUP(Table1[[#This Row],[Teacher]],'Teachers Salaries'!A:C,2,FALSE)),"")</f>
        <v>Fixed</v>
      </c>
      <c r="BF221">
        <f>IFERROR(IF(VLOOKUP(Table1[[#This Row],[Teacher]],'Teachers Salaries'!A:C,3,FALSE)="","",VLOOKUP(Table1[[#This Row],[Teacher]],'Teachers Salaries'!A:C,3,FALSE)),"")</f>
        <v>210000</v>
      </c>
      <c r="BG221" t="str">
        <f>IFERROR(IF(Table1[[#This Row],[Pay Type]]="Fixed","-",Table1[[#This Row],[Final Group Frequency2]]*Table1[[#This Row],[Salary / Hourly Rate]]),0)</f>
        <v>-</v>
      </c>
      <c r="BH221" t="str">
        <f>IFERROR(IF(Table1[[#This Row],[Pay Type]]="Fixed","----",Table1[[#This Row],[Salary / Hourly Rate]]*Table1[[#This Row],[Final PrivateFrequency]]),0)</f>
        <v>----</v>
      </c>
      <c r="BI221" t="str">
        <f>IF(Table1[[#This Row],[Pay Type]]="Fixed","---",Table1[[#This Row],[Group Salary]]+Table1[[#This Row],[Private Salary]])</f>
        <v>---</v>
      </c>
      <c r="BJ221" t="str">
        <f>IF(OR(J221="Alex", J221=""),"", Table1[[#This Row],[For Amount]])</f>
        <v/>
      </c>
      <c r="BK221" t="str">
        <f>IFERROR(Table1[[#This Row],[Fee]]-Table1[[#This Row],[Total Salary]],"")</f>
        <v/>
      </c>
      <c r="BL221" t="e">
        <f>IF(Table1[[#This Row],[Joining Date]]="","",IF(Table1[[#This Row],[Joining Date]]&lt;='KPI+Pivot'!$CP$1,Table1[[#This Row],[Fee]],""))</f>
        <v>#N/A</v>
      </c>
      <c r="BM22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1" t="e">
        <f>IF(Table1[[#This Row],[Joining Date]]="","",IF(Table1[[#This Row],[Joining Date]]&lt;='KPI+Pivot'!$CP$1,Table1[[#This Row],[Total Salary]],""))</f>
        <v>#N/A</v>
      </c>
      <c r="BO221" t="e">
        <f>IF(Table1[[#This Row],[Joining Date]]="","",IF(Table1[[#This Row],[Joining Date]]&lt;='KPI+Pivot'!$CP$1,Table1[[#This Row],[Frequency]],""))</f>
        <v>#N/A</v>
      </c>
      <c r="BP221" s="38" t="e">
        <f>IF(Table1[[#This Row],[Stop]]="","",(IF(Table1[[#This Row],[Joining Date]]="","",IF(Table1[[#This Row],[Joining Date]]&lt;='KPI+Pivot'!$CP$1,Table1[[#This Row],[Stop]],""))))</f>
        <v>#N/A</v>
      </c>
    </row>
    <row r="222" spans="1:68" ht="18" customHeight="1" thickBot="1">
      <c r="A222">
        <v>164</v>
      </c>
      <c r="B222" t="s">
        <v>66</v>
      </c>
      <c r="C222" t="s">
        <v>1486</v>
      </c>
      <c r="D222" t="s">
        <v>1487</v>
      </c>
      <c r="F222" t="s">
        <v>1488</v>
      </c>
      <c r="G222" s="35" t="s">
        <v>1489</v>
      </c>
      <c r="H222" t="s">
        <v>1490</v>
      </c>
      <c r="I222" t="str">
        <f>IFERROR(HYPERLINK("#Finance!B" &amp; MATCH(A222, 'F 2025'!A:A, 0), "🔗 Go to finance"), "❌ ID introuvable")</f>
        <v>🔗 Go to finance</v>
      </c>
      <c r="J222" t="s">
        <v>494</v>
      </c>
      <c r="K222" t="s">
        <v>110</v>
      </c>
      <c r="L222" t="s">
        <v>507</v>
      </c>
      <c r="N222">
        <v>4</v>
      </c>
      <c r="O222">
        <v>19800</v>
      </c>
      <c r="T222" s="130">
        <v>45750</v>
      </c>
      <c r="V222" s="13" t="s">
        <v>1491</v>
      </c>
      <c r="Y222" t="s">
        <v>1492</v>
      </c>
      <c r="Z222" t="s">
        <v>75</v>
      </c>
      <c r="AB222" t="s">
        <v>1493</v>
      </c>
      <c r="AD222" s="130">
        <v>45786</v>
      </c>
      <c r="AE222"/>
      <c r="AG222" t="s">
        <v>76</v>
      </c>
      <c r="AI222" t="s">
        <v>1493</v>
      </c>
      <c r="AK222" t="s">
        <v>84</v>
      </c>
      <c r="AM222" s="38">
        <v>45821</v>
      </c>
      <c r="AO222"/>
      <c r="AR222" t="str">
        <f t="shared" si="14"/>
        <v>private</v>
      </c>
      <c r="AS222">
        <f t="shared" si="15"/>
        <v>4</v>
      </c>
      <c r="AT222" t="str">
        <f>IF(Table1[[#This Row],[Joining Date]]="", "", TEXT(Table1[[#This Row],[Joining Date]], "mmm"))</f>
        <v>May</v>
      </c>
      <c r="AU222">
        <f>IF(Table1[[#This Row],[Joining Date]]="", "", YEAR(Table1[[#This Row],[Joining Date]]))</f>
        <v>2025</v>
      </c>
      <c r="AV222" t="str">
        <f>IF(Table1[[#This Row],[Group Name]]="","", M222 &amp; Table1[[#This Row],[Teacher]])</f>
        <v/>
      </c>
      <c r="AW222" t="str">
        <f>IF(Table1[[#This Row],[Helper]]="","",IF(_xlfn.MAXIFS(AT:AT,AW:AW,Table1[[#This Row],[Helper]])=Table1[[#This Row],[Clean Frequency]],_xlfn.MAXIFS(AT:AT,AW:AW,Table1[[#This Row],[Helper]]),""))</f>
        <v/>
      </c>
      <c r="AX222" t="str">
        <f ca="1">IF(AND(AW222=_xlfn.MAXIFS(AX:AX, AW:AW, AV222), COUNTIFS(AV$3:AV222, AV222, AW$3:AW222, AW222)=1), 1, "")</f>
        <v/>
      </c>
      <c r="AY222">
        <f>IF(Table1[[#This Row],[lesson type]]="private",Table1[[#This Row],[Clean Frequency]],"")</f>
        <v>4</v>
      </c>
      <c r="AZ222" t="str">
        <f ca="1">IF(Table1[[#This Row],[First Occurrence]]=1,Table1[[#This Row],[Group Frequency]],"")</f>
        <v/>
      </c>
      <c r="BA222" t="str">
        <f ca="1">IF(B222="Y", IF(Table1[[#This Row],[Stop]]="", TODAY() - Table1[[#This Row],[Joining Date]], Table1[[#This Row],[Stop]] - Table1[[#This Row],[Joining Date]]), "")</f>
        <v/>
      </c>
      <c r="BB222" t="str">
        <f>_xlfn.CONCAT(Table1[[#This Row],[t]]," ",Table1[[#This Row],[Last Name]])</f>
        <v>Homare Araki</v>
      </c>
      <c r="BC222" t="e">
        <f>IF(OR(Table1[[#This Row],[Teacher]]="Alex",Table1[[#This Row],[Teacher]]=""), "", Table1[[#This Row],[For Salary]])</f>
        <v>#N/A</v>
      </c>
      <c r="BD222" t="e">
        <f>IF(OR(Table1[[#This Row],[Teacher]]="Alex",Table1[[#This Row],[Teacher]]=""), "", Table1[[#This Row],[For Amount]])</f>
        <v>#N/A</v>
      </c>
      <c r="BE222" t="str">
        <f>IFERROR(IF(VLOOKUP(Table1[[#This Row],[Teacher]],'Teachers Salaries'!A:C,2,FALSE)="","",VLOOKUP(Table1[[#This Row],[Teacher]],'Teachers Salaries'!A:C,2,FALSE)),"")</f>
        <v>Hourly</v>
      </c>
      <c r="BF222">
        <f>IFERROR(IF(VLOOKUP(Table1[[#This Row],[Teacher]],'Teachers Salaries'!A:C,3,FALSE)="","",VLOOKUP(Table1[[#This Row],[Teacher]],'Teachers Salaries'!A:C,3,FALSE)),"")</f>
        <v>3000</v>
      </c>
      <c r="BG222">
        <f ca="1">IFERROR(IF(Table1[[#This Row],[Pay Type]]="Fixed","-",Table1[[#This Row],[Final Group Frequency2]]*Table1[[#This Row],[Salary / Hourly Rate]]),0)</f>
        <v>0</v>
      </c>
      <c r="BH222">
        <f>IFERROR(IF(Table1[[#This Row],[Pay Type]]="Fixed","----",Table1[[#This Row],[Salary / Hourly Rate]]*Table1[[#This Row],[Final PrivateFrequency]]),0)</f>
        <v>12000</v>
      </c>
      <c r="BI222">
        <f ca="1">IF(Table1[[#This Row],[Pay Type]]="Fixed","---",Table1[[#This Row],[Group Salary]]+Table1[[#This Row],[Private Salary]])</f>
        <v>12000</v>
      </c>
      <c r="BJ222" t="e">
        <f>IF(OR(J222="Alex", J222=""),"", Table1[[#This Row],[For Amount]])</f>
        <v>#N/A</v>
      </c>
      <c r="BK222">
        <f ca="1">IFERROR(Table1[[#This Row],[Fee]]-Table1[[#This Row],[Total Salary]],"")</f>
        <v>7800</v>
      </c>
      <c r="BL222" t="e">
        <f>IF(Table1[[#This Row],[Joining Date]]="","",IF(Table1[[#This Row],[Joining Date]]&lt;='KPI+Pivot'!$CP$1,Table1[[#This Row],[Fee]],""))</f>
        <v>#N/A</v>
      </c>
      <c r="BM22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2" t="e">
        <f>IF(Table1[[#This Row],[Joining Date]]="","",IF(Table1[[#This Row],[Joining Date]]&lt;='KPI+Pivot'!$CP$1,Table1[[#This Row],[Total Salary]],""))</f>
        <v>#N/A</v>
      </c>
      <c r="BO222" t="e">
        <f>IF(Table1[[#This Row],[Joining Date]]="","",IF(Table1[[#This Row],[Joining Date]]&lt;='KPI+Pivot'!$CP$1,Table1[[#This Row],[Frequency]],""))</f>
        <v>#N/A</v>
      </c>
      <c r="BP222" s="38" t="e">
        <f>IF(Table1[[#This Row],[Stop]]="","",(IF(Table1[[#This Row],[Joining Date]]="","",IF(Table1[[#This Row],[Joining Date]]&lt;='KPI+Pivot'!$CP$1,Table1[[#This Row],[Stop]],""))))</f>
        <v>#N/A</v>
      </c>
    </row>
    <row r="223" spans="1:68" ht="18" customHeight="1">
      <c r="B223" t="s">
        <v>66</v>
      </c>
      <c r="C223" t="s">
        <v>1470</v>
      </c>
      <c r="D223" t="s">
        <v>1494</v>
      </c>
      <c r="F223" t="s">
        <v>1471</v>
      </c>
      <c r="G223" s="36" t="s">
        <v>1495</v>
      </c>
      <c r="H223" t="s">
        <v>1496</v>
      </c>
      <c r="I223" t="str">
        <f>IFERROR(HYPERLINK("#Finance!B" &amp; MATCH(A223, 'F 2025'!A:A, 0), "🔗 Go to finance"), "❌ ID introuvable")</f>
        <v>❌ ID introuvable</v>
      </c>
      <c r="J223" t="s">
        <v>109</v>
      </c>
      <c r="K223" t="s">
        <v>117</v>
      </c>
      <c r="L223" t="s">
        <v>111</v>
      </c>
      <c r="O223">
        <v>6600</v>
      </c>
      <c r="T223" s="130">
        <v>45750</v>
      </c>
      <c r="V223" s="13" t="s">
        <v>1497</v>
      </c>
      <c r="W223" s="13" t="s">
        <v>1497</v>
      </c>
      <c r="X223" s="13"/>
      <c r="Y223" t="s">
        <v>1474</v>
      </c>
      <c r="Z223" t="s">
        <v>75</v>
      </c>
      <c r="AA223" t="s">
        <v>1474</v>
      </c>
      <c r="AB223" t="s">
        <v>1498</v>
      </c>
      <c r="AD223" s="130">
        <v>45750</v>
      </c>
      <c r="AE223"/>
      <c r="AG223" t="s">
        <v>76</v>
      </c>
      <c r="AI223" t="s">
        <v>1498</v>
      </c>
      <c r="AK223" t="s">
        <v>1476</v>
      </c>
      <c r="AM223" s="38"/>
      <c r="AO223"/>
      <c r="AR223" t="str">
        <f t="shared" si="14"/>
        <v>group</v>
      </c>
      <c r="AS223">
        <f t="shared" si="15"/>
        <v>4</v>
      </c>
      <c r="AT223" t="str">
        <f>IF(Table1[[#This Row],[Joining Date]]="", "", TEXT(Table1[[#This Row],[Joining Date]], "mmm"))</f>
        <v>Apr</v>
      </c>
      <c r="AU223">
        <f>IF(Table1[[#This Row],[Joining Date]]="", "", YEAR(Table1[[#This Row],[Joining Date]]))</f>
        <v>2025</v>
      </c>
      <c r="AV223" t="str">
        <f>IF(Table1[[#This Row],[Group Name]]="","", M223 &amp; Table1[[#This Row],[Teacher]])</f>
        <v/>
      </c>
      <c r="AW223" t="str">
        <f>IF(Table1[[#This Row],[Helper]]="","",IF(_xlfn.MAXIFS(AT:AT,AW:AW,Table1[[#This Row],[Helper]])=Table1[[#This Row],[Clean Frequency]],_xlfn.MAXIFS(AT:AT,AW:AW,Table1[[#This Row],[Helper]]),""))</f>
        <v/>
      </c>
      <c r="AX223" t="str">
        <f ca="1">IF(AND(AW223=_xlfn.MAXIFS(AX:AX, AW:AW, AV223), COUNTIFS(AV$3:AV223, AV223, AW$3:AW223, AW223)=1), 1, "")</f>
        <v/>
      </c>
      <c r="AY223" t="str">
        <f>IF(Table1[[#This Row],[lesson type]]="private",Table1[[#This Row],[Clean Frequency]],"")</f>
        <v/>
      </c>
      <c r="AZ223" t="str">
        <f ca="1">IF(Table1[[#This Row],[First Occurrence]]=1,Table1[[#This Row],[Group Frequency]],"")</f>
        <v/>
      </c>
      <c r="BA223" t="str">
        <f ca="1">IF(B223="Y", IF(Table1[[#This Row],[Stop]]="", TODAY() - Table1[[#This Row],[Joining Date]], Table1[[#This Row],[Stop]] - Table1[[#This Row],[Joining Date]]), "")</f>
        <v/>
      </c>
      <c r="BB223" t="str">
        <f>_xlfn.CONCAT(Table1[[#This Row],[t]]," ",Table1[[#This Row],[Last Name]])</f>
        <v>Akinari Shimoda</v>
      </c>
      <c r="BC223" t="str">
        <f>IF(OR(Table1[[#This Row],[Teacher]]="Alex",Table1[[#This Row],[Teacher]]=""), "", Table1[[#This Row],[For Salary]])</f>
        <v/>
      </c>
      <c r="BD223" t="str">
        <f>IF(OR(Table1[[#This Row],[Teacher]]="Alex",Table1[[#This Row],[Teacher]]=""), "", Table1[[#This Row],[For Amount]])</f>
        <v/>
      </c>
      <c r="BE223" t="str">
        <f>IFERROR(IF(VLOOKUP(Table1[[#This Row],[Teacher]],'Teachers Salaries'!A:C,2,FALSE)="","",VLOOKUP(Table1[[#This Row],[Teacher]],'Teachers Salaries'!A:C,2,FALSE)),"")</f>
        <v>Fixed</v>
      </c>
      <c r="BF223">
        <f>IFERROR(IF(VLOOKUP(Table1[[#This Row],[Teacher]],'Teachers Salaries'!A:C,3,FALSE)="","",VLOOKUP(Table1[[#This Row],[Teacher]],'Teachers Salaries'!A:C,3,FALSE)),"")</f>
        <v>210000</v>
      </c>
      <c r="BG223" t="str">
        <f>IFERROR(IF(Table1[[#This Row],[Pay Type]]="Fixed","-",Table1[[#This Row],[Final Group Frequency2]]*Table1[[#This Row],[Salary / Hourly Rate]]),0)</f>
        <v>-</v>
      </c>
      <c r="BH223" t="str">
        <f>IFERROR(IF(Table1[[#This Row],[Pay Type]]="Fixed","----",Table1[[#This Row],[Salary / Hourly Rate]]*Table1[[#This Row],[Final PrivateFrequency]]),0)</f>
        <v>----</v>
      </c>
      <c r="BI223" t="str">
        <f>IF(Table1[[#This Row],[Pay Type]]="Fixed","---",Table1[[#This Row],[Group Salary]]+Table1[[#This Row],[Private Salary]])</f>
        <v>---</v>
      </c>
      <c r="BJ223" t="str">
        <f>IF(OR(J223="Alex", J223=""),"", Table1[[#This Row],[For Amount]])</f>
        <v/>
      </c>
      <c r="BK223" t="str">
        <f>IFERROR(Table1[[#This Row],[Fee]]-Table1[[#This Row],[Total Salary]],"")</f>
        <v/>
      </c>
      <c r="BL223" t="e">
        <f>IF(Table1[[#This Row],[Joining Date]]="","",IF(Table1[[#This Row],[Joining Date]]&lt;='KPI+Pivot'!$CP$1,Table1[[#This Row],[Fee]],""))</f>
        <v>#N/A</v>
      </c>
      <c r="BM22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3" t="e">
        <f>IF(Table1[[#This Row],[Joining Date]]="","",IF(Table1[[#This Row],[Joining Date]]&lt;='KPI+Pivot'!$CP$1,Table1[[#This Row],[Total Salary]],""))</f>
        <v>#N/A</v>
      </c>
      <c r="BO223" t="e">
        <f>IF(Table1[[#This Row],[Joining Date]]="","",IF(Table1[[#This Row],[Joining Date]]&lt;='KPI+Pivot'!$CP$1,Table1[[#This Row],[Frequency]],""))</f>
        <v>#N/A</v>
      </c>
      <c r="BP223" s="38" t="str">
        <f>IF(Table1[[#This Row],[Stop]]="","",(IF(Table1[[#This Row],[Joining Date]]="","",IF(Table1[[#This Row],[Joining Date]]&lt;='KPI+Pivot'!$CP$1,Table1[[#This Row],[Stop]],""))))</f>
        <v/>
      </c>
    </row>
    <row r="224" spans="1:68" ht="18" customHeight="1">
      <c r="A224">
        <v>166</v>
      </c>
      <c r="B224" t="s">
        <v>103</v>
      </c>
      <c r="C224" t="s">
        <v>1499</v>
      </c>
      <c r="D224" t="s">
        <v>1500</v>
      </c>
      <c r="F224" t="s">
        <v>1501</v>
      </c>
      <c r="G224" t="s">
        <v>1502</v>
      </c>
      <c r="H224" t="s">
        <v>1503</v>
      </c>
      <c r="I224" t="str">
        <f>IFERROR(HYPERLINK("#Finance!B" &amp; MATCH(A224, 'F 2025'!A:A, 0), "🔗 Go to finance"), "❌ ID introuvable")</f>
        <v>🔗 Go to finance</v>
      </c>
      <c r="J224" t="s">
        <v>494</v>
      </c>
      <c r="K224" t="s">
        <v>117</v>
      </c>
      <c r="L224" t="s">
        <v>502</v>
      </c>
      <c r="M224" t="s">
        <v>503</v>
      </c>
      <c r="N224">
        <v>4</v>
      </c>
      <c r="O224">
        <v>7000</v>
      </c>
      <c r="T224" s="130">
        <v>45723</v>
      </c>
      <c r="V224" t="s">
        <v>1504</v>
      </c>
      <c r="Y224" t="s">
        <v>1505</v>
      </c>
      <c r="Z224" t="s">
        <v>75</v>
      </c>
      <c r="AB224" t="s">
        <v>1506</v>
      </c>
      <c r="AD224" s="130">
        <v>45723</v>
      </c>
      <c r="AE224"/>
      <c r="AG224" t="s">
        <v>76</v>
      </c>
      <c r="AI224" t="s">
        <v>1506</v>
      </c>
      <c r="AK224" t="s">
        <v>1476</v>
      </c>
      <c r="AM224" s="38"/>
      <c r="AO224" t="s">
        <v>1507</v>
      </c>
      <c r="AR224" t="str">
        <f t="shared" si="14"/>
        <v>group</v>
      </c>
      <c r="AS224">
        <f t="shared" si="15"/>
        <v>4</v>
      </c>
      <c r="AT224" t="str">
        <f>IF(Table1[[#This Row],[Joining Date]]="", "", TEXT(Table1[[#This Row],[Joining Date]], "mmm"))</f>
        <v>Mar</v>
      </c>
      <c r="AU224">
        <f>IF(Table1[[#This Row],[Joining Date]]="", "", YEAR(Table1[[#This Row],[Joining Date]]))</f>
        <v>2025</v>
      </c>
      <c r="AV224" t="str">
        <f>IF(Table1[[#This Row],[Group Name]]="","", M224 &amp; Table1[[#This Row],[Teacher]])</f>
        <v>Group DThomas</v>
      </c>
      <c r="AW224">
        <f ca="1">IF(Table1[[#This Row],[Helper]]="","",IF(_xlfn.MAXIFS(AT:AT,AW:AW,Table1[[#This Row],[Helper]])=Table1[[#This Row],[Clean Frequency]],_xlfn.MAXIFS(AT:AT,AW:AW,Table1[[#This Row],[Helper]]),""))</f>
        <v>4</v>
      </c>
      <c r="AX224" t="str">
        <f ca="1">IF(AND(AW224=_xlfn.MAXIFS(AX:AX, AW:AW, AV224), COUNTIFS(AV$3:AV224, AV224, AW$3:AW224, AW224)=1), 1, "")</f>
        <v/>
      </c>
      <c r="AY224" t="str">
        <f>IF(Table1[[#This Row],[lesson type]]="private",Table1[[#This Row],[Clean Frequency]],"")</f>
        <v/>
      </c>
      <c r="AZ224" t="str">
        <f ca="1">IF(Table1[[#This Row],[First Occurrence]]=1,Table1[[#This Row],[Group Frequency]],"")</f>
        <v/>
      </c>
      <c r="BA224">
        <f ca="1">IF(B224="Y", IF(Table1[[#This Row],[Stop]]="", TODAY() - Table1[[#This Row],[Joining Date]], Table1[[#This Row],[Stop]] - Table1[[#This Row],[Joining Date]]), "")</f>
        <v>454</v>
      </c>
      <c r="BB224" t="str">
        <f>_xlfn.CONCAT(Table1[[#This Row],[t]]," ",Table1[[#This Row],[Last Name]])</f>
        <v>Fumina Atobe</v>
      </c>
      <c r="BC224" t="e">
        <f>IF(OR(Table1[[#This Row],[Teacher]]="Alex",Table1[[#This Row],[Teacher]]=""), "", Table1[[#This Row],[For Salary]])</f>
        <v>#N/A</v>
      </c>
      <c r="BD224" t="e">
        <f>IF(OR(Table1[[#This Row],[Teacher]]="Alex",Table1[[#This Row],[Teacher]]=""), "", Table1[[#This Row],[For Amount]])</f>
        <v>#N/A</v>
      </c>
      <c r="BE224" t="str">
        <f>IFERROR(IF(VLOOKUP(Table1[[#This Row],[Teacher]],'Teachers Salaries'!A:C,2,FALSE)="","",VLOOKUP(Table1[[#This Row],[Teacher]],'Teachers Salaries'!A:C,2,FALSE)),"")</f>
        <v>Hourly</v>
      </c>
      <c r="BF224">
        <f>IFERROR(IF(VLOOKUP(Table1[[#This Row],[Teacher]],'Teachers Salaries'!A:C,3,FALSE)="","",VLOOKUP(Table1[[#This Row],[Teacher]],'Teachers Salaries'!A:C,3,FALSE)),"")</f>
        <v>3000</v>
      </c>
      <c r="BG224">
        <f ca="1">IFERROR(IF(Table1[[#This Row],[Pay Type]]="Fixed","-",Table1[[#This Row],[Final Group Frequency2]]*Table1[[#This Row],[Salary / Hourly Rate]]),0)</f>
        <v>0</v>
      </c>
      <c r="BH224">
        <f>IFERROR(IF(Table1[[#This Row],[Pay Type]]="Fixed","----",Table1[[#This Row],[Salary / Hourly Rate]]*Table1[[#This Row],[Final PrivateFrequency]]),0)</f>
        <v>0</v>
      </c>
      <c r="BI224">
        <f ca="1">IF(Table1[[#This Row],[Pay Type]]="Fixed","---",Table1[[#This Row],[Group Salary]]+Table1[[#This Row],[Private Salary]])</f>
        <v>0</v>
      </c>
      <c r="BJ224" t="e">
        <f>IF(OR(J224="Alex", J224=""),"", Table1[[#This Row],[For Amount]])</f>
        <v>#N/A</v>
      </c>
      <c r="BK224">
        <f ca="1">IFERROR(Table1[[#This Row],[Fee]]-Table1[[#This Row],[Total Salary]],"")</f>
        <v>7000</v>
      </c>
      <c r="BL224" t="e">
        <f>IF(Table1[[#This Row],[Joining Date]]="","",IF(Table1[[#This Row],[Joining Date]]&lt;='KPI+Pivot'!$CP$1,Table1[[#This Row],[Fee]],""))</f>
        <v>#N/A</v>
      </c>
      <c r="BM22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4" t="e">
        <f>IF(Table1[[#This Row],[Joining Date]]="","",IF(Table1[[#This Row],[Joining Date]]&lt;='KPI+Pivot'!$CP$1,Table1[[#This Row],[Total Salary]],""))</f>
        <v>#N/A</v>
      </c>
      <c r="BO224" t="e">
        <f>IF(Table1[[#This Row],[Joining Date]]="","",IF(Table1[[#This Row],[Joining Date]]&lt;='KPI+Pivot'!$CP$1,Table1[[#This Row],[Frequency]],""))</f>
        <v>#N/A</v>
      </c>
      <c r="BP224" s="38" t="str">
        <f>IF(Table1[[#This Row],[Stop]]="","",(IF(Table1[[#This Row],[Joining Date]]="","",IF(Table1[[#This Row],[Joining Date]]&lt;='KPI+Pivot'!$CP$1,Table1[[#This Row],[Stop]],""))))</f>
        <v/>
      </c>
    </row>
    <row r="225" spans="1:68" ht="18" customHeight="1">
      <c r="A225">
        <v>167</v>
      </c>
      <c r="B225" t="s">
        <v>103</v>
      </c>
      <c r="C225" t="s">
        <v>1508</v>
      </c>
      <c r="D225" t="s">
        <v>1509</v>
      </c>
      <c r="F225" t="s">
        <v>1510</v>
      </c>
      <c r="G225" t="s">
        <v>1511</v>
      </c>
      <c r="H225" t="s">
        <v>1512</v>
      </c>
      <c r="I225" t="str">
        <f>IFERROR(HYPERLINK("#Finance!B" &amp; MATCH(A225, 'F 2025'!A:A, 0), "🔗 Go to finance"), "❌ ID introuvable")</f>
        <v>🔗 Go to finance</v>
      </c>
      <c r="J225" t="s">
        <v>109</v>
      </c>
      <c r="K225" t="s">
        <v>117</v>
      </c>
      <c r="L225" t="s">
        <v>502</v>
      </c>
      <c r="O225">
        <v>7000</v>
      </c>
      <c r="T225" s="130">
        <v>45768</v>
      </c>
      <c r="V225" s="13" t="s">
        <v>1513</v>
      </c>
      <c r="Z225" t="s">
        <v>75</v>
      </c>
      <c r="AA225" t="s">
        <v>1514</v>
      </c>
      <c r="AB225" s="40" t="s">
        <v>1515</v>
      </c>
      <c r="AD225" s="130">
        <v>45768</v>
      </c>
      <c r="AE225"/>
      <c r="AG225" t="s">
        <v>76</v>
      </c>
      <c r="AI225" s="40" t="s">
        <v>1515</v>
      </c>
      <c r="AK225" t="s">
        <v>1476</v>
      </c>
      <c r="AM225" s="38"/>
      <c r="AO225"/>
      <c r="AR225" t="str">
        <f t="shared" si="14"/>
        <v>group</v>
      </c>
      <c r="AS225">
        <f t="shared" si="15"/>
        <v>4</v>
      </c>
      <c r="AT225" t="str">
        <f>IF(Table1[[#This Row],[Joining Date]]="", "", TEXT(Table1[[#This Row],[Joining Date]], "mmm"))</f>
        <v>Apr</v>
      </c>
      <c r="AU225">
        <f>IF(Table1[[#This Row],[Joining Date]]="", "", YEAR(Table1[[#This Row],[Joining Date]]))</f>
        <v>2025</v>
      </c>
      <c r="AV225" t="str">
        <f>IF(Table1[[#This Row],[Group Name]]="","", M225 &amp; Table1[[#This Row],[Teacher]])</f>
        <v/>
      </c>
      <c r="AW225" t="str">
        <f>IF(Table1[[#This Row],[Helper]]="","",IF(_xlfn.MAXIFS(AT:AT,AW:AW,Table1[[#This Row],[Helper]])=Table1[[#This Row],[Clean Frequency]],_xlfn.MAXIFS(AT:AT,AW:AW,Table1[[#This Row],[Helper]]),""))</f>
        <v/>
      </c>
      <c r="AX225" t="str">
        <f ca="1">IF(AND(AW225=_xlfn.MAXIFS(AX:AX, AW:AW, AV225), COUNTIFS(AV$3:AV225, AV225, AW$3:AW225, AW225)=1), 1, "")</f>
        <v/>
      </c>
      <c r="AY225" t="str">
        <f>IF(Table1[[#This Row],[lesson type]]="private",Table1[[#This Row],[Clean Frequency]],"")</f>
        <v/>
      </c>
      <c r="AZ225" t="str">
        <f ca="1">IF(Table1[[#This Row],[First Occurrence]]=1,Table1[[#This Row],[Group Frequency]],"")</f>
        <v/>
      </c>
      <c r="BA225">
        <f ca="1">IF(B225="Y", IF(Table1[[#This Row],[Stop]]="", TODAY() - Table1[[#This Row],[Joining Date]], Table1[[#This Row],[Stop]] - Table1[[#This Row],[Joining Date]]), "")</f>
        <v>409</v>
      </c>
      <c r="BB225" t="str">
        <f>_xlfn.CONCAT(Table1[[#This Row],[t]]," ",Table1[[#This Row],[Last Name]])</f>
        <v>Rin Korematsu</v>
      </c>
      <c r="BC225" t="str">
        <f>IF(OR(Table1[[#This Row],[Teacher]]="Alex",Table1[[#This Row],[Teacher]]=""), "", Table1[[#This Row],[For Salary]])</f>
        <v/>
      </c>
      <c r="BD225" t="str">
        <f>IF(OR(Table1[[#This Row],[Teacher]]="Alex",Table1[[#This Row],[Teacher]]=""), "", Table1[[#This Row],[For Amount]])</f>
        <v/>
      </c>
      <c r="BE225" t="str">
        <f>IFERROR(IF(VLOOKUP(Table1[[#This Row],[Teacher]],'Teachers Salaries'!A:C,2,FALSE)="","",VLOOKUP(Table1[[#This Row],[Teacher]],'Teachers Salaries'!A:C,2,FALSE)),"")</f>
        <v>Fixed</v>
      </c>
      <c r="BF225">
        <f>IFERROR(IF(VLOOKUP(Table1[[#This Row],[Teacher]],'Teachers Salaries'!A:C,3,FALSE)="","",VLOOKUP(Table1[[#This Row],[Teacher]],'Teachers Salaries'!A:C,3,FALSE)),"")</f>
        <v>210000</v>
      </c>
      <c r="BG225" t="str">
        <f>IFERROR(IF(Table1[[#This Row],[Pay Type]]="Fixed","-",Table1[[#This Row],[Final Group Frequency2]]*Table1[[#This Row],[Salary / Hourly Rate]]),0)</f>
        <v>-</v>
      </c>
      <c r="BH225" t="str">
        <f>IFERROR(IF(Table1[[#This Row],[Pay Type]]="Fixed","----",Table1[[#This Row],[Salary / Hourly Rate]]*Table1[[#This Row],[Final PrivateFrequency]]),0)</f>
        <v>----</v>
      </c>
      <c r="BI225" t="str">
        <f>IF(Table1[[#This Row],[Pay Type]]="Fixed","---",Table1[[#This Row],[Group Salary]]+Table1[[#This Row],[Private Salary]])</f>
        <v>---</v>
      </c>
      <c r="BJ225" t="str">
        <f>IF(OR(J225="Alex", J225=""),"", Table1[[#This Row],[For Amount]])</f>
        <v/>
      </c>
      <c r="BK225" t="str">
        <f>IFERROR(Table1[[#This Row],[Fee]]-Table1[[#This Row],[Total Salary]],"")</f>
        <v/>
      </c>
      <c r="BL225" t="e">
        <f>IF(Table1[[#This Row],[Joining Date]]="","",IF(Table1[[#This Row],[Joining Date]]&lt;='KPI+Pivot'!$CP$1,Table1[[#This Row],[Fee]],""))</f>
        <v>#N/A</v>
      </c>
      <c r="BM22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5" t="e">
        <f>IF(Table1[[#This Row],[Joining Date]]="","",IF(Table1[[#This Row],[Joining Date]]&lt;='KPI+Pivot'!$CP$1,Table1[[#This Row],[Total Salary]],""))</f>
        <v>#N/A</v>
      </c>
      <c r="BO225" t="e">
        <f>IF(Table1[[#This Row],[Joining Date]]="","",IF(Table1[[#This Row],[Joining Date]]&lt;='KPI+Pivot'!$CP$1,Table1[[#This Row],[Frequency]],""))</f>
        <v>#N/A</v>
      </c>
      <c r="BP225" s="38" t="str">
        <f>IF(Table1[[#This Row],[Stop]]="","",(IF(Table1[[#This Row],[Joining Date]]="","",IF(Table1[[#This Row],[Joining Date]]&lt;='KPI+Pivot'!$CP$1,Table1[[#This Row],[Stop]],""))))</f>
        <v/>
      </c>
    </row>
    <row r="226" spans="1:68" ht="18" customHeight="1">
      <c r="A226">
        <v>168</v>
      </c>
      <c r="B226" t="s">
        <v>103</v>
      </c>
      <c r="C226" t="s">
        <v>1516</v>
      </c>
      <c r="D226" t="s">
        <v>1517</v>
      </c>
      <c r="F226" t="s">
        <v>1518</v>
      </c>
      <c r="G226" t="s">
        <v>1519</v>
      </c>
      <c r="H226" t="s">
        <v>1520</v>
      </c>
      <c r="I226" t="str">
        <f>IFERROR(HYPERLINK("#Finance!B" &amp; MATCH(A226, 'F 2025'!A:A, 0), "🔗 Go to finance"), "❌ ID introuvable")</f>
        <v>🔗 Go to finance</v>
      </c>
      <c r="J226" t="s">
        <v>109</v>
      </c>
      <c r="K226" t="s">
        <v>117</v>
      </c>
      <c r="L226" t="s">
        <v>502</v>
      </c>
      <c r="N226">
        <v>4</v>
      </c>
      <c r="O226">
        <v>7000</v>
      </c>
      <c r="P226" s="38">
        <v>45997</v>
      </c>
      <c r="T226" s="130">
        <v>45773</v>
      </c>
      <c r="V226" s="13" t="s">
        <v>1521</v>
      </c>
      <c r="W226" s="13" t="s">
        <v>1521</v>
      </c>
      <c r="Y226" s="37" t="s">
        <v>1522</v>
      </c>
      <c r="Z226" t="s">
        <v>75</v>
      </c>
      <c r="AB226" s="40" t="s">
        <v>1523</v>
      </c>
      <c r="AD226" s="130">
        <v>45773</v>
      </c>
      <c r="AE226"/>
      <c r="AG226" t="s">
        <v>76</v>
      </c>
      <c r="AI226" s="40" t="s">
        <v>1523</v>
      </c>
      <c r="AK226" t="s">
        <v>1476</v>
      </c>
      <c r="AM226" s="38"/>
      <c r="AO226"/>
      <c r="AR226" t="str">
        <f t="shared" si="14"/>
        <v>group</v>
      </c>
      <c r="AS226">
        <f t="shared" si="15"/>
        <v>4</v>
      </c>
      <c r="AT226" t="str">
        <f>IF(Table1[[#This Row],[Joining Date]]="", "", TEXT(Table1[[#This Row],[Joining Date]], "mmm"))</f>
        <v>Apr</v>
      </c>
      <c r="AU226">
        <f>IF(Table1[[#This Row],[Joining Date]]="", "", YEAR(Table1[[#This Row],[Joining Date]]))</f>
        <v>2025</v>
      </c>
      <c r="AV226" t="str">
        <f>IF(Table1[[#This Row],[Group Name]]="","", M226 &amp; Table1[[#This Row],[Teacher]])</f>
        <v/>
      </c>
      <c r="AW226" t="str">
        <f>IF(Table1[[#This Row],[Helper]]="","",IF(_xlfn.MAXIFS(AT:AT,AW:AW,Table1[[#This Row],[Helper]])=Table1[[#This Row],[Clean Frequency]],_xlfn.MAXIFS(AT:AT,AW:AW,Table1[[#This Row],[Helper]]),""))</f>
        <v/>
      </c>
      <c r="AX226" t="str">
        <f ca="1">IF(AND(AW226=_xlfn.MAXIFS(AX:AX, AW:AW, AV226), COUNTIFS(AV$3:AV226, AV226, AW$3:AW226, AW226)=1), 1, "")</f>
        <v/>
      </c>
      <c r="AY226" t="str">
        <f>IF(Table1[[#This Row],[lesson type]]="private",Table1[[#This Row],[Clean Frequency]],"")</f>
        <v/>
      </c>
      <c r="AZ226" t="str">
        <f ca="1">IF(Table1[[#This Row],[First Occurrence]]=1,Table1[[#This Row],[Group Frequency]],"")</f>
        <v/>
      </c>
      <c r="BA226">
        <f ca="1">IF(B226="Y", IF(Table1[[#This Row],[Stop]]="", TODAY() - Table1[[#This Row],[Joining Date]], Table1[[#This Row],[Stop]] - Table1[[#This Row],[Joining Date]]), "")</f>
        <v>404</v>
      </c>
      <c r="BB226" t="str">
        <f>_xlfn.CONCAT(Table1[[#This Row],[t]]," ",Table1[[#This Row],[Last Name]])</f>
        <v>Ayaha Morishita</v>
      </c>
      <c r="BC226" t="str">
        <f>IF(OR(Table1[[#This Row],[Teacher]]="Alex",Table1[[#This Row],[Teacher]]=""), "", Table1[[#This Row],[For Salary]])</f>
        <v/>
      </c>
      <c r="BD226" t="str">
        <f>IF(OR(Table1[[#This Row],[Teacher]]="Alex",Table1[[#This Row],[Teacher]]=""), "", Table1[[#This Row],[For Amount]])</f>
        <v/>
      </c>
      <c r="BE226" t="str">
        <f>IFERROR(IF(VLOOKUP(Table1[[#This Row],[Teacher]],'Teachers Salaries'!A:C,2,FALSE)="","",VLOOKUP(Table1[[#This Row],[Teacher]],'Teachers Salaries'!A:C,2,FALSE)),"")</f>
        <v>Fixed</v>
      </c>
      <c r="BF226">
        <f>IFERROR(IF(VLOOKUP(Table1[[#This Row],[Teacher]],'Teachers Salaries'!A:C,3,FALSE)="","",VLOOKUP(Table1[[#This Row],[Teacher]],'Teachers Salaries'!A:C,3,FALSE)),"")</f>
        <v>210000</v>
      </c>
      <c r="BG226" t="str">
        <f>IFERROR(IF(Table1[[#This Row],[Pay Type]]="Fixed","-",Table1[[#This Row],[Final Group Frequency2]]*Table1[[#This Row],[Salary / Hourly Rate]]),0)</f>
        <v>-</v>
      </c>
      <c r="BH226" t="str">
        <f>IFERROR(IF(Table1[[#This Row],[Pay Type]]="Fixed","----",Table1[[#This Row],[Salary / Hourly Rate]]*Table1[[#This Row],[Final PrivateFrequency]]),0)</f>
        <v>----</v>
      </c>
      <c r="BI226" t="str">
        <f>IF(Table1[[#This Row],[Pay Type]]="Fixed","---",Table1[[#This Row],[Group Salary]]+Table1[[#This Row],[Private Salary]])</f>
        <v>---</v>
      </c>
      <c r="BJ226" t="str">
        <f>IF(OR(J226="Alex", J226=""),"", Table1[[#This Row],[For Amount]])</f>
        <v/>
      </c>
      <c r="BK226" t="str">
        <f>IFERROR(Table1[[#This Row],[Fee]]-Table1[[#This Row],[Total Salary]],"")</f>
        <v/>
      </c>
      <c r="BL226" t="e">
        <f>IF(Table1[[#This Row],[Joining Date]]="","",IF(Table1[[#This Row],[Joining Date]]&lt;='KPI+Pivot'!$CP$1,Table1[[#This Row],[Fee]],""))</f>
        <v>#N/A</v>
      </c>
      <c r="BM22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6" t="e">
        <f>IF(Table1[[#This Row],[Joining Date]]="","",IF(Table1[[#This Row],[Joining Date]]&lt;='KPI+Pivot'!$CP$1,Table1[[#This Row],[Total Salary]],""))</f>
        <v>#N/A</v>
      </c>
      <c r="BO226" t="e">
        <f>IF(Table1[[#This Row],[Joining Date]]="","",IF(Table1[[#This Row],[Joining Date]]&lt;='KPI+Pivot'!$CP$1,Table1[[#This Row],[Frequency]],""))</f>
        <v>#N/A</v>
      </c>
      <c r="BP226" s="38" t="str">
        <f>IF(Table1[[#This Row],[Stop]]="","",(IF(Table1[[#This Row],[Joining Date]]="","",IF(Table1[[#This Row],[Joining Date]]&lt;='KPI+Pivot'!$CP$1,Table1[[#This Row],[Stop]],""))))</f>
        <v/>
      </c>
    </row>
    <row r="227" spans="1:68" ht="18" customHeight="1" thickBot="1">
      <c r="A227">
        <v>169</v>
      </c>
      <c r="B227" t="s">
        <v>66</v>
      </c>
      <c r="C227" t="s">
        <v>1524</v>
      </c>
      <c r="D227" t="s">
        <v>1525</v>
      </c>
      <c r="F227" t="s">
        <v>1526</v>
      </c>
      <c r="G227" t="s">
        <v>1527</v>
      </c>
      <c r="H227" t="s">
        <v>1528</v>
      </c>
      <c r="I227" t="str">
        <f>IFERROR(HYPERLINK("#Finance!B" &amp; MATCH(A227, 'F 2025'!A:A, 0), "🔗 Go to finance"), "❌ ID introuvable")</f>
        <v>🔗 Go to finance</v>
      </c>
      <c r="J227" t="s">
        <v>109</v>
      </c>
      <c r="K227" t="s">
        <v>117</v>
      </c>
      <c r="L227" t="s">
        <v>502</v>
      </c>
      <c r="N227">
        <v>4</v>
      </c>
      <c r="O227">
        <v>7000</v>
      </c>
      <c r="T227" s="130">
        <v>45773</v>
      </c>
      <c r="V227" s="13"/>
      <c r="W227" t="s">
        <v>1529</v>
      </c>
      <c r="Y227" t="s">
        <v>1530</v>
      </c>
      <c r="Z227" t="s">
        <v>75</v>
      </c>
      <c r="AB227" s="40" t="s">
        <v>1531</v>
      </c>
      <c r="AD227" s="130">
        <v>45773</v>
      </c>
      <c r="AE227"/>
      <c r="AG227" t="s">
        <v>76</v>
      </c>
      <c r="AI227" s="40" t="s">
        <v>1531</v>
      </c>
      <c r="AK227" t="s">
        <v>1476</v>
      </c>
      <c r="AM227" s="38">
        <v>46163</v>
      </c>
      <c r="AO227"/>
      <c r="AR227" t="str">
        <f t="shared" si="14"/>
        <v>group</v>
      </c>
      <c r="AS227">
        <f t="shared" si="15"/>
        <v>4</v>
      </c>
      <c r="AT227" t="str">
        <f>IF(Table1[[#This Row],[Joining Date]]="", "", TEXT(Table1[[#This Row],[Joining Date]], "mmm"))</f>
        <v>Apr</v>
      </c>
      <c r="AU227">
        <f>IF(Table1[[#This Row],[Joining Date]]="", "", YEAR(Table1[[#This Row],[Joining Date]]))</f>
        <v>2025</v>
      </c>
      <c r="AV227" t="str">
        <f>IF(Table1[[#This Row],[Group Name]]="","", M227 &amp; Table1[[#This Row],[Teacher]])</f>
        <v/>
      </c>
      <c r="AW227" t="str">
        <f>IF(Table1[[#This Row],[Helper]]="","",IF(_xlfn.MAXIFS(AT:AT,AW:AW,Table1[[#This Row],[Helper]])=Table1[[#This Row],[Clean Frequency]],_xlfn.MAXIFS(AT:AT,AW:AW,Table1[[#This Row],[Helper]]),""))</f>
        <v/>
      </c>
      <c r="AX227">
        <f ca="1">IF(AND(AW227=_xlfn.MAXIFS(AX:AX, AW:AW, AV227), COUNTIFS(AV$2:AV235, AV227, AW$2:AW235, AW227)=1), 1, "")</f>
        <v>0</v>
      </c>
      <c r="AY227" t="str">
        <f>IF(Table1[[#This Row],[lesson type]]="private",Table1[[#This Row],[Clean Frequency]],"")</f>
        <v/>
      </c>
      <c r="AZ227" t="str">
        <f ca="1">IF(Table1[[#This Row],[First Occurrence]]=1,Table1[[#This Row],[Group Frequency]],"")</f>
        <v/>
      </c>
      <c r="BA227" t="str">
        <f ca="1">IF(B227="Y", IF(Table1[[#This Row],[Stop]]="", TODAY() - Table1[[#This Row],[Joining Date]], Table1[[#This Row],[Stop]] - Table1[[#This Row],[Joining Date]]), "")</f>
        <v/>
      </c>
      <c r="BB227" t="str">
        <f>_xlfn.CONCAT(Table1[[#This Row],[t]]," ",Table1[[#This Row],[Last Name]])</f>
        <v>Haru Yanouchi</v>
      </c>
      <c r="BC227" t="str">
        <f>IF(OR(Table1[[#This Row],[Teacher]]="Alex",Table1[[#This Row],[Teacher]]=""), "", Table1[[#This Row],[For Salary]])</f>
        <v/>
      </c>
      <c r="BD227" t="str">
        <f>IF(OR(Table1[[#This Row],[Teacher]]="Alex",Table1[[#This Row],[Teacher]]=""), "", Table1[[#This Row],[For Amount]])</f>
        <v/>
      </c>
      <c r="BE227" t="str">
        <f>IFERROR(IF(VLOOKUP(Table1[[#This Row],[Teacher]],'Teachers Salaries'!A:C,2,FALSE)="","",VLOOKUP(Table1[[#This Row],[Teacher]],'Teachers Salaries'!A:C,2,FALSE)),"")</f>
        <v>Fixed</v>
      </c>
      <c r="BF227">
        <f>IFERROR(IF(VLOOKUP(Table1[[#This Row],[Teacher]],'Teachers Salaries'!A:C,3,FALSE)="","",VLOOKUP(Table1[[#This Row],[Teacher]],'Teachers Salaries'!A:C,3,FALSE)),"")</f>
        <v>210000</v>
      </c>
      <c r="BG227" t="str">
        <f>IFERROR(IF(Table1[[#This Row],[Pay Type]]="Fixed","-",Table1[[#This Row],[Final Group Frequency2]]*Table1[[#This Row],[Salary / Hourly Rate]]),0)</f>
        <v>-</v>
      </c>
      <c r="BH227" t="str">
        <f>IFERROR(IF(Table1[[#This Row],[Pay Type]]="Fixed","----",Table1[[#This Row],[Salary / Hourly Rate]]*Table1[[#This Row],[Final PrivateFrequency]]),0)</f>
        <v>----</v>
      </c>
      <c r="BI227" t="str">
        <f>IF(Table1[[#This Row],[Pay Type]]="Fixed","---",Table1[[#This Row],[Group Salary]]+Table1[[#This Row],[Private Salary]])</f>
        <v>---</v>
      </c>
      <c r="BJ227" t="str">
        <f>IF(OR(J227="Alex", J227=""),"", Table1[[#This Row],[For Amount]])</f>
        <v/>
      </c>
      <c r="BK227" t="str">
        <f>IFERROR(Table1[[#This Row],[Fee]]-Table1[[#This Row],[Total Salary]],"")</f>
        <v/>
      </c>
      <c r="BL227" t="e">
        <f>IF(Table1[[#This Row],[Joining Date]]="","",IF(Table1[[#This Row],[Joining Date]]&lt;='KPI+Pivot'!$CP$1,Table1[[#This Row],[Fee]],""))</f>
        <v>#N/A</v>
      </c>
      <c r="BM22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7" t="e">
        <f>IF(Table1[[#This Row],[Joining Date]]="","",IF(Table1[[#This Row],[Joining Date]]&lt;='KPI+Pivot'!$CP$1,Table1[[#This Row],[Total Salary]],""))</f>
        <v>#N/A</v>
      </c>
      <c r="BO227" t="e">
        <f>IF(Table1[[#This Row],[Joining Date]]="","",IF(Table1[[#This Row],[Joining Date]]&lt;='KPI+Pivot'!$CP$1,Table1[[#This Row],[Frequency]],""))</f>
        <v>#N/A</v>
      </c>
      <c r="BP227" s="38" t="e">
        <f>IF(Table1[[#This Row],[Stop]]="","",(IF(Table1[[#This Row],[Joining Date]]="","",IF(Table1[[#This Row],[Joining Date]]&lt;='KPI+Pivot'!$CP$1,Table1[[#This Row],[Stop]],""))))</f>
        <v>#N/A</v>
      </c>
    </row>
    <row r="228" spans="1:68" ht="18" customHeight="1" thickBot="1">
      <c r="A228">
        <v>170</v>
      </c>
      <c r="B228" t="s">
        <v>103</v>
      </c>
      <c r="C228" s="179" t="s">
        <v>1532</v>
      </c>
      <c r="D228" s="179" t="s">
        <v>854</v>
      </c>
      <c r="F228" t="s">
        <v>1533</v>
      </c>
      <c r="G228" t="s">
        <v>1534</v>
      </c>
      <c r="H228" t="s">
        <v>1535</v>
      </c>
      <c r="I228" s="13" t="str">
        <f>IFERROR(HYPERLINK("#Finance!B" &amp; MATCH(A228, 'F 2025'!A:A, 0), "🔗 Go to finance"), "❌ ID introuvable")</f>
        <v>🔗 Go to finance</v>
      </c>
      <c r="J228" t="s">
        <v>109</v>
      </c>
      <c r="K228" t="s">
        <v>117</v>
      </c>
      <c r="L228" t="s">
        <v>502</v>
      </c>
      <c r="N228">
        <v>4</v>
      </c>
      <c r="O228">
        <v>7000</v>
      </c>
      <c r="P228" s="38">
        <v>45997</v>
      </c>
      <c r="T228" s="38">
        <v>45778</v>
      </c>
      <c r="V228" s="13" t="s">
        <v>1536</v>
      </c>
      <c r="W228" s="4" t="s">
        <v>1536</v>
      </c>
      <c r="AB228" s="40"/>
      <c r="AD228" s="130"/>
      <c r="AE228"/>
      <c r="AI228" s="40"/>
      <c r="AM228" s="175"/>
      <c r="AO228"/>
      <c r="AR228" t="str">
        <f t="shared" si="14"/>
        <v>group</v>
      </c>
      <c r="AS228">
        <f t="shared" si="15"/>
        <v>4</v>
      </c>
      <c r="AT228" t="str">
        <f>IF(Table1[[#This Row],[Joining Date]]="", "", TEXT(Table1[[#This Row],[Joining Date]], "mmm"))</f>
        <v/>
      </c>
      <c r="AU228" t="str">
        <f>IF(Table1[[#This Row],[Joining Date]]="", "", YEAR(Table1[[#This Row],[Joining Date]]))</f>
        <v/>
      </c>
      <c r="AV228" t="str">
        <f>IF(Table1[[#This Row],[Group Name]]="","", M228 &amp; Table1[[#This Row],[Teacher]])</f>
        <v/>
      </c>
      <c r="AW228" t="str">
        <f>IF(Table1[[#This Row],[Helper]]="","",IF(_xlfn.MAXIFS(AT:AT,AW:AW,Table1[[#This Row],[Helper]])=Table1[[#This Row],[Clean Frequency]],_xlfn.MAXIFS(AT:AT,AW:AW,Table1[[#This Row],[Helper]]),""))</f>
        <v/>
      </c>
      <c r="AX228">
        <f ca="1">IF(AND(AW228=_xlfn.MAXIFS(AX:AX, AW:AW, AV228), COUNTIFS(AV$2:AV235, AV228, AW$2:AW235, AW228)=1), 1, "")</f>
        <v>0</v>
      </c>
      <c r="AY228" t="str">
        <f>IF(Table1[[#This Row],[lesson type]]="private",Table1[[#This Row],[Clean Frequency]],"")</f>
        <v/>
      </c>
      <c r="AZ228" t="str">
        <f ca="1">IF(Table1[[#This Row],[First Occurrence]]=1,Table1[[#This Row],[Group Frequency]],"")</f>
        <v/>
      </c>
      <c r="BA228">
        <f ca="1">IF(B228="Y", IF(Table1[[#This Row],[Stop]]="", TODAY() - Table1[[#This Row],[Joining Date]], Table1[[#This Row],[Stop]] - Table1[[#This Row],[Joining Date]]), "")</f>
        <v>46177</v>
      </c>
      <c r="BB228" t="str">
        <f>_xlfn.CONCAT(Table1[[#This Row],[t]]," ",Table1[[#This Row],[Last Name]])</f>
        <v>Kaede Watanabe</v>
      </c>
      <c r="BC228" t="str">
        <f>IF(OR(Table1[[#This Row],[Teacher]]="Alex",Table1[[#This Row],[Teacher]]=""), "", Table1[[#This Row],[For Salary]])</f>
        <v/>
      </c>
      <c r="BD228" t="str">
        <f>IF(OR(Table1[[#This Row],[Teacher]]="Alex",Table1[[#This Row],[Teacher]]=""), "", Table1[[#This Row],[For Amount]])</f>
        <v/>
      </c>
      <c r="BE228" t="str">
        <f>IFERROR(IF(VLOOKUP(Table1[[#This Row],[Teacher]],'Teachers Salaries'!A:C,2,FALSE)="","",VLOOKUP(Table1[[#This Row],[Teacher]],'Teachers Salaries'!A:C,2,FALSE)),"")</f>
        <v>Fixed</v>
      </c>
      <c r="BF228">
        <f>IFERROR(IF(VLOOKUP(Table1[[#This Row],[Teacher]],'Teachers Salaries'!A:C,3,FALSE)="","",VLOOKUP(Table1[[#This Row],[Teacher]],'Teachers Salaries'!A:C,3,FALSE)),"")</f>
        <v>210000</v>
      </c>
      <c r="BG228" t="str">
        <f>IFERROR(IF(Table1[[#This Row],[Pay Type]]="Fixed","-",Table1[[#This Row],[Final Group Frequency2]]*Table1[[#This Row],[Salary / Hourly Rate]]),0)</f>
        <v>-</v>
      </c>
      <c r="BH228" t="str">
        <f>IFERROR(IF(Table1[[#This Row],[Pay Type]]="Fixed","----",Table1[[#This Row],[Salary / Hourly Rate]]*Table1[[#This Row],[Final PrivateFrequency]]),0)</f>
        <v>----</v>
      </c>
      <c r="BI228" t="str">
        <f>IF(Table1[[#This Row],[Pay Type]]="Fixed","---",Table1[[#This Row],[Group Salary]]+Table1[[#This Row],[Private Salary]])</f>
        <v>---</v>
      </c>
      <c r="BJ228" t="str">
        <f>IF(OR(J228="Alex", J228=""),"", Table1[[#This Row],[For Amount]])</f>
        <v/>
      </c>
      <c r="BK228" t="str">
        <f>IFERROR(Table1[[#This Row],[Fee]]-Table1[[#This Row],[Total Salary]],"")</f>
        <v/>
      </c>
      <c r="BL228" t="str">
        <f>IF(Table1[[#This Row],[Joining Date]]="","",IF(Table1[[#This Row],[Joining Date]]&lt;='KPI+Pivot'!$CP$1,Table1[[#This Row],[Fee]],""))</f>
        <v/>
      </c>
      <c r="BM22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28" t="str">
        <f>IF(Table1[[#This Row],[Joining Date]]="","",IF(Table1[[#This Row],[Joining Date]]&lt;='KPI+Pivot'!$CP$1,Table1[[#This Row],[Total Salary]],""))</f>
        <v/>
      </c>
      <c r="BO228" t="str">
        <f>IF(Table1[[#This Row],[Joining Date]]="","",IF(Table1[[#This Row],[Joining Date]]&lt;='KPI+Pivot'!$CP$1,Table1[[#This Row],[Frequency]],""))</f>
        <v/>
      </c>
      <c r="BP228" s="175" t="str">
        <f>IF(Table1[[#This Row],[Stop]]="","",(IF(Table1[[#This Row],[Joining Date]]="","",IF(Table1[[#This Row],[Joining Date]]&lt;='KPI+Pivot'!$CP$1,Table1[[#This Row],[Stop]],""))))</f>
        <v/>
      </c>
    </row>
    <row r="229" spans="1:68" ht="18" customHeight="1">
      <c r="A229">
        <v>171</v>
      </c>
      <c r="B229" t="s">
        <v>103</v>
      </c>
      <c r="C229" s="179" t="s">
        <v>1390</v>
      </c>
      <c r="D229" s="179" t="s">
        <v>490</v>
      </c>
      <c r="F229" t="s">
        <v>1537</v>
      </c>
      <c r="G229" t="s">
        <v>1538</v>
      </c>
      <c r="H229" t="s">
        <v>493</v>
      </c>
      <c r="I229" s="13" t="str">
        <f>IFERROR(HYPERLINK("#Finance!B" &amp; MATCH(A229, 'F 2025'!A:A, 0), "🔗 Go to finance"), "❌ ID introuvable")</f>
        <v>🔗 Go to finance</v>
      </c>
      <c r="J229" t="s">
        <v>109</v>
      </c>
      <c r="K229" t="s">
        <v>117</v>
      </c>
      <c r="L229" t="s">
        <v>502</v>
      </c>
      <c r="N229">
        <v>4</v>
      </c>
      <c r="O229">
        <v>7000</v>
      </c>
      <c r="T229" s="38">
        <v>45778</v>
      </c>
      <c r="V229" s="13" t="s">
        <v>1539</v>
      </c>
      <c r="AB229" s="40"/>
      <c r="AD229" s="130"/>
      <c r="AE229"/>
      <c r="AI229" s="40"/>
      <c r="AM229" s="175"/>
      <c r="AO229"/>
      <c r="AR229" t="str">
        <f t="shared" si="14"/>
        <v>group</v>
      </c>
      <c r="AS229">
        <f t="shared" si="15"/>
        <v>4</v>
      </c>
      <c r="AT229" t="str">
        <f>IF(Table1[[#This Row],[Joining Date]]="", "", TEXT(Table1[[#This Row],[Joining Date]], "mmm"))</f>
        <v/>
      </c>
      <c r="AU229" t="str">
        <f>IF(Table1[[#This Row],[Joining Date]]="", "", YEAR(Table1[[#This Row],[Joining Date]]))</f>
        <v/>
      </c>
      <c r="AV229" t="str">
        <f>IF(Table1[[#This Row],[Group Name]]="","", M229 &amp; Table1[[#This Row],[Teacher]])</f>
        <v/>
      </c>
      <c r="AW229" t="str">
        <f>IF(Table1[[#This Row],[Helper]]="","",IF(_xlfn.MAXIFS(AT:AT,AW:AW,Table1[[#This Row],[Helper]])=Table1[[#This Row],[Clean Frequency]],_xlfn.MAXIFS(AT:AT,AW:AW,Table1[[#This Row],[Helper]]),""))</f>
        <v/>
      </c>
      <c r="AX229">
        <f ca="1">IF(AND(AW229=_xlfn.MAXIFS(AX:AX, AW:AW, AV229), COUNTIFS(AV$2:AV235, AV229, AW$2:AW235, AW229)=1), 1, "")</f>
        <v>0</v>
      </c>
      <c r="AY229" t="str">
        <f>IF(Table1[[#This Row],[lesson type]]="private",Table1[[#This Row],[Clean Frequency]],"")</f>
        <v/>
      </c>
      <c r="AZ229" t="str">
        <f ca="1">IF(Table1[[#This Row],[First Occurrence]]=1,Table1[[#This Row],[Group Frequency]],"")</f>
        <v/>
      </c>
      <c r="BA229">
        <f ca="1">IF(B229="Y", IF(Table1[[#This Row],[Stop]]="", TODAY() - Table1[[#This Row],[Joining Date]], Table1[[#This Row],[Stop]] - Table1[[#This Row],[Joining Date]]), "")</f>
        <v>46177</v>
      </c>
      <c r="BB229" t="str">
        <f>_xlfn.CONCAT(Table1[[#This Row],[t]]," ",Table1[[#This Row],[Last Name]])</f>
        <v>Yuna Inoue</v>
      </c>
      <c r="BC229" t="str">
        <f>IF(OR(Table1[[#This Row],[Teacher]]="Alex",Table1[[#This Row],[Teacher]]=""), "", Table1[[#This Row],[For Salary]])</f>
        <v/>
      </c>
      <c r="BD229" t="str">
        <f>IF(OR(Table1[[#This Row],[Teacher]]="Alex",Table1[[#This Row],[Teacher]]=""), "", Table1[[#This Row],[For Amount]])</f>
        <v/>
      </c>
      <c r="BE229" t="str">
        <f>IFERROR(IF(VLOOKUP(Table1[[#This Row],[Teacher]],'Teachers Salaries'!A:C,2,FALSE)="","",VLOOKUP(Table1[[#This Row],[Teacher]],'Teachers Salaries'!A:C,2,FALSE)),"")</f>
        <v>Fixed</v>
      </c>
      <c r="BF229">
        <f>IFERROR(IF(VLOOKUP(Table1[[#This Row],[Teacher]],'Teachers Salaries'!A:C,3,FALSE)="","",VLOOKUP(Table1[[#This Row],[Teacher]],'Teachers Salaries'!A:C,3,FALSE)),"")</f>
        <v>210000</v>
      </c>
      <c r="BG229" t="str">
        <f>IFERROR(IF(Table1[[#This Row],[Pay Type]]="Fixed","-",Table1[[#This Row],[Final Group Frequency2]]*Table1[[#This Row],[Salary / Hourly Rate]]),0)</f>
        <v>-</v>
      </c>
      <c r="BH229" t="str">
        <f>IFERROR(IF(Table1[[#This Row],[Pay Type]]="Fixed","----",Table1[[#This Row],[Salary / Hourly Rate]]*Table1[[#This Row],[Final PrivateFrequency]]),0)</f>
        <v>----</v>
      </c>
      <c r="BI229" t="str">
        <f>IF(Table1[[#This Row],[Pay Type]]="Fixed","---",Table1[[#This Row],[Group Salary]]+Table1[[#This Row],[Private Salary]])</f>
        <v>---</v>
      </c>
      <c r="BJ229" t="str">
        <f>IF(OR(J229="Alex", J229=""),"", Table1[[#This Row],[For Amount]])</f>
        <v/>
      </c>
      <c r="BK229" t="str">
        <f>IFERROR(Table1[[#This Row],[Fee]]-Table1[[#This Row],[Total Salary]],"")</f>
        <v/>
      </c>
      <c r="BL229" t="str">
        <f>IF(Table1[[#This Row],[Joining Date]]="","",IF(Table1[[#This Row],[Joining Date]]&lt;='KPI+Pivot'!$CP$1,Table1[[#This Row],[Fee]],""))</f>
        <v/>
      </c>
      <c r="BM22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29" t="str">
        <f>IF(Table1[[#This Row],[Joining Date]]="","",IF(Table1[[#This Row],[Joining Date]]&lt;='KPI+Pivot'!$CP$1,Table1[[#This Row],[Total Salary]],""))</f>
        <v/>
      </c>
      <c r="BO229" t="str">
        <f>IF(Table1[[#This Row],[Joining Date]]="","",IF(Table1[[#This Row],[Joining Date]]&lt;='KPI+Pivot'!$CP$1,Table1[[#This Row],[Frequency]],""))</f>
        <v/>
      </c>
      <c r="BP229" s="175" t="str">
        <f>IF(Table1[[#This Row],[Stop]]="","",(IF(Table1[[#This Row],[Joining Date]]="","",IF(Table1[[#This Row],[Joining Date]]&lt;='KPI+Pivot'!$CP$1,Table1[[#This Row],[Stop]],""))))</f>
        <v/>
      </c>
    </row>
    <row r="230" spans="1:68" ht="18" customHeight="1">
      <c r="A230">
        <v>172</v>
      </c>
      <c r="B230" t="s">
        <v>103</v>
      </c>
      <c r="C230" t="s">
        <v>1540</v>
      </c>
      <c r="D230" t="s">
        <v>1541</v>
      </c>
      <c r="F230" t="s">
        <v>1542</v>
      </c>
      <c r="G230" t="s">
        <v>1543</v>
      </c>
      <c r="H230" t="s">
        <v>1544</v>
      </c>
      <c r="I230" s="204" t="str">
        <f>IFERROR(HYPERLINK("#Finance!B" &amp; MATCH(A230, 'F 2025'!A:A, 0), "🔗 Go to finance"), "❌ ID introuvable")</f>
        <v>🔗 Go to finance</v>
      </c>
      <c r="J230" t="s">
        <v>109</v>
      </c>
      <c r="K230" t="s">
        <v>1545</v>
      </c>
      <c r="L230" t="s">
        <v>111</v>
      </c>
      <c r="N230">
        <v>4</v>
      </c>
      <c r="O230">
        <v>12100</v>
      </c>
      <c r="P230" s="38">
        <v>45997</v>
      </c>
      <c r="T230" s="38">
        <v>45814</v>
      </c>
      <c r="V230" s="176" t="s">
        <v>1546</v>
      </c>
      <c r="W230" t="s">
        <v>1547</v>
      </c>
      <c r="Y230" t="s">
        <v>1548</v>
      </c>
      <c r="AB230" s="40" t="s">
        <v>1549</v>
      </c>
      <c r="AD230" s="130">
        <v>45814</v>
      </c>
      <c r="AE230"/>
      <c r="AI230" s="40"/>
      <c r="AM230" s="175"/>
      <c r="AO230"/>
      <c r="AR230" t="str">
        <f t="shared" si="14"/>
        <v>private</v>
      </c>
      <c r="AS230">
        <f t="shared" si="15"/>
        <v>4</v>
      </c>
      <c r="AT230" t="str">
        <f>IF(Table1[[#This Row],[Joining Date]]="", "", TEXT(Table1[[#This Row],[Joining Date]], "mmm"))</f>
        <v>Jun</v>
      </c>
      <c r="AU230">
        <f>IF(Table1[[#This Row],[Joining Date]]="", "", YEAR(Table1[[#This Row],[Joining Date]]))</f>
        <v>2025</v>
      </c>
      <c r="AV230" t="str">
        <f>IF(Table1[[#This Row],[Group Name]]="","", M230 &amp; Table1[[#This Row],[Teacher]])</f>
        <v/>
      </c>
      <c r="AW230" t="str">
        <f>IF(Table1[[#This Row],[Helper]]="","",IF(_xlfn.MAXIFS(AT:AT,AW:AW,Table1[[#This Row],[Helper]])=Table1[[#This Row],[Clean Frequency]],_xlfn.MAXIFS(AT:AT,AW:AW,Table1[[#This Row],[Helper]]),""))</f>
        <v/>
      </c>
      <c r="AX230" t="str">
        <f ca="1">IF(AND(AW230=_xlfn.MAXIFS(AX:AX, AW:AW, AV230), COUNTIFS(AV$2:AV230, AV230, AW$2:AW230, AW230)=1), 1, "")</f>
        <v/>
      </c>
      <c r="AY230">
        <f>IF(Table1[[#This Row],[lesson type]]="private",Table1[[#This Row],[Clean Frequency]],"")</f>
        <v>4</v>
      </c>
      <c r="AZ230" t="str">
        <f ca="1">IF(Table1[[#This Row],[First Occurrence]]=1,Table1[[#This Row],[Group Frequency]],"")</f>
        <v/>
      </c>
      <c r="BA230">
        <f ca="1">IF(B230="Y", IF(Table1[[#This Row],[Stop]]="", TODAY() - Table1[[#This Row],[Joining Date]], Table1[[#This Row],[Stop]] - Table1[[#This Row],[Joining Date]]), "")</f>
        <v>363</v>
      </c>
      <c r="BB230" t="str">
        <f>_xlfn.CONCAT(Table1[[#This Row],[t]]," ",Table1[[#This Row],[Last Name]])</f>
        <v>Karin Sakai</v>
      </c>
      <c r="BC230" t="str">
        <f>IF(OR(Table1[[#This Row],[Teacher]]="Alex",Table1[[#This Row],[Teacher]]=""), "", Table1[[#This Row],[For Salary]])</f>
        <v/>
      </c>
      <c r="BD230" t="str">
        <f>IF(OR(Table1[[#This Row],[Teacher]]="Alex",Table1[[#This Row],[Teacher]]=""), "", Table1[[#This Row],[For Amount]])</f>
        <v/>
      </c>
      <c r="BE230" t="str">
        <f>IFERROR(IF(VLOOKUP(Table1[[#This Row],[Teacher]],'Teachers Salaries'!A:C,2,FALSE)="","",VLOOKUP(Table1[[#This Row],[Teacher]],'Teachers Salaries'!A:C,2,FALSE)),"")</f>
        <v>Fixed</v>
      </c>
      <c r="BF230">
        <f>IFERROR(IF(VLOOKUP(Table1[[#This Row],[Teacher]],'Teachers Salaries'!A:C,3,FALSE)="","",VLOOKUP(Table1[[#This Row],[Teacher]],'Teachers Salaries'!A:C,3,FALSE)),"")</f>
        <v>210000</v>
      </c>
      <c r="BG230" t="str">
        <f>IFERROR(IF(Table1[[#This Row],[Pay Type]]="Fixed","-",Table1[[#This Row],[Final Group Frequency2]]*Table1[[#This Row],[Salary / Hourly Rate]]),0)</f>
        <v>-</v>
      </c>
      <c r="BH230" t="str">
        <f>IFERROR(IF(Table1[[#This Row],[Pay Type]]="Fixed","----",Table1[[#This Row],[Salary / Hourly Rate]]*Table1[[#This Row],[Final PrivateFrequency]]),0)</f>
        <v>----</v>
      </c>
      <c r="BI230" t="str">
        <f>IF(Table1[[#This Row],[Pay Type]]="Fixed","---",Table1[[#This Row],[Group Salary]]+Table1[[#This Row],[Private Salary]])</f>
        <v>---</v>
      </c>
      <c r="BJ230" t="str">
        <f>IF(OR(J230="Alex", J230=""),"", Table1[[#This Row],[For Amount]])</f>
        <v/>
      </c>
      <c r="BK230" t="str">
        <f>IFERROR(Table1[[#This Row],[Fee]]-Table1[[#This Row],[Total Salary]],"")</f>
        <v/>
      </c>
      <c r="BL230" t="e">
        <f>IF(Table1[[#This Row],[Joining Date]]="","",IF(Table1[[#This Row],[Joining Date]]&lt;='KPI+Pivot'!$CP$1,Table1[[#This Row],[Fee]],""))</f>
        <v>#N/A</v>
      </c>
      <c r="BM23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0" t="e">
        <f>IF(Table1[[#This Row],[Joining Date]]="","",IF(Table1[[#This Row],[Joining Date]]&lt;='KPI+Pivot'!$CP$1,Table1[[#This Row],[Total Salary]],""))</f>
        <v>#N/A</v>
      </c>
      <c r="BO230" t="e">
        <f>IF(Table1[[#This Row],[Joining Date]]="","",IF(Table1[[#This Row],[Joining Date]]&lt;='KPI+Pivot'!$CP$1,Table1[[#This Row],[Frequency]],""))</f>
        <v>#N/A</v>
      </c>
      <c r="BP230" s="175" t="str">
        <f>IF(Table1[[#This Row],[Stop]]="","",(IF(Table1[[#This Row],[Joining Date]]="","",IF(Table1[[#This Row],[Joining Date]]&lt;='KPI+Pivot'!$CP$1,Table1[[#This Row],[Stop]],""))))</f>
        <v/>
      </c>
    </row>
    <row r="231" spans="1:68" ht="18" customHeight="1" thickBot="1">
      <c r="A231">
        <v>173</v>
      </c>
      <c r="B231" t="s">
        <v>2463</v>
      </c>
      <c r="C231" t="s">
        <v>1524</v>
      </c>
      <c r="D231" t="s">
        <v>1550</v>
      </c>
      <c r="F231" t="s">
        <v>1551</v>
      </c>
      <c r="G231" t="s">
        <v>1552</v>
      </c>
      <c r="H231" t="s">
        <v>1552</v>
      </c>
      <c r="I231" s="204" t="str">
        <f>IFERROR(HYPERLINK("#Finance!B" &amp; MATCH(A231, 'F 2025'!A:A, 0), "🔗 Go to finance"), "❌ ID introuvable")</f>
        <v>🔗 Go to finance</v>
      </c>
      <c r="J231" t="s">
        <v>1955</v>
      </c>
      <c r="K231" t="s">
        <v>1553</v>
      </c>
      <c r="L231" t="s">
        <v>464</v>
      </c>
      <c r="N231">
        <v>4</v>
      </c>
      <c r="O231">
        <v>9500</v>
      </c>
      <c r="P231" s="38">
        <v>45997</v>
      </c>
      <c r="T231" s="38">
        <v>45808</v>
      </c>
      <c r="V231" s="13" t="s">
        <v>2055</v>
      </c>
      <c r="W231" s="13" t="s">
        <v>1554</v>
      </c>
      <c r="Y231" t="s">
        <v>1555</v>
      </c>
      <c r="AB231" s="40" t="s">
        <v>1556</v>
      </c>
      <c r="AD231" s="130">
        <v>45811</v>
      </c>
      <c r="AE231"/>
      <c r="AI231" s="40"/>
      <c r="AM231" s="175" t="s">
        <v>2462</v>
      </c>
      <c r="AO231"/>
      <c r="AR231" t="str">
        <f t="shared" si="14"/>
        <v>group</v>
      </c>
      <c r="AS231">
        <f t="shared" si="15"/>
        <v>4</v>
      </c>
      <c r="AT231" t="str">
        <f>IF(Table1[[#This Row],[Joining Date]]="", "", TEXT(Table1[[#This Row],[Joining Date]], "mmm"))</f>
        <v>Jun</v>
      </c>
      <c r="AU231">
        <f>IF(Table1[[#This Row],[Joining Date]]="", "", YEAR(Table1[[#This Row],[Joining Date]]))</f>
        <v>2025</v>
      </c>
      <c r="AV231" t="str">
        <f>IF(Table1[[#This Row],[Group Name]]="","", M231 &amp; Table1[[#This Row],[Teacher]])</f>
        <v/>
      </c>
      <c r="AW231" t="str">
        <f>IF(Table1[[#This Row],[Helper]]="","",IF(_xlfn.MAXIFS(AT:AT,AW:AW,Table1[[#This Row],[Helper]])=Table1[[#This Row],[Clean Frequency]],_xlfn.MAXIFS(AT:AT,AW:AW,Table1[[#This Row],[Helper]]),""))</f>
        <v/>
      </c>
      <c r="AX231" t="str">
        <f ca="1">IF(AND(AW231=_xlfn.MAXIFS(AX:AX, AW:AW, AV231), COUNTIFS(AV$2:AV231, AV231, AW$2:AW231, AW231)=1), 1, "")</f>
        <v/>
      </c>
      <c r="AY231" t="str">
        <f>IF(Table1[[#This Row],[lesson type]]="private",Table1[[#This Row],[Clean Frequency]],"")</f>
        <v/>
      </c>
      <c r="AZ231" t="str">
        <f ca="1">IF(Table1[[#This Row],[First Occurrence]]=1,Table1[[#This Row],[Group Frequency]],"")</f>
        <v/>
      </c>
      <c r="BA231" t="str">
        <f ca="1">IF(B231="Y", IF(Table1[[#This Row],[Stop]]="", TODAY() - Table1[[#This Row],[Joining Date]], Table1[[#This Row],[Stop]] - Table1[[#This Row],[Joining Date]]), "")</f>
        <v/>
      </c>
      <c r="BB231" t="str">
        <f>_xlfn.CONCAT(Table1[[#This Row],[t]]," ",Table1[[#This Row],[Last Name]])</f>
        <v xml:space="preserve">Haru Fujii </v>
      </c>
      <c r="BC231" t="e">
        <f>IF(OR(Table1[[#This Row],[Teacher]]="Alex",Table1[[#This Row],[Teacher]]=""), "", Table1[[#This Row],[For Salary]])</f>
        <v>#N/A</v>
      </c>
      <c r="BD231" t="e">
        <f>IF(OR(Table1[[#This Row],[Teacher]]="Alex",Table1[[#This Row],[Teacher]]=""), "", Table1[[#This Row],[For Amount]])</f>
        <v>#N/A</v>
      </c>
      <c r="BE231" t="str">
        <f>IFERROR(IF(VLOOKUP(Table1[[#This Row],[Teacher]],'Teachers Salaries'!A:C,2,FALSE)="","",VLOOKUP(Table1[[#This Row],[Teacher]],'Teachers Salaries'!A:C,2,FALSE)),"")</f>
        <v/>
      </c>
      <c r="BF231" t="str">
        <f>IFERROR(IF(VLOOKUP(Table1[[#This Row],[Teacher]],'Teachers Salaries'!A:C,3,FALSE)="","",VLOOKUP(Table1[[#This Row],[Teacher]],'Teachers Salaries'!A:C,3,FALSE)),"")</f>
        <v/>
      </c>
      <c r="BG231">
        <f ca="1">IFERROR(IF(Table1[[#This Row],[Pay Type]]="Fixed","-",Table1[[#This Row],[Final Group Frequency2]]*Table1[[#This Row],[Salary / Hourly Rate]]),0)</f>
        <v>0</v>
      </c>
      <c r="BH231">
        <f>IFERROR(IF(Table1[[#This Row],[Pay Type]]="Fixed","----",Table1[[#This Row],[Salary / Hourly Rate]]*Table1[[#This Row],[Final PrivateFrequency]]),0)</f>
        <v>0</v>
      </c>
      <c r="BI231">
        <f ca="1">IF(Table1[[#This Row],[Pay Type]]="Fixed","---",Table1[[#This Row],[Group Salary]]+Table1[[#This Row],[Private Salary]])</f>
        <v>0</v>
      </c>
      <c r="BJ231" t="e">
        <f>IF(OR(J231="Alex", J231=""),"", Table1[[#This Row],[For Amount]])</f>
        <v>#N/A</v>
      </c>
      <c r="BK231">
        <f ca="1">IFERROR(Table1[[#This Row],[Fee]]-Table1[[#This Row],[Total Salary]],"")</f>
        <v>9500</v>
      </c>
      <c r="BL231" t="e">
        <f>IF(Table1[[#This Row],[Joining Date]]="","",IF(Table1[[#This Row],[Joining Date]]&lt;='KPI+Pivot'!$CP$1,Table1[[#This Row],[Fee]],""))</f>
        <v>#N/A</v>
      </c>
      <c r="BM23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1" t="e">
        <f>IF(Table1[[#This Row],[Joining Date]]="","",IF(Table1[[#This Row],[Joining Date]]&lt;='KPI+Pivot'!$CP$1,Table1[[#This Row],[Total Salary]],""))</f>
        <v>#N/A</v>
      </c>
      <c r="BO231" t="e">
        <f>IF(Table1[[#This Row],[Joining Date]]="","",IF(Table1[[#This Row],[Joining Date]]&lt;='KPI+Pivot'!$CP$1,Table1[[#This Row],[Frequency]],""))</f>
        <v>#N/A</v>
      </c>
      <c r="BP231" s="175" t="e">
        <f>IF(Table1[[#This Row],[Stop]]="","",(IF(Table1[[#This Row],[Joining Date]]="","",IF(Table1[[#This Row],[Joining Date]]&lt;='KPI+Pivot'!$CP$1,Table1[[#This Row],[Stop]],""))))</f>
        <v>#N/A</v>
      </c>
    </row>
    <row r="232" spans="1:68" ht="18" customHeight="1">
      <c r="A232">
        <v>174</v>
      </c>
      <c r="B232" t="s">
        <v>103</v>
      </c>
      <c r="C232" t="s">
        <v>149</v>
      </c>
      <c r="D232" t="s">
        <v>749</v>
      </c>
      <c r="F232" t="s">
        <v>1557</v>
      </c>
      <c r="G232" t="s">
        <v>1558</v>
      </c>
      <c r="H232" t="s">
        <v>752</v>
      </c>
      <c r="I232" s="13" t="str">
        <f>IFERROR(HYPERLINK("#Finance!B" &amp; MATCH(A232, 'F 2025'!A:A, 0), "🔗 Go to finance"), "❌ ID introuvable")</f>
        <v>🔗 Go to finance</v>
      </c>
      <c r="J232" t="s">
        <v>109</v>
      </c>
      <c r="K232" t="s">
        <v>1559</v>
      </c>
      <c r="L232" t="s">
        <v>502</v>
      </c>
      <c r="N232">
        <v>4</v>
      </c>
      <c r="O232">
        <v>7000</v>
      </c>
      <c r="P232" s="38">
        <v>45997</v>
      </c>
      <c r="T232" s="38">
        <v>45843</v>
      </c>
      <c r="V232" s="13" t="s">
        <v>1560</v>
      </c>
      <c r="W232" s="13" t="s">
        <v>1560</v>
      </c>
      <c r="Y232" s="216" t="s">
        <v>1562</v>
      </c>
      <c r="AB232" s="40"/>
      <c r="AD232" s="130">
        <v>45843</v>
      </c>
      <c r="AE232"/>
      <c r="AI232" s="40"/>
      <c r="AM232" s="175"/>
      <c r="AO232"/>
      <c r="AR232" t="str">
        <f t="shared" si="14"/>
        <v>group</v>
      </c>
      <c r="AS232">
        <f t="shared" si="15"/>
        <v>4</v>
      </c>
      <c r="AT232" t="str">
        <f>IF(Table1[[#This Row],[Joining Date]]="", "", TEXT(Table1[[#This Row],[Joining Date]], "mmm"))</f>
        <v>Jul</v>
      </c>
      <c r="AU232">
        <f>IF(Table1[[#This Row],[Joining Date]]="", "", YEAR(Table1[[#This Row],[Joining Date]]))</f>
        <v>2025</v>
      </c>
      <c r="AV232" t="str">
        <f>IF(Table1[[#This Row],[Group Name]]="","", M232 &amp; Table1[[#This Row],[Teacher]])</f>
        <v/>
      </c>
      <c r="AW232" t="str">
        <f>IF(Table1[[#This Row],[Helper]]="","",IF(_xlfn.MAXIFS(AT:AT,AW:AW,Table1[[#This Row],[Helper]])=Table1[[#This Row],[Clean Frequency]],_xlfn.MAXIFS(AT:AT,AW:AW,Table1[[#This Row],[Helper]]),""))</f>
        <v/>
      </c>
      <c r="AX232">
        <f ca="1">IF(AND(AW232=_xlfn.MAXIFS(AX:AX, AW:AW, AV232), COUNTIFS(AV$2:AV235, AV232, AW$2:AW235, AW232)=1), 1, "")</f>
        <v>0</v>
      </c>
      <c r="AY232" t="str">
        <f>IF(Table1[[#This Row],[lesson type]]="private",Table1[[#This Row],[Clean Frequency]],"")</f>
        <v/>
      </c>
      <c r="AZ232" t="str">
        <f ca="1">IF(Table1[[#This Row],[First Occurrence]]=1,Table1[[#This Row],[Group Frequency]],"")</f>
        <v/>
      </c>
      <c r="BA232">
        <f ca="1">IF(B232="Y", IF(Table1[[#This Row],[Stop]]="", TODAY() - Table1[[#This Row],[Joining Date]], Table1[[#This Row],[Stop]] - Table1[[#This Row],[Joining Date]]), "")</f>
        <v>334</v>
      </c>
      <c r="BB232" t="str">
        <f>_xlfn.CONCAT(Table1[[#This Row],[t]]," ",Table1[[#This Row],[Last Name]])</f>
        <v>Ayaka Wada</v>
      </c>
      <c r="BC232" t="str">
        <f>IF(OR(Table1[[#This Row],[Teacher]]="Alex",Table1[[#This Row],[Teacher]]=""), "", Table1[[#This Row],[For Salary]])</f>
        <v/>
      </c>
      <c r="BD232" t="str">
        <f>IF(OR(Table1[[#This Row],[Teacher]]="Alex",Table1[[#This Row],[Teacher]]=""), "", Table1[[#This Row],[For Amount]])</f>
        <v/>
      </c>
      <c r="BE232" t="str">
        <f>IFERROR(IF(VLOOKUP(Table1[[#This Row],[Teacher]],'Teachers Salaries'!A:C,2,FALSE)="","",VLOOKUP(Table1[[#This Row],[Teacher]],'Teachers Salaries'!A:C,2,FALSE)),"")</f>
        <v>Fixed</v>
      </c>
      <c r="BF232">
        <f>IFERROR(IF(VLOOKUP(Table1[[#This Row],[Teacher]],'Teachers Salaries'!A:C,3,FALSE)="","",VLOOKUP(Table1[[#This Row],[Teacher]],'Teachers Salaries'!A:C,3,FALSE)),"")</f>
        <v>210000</v>
      </c>
      <c r="BG232" t="str">
        <f>IFERROR(IF(Table1[[#This Row],[Pay Type]]="Fixed","-",Table1[[#This Row],[Final Group Frequency2]]*Table1[[#This Row],[Salary / Hourly Rate]]),0)</f>
        <v>-</v>
      </c>
      <c r="BH232" t="str">
        <f>IFERROR(IF(Table1[[#This Row],[Pay Type]]="Fixed","----",Table1[[#This Row],[Salary / Hourly Rate]]*Table1[[#This Row],[Final PrivateFrequency]]),0)</f>
        <v>----</v>
      </c>
      <c r="BI232" t="str">
        <f>IF(Table1[[#This Row],[Pay Type]]="Fixed","---",Table1[[#This Row],[Group Salary]]+Table1[[#This Row],[Private Salary]])</f>
        <v>---</v>
      </c>
      <c r="BJ232" t="str">
        <f>IF(OR(J232="Alex", J232=""),"", Table1[[#This Row],[For Amount]])</f>
        <v/>
      </c>
      <c r="BK232" t="str">
        <f>IFERROR(Table1[[#This Row],[Fee]]-Table1[[#This Row],[Total Salary]],"")</f>
        <v/>
      </c>
      <c r="BL232" t="e">
        <f>IF(Table1[[#This Row],[Joining Date]]="","",IF(Table1[[#This Row],[Joining Date]]&lt;='KPI+Pivot'!$CP$1,Table1[[#This Row],[Fee]],""))</f>
        <v>#N/A</v>
      </c>
      <c r="BM23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2" t="e">
        <f>IF(Table1[[#This Row],[Joining Date]]="","",IF(Table1[[#This Row],[Joining Date]]&lt;='KPI+Pivot'!$CP$1,Table1[[#This Row],[Total Salary]],""))</f>
        <v>#N/A</v>
      </c>
      <c r="BO232" t="e">
        <f>IF(Table1[[#This Row],[Joining Date]]="","",IF(Table1[[#This Row],[Joining Date]]&lt;='KPI+Pivot'!$CP$1,Table1[[#This Row],[Frequency]],""))</f>
        <v>#N/A</v>
      </c>
      <c r="BP232" s="175" t="str">
        <f>IF(Table1[[#This Row],[Stop]]="","",(IF(Table1[[#This Row],[Joining Date]]="","",IF(Table1[[#This Row],[Joining Date]]&lt;='KPI+Pivot'!$CP$1,Table1[[#This Row],[Stop]],""))))</f>
        <v/>
      </c>
    </row>
    <row r="233" spans="1:68" ht="18" customHeight="1">
      <c r="A233">
        <v>175</v>
      </c>
      <c r="B233" t="s">
        <v>103</v>
      </c>
      <c r="C233" t="s">
        <v>1940</v>
      </c>
      <c r="D233" t="s">
        <v>1937</v>
      </c>
      <c r="F233" t="s">
        <v>1938</v>
      </c>
      <c r="G233" t="s">
        <v>1939</v>
      </c>
      <c r="H233" t="s">
        <v>1372</v>
      </c>
      <c r="I233" s="13" t="str">
        <f>IFERROR(HYPERLINK("#Finance!B" &amp; MATCH(A233, 'F 2025'!A:A, 0), "🔗 Go to finance"), "❌ ID introuvable")</f>
        <v>🔗 Go to finance</v>
      </c>
      <c r="J233" t="s">
        <v>109</v>
      </c>
      <c r="K233" t="s">
        <v>1559</v>
      </c>
      <c r="L233" t="s">
        <v>111</v>
      </c>
      <c r="N233">
        <v>4</v>
      </c>
      <c r="O233">
        <v>6600</v>
      </c>
      <c r="T233" s="38">
        <v>45847</v>
      </c>
      <c r="V233" s="67" t="s">
        <v>1761</v>
      </c>
      <c r="Y233" s="86" t="s">
        <v>1762</v>
      </c>
      <c r="AB233" t="s">
        <v>1941</v>
      </c>
      <c r="AD233" s="130">
        <v>45847</v>
      </c>
      <c r="AE233"/>
      <c r="AI233" s="40"/>
      <c r="AM233" s="175"/>
      <c r="AO233"/>
      <c r="AR233" t="str">
        <f>IF(OR(ISNUMBER(SEARCH("private",K233)), ISNUMBER(SEARCH("プら",K233)), ISNUMBER(SEARCH("プら,大人",K233)), ISNUMBER(SEARCH("セミプラ",K233))), "private", IF(OR(ISNUMBER(SEARCH("group",K233)), ISNUMBER(SEARCH("グループ",K233)), ISNUMBER(SEARCH("gr",K233))), "group", ""))</f>
        <v>group</v>
      </c>
      <c r="AS233">
        <f>IF(J233&lt;&gt;"", IF(N233="", 4, N233), "")</f>
        <v>4</v>
      </c>
      <c r="AT233" t="str">
        <f>IF(Table1[[#This Row],[Joining Date]]="", "", TEXT(Table1[[#This Row],[Joining Date]], "mmm"))</f>
        <v>Jul</v>
      </c>
      <c r="AU233">
        <f>IF(Table1[[#This Row],[Joining Date]]="", "", YEAR(Table1[[#This Row],[Joining Date]]))</f>
        <v>2025</v>
      </c>
      <c r="AV233" t="str">
        <f>IF(Table1[[#This Row],[Group Name]]="","", M233 &amp; Table1[[#This Row],[Teacher]])</f>
        <v/>
      </c>
      <c r="AW233" t="str">
        <f>IF(Table1[[#This Row],[Helper]]="","",IF(_xlfn.MAXIFS(AT:AT,AW:AW,Table1[[#This Row],[Helper]])=Table1[[#This Row],[Clean Frequency]],_xlfn.MAXIFS(AT:AT,AW:AW,Table1[[#This Row],[Helper]]),""))</f>
        <v/>
      </c>
      <c r="AX233">
        <f ca="1">IF(AND(AW233=_xlfn.MAXIFS(AX:AX, AW:AW, AV233), COUNTIFS(AV$2:AV235, AV233, AW$2:AW235, AW233)=1), 1, "")</f>
        <v>0</v>
      </c>
      <c r="AY233" t="str">
        <f>IF(Table1[[#This Row],[lesson type]]="private",Table1[[#This Row],[Clean Frequency]],"")</f>
        <v/>
      </c>
      <c r="AZ233" t="str">
        <f ca="1">IF(Table1[[#This Row],[First Occurrence]]=1,Table1[[#This Row],[Group Frequency]],"")</f>
        <v/>
      </c>
      <c r="BA233">
        <f ca="1">IF(B233="Y", IF(Table1[[#This Row],[Stop]]="", TODAY() - Table1[[#This Row],[Joining Date]], Table1[[#This Row],[Stop]] - Table1[[#This Row],[Joining Date]]), "")</f>
        <v>330</v>
      </c>
      <c r="BB233" t="str">
        <f>_xlfn.CONCAT(Table1[[#This Row],[t]]," ",Table1[[#This Row],[Last Name]])</f>
        <v>Fuka Oyama</v>
      </c>
      <c r="BC233" t="str">
        <f>IF(OR(Table1[[#This Row],[Teacher]]="Alex",Table1[[#This Row],[Teacher]]=""), "", Table1[[#This Row],[For Salary]])</f>
        <v/>
      </c>
      <c r="BD233" t="str">
        <f>IF(OR(Table1[[#This Row],[Teacher]]="Alex",Table1[[#This Row],[Teacher]]=""), "", Table1[[#This Row],[For Amount]])</f>
        <v/>
      </c>
      <c r="BE233" t="str">
        <f>IFERROR(IF(VLOOKUP(Table1[[#This Row],[Teacher]],'Teachers Salaries'!A:C,2,FALSE)="","",VLOOKUP(Table1[[#This Row],[Teacher]],'Teachers Salaries'!A:C,2,FALSE)),"")</f>
        <v>Fixed</v>
      </c>
      <c r="BF233">
        <f>IFERROR(IF(VLOOKUP(Table1[[#This Row],[Teacher]],'Teachers Salaries'!A:C,3,FALSE)="","",VLOOKUP(Table1[[#This Row],[Teacher]],'Teachers Salaries'!A:C,3,FALSE)),"")</f>
        <v>210000</v>
      </c>
      <c r="BG233" t="str">
        <f>IFERROR(IF(Table1[[#This Row],[Pay Type]]="Fixed","-",Table1[[#This Row],[Final Group Frequency2]]*Table1[[#This Row],[Salary / Hourly Rate]]),0)</f>
        <v>-</v>
      </c>
      <c r="BH233" t="str">
        <f>IFERROR(IF(Table1[[#This Row],[Pay Type]]="Fixed","----",Table1[[#This Row],[Salary / Hourly Rate]]*Table1[[#This Row],[Final PrivateFrequency]]),0)</f>
        <v>----</v>
      </c>
      <c r="BI233" t="str">
        <f>IF(Table1[[#This Row],[Pay Type]]="Fixed","---",Table1[[#This Row],[Group Salary]]+Table1[[#This Row],[Private Salary]])</f>
        <v>---</v>
      </c>
      <c r="BJ233" t="str">
        <f>IF(OR(J233="Alex", J233=""),"", Table1[[#This Row],[For Amount]])</f>
        <v/>
      </c>
      <c r="BK233" t="str">
        <f>IFERROR(Table1[[#This Row],[Fee]]-Table1[[#This Row],[Total Salary]],"")</f>
        <v/>
      </c>
      <c r="BL233" t="e">
        <f>IF(Table1[[#This Row],[Joining Date]]="","",IF(Table1[[#This Row],[Joining Date]]&lt;='KPI+Pivot'!$CP$1,Table1[[#This Row],[Fee]],""))</f>
        <v>#N/A</v>
      </c>
      <c r="BM23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3" t="e">
        <f>IF(Table1[[#This Row],[Joining Date]]="","",IF(Table1[[#This Row],[Joining Date]]&lt;='KPI+Pivot'!$CP$1,Table1[[#This Row],[Total Salary]],""))</f>
        <v>#N/A</v>
      </c>
      <c r="BO233" t="e">
        <f>IF(Table1[[#This Row],[Joining Date]]="","",IF(Table1[[#This Row],[Joining Date]]&lt;='KPI+Pivot'!$CP$1,Table1[[#This Row],[Frequency]],""))</f>
        <v>#N/A</v>
      </c>
      <c r="BP233" s="175" t="str">
        <f>IF(Table1[[#This Row],[Stop]]="","",(IF(Table1[[#This Row],[Joining Date]]="","",IF(Table1[[#This Row],[Joining Date]]&lt;='KPI+Pivot'!$CP$1,Table1[[#This Row],[Stop]],""))))</f>
        <v/>
      </c>
    </row>
    <row r="234" spans="1:68" ht="18" customHeight="1">
      <c r="A234">
        <v>176</v>
      </c>
      <c r="B234" t="s">
        <v>103</v>
      </c>
      <c r="C234" t="s">
        <v>1981</v>
      </c>
      <c r="D234" t="s">
        <v>1982</v>
      </c>
      <c r="F234" t="s">
        <v>1980</v>
      </c>
      <c r="G234" s="49" t="s">
        <v>1979</v>
      </c>
      <c r="H234" t="s">
        <v>1978</v>
      </c>
      <c r="I234" s="13" t="str">
        <f>IFERROR(HYPERLINK("#Finance!B" &amp; MATCH(A234, 'F 2025'!A:A, 0), "🔗 Go to finance"), "❌ ID introuvable")</f>
        <v>🔗 Go to finance</v>
      </c>
      <c r="J234" t="s">
        <v>109</v>
      </c>
      <c r="K234" t="s">
        <v>1559</v>
      </c>
      <c r="L234" t="s">
        <v>111</v>
      </c>
      <c r="N234">
        <v>4</v>
      </c>
      <c r="O234">
        <v>6600</v>
      </c>
      <c r="T234" s="38">
        <v>45857</v>
      </c>
      <c r="V234" s="13" t="s">
        <v>1931</v>
      </c>
      <c r="AB234" t="s">
        <v>1984</v>
      </c>
      <c r="AD234" s="130">
        <v>45857</v>
      </c>
      <c r="AE234"/>
      <c r="AI234" s="40"/>
      <c r="AM234" s="175">
        <v>45900</v>
      </c>
      <c r="AO234"/>
      <c r="AR234" t="str">
        <f>IF(OR(ISNUMBER(SEARCH("private",K234)), ISNUMBER(SEARCH("プら",K234)), ISNUMBER(SEARCH("プら,大人",K234)), ISNUMBER(SEARCH("セミプラ",K234))), "private", IF(OR(ISNUMBER(SEARCH("group",K234)), ISNUMBER(SEARCH("グループ",K234)), ISNUMBER(SEARCH("gr",K234))), "group", ""))</f>
        <v>group</v>
      </c>
      <c r="AS234">
        <f>IF(J234&lt;&gt;"", IF(N234="", 4, N234), "")</f>
        <v>4</v>
      </c>
      <c r="AT234" t="str">
        <f>IF(Table1[[#This Row],[Joining Date]]="", "", TEXT(Table1[[#This Row],[Joining Date]], "mmm"))</f>
        <v>Jul</v>
      </c>
      <c r="AU234">
        <f>IF(Table1[[#This Row],[Joining Date]]="", "", YEAR(Table1[[#This Row],[Joining Date]]))</f>
        <v>2025</v>
      </c>
      <c r="AV234" t="str">
        <f>IF(Table1[[#This Row],[Group Name]]="","", M234 &amp; Table1[[#This Row],[Teacher]])</f>
        <v/>
      </c>
      <c r="AW234" t="str">
        <f>IF(Table1[[#This Row],[Helper]]="","",IF(_xlfn.MAXIFS(AT:AT,AW:AW,Table1[[#This Row],[Helper]])=Table1[[#This Row],[Clean Frequency]],_xlfn.MAXIFS(AT:AT,AW:AW,Table1[[#This Row],[Helper]]),""))</f>
        <v/>
      </c>
      <c r="AX234">
        <f ca="1">IF(AND(AW234=_xlfn.MAXIFS(AX:AX, AW:AW, AV234), COUNTIFS(AV$2:AV235, AV234, AW$2:AW235, AW234)=1), 1, "")</f>
        <v>0</v>
      </c>
      <c r="AY234" t="str">
        <f>IF(Table1[[#This Row],[lesson type]]="private",Table1[[#This Row],[Clean Frequency]],"")</f>
        <v/>
      </c>
      <c r="AZ234" t="str">
        <f ca="1">IF(Table1[[#This Row],[First Occurrence]]=1,Table1[[#This Row],[Group Frequency]],"")</f>
        <v/>
      </c>
      <c r="BA234">
        <f ca="1">IF(B234="Y", IF(Table1[[#This Row],[Stop]]="", TODAY() - Table1[[#This Row],[Joining Date]], Table1[[#This Row],[Stop]] - Table1[[#This Row],[Joining Date]]), "")</f>
        <v>43</v>
      </c>
      <c r="BB234" t="str">
        <f>_xlfn.CONCAT(Table1[[#This Row],[t]]," ",Table1[[#This Row],[Last Name]])</f>
        <v>Sono Masukawa</v>
      </c>
      <c r="BC234" t="str">
        <f>IF(OR(Table1[[#This Row],[Teacher]]="Alex",Table1[[#This Row],[Teacher]]=""), "", Table1[[#This Row],[For Salary]])</f>
        <v/>
      </c>
      <c r="BD234" t="str">
        <f>IF(OR(Table1[[#This Row],[Teacher]]="Alex",Table1[[#This Row],[Teacher]]=""), "", Table1[[#This Row],[For Amount]])</f>
        <v/>
      </c>
      <c r="BE234" t="str">
        <f>IFERROR(IF(VLOOKUP(Table1[[#This Row],[Teacher]],'Teachers Salaries'!A:C,2,FALSE)="","",VLOOKUP(Table1[[#This Row],[Teacher]],'Teachers Salaries'!A:C,2,FALSE)),"")</f>
        <v>Fixed</v>
      </c>
      <c r="BF234">
        <f>IFERROR(IF(VLOOKUP(Table1[[#This Row],[Teacher]],'Teachers Salaries'!A:C,3,FALSE)="","",VLOOKUP(Table1[[#This Row],[Teacher]],'Teachers Salaries'!A:C,3,FALSE)),"")</f>
        <v>210000</v>
      </c>
      <c r="BG234" t="str">
        <f>IFERROR(IF(Table1[[#This Row],[Pay Type]]="Fixed","-",Table1[[#This Row],[Final Group Frequency2]]*Table1[[#This Row],[Salary / Hourly Rate]]),0)</f>
        <v>-</v>
      </c>
      <c r="BH234" t="str">
        <f>IFERROR(IF(Table1[[#This Row],[Pay Type]]="Fixed","----",Table1[[#This Row],[Salary / Hourly Rate]]*Table1[[#This Row],[Final PrivateFrequency]]),0)</f>
        <v>----</v>
      </c>
      <c r="BI234" t="str">
        <f>IF(Table1[[#This Row],[Pay Type]]="Fixed","---",Table1[[#This Row],[Group Salary]]+Table1[[#This Row],[Private Salary]])</f>
        <v>---</v>
      </c>
      <c r="BJ234" t="str">
        <f>IF(OR(J234="Alex", J234=""),"", Table1[[#This Row],[For Amount]])</f>
        <v/>
      </c>
      <c r="BK234" t="str">
        <f>IFERROR(Table1[[#This Row],[Fee]]-Table1[[#This Row],[Total Salary]],"")</f>
        <v/>
      </c>
      <c r="BL234" t="e">
        <f>IF(Table1[[#This Row],[Joining Date]]="","",IF(Table1[[#This Row],[Joining Date]]&lt;='KPI+Pivot'!$CP$1,Table1[[#This Row],[Fee]],""))</f>
        <v>#N/A</v>
      </c>
      <c r="BM23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4" t="e">
        <f>IF(Table1[[#This Row],[Joining Date]]="","",IF(Table1[[#This Row],[Joining Date]]&lt;='KPI+Pivot'!$CP$1,Table1[[#This Row],[Total Salary]],""))</f>
        <v>#N/A</v>
      </c>
      <c r="BO234" t="e">
        <f>IF(Table1[[#This Row],[Joining Date]]="","",IF(Table1[[#This Row],[Joining Date]]&lt;='KPI+Pivot'!$CP$1,Table1[[#This Row],[Frequency]],""))</f>
        <v>#N/A</v>
      </c>
      <c r="BP234" s="175" t="e">
        <f>IF(Table1[[#This Row],[Stop]]="","",(IF(Table1[[#This Row],[Joining Date]]="","",IF(Table1[[#This Row],[Joining Date]]&lt;='KPI+Pivot'!$CP$1,Table1[[#This Row],[Stop]],""))))</f>
        <v>#N/A</v>
      </c>
    </row>
    <row r="235" spans="1:68" ht="18" customHeight="1">
      <c r="A235">
        <v>177</v>
      </c>
      <c r="B235" t="s">
        <v>103</v>
      </c>
      <c r="C235" t="s">
        <v>2010</v>
      </c>
      <c r="D235" t="s">
        <v>2011</v>
      </c>
      <c r="G235" s="49" t="s">
        <v>2008</v>
      </c>
      <c r="H235" t="s">
        <v>2009</v>
      </c>
      <c r="I235" s="13" t="str">
        <f>IFERROR(HYPERLINK("#Finance!B" &amp; MATCH(A235, 'F 2025'!A:A, 0), "🔗 Go to finance"), "❌ ID introuvable")</f>
        <v>🔗 Go to finance</v>
      </c>
      <c r="J235" t="s">
        <v>109</v>
      </c>
      <c r="K235" t="s">
        <v>1559</v>
      </c>
      <c r="L235" t="s">
        <v>502</v>
      </c>
      <c r="N235">
        <v>4</v>
      </c>
      <c r="O235">
        <v>7000</v>
      </c>
      <c r="T235" s="38">
        <v>45901</v>
      </c>
      <c r="V235" s="13" t="s">
        <v>2007</v>
      </c>
      <c r="Y235" s="49" t="s">
        <v>1800</v>
      </c>
      <c r="AB235" t="s">
        <v>2012</v>
      </c>
      <c r="AD235" s="130">
        <v>45928</v>
      </c>
      <c r="AI235" s="40"/>
      <c r="AM235" s="175"/>
      <c r="BP235" s="175" t="str">
        <f>IF(Table1[[#This Row],[Stop]]="","",(IF(Table1[[#This Row],[Joining Date]]="","",IF(Table1[[#This Row],[Joining Date]]&lt;='KPI+Pivot'!$CP$1,Table1[[#This Row],[Stop]],""))))</f>
        <v/>
      </c>
    </row>
    <row r="236" spans="1:68" ht="18" customHeight="1">
      <c r="A236">
        <v>178</v>
      </c>
      <c r="B236" t="s">
        <v>103</v>
      </c>
      <c r="C236" t="s">
        <v>586</v>
      </c>
      <c r="D236" t="s">
        <v>587</v>
      </c>
      <c r="F236" t="s">
        <v>588</v>
      </c>
      <c r="G236" t="s">
        <v>589</v>
      </c>
      <c r="H236" t="s">
        <v>590</v>
      </c>
      <c r="I236" s="204" t="str">
        <f>IFERROR(HYPERLINK("#Finance!B" &amp; MATCH(A236, 'F 2025'!A:A, 0), "🔗 Go to finance"), "❌ ID introuvable")</f>
        <v>🔗 Go to finance</v>
      </c>
      <c r="J236" t="s">
        <v>109</v>
      </c>
      <c r="K236" s="227" t="s">
        <v>1559</v>
      </c>
      <c r="L236" s="227" t="s">
        <v>502</v>
      </c>
      <c r="N236" s="227">
        <v>4</v>
      </c>
      <c r="O236">
        <v>7000</v>
      </c>
      <c r="T236" s="38">
        <v>45906</v>
      </c>
      <c r="V236" t="s">
        <v>591</v>
      </c>
      <c r="W236" s="13" t="s">
        <v>592</v>
      </c>
      <c r="Y236" t="s">
        <v>593</v>
      </c>
      <c r="Z236" t="s">
        <v>75</v>
      </c>
      <c r="AB236" t="s">
        <v>594</v>
      </c>
      <c r="AD236" s="130">
        <v>43928</v>
      </c>
      <c r="AE236"/>
      <c r="AG236" t="s">
        <v>76</v>
      </c>
      <c r="AI236" t="s">
        <v>594</v>
      </c>
      <c r="AK236" t="s">
        <v>102</v>
      </c>
      <c r="AM236" s="38"/>
      <c r="AO236" t="s">
        <v>589</v>
      </c>
      <c r="AR236" t="str">
        <f t="shared" ref="AR236" si="16">IF(OR(ISNUMBER(SEARCH("private",K236)), ISNUMBER(SEARCH("プら",K236)), ISNUMBER(SEARCH("プら,大人",K236)), ISNUMBER(SEARCH("セミプラ",K236))), "private", IF(OR(ISNUMBER(SEARCH("group",K236)), ISNUMBER(SEARCH("グループ",K236)), ISNUMBER(SEARCH("gr",K236))), "group", ""))</f>
        <v>group</v>
      </c>
      <c r="AS236">
        <f t="shared" ref="AS236" si="17">IF(J236&lt;&gt;"", IF(N236="", 4, N236), "")</f>
        <v>4</v>
      </c>
      <c r="AT236" t="e">
        <f>IF(Table1[[#This Row],[Joining Date]]="", "", TEXT(Table1[[#This Row],[Joining Date]], "mmm"))</f>
        <v>#VALUE!</v>
      </c>
      <c r="AU236" t="e">
        <f>IF(Table1[[#This Row],[Joining Date]]="", "", YEAR(Table1[[#This Row],[Joining Date]]))</f>
        <v>#VALUE!</v>
      </c>
      <c r="AV236" t="e">
        <f>IF(Table1[[#This Row],[Group Name]]="","", M236 &amp; Table1[[#This Row],[Teacher]])</f>
        <v>#VALUE!</v>
      </c>
      <c r="AW236" t="e">
        <f>IF(Table1[[#This Row],[Helper]]="","",IF(_xlfn.MAXIFS(AT:AT,AW:AW,Table1[[#This Row],[Helper]])=Table1[[#This Row],[Clean Frequency]],_xlfn.MAXIFS(AT:AT,AW:AW,Table1[[#This Row],[Helper]]),""))</f>
        <v>#VALUE!</v>
      </c>
      <c r="AX236" t="str">
        <f ca="1">IF(AND(AW236=_xlfn.MAXIFS(AX:AX, AW:AW, AV236), COUNTIFS(AV$3:AV236, AV236, AW$3:AW236, AW236)=1), 1, "")</f>
        <v/>
      </c>
      <c r="AY236" t="e">
        <f>IF(Table1[[#This Row],[lesson type]]="private",Table1[[#This Row],[Clean Frequency]],"")</f>
        <v>#VALUE!</v>
      </c>
      <c r="AZ236" t="e">
        <f>IF(Table1[[#This Row],[First Occurrence]]=1,Table1[[#This Row],[Group Frequency]],"")</f>
        <v>#VALUE!</v>
      </c>
      <c r="BA236" t="e">
        <f ca="1">IF(B236="Y", IF(Table1[[#This Row],[Stop]]="", TODAY() - Table1[[#This Row],[Joining Date]], Table1[[#This Row],[Stop]] - Table1[[#This Row],[Joining Date]]), "")</f>
        <v>#VALUE!</v>
      </c>
      <c r="BB236" t="e">
        <f>_xlfn.CONCAT(Table1[[#This Row],[t]]," ",Table1[[#This Row],[Last Name]])</f>
        <v>#VALUE!</v>
      </c>
      <c r="BC236" t="e">
        <f>IF(OR(Table1[[#This Row],[Teacher]]="Alex",Table1[[#This Row],[Teacher]]=""), "", Table1[[#This Row],[For Salary]])</f>
        <v>#VALUE!</v>
      </c>
      <c r="BD236" t="e">
        <f>IF(OR(Table1[[#This Row],[Teacher]]="Alex",Table1[[#This Row],[Teacher]]=""), "", Table1[[#This Row],[For Amount]])</f>
        <v>#VALUE!</v>
      </c>
      <c r="BE236" t="str">
        <f>IFERROR(IF(VLOOKUP(Table1[[#This Row],[Teacher]],'Teachers Salaries'!A:C,2,FALSE)="","",VLOOKUP(Table1[[#This Row],[Teacher]],'Teachers Salaries'!A:C,2,FALSE)),"")</f>
        <v/>
      </c>
      <c r="BF236" t="str">
        <f>IFERROR(IF(VLOOKUP(Table1[[#This Row],[Teacher]],'Teachers Salaries'!A:C,3,FALSE)="","",VLOOKUP(Table1[[#This Row],[Teacher]],'Teachers Salaries'!A:C,3,FALSE)),"")</f>
        <v/>
      </c>
      <c r="BG236">
        <f>IFERROR(IF(Table1[[#This Row],[Pay Type]]="Fixed","-",Table1[[#This Row],[Final Group Frequency2]]*Table1[[#This Row],[Salary / Hourly Rate]]),0)</f>
        <v>0</v>
      </c>
      <c r="BH236">
        <f>IFERROR(IF(Table1[[#This Row],[Pay Type]]="Fixed","----",Table1[[#This Row],[Salary / Hourly Rate]]*Table1[[#This Row],[Final PrivateFrequency]]),0)</f>
        <v>0</v>
      </c>
      <c r="BI236" t="e">
        <f>IF(Table1[[#This Row],[Pay Type]]="Fixed","---",Table1[[#This Row],[Group Salary]]+Table1[[#This Row],[Private Salary]])</f>
        <v>#VALUE!</v>
      </c>
      <c r="BJ236" t="str">
        <f>IF(OR(J236="Alex", J236=""),"", Table1[[#This Row],[For Amount]])</f>
        <v/>
      </c>
      <c r="BK236" t="str">
        <f>IFERROR(Table1[[#This Row],[Fee]]-Table1[[#This Row],[Total Salary]],"")</f>
        <v/>
      </c>
      <c r="BL236" t="e">
        <f>IF(Table1[[#This Row],[Joining Date]]="","",IF(Table1[[#This Row],[Joining Date]]&lt;='KPI+Pivot'!$CP$1,Table1[[#This Row],[Fee]],""))</f>
        <v>#VALUE!</v>
      </c>
      <c r="BM23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#VALUE!</v>
      </c>
      <c r="BN236" t="e">
        <f>IF(Table1[[#This Row],[Joining Date]]="","",IF(Table1[[#This Row],[Joining Date]]&lt;='KPI+Pivot'!$CP$1,Table1[[#This Row],[Total Salary]],""))</f>
        <v>#VALUE!</v>
      </c>
      <c r="BO236" t="e">
        <f>IF(Table1[[#This Row],[Joining Date]]="","",IF(Table1[[#This Row],[Joining Date]]&lt;='KPI+Pivot'!$CP$1,Table1[[#This Row],[Frequency]],""))</f>
        <v>#VALUE!</v>
      </c>
      <c r="BP236" s="38" t="e">
        <f>IF(Table1[[#This Row],[Stop]]="","",(IF(Table1[[#This Row],[Joining Date]]="","",IF(Table1[[#This Row],[Joining Date]]&lt;='KPI+Pivot'!$CP$1,Table1[[#This Row],[Stop]],""))))</f>
        <v>#VALUE!</v>
      </c>
    </row>
    <row r="237" spans="1:68" ht="18" customHeight="1">
      <c r="A237">
        <v>179</v>
      </c>
      <c r="B237" t="s">
        <v>103</v>
      </c>
      <c r="C237" t="s">
        <v>630</v>
      </c>
      <c r="D237" t="s">
        <v>2034</v>
      </c>
      <c r="G237" t="s">
        <v>2033</v>
      </c>
      <c r="H237" t="s">
        <v>2035</v>
      </c>
      <c r="I237" s="204" t="str">
        <f>IFERROR(HYPERLINK("#Finance!B" &amp; MATCH(A237, 'F 2025'!A:A, 0), "🔗 Go to finance"), "❌ ID introuvable")</f>
        <v>🔗 Go to finance</v>
      </c>
      <c r="J237" t="s">
        <v>109</v>
      </c>
      <c r="K237" s="227" t="s">
        <v>1559</v>
      </c>
      <c r="L237" t="s">
        <v>1220</v>
      </c>
      <c r="N237">
        <v>4</v>
      </c>
      <c r="O237">
        <v>6600</v>
      </c>
      <c r="P237" s="38">
        <v>45997</v>
      </c>
      <c r="T237" s="38">
        <v>45878</v>
      </c>
      <c r="V237" t="s">
        <v>2036</v>
      </c>
      <c r="Y237" s="241" t="s">
        <v>2024</v>
      </c>
      <c r="AB237" t="s">
        <v>2037</v>
      </c>
    </row>
    <row r="238" spans="1:68" ht="18" customHeight="1">
      <c r="A238">
        <v>181</v>
      </c>
      <c r="B238" t="s">
        <v>103</v>
      </c>
      <c r="C238" t="s">
        <v>2100</v>
      </c>
      <c r="D238" t="s">
        <v>490</v>
      </c>
      <c r="F238" t="s">
        <v>1290</v>
      </c>
      <c r="G238" t="s">
        <v>2099</v>
      </c>
      <c r="H238" t="s">
        <v>493</v>
      </c>
      <c r="I238" s="204" t="str">
        <f>IFERROR(HYPERLINK("#Finance!B" &amp; MATCH(A238, 'F 2025'!A:A, 0), "🔗 Go to finance"), "❌ ID introuvable")</f>
        <v>🔗 Go to finance</v>
      </c>
      <c r="J238" t="s">
        <v>109</v>
      </c>
      <c r="K238" t="s">
        <v>1559</v>
      </c>
      <c r="L238" t="s">
        <v>197</v>
      </c>
      <c r="N238">
        <v>4</v>
      </c>
      <c r="O238">
        <v>9500</v>
      </c>
      <c r="T238" s="38">
        <v>45934</v>
      </c>
      <c r="V238" t="s">
        <v>2097</v>
      </c>
      <c r="Y238" t="s">
        <v>2098</v>
      </c>
      <c r="AB238" s="40" t="s">
        <v>2096</v>
      </c>
    </row>
    <row r="239" spans="1:68" ht="18" customHeight="1">
      <c r="A239">
        <v>182</v>
      </c>
      <c r="B239" t="s">
        <v>103</v>
      </c>
      <c r="C239" t="s">
        <v>2284</v>
      </c>
      <c r="D239" t="s">
        <v>1272</v>
      </c>
      <c r="G239" s="256" t="s">
        <v>2070</v>
      </c>
      <c r="H239" s="256" t="s">
        <v>2114</v>
      </c>
      <c r="I239" s="204" t="str">
        <f>IFERROR(HYPERLINK("#Finance!B" &amp; MATCH(A239, 'F 2025'!A:A, 0), "🔗 Go to finance"), "❌ ID introuvable")</f>
        <v>🔗 Go to finance</v>
      </c>
      <c r="J239" t="s">
        <v>109</v>
      </c>
      <c r="K239" t="s">
        <v>1559</v>
      </c>
      <c r="L239" s="227" t="s">
        <v>502</v>
      </c>
      <c r="N239">
        <v>4</v>
      </c>
      <c r="O239">
        <v>7000</v>
      </c>
      <c r="T239" s="38">
        <v>45911</v>
      </c>
      <c r="V239" s="243" t="s">
        <v>2111</v>
      </c>
      <c r="Y239" s="256" t="s">
        <v>2072</v>
      </c>
      <c r="AB239" s="40" t="s">
        <v>2073</v>
      </c>
    </row>
    <row r="240" spans="1:68" ht="18" customHeight="1">
      <c r="A240">
        <v>183</v>
      </c>
      <c r="B240" t="s">
        <v>103</v>
      </c>
      <c r="C240" t="s">
        <v>67</v>
      </c>
      <c r="D240" t="s">
        <v>2115</v>
      </c>
      <c r="G240" t="s">
        <v>2066</v>
      </c>
      <c r="H240" t="s">
        <v>2116</v>
      </c>
      <c r="I240" s="204" t="str">
        <f>IFERROR(HYPERLINK("#Finance!B" &amp; MATCH(A240, 'F 2025'!A:A, 0), "🔗 Go to finance"), "❌ ID introuvable")</f>
        <v>🔗 Go to finance</v>
      </c>
      <c r="J240" t="s">
        <v>109</v>
      </c>
      <c r="K240" t="s">
        <v>1559</v>
      </c>
      <c r="L240" s="227" t="s">
        <v>502</v>
      </c>
      <c r="N240">
        <v>4</v>
      </c>
      <c r="O240">
        <v>7000</v>
      </c>
      <c r="P240" s="38">
        <v>45997</v>
      </c>
      <c r="T240" s="38">
        <v>45911</v>
      </c>
      <c r="V240" s="243" t="s">
        <v>2107</v>
      </c>
      <c r="Y240" t="s">
        <v>2065</v>
      </c>
      <c r="AB240" s="40" t="s">
        <v>2068</v>
      </c>
    </row>
    <row r="241" spans="1:39" ht="18" customHeight="1">
      <c r="A241">
        <v>184</v>
      </c>
      <c r="B241" t="s">
        <v>103</v>
      </c>
      <c r="C241" t="s">
        <v>2126</v>
      </c>
      <c r="D241" t="s">
        <v>560</v>
      </c>
      <c r="G241" s="256" t="s">
        <v>2084</v>
      </c>
      <c r="H241" t="s">
        <v>562</v>
      </c>
      <c r="J241" t="s">
        <v>109</v>
      </c>
      <c r="K241" t="s">
        <v>1559</v>
      </c>
      <c r="L241" s="227" t="s">
        <v>502</v>
      </c>
      <c r="N241">
        <v>4</v>
      </c>
      <c r="O241">
        <v>7000</v>
      </c>
      <c r="P241" s="38">
        <v>45997</v>
      </c>
      <c r="T241" s="38">
        <v>45934</v>
      </c>
      <c r="V241" s="256" t="s">
        <v>2086</v>
      </c>
      <c r="Y241" s="258" t="s">
        <v>2089</v>
      </c>
      <c r="Z241" s="258"/>
      <c r="AB241" s="40" t="s">
        <v>2130</v>
      </c>
    </row>
    <row r="242" spans="1:39" ht="18" customHeight="1">
      <c r="A242">
        <v>185</v>
      </c>
      <c r="B242" t="s">
        <v>103</v>
      </c>
      <c r="C242" t="s">
        <v>2125</v>
      </c>
      <c r="D242" t="s">
        <v>2127</v>
      </c>
      <c r="G242" s="256" t="s">
        <v>2079</v>
      </c>
      <c r="H242" s="256" t="s">
        <v>2128</v>
      </c>
      <c r="J242" t="s">
        <v>109</v>
      </c>
      <c r="K242" t="s">
        <v>1559</v>
      </c>
      <c r="L242" s="227" t="s">
        <v>502</v>
      </c>
      <c r="N242">
        <v>4</v>
      </c>
      <c r="O242">
        <v>7000</v>
      </c>
      <c r="P242" s="38">
        <v>45997</v>
      </c>
      <c r="T242" s="38">
        <v>45934</v>
      </c>
      <c r="V242" s="259" t="s">
        <v>2083</v>
      </c>
      <c r="Y242" s="256" t="s">
        <v>2082</v>
      </c>
      <c r="AB242" s="40" t="s">
        <v>2129</v>
      </c>
    </row>
    <row r="243" spans="1:39" ht="18" customHeight="1">
      <c r="A243">
        <v>186</v>
      </c>
      <c r="B243" t="s">
        <v>66</v>
      </c>
      <c r="C243" t="s">
        <v>1327</v>
      </c>
      <c r="D243" t="s">
        <v>234</v>
      </c>
      <c r="H243" s="256" t="s">
        <v>237</v>
      </c>
      <c r="J243" t="s">
        <v>109</v>
      </c>
      <c r="K243" t="s">
        <v>1559</v>
      </c>
      <c r="L243" s="227" t="s">
        <v>502</v>
      </c>
      <c r="N243">
        <v>4</v>
      </c>
      <c r="O243">
        <v>7000</v>
      </c>
      <c r="T243" s="38">
        <v>45934</v>
      </c>
      <c r="V243" s="176" t="s">
        <v>2110</v>
      </c>
      <c r="Y243" s="266" t="s">
        <v>2109</v>
      </c>
      <c r="AM243" s="38">
        <v>46053</v>
      </c>
    </row>
    <row r="244" spans="1:39" ht="18" customHeight="1">
      <c r="A244">
        <v>187</v>
      </c>
      <c r="B244" t="s">
        <v>66</v>
      </c>
      <c r="C244" t="s">
        <v>2285</v>
      </c>
      <c r="H244" s="256" t="s">
        <v>2147</v>
      </c>
      <c r="J244" t="s">
        <v>109</v>
      </c>
      <c r="K244" t="s">
        <v>1559</v>
      </c>
      <c r="L244" s="227" t="s">
        <v>502</v>
      </c>
      <c r="N244">
        <v>4</v>
      </c>
      <c r="O244">
        <v>7000</v>
      </c>
      <c r="P244" s="38">
        <v>45997</v>
      </c>
      <c r="T244" s="38">
        <v>45965</v>
      </c>
      <c r="V244" s="256" t="s">
        <v>2148</v>
      </c>
      <c r="W244" s="13" t="s">
        <v>2193</v>
      </c>
      <c r="Y244" s="256" t="s">
        <v>2149</v>
      </c>
      <c r="AB244" s="40" t="s">
        <v>2196</v>
      </c>
      <c r="AM244" s="38">
        <v>46110</v>
      </c>
    </row>
    <row r="245" spans="1:39" ht="18" customHeight="1">
      <c r="A245">
        <v>188</v>
      </c>
      <c r="B245" t="s">
        <v>66</v>
      </c>
      <c r="C245" t="s">
        <v>948</v>
      </c>
      <c r="D245" t="s">
        <v>2279</v>
      </c>
      <c r="G245" t="s">
        <v>2243</v>
      </c>
      <c r="H245" t="s">
        <v>951</v>
      </c>
      <c r="J245" t="s">
        <v>109</v>
      </c>
      <c r="K245" t="s">
        <v>1559</v>
      </c>
      <c r="L245" t="s">
        <v>197</v>
      </c>
      <c r="N245">
        <v>4</v>
      </c>
      <c r="O245">
        <v>9500</v>
      </c>
      <c r="T245" s="38">
        <v>45662</v>
      </c>
      <c r="V245" t="s">
        <v>2246</v>
      </c>
      <c r="Y245" t="s">
        <v>2245</v>
      </c>
      <c r="AB245" s="40" t="s">
        <v>2244</v>
      </c>
      <c r="AM245" s="38">
        <v>46203</v>
      </c>
    </row>
    <row r="246" spans="1:39" ht="18.75" customHeight="1">
      <c r="A246">
        <v>189</v>
      </c>
      <c r="B246" t="s">
        <v>103</v>
      </c>
      <c r="C246" s="275" t="s">
        <v>1168</v>
      </c>
      <c r="D246" s="275" t="s">
        <v>2260</v>
      </c>
      <c r="E246" s="275"/>
      <c r="F246" s="275" t="s">
        <v>2230</v>
      </c>
      <c r="G246" s="275" t="s">
        <v>2229</v>
      </c>
      <c r="H246" s="275" t="s">
        <v>2229</v>
      </c>
      <c r="I246" s="275"/>
      <c r="J246" t="s">
        <v>109</v>
      </c>
      <c r="K246" t="s">
        <v>1559</v>
      </c>
      <c r="L246" t="s">
        <v>197</v>
      </c>
      <c r="N246">
        <v>4</v>
      </c>
      <c r="O246">
        <v>7600</v>
      </c>
      <c r="T246" s="38">
        <v>46058</v>
      </c>
      <c r="V246" s="275" t="s">
        <v>2230</v>
      </c>
      <c r="W246" s="275"/>
      <c r="Y246" s="275" t="s">
        <v>2231</v>
      </c>
      <c r="AB246" s="40" t="s">
        <v>2261</v>
      </c>
    </row>
    <row r="247" spans="1:39" ht="18" customHeight="1">
      <c r="A247">
        <v>190</v>
      </c>
      <c r="B247" t="s">
        <v>103</v>
      </c>
      <c r="C247" t="s">
        <v>2282</v>
      </c>
      <c r="D247" t="s">
        <v>364</v>
      </c>
      <c r="G247" s="278" t="s">
        <v>2225</v>
      </c>
      <c r="H247" s="278" t="s">
        <v>2225</v>
      </c>
      <c r="J247" t="s">
        <v>109</v>
      </c>
      <c r="O247">
        <v>14050</v>
      </c>
      <c r="T247" s="38">
        <v>46055</v>
      </c>
      <c r="V247" s="278" t="s">
        <v>2226</v>
      </c>
      <c r="Y247" s="278" t="s">
        <v>2227</v>
      </c>
    </row>
    <row r="248" spans="1:39" ht="18" customHeight="1">
      <c r="A248">
        <v>191</v>
      </c>
      <c r="B248" t="s">
        <v>103</v>
      </c>
      <c r="C248" t="s">
        <v>2390</v>
      </c>
      <c r="D248" t="s">
        <v>2338</v>
      </c>
      <c r="G248" s="256" t="s">
        <v>2287</v>
      </c>
      <c r="H248" s="256" t="s">
        <v>2289</v>
      </c>
      <c r="J248" t="s">
        <v>109</v>
      </c>
      <c r="O248">
        <v>12100</v>
      </c>
      <c r="V248" s="256" t="s">
        <v>2267</v>
      </c>
      <c r="W248" s="256"/>
      <c r="Y248" s="256" t="s">
        <v>2266</v>
      </c>
      <c r="AB248" s="40" t="s">
        <v>2347</v>
      </c>
    </row>
    <row r="249" spans="1:39" ht="18" customHeight="1">
      <c r="A249">
        <v>191</v>
      </c>
      <c r="B249" t="s">
        <v>103</v>
      </c>
      <c r="C249" t="s">
        <v>2286</v>
      </c>
      <c r="D249" t="s">
        <v>2338</v>
      </c>
      <c r="G249" s="256" t="s">
        <v>2287</v>
      </c>
      <c r="H249" s="256" t="s">
        <v>2288</v>
      </c>
      <c r="J249" t="s">
        <v>109</v>
      </c>
      <c r="O249">
        <v>12100</v>
      </c>
      <c r="T249" s="282"/>
      <c r="AB249" s="40" t="s">
        <v>2347</v>
      </c>
    </row>
    <row r="250" spans="1:39" ht="18" customHeight="1">
      <c r="A250">
        <v>193</v>
      </c>
      <c r="B250" t="s">
        <v>103</v>
      </c>
      <c r="C250" t="s">
        <v>2280</v>
      </c>
      <c r="D250" t="s">
        <v>2281</v>
      </c>
      <c r="G250" t="s">
        <v>2343</v>
      </c>
      <c r="H250" s="256" t="s">
        <v>2283</v>
      </c>
      <c r="J250" t="s">
        <v>109</v>
      </c>
      <c r="O250">
        <v>7000</v>
      </c>
      <c r="V250" s="176" t="s">
        <v>2268</v>
      </c>
      <c r="Y250" s="266" t="s">
        <v>2265</v>
      </c>
    </row>
    <row r="251" spans="1:39" ht="18" customHeight="1">
      <c r="A251">
        <v>194</v>
      </c>
      <c r="B251" t="s">
        <v>103</v>
      </c>
      <c r="C251" t="s">
        <v>2319</v>
      </c>
      <c r="D251" t="s">
        <v>2318</v>
      </c>
      <c r="G251" s="256" t="s">
        <v>2315</v>
      </c>
      <c r="H251" s="256" t="s">
        <v>2372</v>
      </c>
      <c r="J251" t="s">
        <v>109</v>
      </c>
      <c r="K251" t="s">
        <v>1545</v>
      </c>
      <c r="L251" t="s">
        <v>197</v>
      </c>
      <c r="O251">
        <v>20500</v>
      </c>
      <c r="T251" t="s">
        <v>2320</v>
      </c>
      <c r="V251" s="256" t="s">
        <v>2306</v>
      </c>
      <c r="Y251" s="266" t="s">
        <v>2297</v>
      </c>
      <c r="AB251" s="281" t="s">
        <v>2305</v>
      </c>
    </row>
    <row r="252" spans="1:39" ht="18" customHeight="1">
      <c r="A252">
        <v>195</v>
      </c>
      <c r="B252" t="s">
        <v>103</v>
      </c>
      <c r="C252" s="280" t="s">
        <v>2321</v>
      </c>
      <c r="D252" s="280" t="s">
        <v>1313</v>
      </c>
      <c r="H252" s="56"/>
      <c r="J252" t="s">
        <v>109</v>
      </c>
      <c r="K252" t="s">
        <v>2322</v>
      </c>
      <c r="L252" t="s">
        <v>197</v>
      </c>
      <c r="O252" t="s">
        <v>2322</v>
      </c>
      <c r="T252" t="s">
        <v>2320</v>
      </c>
    </row>
    <row r="253" spans="1:39" ht="18" customHeight="1">
      <c r="A253">
        <v>196</v>
      </c>
      <c r="B253" t="s">
        <v>103</v>
      </c>
      <c r="C253" t="s">
        <v>2334</v>
      </c>
      <c r="D253" t="s">
        <v>490</v>
      </c>
      <c r="G253" s="56" t="s">
        <v>493</v>
      </c>
      <c r="H253" s="56" t="s">
        <v>2333</v>
      </c>
      <c r="J253" t="s">
        <v>109</v>
      </c>
      <c r="K253" t="s">
        <v>110</v>
      </c>
      <c r="O253">
        <v>20500</v>
      </c>
      <c r="T253" s="38">
        <v>46081</v>
      </c>
      <c r="V253" s="67" t="s">
        <v>2300</v>
      </c>
      <c r="Y253" s="86" t="s">
        <v>2301</v>
      </c>
      <c r="AB253" t="s">
        <v>2335</v>
      </c>
    </row>
    <row r="254" spans="1:39" ht="18" customHeight="1">
      <c r="A254">
        <v>197</v>
      </c>
      <c r="B254" t="s">
        <v>103</v>
      </c>
      <c r="C254" s="280" t="s">
        <v>196</v>
      </c>
      <c r="D254" t="s">
        <v>2435</v>
      </c>
      <c r="G254" s="280" t="s">
        <v>2433</v>
      </c>
      <c r="H254" s="280" t="s">
        <v>2434</v>
      </c>
      <c r="J254" t="s">
        <v>109</v>
      </c>
      <c r="K254" t="s">
        <v>110</v>
      </c>
      <c r="O254">
        <v>20500</v>
      </c>
      <c r="T254" s="38">
        <v>46143</v>
      </c>
      <c r="V254" s="243" t="s">
        <v>2429</v>
      </c>
      <c r="Y254" s="292" t="s">
        <v>2376</v>
      </c>
      <c r="AB254" s="293" t="s">
        <v>2432</v>
      </c>
    </row>
    <row r="255" spans="1:39" ht="18" customHeight="1">
      <c r="A255">
        <v>198</v>
      </c>
      <c r="B255" t="s">
        <v>103</v>
      </c>
      <c r="C255" s="294" t="s">
        <v>2438</v>
      </c>
      <c r="D255" s="294" t="s">
        <v>2439</v>
      </c>
      <c r="G255" s="294" t="s">
        <v>2436</v>
      </c>
      <c r="H255" s="294" t="s">
        <v>2437</v>
      </c>
      <c r="J255" t="s">
        <v>109</v>
      </c>
      <c r="K255" t="s">
        <v>1559</v>
      </c>
      <c r="L255" s="227" t="s">
        <v>502</v>
      </c>
      <c r="O255">
        <v>7000</v>
      </c>
      <c r="T255" s="38">
        <v>46144</v>
      </c>
      <c r="V255" t="s">
        <v>2389</v>
      </c>
      <c r="Y255" t="s">
        <v>2440</v>
      </c>
      <c r="AB255" s="40" t="s">
        <v>2441</v>
      </c>
    </row>
    <row r="260" spans="3:4" ht="18" customHeight="1">
      <c r="C260" s="275"/>
      <c r="D260" s="275"/>
    </row>
  </sheetData>
  <phoneticPr fontId="43"/>
  <hyperlinks>
    <hyperlink ref="AJ60" r:id="rId1" xr:uid="{00000000-0004-0000-0000-000001000000}"/>
    <hyperlink ref="AJ61" r:id="rId2" xr:uid="{00000000-0004-0000-0000-000002000000}"/>
    <hyperlink ref="AJ62" r:id="rId3" xr:uid="{00000000-0004-0000-0000-000003000000}"/>
    <hyperlink ref="W115" r:id="rId4" xr:uid="{00000000-0004-0000-0000-000004000000}"/>
    <hyperlink ref="W116" r:id="rId5" xr:uid="{00000000-0004-0000-0000-000005000000}"/>
    <hyperlink ref="V183" r:id="rId6" xr:uid="{00000000-0004-0000-0000-000006000000}"/>
    <hyperlink ref="V188" r:id="rId7" xr:uid="{00000000-0004-0000-0000-000007000000}"/>
    <hyperlink ref="V219" r:id="rId8" xr:uid="{00000000-0004-0000-0000-000008000000}"/>
    <hyperlink ref="V220" r:id="rId9" xr:uid="{00000000-0004-0000-0000-000009000000}"/>
    <hyperlink ref="V221" r:id="rId10" display="mailto:prunus_mume2@yahoo.co.jp" xr:uid="{00000000-0004-0000-0000-00000A000000}"/>
    <hyperlink ref="V222" r:id="rId11" xr:uid="{00000000-0004-0000-0000-00000B000000}"/>
    <hyperlink ref="V223" r:id="rId12" display="mailto:mako543366@gmail.com" xr:uid="{00000000-0004-0000-0000-00000C000000}"/>
    <hyperlink ref="W223" r:id="rId13" display="mailto:mako543366@gmail.com" xr:uid="{00000000-0004-0000-0000-00000D000000}"/>
    <hyperlink ref="V225" r:id="rId14" xr:uid="{00000000-0004-0000-0000-00000E000000}"/>
    <hyperlink ref="V226" r:id="rId15" xr:uid="{00000000-0004-0000-0000-00000F000000}"/>
    <hyperlink ref="W226" r:id="rId16" xr:uid="{00000000-0004-0000-0000-000010000000}"/>
    <hyperlink ref="V228" r:id="rId17" xr:uid="{00000000-0004-0000-0000-000011000000}"/>
    <hyperlink ref="W228" r:id="rId18" display="mailto:cakwtnb31@gmail.com" xr:uid="{00000000-0004-0000-0000-000012000000}"/>
    <hyperlink ref="V229" r:id="rId19" xr:uid="{00000000-0004-0000-0000-000013000000}"/>
    <hyperlink ref="V230" r:id="rId20" display="mailto:yasunorinozomi@yahoo.co.jp" xr:uid="{00000000-0004-0000-0000-000014000000}"/>
    <hyperlink ref="V232" r:id="rId21" xr:uid="{00000000-0004-0000-0000-000015000000}"/>
    <hyperlink ref="V233" r:id="rId22" display="mailto:t0nn0e_0905@yahoo.co.jp" xr:uid="{2BA9A7CD-7F89-4B9F-8582-84089FDB2036}"/>
    <hyperlink ref="V8" r:id="rId23" xr:uid="{E11516BC-6F61-462D-8621-328E58CC1799}"/>
    <hyperlink ref="W8" r:id="rId24" xr:uid="{E46F16F4-B2BF-4AAD-8275-797AB5CD8710}"/>
    <hyperlink ref="V67" r:id="rId25" xr:uid="{CF90B36D-2B0A-4DE6-9BEC-AEFA4A413D7E}"/>
    <hyperlink ref="W232" r:id="rId26" xr:uid="{0C79504D-8AEA-4979-BFCA-A4136C413EA4}"/>
    <hyperlink ref="V235" r:id="rId27" xr:uid="{5BE10A3F-038E-4757-91AC-8C394BD926ED}"/>
    <hyperlink ref="V234" r:id="rId28" xr:uid="{55E164B5-745B-434C-9F07-FEA1D328E9AB}"/>
    <hyperlink ref="V120" r:id="rId29" xr:uid="{9C4089A7-1A7C-4213-992F-7F9C167F72A6}"/>
    <hyperlink ref="V231" r:id="rId30" xr:uid="{A709CB00-14D7-434D-830B-EE03300CA59B}"/>
    <hyperlink ref="W236" r:id="rId31" xr:uid="{81E0CC03-458A-4399-B02C-83BF767A5812}"/>
    <hyperlink ref="V239" r:id="rId32" xr:uid="{E2712B68-5E72-4B8D-AE59-F8D93814A96C}"/>
    <hyperlink ref="V242" r:id="rId33" xr:uid="{D5B00146-AD1F-4530-921A-3320C9FE891F}"/>
    <hyperlink ref="V79" r:id="rId34" xr:uid="{439962A6-2113-4EEA-AAC5-6C3D9A6642D9}"/>
    <hyperlink ref="V171" r:id="rId35" xr:uid="{DB5CA131-21E6-4CD7-B417-AE2E4FF1CB10}"/>
    <hyperlink ref="W244" r:id="rId36" xr:uid="{27629ECC-1D28-442F-BC1A-6FDB0F1D14EB}"/>
    <hyperlink ref="V243" r:id="rId37" xr:uid="{EFB4974C-10B3-4E7E-AB96-9116F5D90AD3}"/>
    <hyperlink ref="V204" r:id="rId38" xr:uid="{7FFC485E-760D-46ED-99EA-83B6E91B2111}"/>
    <hyperlink ref="V250" r:id="rId39" xr:uid="{704D2346-0B6E-4B96-8BB6-2430C76D1D2A}"/>
    <hyperlink ref="V254" r:id="rId40" xr:uid="{64AF350B-C0EF-47F2-B35C-A31333B4485F}"/>
  </hyperlinks>
  <pageMargins left="0.75" right="0.75" top="1" bottom="1" header="0.5" footer="0.5"/>
  <pageSetup paperSize="9" orientation="portrait" r:id="rId41"/>
  <drawing r:id="rId42"/>
  <legacyDrawing r:id="rId43"/>
  <mc:AlternateContent xmlns:mc="http://schemas.openxmlformats.org/markup-compatibility/2006">
    <mc:Choice Requires="x14">
      <controls>
        <mc:AlternateContent xmlns:mc="http://schemas.openxmlformats.org/markup-compatibility/2006">
          <mc:Choice Requires="x14">
            <control shapeId="1477" r:id="rId44" name="DeleteBtn_2">
              <controlPr defaultSize="0" print="0" autoFill="0" autoPict="0" macro="[0]!DeleteCustomer">
                <anchor moveWithCells="1" sizeWithCells="1">
                  <from>
                    <xdr:col>39</xdr:col>
                    <xdr:colOff>0</xdr:colOff>
                    <xdr:row>2</xdr:row>
                    <xdr:rowOff>0</xdr:rowOff>
                  </from>
                  <to>
                    <xdr:col>40</xdr:col>
                    <xdr:colOff>0</xdr:colOff>
                    <xdr:row>3</xdr:row>
                    <xdr:rowOff>0</xdr:rowOff>
                  </to>
                </anchor>
              </controlPr>
            </control>
          </mc:Choice>
        </mc:AlternateContent>
        <mc:AlternateContent xmlns:mc="http://schemas.openxmlformats.org/markup-compatibility/2006">
          <mc:Choice Requires="x14">
            <control shapeId="1478" r:id="rId45" name="DeleteBtn_3">
              <controlPr defaultSize="0" print="0" autoFill="0" autoPict="0" macro="[0]!DeleteCustomer">
                <anchor moveWithCells="1" sizeWithCells="1">
                  <from>
                    <xdr:col>39</xdr:col>
                    <xdr:colOff>0</xdr:colOff>
                    <xdr:row>3</xdr:row>
                    <xdr:rowOff>0</xdr:rowOff>
                  </from>
                  <to>
                    <xdr:col>40</xdr:col>
                    <xdr:colOff>0</xdr:colOff>
                    <xdr:row>4</xdr:row>
                    <xdr:rowOff>0</xdr:rowOff>
                  </to>
                </anchor>
              </controlPr>
            </control>
          </mc:Choice>
        </mc:AlternateContent>
        <mc:AlternateContent xmlns:mc="http://schemas.openxmlformats.org/markup-compatibility/2006">
          <mc:Choice Requires="x14">
            <control shapeId="1479" r:id="rId46" name="DeleteBtn_4">
              <controlPr defaultSize="0" print="0" autoFill="0" autoPict="0" macro="[0]!DeleteCustomer">
                <anchor moveWithCells="1" sizeWithCells="1">
                  <from>
                    <xdr:col>39</xdr:col>
                    <xdr:colOff>0</xdr:colOff>
                    <xdr:row>4</xdr:row>
                    <xdr:rowOff>0</xdr:rowOff>
                  </from>
                  <to>
                    <xdr:col>40</xdr:col>
                    <xdr:colOff>0</xdr:colOff>
                    <xdr:row>5</xdr:row>
                    <xdr:rowOff>0</xdr:rowOff>
                  </to>
                </anchor>
              </controlPr>
            </control>
          </mc:Choice>
        </mc:AlternateContent>
        <mc:AlternateContent xmlns:mc="http://schemas.openxmlformats.org/markup-compatibility/2006">
          <mc:Choice Requires="x14">
            <control shapeId="1480" r:id="rId47" name="DeleteBtn_5">
              <controlPr defaultSize="0" print="0" autoFill="0" autoPict="0" macro="[0]!DeleteCustomer">
                <anchor moveWithCells="1" sizeWithCells="1">
                  <from>
                    <xdr:col>39</xdr:col>
                    <xdr:colOff>0</xdr:colOff>
                    <xdr:row>5</xdr:row>
                    <xdr:rowOff>0</xdr:rowOff>
                  </from>
                  <to>
                    <xdr:col>40</xdr:col>
                    <xdr:colOff>0</xdr:colOff>
                    <xdr:row>6</xdr:row>
                    <xdr:rowOff>0</xdr:rowOff>
                  </to>
                </anchor>
              </controlPr>
            </control>
          </mc:Choice>
        </mc:AlternateContent>
        <mc:AlternateContent xmlns:mc="http://schemas.openxmlformats.org/markup-compatibility/2006">
          <mc:Choice Requires="x14">
            <control shapeId="1481" r:id="rId48" name="DeleteBtn_6">
              <controlPr defaultSize="0" print="0" autoFill="0" autoPict="0" macro="[0]!DeleteCustomer">
                <anchor moveWithCells="1" sizeWithCells="1">
                  <from>
                    <xdr:col>39</xdr:col>
                    <xdr:colOff>0</xdr:colOff>
                    <xdr:row>6</xdr:row>
                    <xdr:rowOff>0</xdr:rowOff>
                  </from>
                  <to>
                    <xdr:col>40</xdr:col>
                    <xdr:colOff>0</xdr:colOff>
                    <xdr:row>7</xdr:row>
                    <xdr:rowOff>0</xdr:rowOff>
                  </to>
                </anchor>
              </controlPr>
            </control>
          </mc:Choice>
        </mc:AlternateContent>
        <mc:AlternateContent xmlns:mc="http://schemas.openxmlformats.org/markup-compatibility/2006">
          <mc:Choice Requires="x14">
            <control shapeId="1482" r:id="rId49" name="DeleteBtn_7">
              <controlPr defaultSize="0" print="0" autoFill="0" autoPict="0" macro="[0]!DeleteCustomer">
                <anchor moveWithCells="1" sizeWithCells="1">
                  <from>
                    <xdr:col>39</xdr:col>
                    <xdr:colOff>0</xdr:colOff>
                    <xdr:row>7</xdr:row>
                    <xdr:rowOff>0</xdr:rowOff>
                  </from>
                  <to>
                    <xdr:col>40</xdr:col>
                    <xdr:colOff>0</xdr:colOff>
                    <xdr:row>8</xdr:row>
                    <xdr:rowOff>0</xdr:rowOff>
                  </to>
                </anchor>
              </controlPr>
            </control>
          </mc:Choice>
        </mc:AlternateContent>
        <mc:AlternateContent xmlns:mc="http://schemas.openxmlformats.org/markup-compatibility/2006">
          <mc:Choice Requires="x14">
            <control shapeId="1483" r:id="rId50" name="DeleteBtn_8">
              <controlPr defaultSize="0" print="0" autoFill="0" autoPict="0" macro="[0]!DeleteCustomer">
                <anchor moveWithCells="1" sizeWithCells="1">
                  <from>
                    <xdr:col>39</xdr:col>
                    <xdr:colOff>0</xdr:colOff>
                    <xdr:row>8</xdr:row>
                    <xdr:rowOff>0</xdr:rowOff>
                  </from>
                  <to>
                    <xdr:col>40</xdr:col>
                    <xdr:colOff>0</xdr:colOff>
                    <xdr:row>9</xdr:row>
                    <xdr:rowOff>0</xdr:rowOff>
                  </to>
                </anchor>
              </controlPr>
            </control>
          </mc:Choice>
        </mc:AlternateContent>
        <mc:AlternateContent xmlns:mc="http://schemas.openxmlformats.org/markup-compatibility/2006">
          <mc:Choice Requires="x14">
            <control shapeId="1484" r:id="rId51" name="DeleteBtn_9">
              <controlPr defaultSize="0" print="0" autoFill="0" autoPict="0" macro="[0]!DeleteCustomer">
                <anchor moveWithCells="1" sizeWithCells="1">
                  <from>
                    <xdr:col>39</xdr:col>
                    <xdr:colOff>0</xdr:colOff>
                    <xdr:row>9</xdr:row>
                    <xdr:rowOff>0</xdr:rowOff>
                  </from>
                  <to>
                    <xdr:col>40</xdr:col>
                    <xdr:colOff>0</xdr:colOff>
                    <xdr:row>10</xdr:row>
                    <xdr:rowOff>0</xdr:rowOff>
                  </to>
                </anchor>
              </controlPr>
            </control>
          </mc:Choice>
        </mc:AlternateContent>
        <mc:AlternateContent xmlns:mc="http://schemas.openxmlformats.org/markup-compatibility/2006">
          <mc:Choice Requires="x14">
            <control shapeId="1485" r:id="rId52" name="DeleteBtn_10">
              <controlPr defaultSize="0" print="0" autoFill="0" autoPict="0" macro="[0]!DeleteCustomer">
                <anchor moveWithCells="1" sizeWithCells="1">
                  <from>
                    <xdr:col>39</xdr:col>
                    <xdr:colOff>0</xdr:colOff>
                    <xdr:row>10</xdr:row>
                    <xdr:rowOff>0</xdr:rowOff>
                  </from>
                  <to>
                    <xdr:col>40</xdr:col>
                    <xdr:colOff>0</xdr:colOff>
                    <xdr:row>11</xdr:row>
                    <xdr:rowOff>0</xdr:rowOff>
                  </to>
                </anchor>
              </controlPr>
            </control>
          </mc:Choice>
        </mc:AlternateContent>
        <mc:AlternateContent xmlns:mc="http://schemas.openxmlformats.org/markup-compatibility/2006">
          <mc:Choice Requires="x14">
            <control shapeId="1486" r:id="rId53" name="DeleteBtn_11">
              <controlPr defaultSize="0" print="0" autoFill="0" autoPict="0" macro="[0]!DeleteCustomer">
                <anchor moveWithCells="1" sizeWithCells="1">
                  <from>
                    <xdr:col>39</xdr:col>
                    <xdr:colOff>0</xdr:colOff>
                    <xdr:row>11</xdr:row>
                    <xdr:rowOff>0</xdr:rowOff>
                  </from>
                  <to>
                    <xdr:col>40</xdr:col>
                    <xdr:colOff>0</xdr:colOff>
                    <xdr:row>12</xdr:row>
                    <xdr:rowOff>0</xdr:rowOff>
                  </to>
                </anchor>
              </controlPr>
            </control>
          </mc:Choice>
        </mc:AlternateContent>
        <mc:AlternateContent xmlns:mc="http://schemas.openxmlformats.org/markup-compatibility/2006">
          <mc:Choice Requires="x14">
            <control shapeId="1487" r:id="rId54" name="DeleteBtn_12">
              <controlPr defaultSize="0" print="0" autoFill="0" autoPict="0" macro="[0]!DeleteCustomer">
                <anchor moveWithCells="1" sizeWithCells="1">
                  <from>
                    <xdr:col>39</xdr:col>
                    <xdr:colOff>0</xdr:colOff>
                    <xdr:row>12</xdr:row>
                    <xdr:rowOff>0</xdr:rowOff>
                  </from>
                  <to>
                    <xdr:col>40</xdr:col>
                    <xdr:colOff>0</xdr:colOff>
                    <xdr:row>13</xdr:row>
                    <xdr:rowOff>0</xdr:rowOff>
                  </to>
                </anchor>
              </controlPr>
            </control>
          </mc:Choice>
        </mc:AlternateContent>
        <mc:AlternateContent xmlns:mc="http://schemas.openxmlformats.org/markup-compatibility/2006">
          <mc:Choice Requires="x14">
            <control shapeId="1488" r:id="rId55" name="DeleteBtn_13">
              <controlPr defaultSize="0" print="0" autoFill="0" autoPict="0" macro="[0]!DeleteCustomer">
                <anchor moveWithCells="1" sizeWithCells="1">
                  <from>
                    <xdr:col>39</xdr:col>
                    <xdr:colOff>0</xdr:colOff>
                    <xdr:row>13</xdr:row>
                    <xdr:rowOff>0</xdr:rowOff>
                  </from>
                  <to>
                    <xdr:col>40</xdr:col>
                    <xdr:colOff>0</xdr:colOff>
                    <xdr:row>14</xdr:row>
                    <xdr:rowOff>0</xdr:rowOff>
                  </to>
                </anchor>
              </controlPr>
            </control>
          </mc:Choice>
        </mc:AlternateContent>
        <mc:AlternateContent xmlns:mc="http://schemas.openxmlformats.org/markup-compatibility/2006">
          <mc:Choice Requires="x14">
            <control shapeId="1489" r:id="rId56" name="DeleteBtn_14">
              <controlPr defaultSize="0" print="0" autoFill="0" autoPict="0" macro="[0]!DeleteCustomer">
                <anchor moveWithCells="1" sizeWithCells="1">
                  <from>
                    <xdr:col>39</xdr:col>
                    <xdr:colOff>0</xdr:colOff>
                    <xdr:row>14</xdr:row>
                    <xdr:rowOff>0</xdr:rowOff>
                  </from>
                  <to>
                    <xdr:col>40</xdr:col>
                    <xdr:colOff>0</xdr:colOff>
                    <xdr:row>15</xdr:row>
                    <xdr:rowOff>0</xdr:rowOff>
                  </to>
                </anchor>
              </controlPr>
            </control>
          </mc:Choice>
        </mc:AlternateContent>
        <mc:AlternateContent xmlns:mc="http://schemas.openxmlformats.org/markup-compatibility/2006">
          <mc:Choice Requires="x14">
            <control shapeId="1490" r:id="rId57" name="DeleteBtn_15">
              <controlPr defaultSize="0" print="0" autoFill="0" autoPict="0" macro="[0]!DeleteCustomer">
                <anchor moveWithCells="1" sizeWithCells="1">
                  <from>
                    <xdr:col>39</xdr:col>
                    <xdr:colOff>0</xdr:colOff>
                    <xdr:row>15</xdr:row>
                    <xdr:rowOff>0</xdr:rowOff>
                  </from>
                  <to>
                    <xdr:col>40</xdr:col>
                    <xdr:colOff>0</xdr:colOff>
                    <xdr:row>16</xdr:row>
                    <xdr:rowOff>0</xdr:rowOff>
                  </to>
                </anchor>
              </controlPr>
            </control>
          </mc:Choice>
        </mc:AlternateContent>
        <mc:AlternateContent xmlns:mc="http://schemas.openxmlformats.org/markup-compatibility/2006">
          <mc:Choice Requires="x14">
            <control shapeId="1491" r:id="rId58" name="DeleteBtn_16">
              <controlPr defaultSize="0" print="0" autoFill="0" autoPict="0" macro="[0]!DeleteCustomer">
                <anchor moveWithCells="1" sizeWithCells="1">
                  <from>
                    <xdr:col>39</xdr:col>
                    <xdr:colOff>0</xdr:colOff>
                    <xdr:row>16</xdr:row>
                    <xdr:rowOff>0</xdr:rowOff>
                  </from>
                  <to>
                    <xdr:col>40</xdr:col>
                    <xdr:colOff>0</xdr:colOff>
                    <xdr:row>17</xdr:row>
                    <xdr:rowOff>0</xdr:rowOff>
                  </to>
                </anchor>
              </controlPr>
            </control>
          </mc:Choice>
        </mc:AlternateContent>
        <mc:AlternateContent xmlns:mc="http://schemas.openxmlformats.org/markup-compatibility/2006">
          <mc:Choice Requires="x14">
            <control shapeId="1492" r:id="rId59" name="DeleteBtn_17">
              <controlPr defaultSize="0" print="0" autoFill="0" autoPict="0" macro="[0]!DeleteCustomer">
                <anchor moveWithCells="1" sizeWithCells="1">
                  <from>
                    <xdr:col>39</xdr:col>
                    <xdr:colOff>0</xdr:colOff>
                    <xdr:row>17</xdr:row>
                    <xdr:rowOff>0</xdr:rowOff>
                  </from>
                  <to>
                    <xdr:col>40</xdr:col>
                    <xdr:colOff>0</xdr:colOff>
                    <xdr:row>18</xdr:row>
                    <xdr:rowOff>0</xdr:rowOff>
                  </to>
                </anchor>
              </controlPr>
            </control>
          </mc:Choice>
        </mc:AlternateContent>
        <mc:AlternateContent xmlns:mc="http://schemas.openxmlformats.org/markup-compatibility/2006">
          <mc:Choice Requires="x14">
            <control shapeId="1493" r:id="rId60" name="DeleteBtn_18">
              <controlPr defaultSize="0" print="0" autoFill="0" autoPict="0" macro="[0]!DeleteCustomer">
                <anchor moveWithCells="1" sizeWithCells="1">
                  <from>
                    <xdr:col>39</xdr:col>
                    <xdr:colOff>0</xdr:colOff>
                    <xdr:row>18</xdr:row>
                    <xdr:rowOff>0</xdr:rowOff>
                  </from>
                  <to>
                    <xdr:col>40</xdr:col>
                    <xdr:colOff>0</xdr:colOff>
                    <xdr:row>19</xdr:row>
                    <xdr:rowOff>0</xdr:rowOff>
                  </to>
                </anchor>
              </controlPr>
            </control>
          </mc:Choice>
        </mc:AlternateContent>
        <mc:AlternateContent xmlns:mc="http://schemas.openxmlformats.org/markup-compatibility/2006">
          <mc:Choice Requires="x14">
            <control shapeId="1494" r:id="rId61" name="DeleteBtn_19">
              <controlPr defaultSize="0" print="0" autoFill="0" autoPict="0" macro="[0]!DeleteCustomer">
                <anchor moveWithCells="1" sizeWithCells="1">
                  <from>
                    <xdr:col>39</xdr:col>
                    <xdr:colOff>0</xdr:colOff>
                    <xdr:row>19</xdr:row>
                    <xdr:rowOff>0</xdr:rowOff>
                  </from>
                  <to>
                    <xdr:col>40</xdr:col>
                    <xdr:colOff>0</xdr:colOff>
                    <xdr:row>20</xdr:row>
                    <xdr:rowOff>0</xdr:rowOff>
                  </to>
                </anchor>
              </controlPr>
            </control>
          </mc:Choice>
        </mc:AlternateContent>
        <mc:AlternateContent xmlns:mc="http://schemas.openxmlformats.org/markup-compatibility/2006">
          <mc:Choice Requires="x14">
            <control shapeId="1495" r:id="rId62" name="DeleteBtn_20">
              <controlPr defaultSize="0" print="0" autoFill="0" autoPict="0" macro="[0]!DeleteCustomer">
                <anchor moveWithCells="1" sizeWithCells="1">
                  <from>
                    <xdr:col>39</xdr:col>
                    <xdr:colOff>0</xdr:colOff>
                    <xdr:row>20</xdr:row>
                    <xdr:rowOff>0</xdr:rowOff>
                  </from>
                  <to>
                    <xdr:col>40</xdr:col>
                    <xdr:colOff>0</xdr:colOff>
                    <xdr:row>21</xdr:row>
                    <xdr:rowOff>0</xdr:rowOff>
                  </to>
                </anchor>
              </controlPr>
            </control>
          </mc:Choice>
        </mc:AlternateContent>
        <mc:AlternateContent xmlns:mc="http://schemas.openxmlformats.org/markup-compatibility/2006">
          <mc:Choice Requires="x14">
            <control shapeId="1496" r:id="rId63" name="DeleteBtn_21">
              <controlPr defaultSize="0" print="0" autoFill="0" autoPict="0" macro="[0]!DeleteCustomer">
                <anchor moveWithCells="1" sizeWithCells="1">
                  <from>
                    <xdr:col>39</xdr:col>
                    <xdr:colOff>0</xdr:colOff>
                    <xdr:row>21</xdr:row>
                    <xdr:rowOff>0</xdr:rowOff>
                  </from>
                  <to>
                    <xdr:col>40</xdr:col>
                    <xdr:colOff>0</xdr:colOff>
                    <xdr:row>22</xdr:row>
                    <xdr:rowOff>0</xdr:rowOff>
                  </to>
                </anchor>
              </controlPr>
            </control>
          </mc:Choice>
        </mc:AlternateContent>
        <mc:AlternateContent xmlns:mc="http://schemas.openxmlformats.org/markup-compatibility/2006">
          <mc:Choice Requires="x14">
            <control shapeId="1497" r:id="rId64" name="DeleteBtn_22">
              <controlPr defaultSize="0" print="0" autoFill="0" autoPict="0" macro="[0]!DeleteCustomer">
                <anchor moveWithCells="1" sizeWithCells="1">
                  <from>
                    <xdr:col>39</xdr:col>
                    <xdr:colOff>0</xdr:colOff>
                    <xdr:row>22</xdr:row>
                    <xdr:rowOff>0</xdr:rowOff>
                  </from>
                  <to>
                    <xdr:col>40</xdr:col>
                    <xdr:colOff>0</xdr:colOff>
                    <xdr:row>23</xdr:row>
                    <xdr:rowOff>0</xdr:rowOff>
                  </to>
                </anchor>
              </controlPr>
            </control>
          </mc:Choice>
        </mc:AlternateContent>
        <mc:AlternateContent xmlns:mc="http://schemas.openxmlformats.org/markup-compatibility/2006">
          <mc:Choice Requires="x14">
            <control shapeId="1498" r:id="rId65" name="DeleteBtn_23">
              <controlPr defaultSize="0" print="0" autoFill="0" autoPict="0" macro="[0]!DeleteCustomer">
                <anchor moveWithCells="1" sizeWithCells="1">
                  <from>
                    <xdr:col>39</xdr:col>
                    <xdr:colOff>0</xdr:colOff>
                    <xdr:row>23</xdr:row>
                    <xdr:rowOff>0</xdr:rowOff>
                  </from>
                  <to>
                    <xdr:col>40</xdr:col>
                    <xdr:colOff>0</xdr:colOff>
                    <xdr:row>24</xdr:row>
                    <xdr:rowOff>0</xdr:rowOff>
                  </to>
                </anchor>
              </controlPr>
            </control>
          </mc:Choice>
        </mc:AlternateContent>
        <mc:AlternateContent xmlns:mc="http://schemas.openxmlformats.org/markup-compatibility/2006">
          <mc:Choice Requires="x14">
            <control shapeId="1499" r:id="rId66" name="DeleteBtn_24">
              <controlPr defaultSize="0" print="0" autoFill="0" autoPict="0" macro="[0]!DeleteCustomer">
                <anchor moveWithCells="1" sizeWithCells="1">
                  <from>
                    <xdr:col>39</xdr:col>
                    <xdr:colOff>0</xdr:colOff>
                    <xdr:row>24</xdr:row>
                    <xdr:rowOff>0</xdr:rowOff>
                  </from>
                  <to>
                    <xdr:col>40</xdr:col>
                    <xdr:colOff>0</xdr:colOff>
                    <xdr:row>25</xdr:row>
                    <xdr:rowOff>0</xdr:rowOff>
                  </to>
                </anchor>
              </controlPr>
            </control>
          </mc:Choice>
        </mc:AlternateContent>
        <mc:AlternateContent xmlns:mc="http://schemas.openxmlformats.org/markup-compatibility/2006">
          <mc:Choice Requires="x14">
            <control shapeId="1500" r:id="rId67" name="DeleteBtn_25">
              <controlPr defaultSize="0" print="0" autoFill="0" autoPict="0" macro="[0]!DeleteCustomer">
                <anchor moveWithCells="1" sizeWithCells="1">
                  <from>
                    <xdr:col>39</xdr:col>
                    <xdr:colOff>0</xdr:colOff>
                    <xdr:row>25</xdr:row>
                    <xdr:rowOff>0</xdr:rowOff>
                  </from>
                  <to>
                    <xdr:col>40</xdr:col>
                    <xdr:colOff>0</xdr:colOff>
                    <xdr:row>26</xdr:row>
                    <xdr:rowOff>0</xdr:rowOff>
                  </to>
                </anchor>
              </controlPr>
            </control>
          </mc:Choice>
        </mc:AlternateContent>
        <mc:AlternateContent xmlns:mc="http://schemas.openxmlformats.org/markup-compatibility/2006">
          <mc:Choice Requires="x14">
            <control shapeId="1501" r:id="rId68" name="DeleteBtn_26">
              <controlPr defaultSize="0" print="0" autoFill="0" autoPict="0" macro="[0]!DeleteCustomer">
                <anchor moveWithCells="1" sizeWithCells="1">
                  <from>
                    <xdr:col>39</xdr:col>
                    <xdr:colOff>0</xdr:colOff>
                    <xdr:row>26</xdr:row>
                    <xdr:rowOff>0</xdr:rowOff>
                  </from>
                  <to>
                    <xdr:col>40</xdr:col>
                    <xdr:colOff>0</xdr:colOff>
                    <xdr:row>27</xdr:row>
                    <xdr:rowOff>0</xdr:rowOff>
                  </to>
                </anchor>
              </controlPr>
            </control>
          </mc:Choice>
        </mc:AlternateContent>
        <mc:AlternateContent xmlns:mc="http://schemas.openxmlformats.org/markup-compatibility/2006">
          <mc:Choice Requires="x14">
            <control shapeId="1502" r:id="rId69" name="DeleteBtn_27">
              <controlPr defaultSize="0" print="0" autoFill="0" autoPict="0" macro="[0]!DeleteCustomer">
                <anchor moveWithCells="1" sizeWithCells="1">
                  <from>
                    <xdr:col>39</xdr:col>
                    <xdr:colOff>0</xdr:colOff>
                    <xdr:row>27</xdr:row>
                    <xdr:rowOff>0</xdr:rowOff>
                  </from>
                  <to>
                    <xdr:col>40</xdr:col>
                    <xdr:colOff>0</xdr:colOff>
                    <xdr:row>28</xdr:row>
                    <xdr:rowOff>0</xdr:rowOff>
                  </to>
                </anchor>
              </controlPr>
            </control>
          </mc:Choice>
        </mc:AlternateContent>
        <mc:AlternateContent xmlns:mc="http://schemas.openxmlformats.org/markup-compatibility/2006">
          <mc:Choice Requires="x14">
            <control shapeId="1503" r:id="rId70" name="DeleteBtn_28">
              <controlPr defaultSize="0" print="0" autoFill="0" autoPict="0" macro="[0]!DeleteCustomer">
                <anchor moveWithCells="1" sizeWithCells="1">
                  <from>
                    <xdr:col>39</xdr:col>
                    <xdr:colOff>0</xdr:colOff>
                    <xdr:row>28</xdr:row>
                    <xdr:rowOff>0</xdr:rowOff>
                  </from>
                  <to>
                    <xdr:col>40</xdr:col>
                    <xdr:colOff>0</xdr:colOff>
                    <xdr:row>29</xdr:row>
                    <xdr:rowOff>0</xdr:rowOff>
                  </to>
                </anchor>
              </controlPr>
            </control>
          </mc:Choice>
        </mc:AlternateContent>
        <mc:AlternateContent xmlns:mc="http://schemas.openxmlformats.org/markup-compatibility/2006">
          <mc:Choice Requires="x14">
            <control shapeId="1504" r:id="rId71" name="DeleteBtn_29">
              <controlPr defaultSize="0" print="0" autoFill="0" autoPict="0" macro="[0]!DeleteCustomer">
                <anchor moveWithCells="1" sizeWithCells="1">
                  <from>
                    <xdr:col>39</xdr:col>
                    <xdr:colOff>0</xdr:colOff>
                    <xdr:row>29</xdr:row>
                    <xdr:rowOff>0</xdr:rowOff>
                  </from>
                  <to>
                    <xdr:col>40</xdr:col>
                    <xdr:colOff>0</xdr:colOff>
                    <xdr:row>30</xdr:row>
                    <xdr:rowOff>0</xdr:rowOff>
                  </to>
                </anchor>
              </controlPr>
            </control>
          </mc:Choice>
        </mc:AlternateContent>
        <mc:AlternateContent xmlns:mc="http://schemas.openxmlformats.org/markup-compatibility/2006">
          <mc:Choice Requires="x14">
            <control shapeId="1505" r:id="rId72" name="DeleteBtn_30">
              <controlPr defaultSize="0" print="0" autoFill="0" autoPict="0" macro="[0]!DeleteCustomer">
                <anchor moveWithCells="1" sizeWithCells="1">
                  <from>
                    <xdr:col>39</xdr:col>
                    <xdr:colOff>0</xdr:colOff>
                    <xdr:row>30</xdr:row>
                    <xdr:rowOff>0</xdr:rowOff>
                  </from>
                  <to>
                    <xdr:col>40</xdr:col>
                    <xdr:colOff>0</xdr:colOff>
                    <xdr:row>31</xdr:row>
                    <xdr:rowOff>0</xdr:rowOff>
                  </to>
                </anchor>
              </controlPr>
            </control>
          </mc:Choice>
        </mc:AlternateContent>
        <mc:AlternateContent xmlns:mc="http://schemas.openxmlformats.org/markup-compatibility/2006">
          <mc:Choice Requires="x14">
            <control shapeId="1506" r:id="rId73" name="DeleteBtn_31">
              <controlPr defaultSize="0" print="0" autoFill="0" autoPict="0" macro="[0]!DeleteCustomer">
                <anchor moveWithCells="1" sizeWithCells="1">
                  <from>
                    <xdr:col>39</xdr:col>
                    <xdr:colOff>0</xdr:colOff>
                    <xdr:row>31</xdr:row>
                    <xdr:rowOff>0</xdr:rowOff>
                  </from>
                  <to>
                    <xdr:col>40</xdr:col>
                    <xdr:colOff>0</xdr:colOff>
                    <xdr:row>32</xdr:row>
                    <xdr:rowOff>0</xdr:rowOff>
                  </to>
                </anchor>
              </controlPr>
            </control>
          </mc:Choice>
        </mc:AlternateContent>
        <mc:AlternateContent xmlns:mc="http://schemas.openxmlformats.org/markup-compatibility/2006">
          <mc:Choice Requires="x14">
            <control shapeId="1507" r:id="rId74" name="DeleteBtn_32">
              <controlPr defaultSize="0" print="0" autoFill="0" autoPict="0" macro="[0]!DeleteCustomer">
                <anchor moveWithCells="1" sizeWithCells="1">
                  <from>
                    <xdr:col>39</xdr:col>
                    <xdr:colOff>0</xdr:colOff>
                    <xdr:row>32</xdr:row>
                    <xdr:rowOff>0</xdr:rowOff>
                  </from>
                  <to>
                    <xdr:col>40</xdr:col>
                    <xdr:colOff>0</xdr:colOff>
                    <xdr:row>33</xdr:row>
                    <xdr:rowOff>0</xdr:rowOff>
                  </to>
                </anchor>
              </controlPr>
            </control>
          </mc:Choice>
        </mc:AlternateContent>
        <mc:AlternateContent xmlns:mc="http://schemas.openxmlformats.org/markup-compatibility/2006">
          <mc:Choice Requires="x14">
            <control shapeId="1508" r:id="rId75" name="DeleteBtn_33">
              <controlPr defaultSize="0" print="0" autoFill="0" autoPict="0" macro="[0]!DeleteCustomer">
                <anchor moveWithCells="1" sizeWithCells="1">
                  <from>
                    <xdr:col>39</xdr:col>
                    <xdr:colOff>0</xdr:colOff>
                    <xdr:row>33</xdr:row>
                    <xdr:rowOff>0</xdr:rowOff>
                  </from>
                  <to>
                    <xdr:col>40</xdr:col>
                    <xdr:colOff>0</xdr:colOff>
                    <xdr:row>34</xdr:row>
                    <xdr:rowOff>0</xdr:rowOff>
                  </to>
                </anchor>
              </controlPr>
            </control>
          </mc:Choice>
        </mc:AlternateContent>
        <mc:AlternateContent xmlns:mc="http://schemas.openxmlformats.org/markup-compatibility/2006">
          <mc:Choice Requires="x14">
            <control shapeId="1509" r:id="rId76" name="DeleteBtn_34">
              <controlPr defaultSize="0" print="0" autoFill="0" autoPict="0" macro="[0]!DeleteCustomer">
                <anchor moveWithCells="1" sizeWithCells="1">
                  <from>
                    <xdr:col>39</xdr:col>
                    <xdr:colOff>0</xdr:colOff>
                    <xdr:row>34</xdr:row>
                    <xdr:rowOff>0</xdr:rowOff>
                  </from>
                  <to>
                    <xdr:col>40</xdr:col>
                    <xdr:colOff>0</xdr:colOff>
                    <xdr:row>35</xdr:row>
                    <xdr:rowOff>0</xdr:rowOff>
                  </to>
                </anchor>
              </controlPr>
            </control>
          </mc:Choice>
        </mc:AlternateContent>
        <mc:AlternateContent xmlns:mc="http://schemas.openxmlformats.org/markup-compatibility/2006">
          <mc:Choice Requires="x14">
            <control shapeId="1510" r:id="rId77" name="DeleteBtn_35">
              <controlPr defaultSize="0" print="0" autoFill="0" autoPict="0" macro="[0]!DeleteCustomer">
                <anchor moveWithCells="1" sizeWithCells="1">
                  <from>
                    <xdr:col>39</xdr:col>
                    <xdr:colOff>0</xdr:colOff>
                    <xdr:row>35</xdr:row>
                    <xdr:rowOff>0</xdr:rowOff>
                  </from>
                  <to>
                    <xdr:col>40</xdr:col>
                    <xdr:colOff>0</xdr:colOff>
                    <xdr:row>36</xdr:row>
                    <xdr:rowOff>0</xdr:rowOff>
                  </to>
                </anchor>
              </controlPr>
            </control>
          </mc:Choice>
        </mc:AlternateContent>
        <mc:AlternateContent xmlns:mc="http://schemas.openxmlformats.org/markup-compatibility/2006">
          <mc:Choice Requires="x14">
            <control shapeId="1511" r:id="rId78" name="DeleteBtn_36">
              <controlPr defaultSize="0" print="0" autoFill="0" autoPict="0" macro="[0]!DeleteCustomer">
                <anchor moveWithCells="1" sizeWithCells="1">
                  <from>
                    <xdr:col>39</xdr:col>
                    <xdr:colOff>0</xdr:colOff>
                    <xdr:row>36</xdr:row>
                    <xdr:rowOff>0</xdr:rowOff>
                  </from>
                  <to>
                    <xdr:col>40</xdr:col>
                    <xdr:colOff>0</xdr:colOff>
                    <xdr:row>37</xdr:row>
                    <xdr:rowOff>0</xdr:rowOff>
                  </to>
                </anchor>
              </controlPr>
            </control>
          </mc:Choice>
        </mc:AlternateContent>
        <mc:AlternateContent xmlns:mc="http://schemas.openxmlformats.org/markup-compatibility/2006">
          <mc:Choice Requires="x14">
            <control shapeId="1512" r:id="rId79" name="DeleteBtn_37">
              <controlPr defaultSize="0" print="0" autoFill="0" autoPict="0" macro="[0]!DeleteCustomer">
                <anchor moveWithCells="1" sizeWithCells="1">
                  <from>
                    <xdr:col>39</xdr:col>
                    <xdr:colOff>0</xdr:colOff>
                    <xdr:row>37</xdr:row>
                    <xdr:rowOff>0</xdr:rowOff>
                  </from>
                  <to>
                    <xdr:col>40</xdr:col>
                    <xdr:colOff>0</xdr:colOff>
                    <xdr:row>38</xdr:row>
                    <xdr:rowOff>0</xdr:rowOff>
                  </to>
                </anchor>
              </controlPr>
            </control>
          </mc:Choice>
        </mc:AlternateContent>
        <mc:AlternateContent xmlns:mc="http://schemas.openxmlformats.org/markup-compatibility/2006">
          <mc:Choice Requires="x14">
            <control shapeId="1513" r:id="rId80" name="DeleteBtn_38">
              <controlPr defaultSize="0" print="0" autoFill="0" autoPict="0" macro="[0]!DeleteCustomer">
                <anchor moveWithCells="1" sizeWithCells="1">
                  <from>
                    <xdr:col>39</xdr:col>
                    <xdr:colOff>0</xdr:colOff>
                    <xdr:row>38</xdr:row>
                    <xdr:rowOff>0</xdr:rowOff>
                  </from>
                  <to>
                    <xdr:col>40</xdr:col>
                    <xdr:colOff>0</xdr:colOff>
                    <xdr:row>39</xdr:row>
                    <xdr:rowOff>0</xdr:rowOff>
                  </to>
                </anchor>
              </controlPr>
            </control>
          </mc:Choice>
        </mc:AlternateContent>
        <mc:AlternateContent xmlns:mc="http://schemas.openxmlformats.org/markup-compatibility/2006">
          <mc:Choice Requires="x14">
            <control shapeId="1514" r:id="rId81" name="DeleteBtn_39">
              <controlPr defaultSize="0" print="0" autoFill="0" autoPict="0" macro="[0]!DeleteCustomer">
                <anchor moveWithCells="1" sizeWithCells="1">
                  <from>
                    <xdr:col>39</xdr:col>
                    <xdr:colOff>0</xdr:colOff>
                    <xdr:row>39</xdr:row>
                    <xdr:rowOff>0</xdr:rowOff>
                  </from>
                  <to>
                    <xdr:col>40</xdr:col>
                    <xdr:colOff>0</xdr:colOff>
                    <xdr:row>40</xdr:row>
                    <xdr:rowOff>0</xdr:rowOff>
                  </to>
                </anchor>
              </controlPr>
            </control>
          </mc:Choice>
        </mc:AlternateContent>
        <mc:AlternateContent xmlns:mc="http://schemas.openxmlformats.org/markup-compatibility/2006">
          <mc:Choice Requires="x14">
            <control shapeId="1515" r:id="rId82" name="DeleteBtn_40">
              <controlPr defaultSize="0" print="0" autoFill="0" autoPict="0" macro="[0]!DeleteCustomer">
                <anchor moveWithCells="1" sizeWithCells="1">
                  <from>
                    <xdr:col>39</xdr:col>
                    <xdr:colOff>0</xdr:colOff>
                    <xdr:row>40</xdr:row>
                    <xdr:rowOff>0</xdr:rowOff>
                  </from>
                  <to>
                    <xdr:col>40</xdr:col>
                    <xdr:colOff>0</xdr:colOff>
                    <xdr:row>41</xdr:row>
                    <xdr:rowOff>0</xdr:rowOff>
                  </to>
                </anchor>
              </controlPr>
            </control>
          </mc:Choice>
        </mc:AlternateContent>
        <mc:AlternateContent xmlns:mc="http://schemas.openxmlformats.org/markup-compatibility/2006">
          <mc:Choice Requires="x14">
            <control shapeId="1516" r:id="rId83" name="DeleteBtn_41">
              <controlPr defaultSize="0" print="0" autoFill="0" autoPict="0" macro="[0]!DeleteCustomer">
                <anchor moveWithCells="1" sizeWithCells="1">
                  <from>
                    <xdr:col>39</xdr:col>
                    <xdr:colOff>0</xdr:colOff>
                    <xdr:row>41</xdr:row>
                    <xdr:rowOff>0</xdr:rowOff>
                  </from>
                  <to>
                    <xdr:col>40</xdr:col>
                    <xdr:colOff>0</xdr:colOff>
                    <xdr:row>42</xdr:row>
                    <xdr:rowOff>0</xdr:rowOff>
                  </to>
                </anchor>
              </controlPr>
            </control>
          </mc:Choice>
        </mc:AlternateContent>
        <mc:AlternateContent xmlns:mc="http://schemas.openxmlformats.org/markup-compatibility/2006">
          <mc:Choice Requires="x14">
            <control shapeId="1517" r:id="rId84" name="DeleteBtn_42">
              <controlPr defaultSize="0" print="0" autoFill="0" autoPict="0" macro="[0]!DeleteCustomer">
                <anchor moveWithCells="1" sizeWithCells="1">
                  <from>
                    <xdr:col>39</xdr:col>
                    <xdr:colOff>0</xdr:colOff>
                    <xdr:row>42</xdr:row>
                    <xdr:rowOff>0</xdr:rowOff>
                  </from>
                  <to>
                    <xdr:col>40</xdr:col>
                    <xdr:colOff>0</xdr:colOff>
                    <xdr:row>43</xdr:row>
                    <xdr:rowOff>0</xdr:rowOff>
                  </to>
                </anchor>
              </controlPr>
            </control>
          </mc:Choice>
        </mc:AlternateContent>
        <mc:AlternateContent xmlns:mc="http://schemas.openxmlformats.org/markup-compatibility/2006">
          <mc:Choice Requires="x14">
            <control shapeId="1518" r:id="rId85" name="DeleteBtn_43">
              <controlPr defaultSize="0" print="0" autoFill="0" autoPict="0" macro="[0]!DeleteCustomer">
                <anchor moveWithCells="1" sizeWithCells="1">
                  <from>
                    <xdr:col>39</xdr:col>
                    <xdr:colOff>0</xdr:colOff>
                    <xdr:row>43</xdr:row>
                    <xdr:rowOff>0</xdr:rowOff>
                  </from>
                  <to>
                    <xdr:col>40</xdr:col>
                    <xdr:colOff>0</xdr:colOff>
                    <xdr:row>44</xdr:row>
                    <xdr:rowOff>0</xdr:rowOff>
                  </to>
                </anchor>
              </controlPr>
            </control>
          </mc:Choice>
        </mc:AlternateContent>
        <mc:AlternateContent xmlns:mc="http://schemas.openxmlformats.org/markup-compatibility/2006">
          <mc:Choice Requires="x14">
            <control shapeId="1519" r:id="rId86" name="DeleteBtn_44">
              <controlPr defaultSize="0" print="0" autoFill="0" autoPict="0" macro="[0]!DeleteCustomer">
                <anchor moveWithCells="1" sizeWithCells="1">
                  <from>
                    <xdr:col>39</xdr:col>
                    <xdr:colOff>0</xdr:colOff>
                    <xdr:row>44</xdr:row>
                    <xdr:rowOff>0</xdr:rowOff>
                  </from>
                  <to>
                    <xdr:col>40</xdr:col>
                    <xdr:colOff>0</xdr:colOff>
                    <xdr:row>45</xdr:row>
                    <xdr:rowOff>0</xdr:rowOff>
                  </to>
                </anchor>
              </controlPr>
            </control>
          </mc:Choice>
        </mc:AlternateContent>
        <mc:AlternateContent xmlns:mc="http://schemas.openxmlformats.org/markup-compatibility/2006">
          <mc:Choice Requires="x14">
            <control shapeId="1520" r:id="rId87" name="DeleteBtn_45">
              <controlPr defaultSize="0" print="0" autoFill="0" autoPict="0" macro="[0]!DeleteCustomer">
                <anchor moveWithCells="1" sizeWithCells="1">
                  <from>
                    <xdr:col>39</xdr:col>
                    <xdr:colOff>0</xdr:colOff>
                    <xdr:row>45</xdr:row>
                    <xdr:rowOff>0</xdr:rowOff>
                  </from>
                  <to>
                    <xdr:col>40</xdr:col>
                    <xdr:colOff>0</xdr:colOff>
                    <xdr:row>46</xdr:row>
                    <xdr:rowOff>0</xdr:rowOff>
                  </to>
                </anchor>
              </controlPr>
            </control>
          </mc:Choice>
        </mc:AlternateContent>
        <mc:AlternateContent xmlns:mc="http://schemas.openxmlformats.org/markup-compatibility/2006">
          <mc:Choice Requires="x14">
            <control shapeId="1521" r:id="rId88" name="DeleteBtn_46">
              <controlPr defaultSize="0" print="0" autoFill="0" autoPict="0" macro="[0]!DeleteCustomer">
                <anchor moveWithCells="1" sizeWithCells="1">
                  <from>
                    <xdr:col>39</xdr:col>
                    <xdr:colOff>0</xdr:colOff>
                    <xdr:row>46</xdr:row>
                    <xdr:rowOff>0</xdr:rowOff>
                  </from>
                  <to>
                    <xdr:col>40</xdr:col>
                    <xdr:colOff>0</xdr:colOff>
                    <xdr:row>47</xdr:row>
                    <xdr:rowOff>0</xdr:rowOff>
                  </to>
                </anchor>
              </controlPr>
            </control>
          </mc:Choice>
        </mc:AlternateContent>
        <mc:AlternateContent xmlns:mc="http://schemas.openxmlformats.org/markup-compatibility/2006">
          <mc:Choice Requires="x14">
            <control shapeId="1522" r:id="rId89" name="DeleteBtn_47">
              <controlPr defaultSize="0" print="0" autoFill="0" autoPict="0" macro="[0]!DeleteCustomer">
                <anchor moveWithCells="1" sizeWithCells="1">
                  <from>
                    <xdr:col>39</xdr:col>
                    <xdr:colOff>0</xdr:colOff>
                    <xdr:row>47</xdr:row>
                    <xdr:rowOff>0</xdr:rowOff>
                  </from>
                  <to>
                    <xdr:col>40</xdr:col>
                    <xdr:colOff>0</xdr:colOff>
                    <xdr:row>48</xdr:row>
                    <xdr:rowOff>0</xdr:rowOff>
                  </to>
                </anchor>
              </controlPr>
            </control>
          </mc:Choice>
        </mc:AlternateContent>
        <mc:AlternateContent xmlns:mc="http://schemas.openxmlformats.org/markup-compatibility/2006">
          <mc:Choice Requires="x14">
            <control shapeId="1523" r:id="rId90" name="DeleteBtn_48">
              <controlPr defaultSize="0" print="0" autoFill="0" autoPict="0" macro="[0]!DeleteCustomer">
                <anchor moveWithCells="1" sizeWithCells="1">
                  <from>
                    <xdr:col>39</xdr:col>
                    <xdr:colOff>0</xdr:colOff>
                    <xdr:row>48</xdr:row>
                    <xdr:rowOff>0</xdr:rowOff>
                  </from>
                  <to>
                    <xdr:col>40</xdr:col>
                    <xdr:colOff>0</xdr:colOff>
                    <xdr:row>49</xdr:row>
                    <xdr:rowOff>0</xdr:rowOff>
                  </to>
                </anchor>
              </controlPr>
            </control>
          </mc:Choice>
        </mc:AlternateContent>
        <mc:AlternateContent xmlns:mc="http://schemas.openxmlformats.org/markup-compatibility/2006">
          <mc:Choice Requires="x14">
            <control shapeId="1524" r:id="rId91" name="DeleteBtn_49">
              <controlPr defaultSize="0" print="0" autoFill="0" autoPict="0" macro="[0]!DeleteCustomer">
                <anchor moveWithCells="1" sizeWithCells="1">
                  <from>
                    <xdr:col>39</xdr:col>
                    <xdr:colOff>0</xdr:colOff>
                    <xdr:row>49</xdr:row>
                    <xdr:rowOff>0</xdr:rowOff>
                  </from>
                  <to>
                    <xdr:col>40</xdr:col>
                    <xdr:colOff>0</xdr:colOff>
                    <xdr:row>50</xdr:row>
                    <xdr:rowOff>0</xdr:rowOff>
                  </to>
                </anchor>
              </controlPr>
            </control>
          </mc:Choice>
        </mc:AlternateContent>
        <mc:AlternateContent xmlns:mc="http://schemas.openxmlformats.org/markup-compatibility/2006">
          <mc:Choice Requires="x14">
            <control shapeId="1525" r:id="rId92" name="DeleteBtn_50">
              <controlPr defaultSize="0" print="0" autoFill="0" autoPict="0" macro="[0]!DeleteCustomer">
                <anchor moveWithCells="1" sizeWithCells="1">
                  <from>
                    <xdr:col>39</xdr:col>
                    <xdr:colOff>0</xdr:colOff>
                    <xdr:row>50</xdr:row>
                    <xdr:rowOff>0</xdr:rowOff>
                  </from>
                  <to>
                    <xdr:col>40</xdr:col>
                    <xdr:colOff>0</xdr:colOff>
                    <xdr:row>51</xdr:row>
                    <xdr:rowOff>0</xdr:rowOff>
                  </to>
                </anchor>
              </controlPr>
            </control>
          </mc:Choice>
        </mc:AlternateContent>
        <mc:AlternateContent xmlns:mc="http://schemas.openxmlformats.org/markup-compatibility/2006">
          <mc:Choice Requires="x14">
            <control shapeId="1526" r:id="rId93" name="DeleteBtn_51">
              <controlPr defaultSize="0" print="0" autoFill="0" autoPict="0" macro="[0]!DeleteCustomer">
                <anchor moveWithCells="1" sizeWithCells="1">
                  <from>
                    <xdr:col>39</xdr:col>
                    <xdr:colOff>0</xdr:colOff>
                    <xdr:row>51</xdr:row>
                    <xdr:rowOff>0</xdr:rowOff>
                  </from>
                  <to>
                    <xdr:col>40</xdr:col>
                    <xdr:colOff>0</xdr:colOff>
                    <xdr:row>52</xdr:row>
                    <xdr:rowOff>0</xdr:rowOff>
                  </to>
                </anchor>
              </controlPr>
            </control>
          </mc:Choice>
        </mc:AlternateContent>
        <mc:AlternateContent xmlns:mc="http://schemas.openxmlformats.org/markup-compatibility/2006">
          <mc:Choice Requires="x14">
            <control shapeId="1527" r:id="rId94" name="DeleteBtn_52">
              <controlPr defaultSize="0" print="0" autoFill="0" autoPict="0" macro="[0]!DeleteCustomer">
                <anchor moveWithCells="1" sizeWithCells="1">
                  <from>
                    <xdr:col>39</xdr:col>
                    <xdr:colOff>0</xdr:colOff>
                    <xdr:row>52</xdr:row>
                    <xdr:rowOff>0</xdr:rowOff>
                  </from>
                  <to>
                    <xdr:col>40</xdr:col>
                    <xdr:colOff>0</xdr:colOff>
                    <xdr:row>53</xdr:row>
                    <xdr:rowOff>0</xdr:rowOff>
                  </to>
                </anchor>
              </controlPr>
            </control>
          </mc:Choice>
        </mc:AlternateContent>
        <mc:AlternateContent xmlns:mc="http://schemas.openxmlformats.org/markup-compatibility/2006">
          <mc:Choice Requires="x14">
            <control shapeId="1528" r:id="rId95" name="DeleteBtn_53">
              <controlPr defaultSize="0" print="0" autoFill="0" autoPict="0" macro="[0]!DeleteCustomer">
                <anchor moveWithCells="1" sizeWithCells="1">
                  <from>
                    <xdr:col>39</xdr:col>
                    <xdr:colOff>0</xdr:colOff>
                    <xdr:row>53</xdr:row>
                    <xdr:rowOff>0</xdr:rowOff>
                  </from>
                  <to>
                    <xdr:col>40</xdr:col>
                    <xdr:colOff>0</xdr:colOff>
                    <xdr:row>54</xdr:row>
                    <xdr:rowOff>0</xdr:rowOff>
                  </to>
                </anchor>
              </controlPr>
            </control>
          </mc:Choice>
        </mc:AlternateContent>
        <mc:AlternateContent xmlns:mc="http://schemas.openxmlformats.org/markup-compatibility/2006">
          <mc:Choice Requires="x14">
            <control shapeId="1529" r:id="rId96" name="DeleteBtn_54">
              <controlPr defaultSize="0" print="0" autoFill="0" autoPict="0" macro="[0]!DeleteCustomer">
                <anchor moveWithCells="1" sizeWithCells="1">
                  <from>
                    <xdr:col>39</xdr:col>
                    <xdr:colOff>0</xdr:colOff>
                    <xdr:row>54</xdr:row>
                    <xdr:rowOff>0</xdr:rowOff>
                  </from>
                  <to>
                    <xdr:col>40</xdr:col>
                    <xdr:colOff>0</xdr:colOff>
                    <xdr:row>55</xdr:row>
                    <xdr:rowOff>0</xdr:rowOff>
                  </to>
                </anchor>
              </controlPr>
            </control>
          </mc:Choice>
        </mc:AlternateContent>
        <mc:AlternateContent xmlns:mc="http://schemas.openxmlformats.org/markup-compatibility/2006">
          <mc:Choice Requires="x14">
            <control shapeId="1530" r:id="rId97" name="DeleteBtn_55">
              <controlPr defaultSize="0" print="0" autoFill="0" autoPict="0" macro="[0]!DeleteCustomer">
                <anchor moveWithCells="1" sizeWithCells="1">
                  <from>
                    <xdr:col>39</xdr:col>
                    <xdr:colOff>0</xdr:colOff>
                    <xdr:row>55</xdr:row>
                    <xdr:rowOff>0</xdr:rowOff>
                  </from>
                  <to>
                    <xdr:col>40</xdr:col>
                    <xdr:colOff>0</xdr:colOff>
                    <xdr:row>56</xdr:row>
                    <xdr:rowOff>0</xdr:rowOff>
                  </to>
                </anchor>
              </controlPr>
            </control>
          </mc:Choice>
        </mc:AlternateContent>
        <mc:AlternateContent xmlns:mc="http://schemas.openxmlformats.org/markup-compatibility/2006">
          <mc:Choice Requires="x14">
            <control shapeId="1531" r:id="rId98" name="DeleteBtn_56">
              <controlPr defaultSize="0" print="0" autoFill="0" autoPict="0" macro="[0]!DeleteCustomer">
                <anchor moveWithCells="1" sizeWithCells="1">
                  <from>
                    <xdr:col>39</xdr:col>
                    <xdr:colOff>0</xdr:colOff>
                    <xdr:row>56</xdr:row>
                    <xdr:rowOff>0</xdr:rowOff>
                  </from>
                  <to>
                    <xdr:col>40</xdr:col>
                    <xdr:colOff>0</xdr:colOff>
                    <xdr:row>57</xdr:row>
                    <xdr:rowOff>0</xdr:rowOff>
                  </to>
                </anchor>
              </controlPr>
            </control>
          </mc:Choice>
        </mc:AlternateContent>
        <mc:AlternateContent xmlns:mc="http://schemas.openxmlformats.org/markup-compatibility/2006">
          <mc:Choice Requires="x14">
            <control shapeId="1532" r:id="rId99" name="DeleteBtn_57">
              <controlPr defaultSize="0" print="0" autoFill="0" autoPict="0" macro="[0]!DeleteCustomer">
                <anchor moveWithCells="1" sizeWithCells="1">
                  <from>
                    <xdr:col>39</xdr:col>
                    <xdr:colOff>0</xdr:colOff>
                    <xdr:row>57</xdr:row>
                    <xdr:rowOff>0</xdr:rowOff>
                  </from>
                  <to>
                    <xdr:col>40</xdr:col>
                    <xdr:colOff>0</xdr:colOff>
                    <xdr:row>58</xdr:row>
                    <xdr:rowOff>0</xdr:rowOff>
                  </to>
                </anchor>
              </controlPr>
            </control>
          </mc:Choice>
        </mc:AlternateContent>
        <mc:AlternateContent xmlns:mc="http://schemas.openxmlformats.org/markup-compatibility/2006">
          <mc:Choice Requires="x14">
            <control shapeId="1533" r:id="rId100" name="DeleteBtn_58">
              <controlPr defaultSize="0" print="0" autoFill="0" autoPict="0" macro="[0]!DeleteCustomer">
                <anchor moveWithCells="1" sizeWithCells="1">
                  <from>
                    <xdr:col>39</xdr:col>
                    <xdr:colOff>0</xdr:colOff>
                    <xdr:row>58</xdr:row>
                    <xdr:rowOff>0</xdr:rowOff>
                  </from>
                  <to>
                    <xdr:col>40</xdr:col>
                    <xdr:colOff>0</xdr:colOff>
                    <xdr:row>59</xdr:row>
                    <xdr:rowOff>0</xdr:rowOff>
                  </to>
                </anchor>
              </controlPr>
            </control>
          </mc:Choice>
        </mc:AlternateContent>
        <mc:AlternateContent xmlns:mc="http://schemas.openxmlformats.org/markup-compatibility/2006">
          <mc:Choice Requires="x14">
            <control shapeId="1534" r:id="rId101" name="DeleteBtn_59">
              <controlPr defaultSize="0" print="0" autoFill="0" autoPict="0" macro="[0]!DeleteCustomer">
                <anchor moveWithCells="1" sizeWithCells="1">
                  <from>
                    <xdr:col>39</xdr:col>
                    <xdr:colOff>0</xdr:colOff>
                    <xdr:row>59</xdr:row>
                    <xdr:rowOff>0</xdr:rowOff>
                  </from>
                  <to>
                    <xdr:col>40</xdr:col>
                    <xdr:colOff>0</xdr:colOff>
                    <xdr:row>60</xdr:row>
                    <xdr:rowOff>0</xdr:rowOff>
                  </to>
                </anchor>
              </controlPr>
            </control>
          </mc:Choice>
        </mc:AlternateContent>
        <mc:AlternateContent xmlns:mc="http://schemas.openxmlformats.org/markup-compatibility/2006">
          <mc:Choice Requires="x14">
            <control shapeId="1535" r:id="rId102" name="DeleteBtn_60">
              <controlPr defaultSize="0" print="0" autoFill="0" autoPict="0" macro="[0]!DeleteCustomer">
                <anchor moveWithCells="1" sizeWithCells="1">
                  <from>
                    <xdr:col>39</xdr:col>
                    <xdr:colOff>0</xdr:colOff>
                    <xdr:row>60</xdr:row>
                    <xdr:rowOff>0</xdr:rowOff>
                  </from>
                  <to>
                    <xdr:col>40</xdr:col>
                    <xdr:colOff>0</xdr:colOff>
                    <xdr:row>61</xdr:row>
                    <xdr:rowOff>0</xdr:rowOff>
                  </to>
                </anchor>
              </controlPr>
            </control>
          </mc:Choice>
        </mc:AlternateContent>
        <mc:AlternateContent xmlns:mc="http://schemas.openxmlformats.org/markup-compatibility/2006">
          <mc:Choice Requires="x14">
            <control shapeId="1536" r:id="rId103" name="DeleteBtn_61">
              <controlPr defaultSize="0" print="0" autoFill="0" autoPict="0" macro="[0]!DeleteCustomer">
                <anchor moveWithCells="1" sizeWithCells="1">
                  <from>
                    <xdr:col>39</xdr:col>
                    <xdr:colOff>0</xdr:colOff>
                    <xdr:row>61</xdr:row>
                    <xdr:rowOff>0</xdr:rowOff>
                  </from>
                  <to>
                    <xdr:col>40</xdr:col>
                    <xdr:colOff>0</xdr:colOff>
                    <xdr:row>62</xdr:row>
                    <xdr:rowOff>0</xdr:rowOff>
                  </to>
                </anchor>
              </controlPr>
            </control>
          </mc:Choice>
        </mc:AlternateContent>
        <mc:AlternateContent xmlns:mc="http://schemas.openxmlformats.org/markup-compatibility/2006">
          <mc:Choice Requires="x14">
            <control shapeId="1537" r:id="rId104" name="DeleteBtn_62">
              <controlPr defaultSize="0" print="0" autoFill="0" autoPict="0" macro="[0]!DeleteCustomer">
                <anchor moveWithCells="1" sizeWithCells="1">
                  <from>
                    <xdr:col>39</xdr:col>
                    <xdr:colOff>0</xdr:colOff>
                    <xdr:row>62</xdr:row>
                    <xdr:rowOff>0</xdr:rowOff>
                  </from>
                  <to>
                    <xdr:col>40</xdr:col>
                    <xdr:colOff>0</xdr:colOff>
                    <xdr:row>63</xdr:row>
                    <xdr:rowOff>0</xdr:rowOff>
                  </to>
                </anchor>
              </controlPr>
            </control>
          </mc:Choice>
        </mc:AlternateContent>
        <mc:AlternateContent xmlns:mc="http://schemas.openxmlformats.org/markup-compatibility/2006">
          <mc:Choice Requires="x14">
            <control shapeId="1538" r:id="rId105" name="DeleteBtn_63">
              <controlPr defaultSize="0" print="0" autoFill="0" autoPict="0" macro="[0]!DeleteCustomer">
                <anchor moveWithCells="1" sizeWithCells="1">
                  <from>
                    <xdr:col>39</xdr:col>
                    <xdr:colOff>0</xdr:colOff>
                    <xdr:row>63</xdr:row>
                    <xdr:rowOff>0</xdr:rowOff>
                  </from>
                  <to>
                    <xdr:col>40</xdr:col>
                    <xdr:colOff>0</xdr:colOff>
                    <xdr:row>64</xdr:row>
                    <xdr:rowOff>0</xdr:rowOff>
                  </to>
                </anchor>
              </controlPr>
            </control>
          </mc:Choice>
        </mc:AlternateContent>
        <mc:AlternateContent xmlns:mc="http://schemas.openxmlformats.org/markup-compatibility/2006">
          <mc:Choice Requires="x14">
            <control shapeId="1539" r:id="rId106" name="DeleteBtn_64">
              <controlPr defaultSize="0" print="0" autoFill="0" autoPict="0" macro="[0]!DeleteCustomer">
                <anchor moveWithCells="1" sizeWithCells="1">
                  <from>
                    <xdr:col>39</xdr:col>
                    <xdr:colOff>0</xdr:colOff>
                    <xdr:row>64</xdr:row>
                    <xdr:rowOff>0</xdr:rowOff>
                  </from>
                  <to>
                    <xdr:col>40</xdr:col>
                    <xdr:colOff>0</xdr:colOff>
                    <xdr:row>65</xdr:row>
                    <xdr:rowOff>0</xdr:rowOff>
                  </to>
                </anchor>
              </controlPr>
            </control>
          </mc:Choice>
        </mc:AlternateContent>
        <mc:AlternateContent xmlns:mc="http://schemas.openxmlformats.org/markup-compatibility/2006">
          <mc:Choice Requires="x14">
            <control shapeId="1540" r:id="rId107" name="DeleteBtn_65">
              <controlPr defaultSize="0" print="0" autoFill="0" autoPict="0" macro="[0]!DeleteCustomer">
                <anchor moveWithCells="1" sizeWithCells="1">
                  <from>
                    <xdr:col>39</xdr:col>
                    <xdr:colOff>0</xdr:colOff>
                    <xdr:row>65</xdr:row>
                    <xdr:rowOff>0</xdr:rowOff>
                  </from>
                  <to>
                    <xdr:col>40</xdr:col>
                    <xdr:colOff>0</xdr:colOff>
                    <xdr:row>66</xdr:row>
                    <xdr:rowOff>0</xdr:rowOff>
                  </to>
                </anchor>
              </controlPr>
            </control>
          </mc:Choice>
        </mc:AlternateContent>
        <mc:AlternateContent xmlns:mc="http://schemas.openxmlformats.org/markup-compatibility/2006">
          <mc:Choice Requires="x14">
            <control shapeId="1541" r:id="rId108" name="DeleteBtn_66">
              <controlPr defaultSize="0" print="0" autoFill="0" autoPict="0" macro="[0]!DeleteCustomer">
                <anchor moveWithCells="1" sizeWithCells="1">
                  <from>
                    <xdr:col>39</xdr:col>
                    <xdr:colOff>0</xdr:colOff>
                    <xdr:row>66</xdr:row>
                    <xdr:rowOff>0</xdr:rowOff>
                  </from>
                  <to>
                    <xdr:col>40</xdr:col>
                    <xdr:colOff>0</xdr:colOff>
                    <xdr:row>67</xdr:row>
                    <xdr:rowOff>0</xdr:rowOff>
                  </to>
                </anchor>
              </controlPr>
            </control>
          </mc:Choice>
        </mc:AlternateContent>
        <mc:AlternateContent xmlns:mc="http://schemas.openxmlformats.org/markup-compatibility/2006">
          <mc:Choice Requires="x14">
            <control shapeId="1542" r:id="rId109" name="DeleteBtn_67">
              <controlPr defaultSize="0" print="0" autoFill="0" autoPict="0" macro="[0]!DeleteCustomer">
                <anchor moveWithCells="1" sizeWithCells="1">
                  <from>
                    <xdr:col>39</xdr:col>
                    <xdr:colOff>0</xdr:colOff>
                    <xdr:row>67</xdr:row>
                    <xdr:rowOff>0</xdr:rowOff>
                  </from>
                  <to>
                    <xdr:col>40</xdr:col>
                    <xdr:colOff>0</xdr:colOff>
                    <xdr:row>68</xdr:row>
                    <xdr:rowOff>0</xdr:rowOff>
                  </to>
                </anchor>
              </controlPr>
            </control>
          </mc:Choice>
        </mc:AlternateContent>
        <mc:AlternateContent xmlns:mc="http://schemas.openxmlformats.org/markup-compatibility/2006">
          <mc:Choice Requires="x14">
            <control shapeId="1543" r:id="rId110" name="DeleteBtn_68">
              <controlPr defaultSize="0" print="0" autoFill="0" autoPict="0" macro="[0]!DeleteCustomer">
                <anchor moveWithCells="1" sizeWithCells="1">
                  <from>
                    <xdr:col>39</xdr:col>
                    <xdr:colOff>0</xdr:colOff>
                    <xdr:row>68</xdr:row>
                    <xdr:rowOff>0</xdr:rowOff>
                  </from>
                  <to>
                    <xdr:col>40</xdr:col>
                    <xdr:colOff>0</xdr:colOff>
                    <xdr:row>69</xdr:row>
                    <xdr:rowOff>0</xdr:rowOff>
                  </to>
                </anchor>
              </controlPr>
            </control>
          </mc:Choice>
        </mc:AlternateContent>
        <mc:AlternateContent xmlns:mc="http://schemas.openxmlformats.org/markup-compatibility/2006">
          <mc:Choice Requires="x14">
            <control shapeId="1544" r:id="rId111" name="DeleteBtn_69">
              <controlPr defaultSize="0" print="0" autoFill="0" autoPict="0" macro="[0]!DeleteCustomer">
                <anchor moveWithCells="1" sizeWithCells="1">
                  <from>
                    <xdr:col>39</xdr:col>
                    <xdr:colOff>0</xdr:colOff>
                    <xdr:row>69</xdr:row>
                    <xdr:rowOff>0</xdr:rowOff>
                  </from>
                  <to>
                    <xdr:col>40</xdr:col>
                    <xdr:colOff>0</xdr:colOff>
                    <xdr:row>70</xdr:row>
                    <xdr:rowOff>0</xdr:rowOff>
                  </to>
                </anchor>
              </controlPr>
            </control>
          </mc:Choice>
        </mc:AlternateContent>
        <mc:AlternateContent xmlns:mc="http://schemas.openxmlformats.org/markup-compatibility/2006">
          <mc:Choice Requires="x14">
            <control shapeId="1545" r:id="rId112" name="DeleteBtn_70">
              <controlPr defaultSize="0" print="0" autoFill="0" autoPict="0" macro="[0]!DeleteCustomer">
                <anchor moveWithCells="1" sizeWithCells="1">
                  <from>
                    <xdr:col>39</xdr:col>
                    <xdr:colOff>0</xdr:colOff>
                    <xdr:row>70</xdr:row>
                    <xdr:rowOff>0</xdr:rowOff>
                  </from>
                  <to>
                    <xdr:col>40</xdr:col>
                    <xdr:colOff>0</xdr:colOff>
                    <xdr:row>71</xdr:row>
                    <xdr:rowOff>0</xdr:rowOff>
                  </to>
                </anchor>
              </controlPr>
            </control>
          </mc:Choice>
        </mc:AlternateContent>
        <mc:AlternateContent xmlns:mc="http://schemas.openxmlformats.org/markup-compatibility/2006">
          <mc:Choice Requires="x14">
            <control shapeId="1546" r:id="rId113" name="DeleteBtn_71">
              <controlPr defaultSize="0" print="0" autoFill="0" autoPict="0" macro="[0]!DeleteCustomer">
                <anchor moveWithCells="1" sizeWithCells="1">
                  <from>
                    <xdr:col>39</xdr:col>
                    <xdr:colOff>0</xdr:colOff>
                    <xdr:row>71</xdr:row>
                    <xdr:rowOff>0</xdr:rowOff>
                  </from>
                  <to>
                    <xdr:col>40</xdr:col>
                    <xdr:colOff>0</xdr:colOff>
                    <xdr:row>72</xdr:row>
                    <xdr:rowOff>0</xdr:rowOff>
                  </to>
                </anchor>
              </controlPr>
            </control>
          </mc:Choice>
        </mc:AlternateContent>
        <mc:AlternateContent xmlns:mc="http://schemas.openxmlformats.org/markup-compatibility/2006">
          <mc:Choice Requires="x14">
            <control shapeId="1548" r:id="rId114" name="DeleteBtn_73">
              <controlPr defaultSize="0" print="0" autoFill="0" autoPict="0" macro="[0]!DeleteCustomer">
                <anchor moveWithCells="1" sizeWithCells="1">
                  <from>
                    <xdr:col>39</xdr:col>
                    <xdr:colOff>0</xdr:colOff>
                    <xdr:row>73</xdr:row>
                    <xdr:rowOff>0</xdr:rowOff>
                  </from>
                  <to>
                    <xdr:col>40</xdr:col>
                    <xdr:colOff>0</xdr:colOff>
                    <xdr:row>74</xdr:row>
                    <xdr:rowOff>0</xdr:rowOff>
                  </to>
                </anchor>
              </controlPr>
            </control>
          </mc:Choice>
        </mc:AlternateContent>
        <mc:AlternateContent xmlns:mc="http://schemas.openxmlformats.org/markup-compatibility/2006">
          <mc:Choice Requires="x14">
            <control shapeId="1549" r:id="rId115" name="DeleteBtn_74">
              <controlPr defaultSize="0" print="0" autoFill="0" autoPict="0" macro="[0]!DeleteCustomer">
                <anchor moveWithCells="1" sizeWithCells="1">
                  <from>
                    <xdr:col>39</xdr:col>
                    <xdr:colOff>0</xdr:colOff>
                    <xdr:row>74</xdr:row>
                    <xdr:rowOff>0</xdr:rowOff>
                  </from>
                  <to>
                    <xdr:col>40</xdr:col>
                    <xdr:colOff>0</xdr:colOff>
                    <xdr:row>75</xdr:row>
                    <xdr:rowOff>0</xdr:rowOff>
                  </to>
                </anchor>
              </controlPr>
            </control>
          </mc:Choice>
        </mc:AlternateContent>
        <mc:AlternateContent xmlns:mc="http://schemas.openxmlformats.org/markup-compatibility/2006">
          <mc:Choice Requires="x14">
            <control shapeId="1550" r:id="rId116" name="DeleteBtn_75">
              <controlPr defaultSize="0" print="0" autoFill="0" autoPict="0" macro="[0]!DeleteCustomer">
                <anchor moveWithCells="1" sizeWithCells="1">
                  <from>
                    <xdr:col>39</xdr:col>
                    <xdr:colOff>0</xdr:colOff>
                    <xdr:row>75</xdr:row>
                    <xdr:rowOff>0</xdr:rowOff>
                  </from>
                  <to>
                    <xdr:col>40</xdr:col>
                    <xdr:colOff>0</xdr:colOff>
                    <xdr:row>76</xdr:row>
                    <xdr:rowOff>0</xdr:rowOff>
                  </to>
                </anchor>
              </controlPr>
            </control>
          </mc:Choice>
        </mc:AlternateContent>
        <mc:AlternateContent xmlns:mc="http://schemas.openxmlformats.org/markup-compatibility/2006">
          <mc:Choice Requires="x14">
            <control shapeId="1551" r:id="rId117" name="DeleteBtn_76">
              <controlPr defaultSize="0" print="0" autoFill="0" autoPict="0" macro="[0]!DeleteCustomer">
                <anchor moveWithCells="1" sizeWithCells="1">
                  <from>
                    <xdr:col>39</xdr:col>
                    <xdr:colOff>0</xdr:colOff>
                    <xdr:row>76</xdr:row>
                    <xdr:rowOff>0</xdr:rowOff>
                  </from>
                  <to>
                    <xdr:col>40</xdr:col>
                    <xdr:colOff>0</xdr:colOff>
                    <xdr:row>77</xdr:row>
                    <xdr:rowOff>0</xdr:rowOff>
                  </to>
                </anchor>
              </controlPr>
            </control>
          </mc:Choice>
        </mc:AlternateContent>
        <mc:AlternateContent xmlns:mc="http://schemas.openxmlformats.org/markup-compatibility/2006">
          <mc:Choice Requires="x14">
            <control shapeId="1552" r:id="rId118" name="DeleteBtn_77">
              <controlPr defaultSize="0" print="0" autoFill="0" autoPict="0" macro="[0]!DeleteCustomer">
                <anchor moveWithCells="1" sizeWithCells="1">
                  <from>
                    <xdr:col>39</xdr:col>
                    <xdr:colOff>0</xdr:colOff>
                    <xdr:row>77</xdr:row>
                    <xdr:rowOff>0</xdr:rowOff>
                  </from>
                  <to>
                    <xdr:col>40</xdr:col>
                    <xdr:colOff>0</xdr:colOff>
                    <xdr:row>78</xdr:row>
                    <xdr:rowOff>0</xdr:rowOff>
                  </to>
                </anchor>
              </controlPr>
            </control>
          </mc:Choice>
        </mc:AlternateContent>
        <mc:AlternateContent xmlns:mc="http://schemas.openxmlformats.org/markup-compatibility/2006">
          <mc:Choice Requires="x14">
            <control shapeId="1553" r:id="rId119" name="DeleteBtn_78">
              <controlPr defaultSize="0" print="0" autoFill="0" autoPict="0" macro="[0]!DeleteCustomer">
                <anchor moveWithCells="1" sizeWithCells="1">
                  <from>
                    <xdr:col>39</xdr:col>
                    <xdr:colOff>0</xdr:colOff>
                    <xdr:row>78</xdr:row>
                    <xdr:rowOff>0</xdr:rowOff>
                  </from>
                  <to>
                    <xdr:col>40</xdr:col>
                    <xdr:colOff>0</xdr:colOff>
                    <xdr:row>79</xdr:row>
                    <xdr:rowOff>0</xdr:rowOff>
                  </to>
                </anchor>
              </controlPr>
            </control>
          </mc:Choice>
        </mc:AlternateContent>
        <mc:AlternateContent xmlns:mc="http://schemas.openxmlformats.org/markup-compatibility/2006">
          <mc:Choice Requires="x14">
            <control shapeId="1554" r:id="rId120" name="DeleteBtn_79">
              <controlPr defaultSize="0" print="0" autoFill="0" autoPict="0" macro="[0]!DeleteCustomer">
                <anchor moveWithCells="1" sizeWithCells="1">
                  <from>
                    <xdr:col>39</xdr:col>
                    <xdr:colOff>0</xdr:colOff>
                    <xdr:row>79</xdr:row>
                    <xdr:rowOff>0</xdr:rowOff>
                  </from>
                  <to>
                    <xdr:col>40</xdr:col>
                    <xdr:colOff>0</xdr:colOff>
                    <xdr:row>80</xdr:row>
                    <xdr:rowOff>0</xdr:rowOff>
                  </to>
                </anchor>
              </controlPr>
            </control>
          </mc:Choice>
        </mc:AlternateContent>
        <mc:AlternateContent xmlns:mc="http://schemas.openxmlformats.org/markup-compatibility/2006">
          <mc:Choice Requires="x14">
            <control shapeId="1555" r:id="rId121" name="DeleteBtn_80">
              <controlPr defaultSize="0" print="0" autoFill="0" autoPict="0" macro="[0]!DeleteCustomer">
                <anchor moveWithCells="1" sizeWithCells="1">
                  <from>
                    <xdr:col>39</xdr:col>
                    <xdr:colOff>0</xdr:colOff>
                    <xdr:row>80</xdr:row>
                    <xdr:rowOff>0</xdr:rowOff>
                  </from>
                  <to>
                    <xdr:col>40</xdr:col>
                    <xdr:colOff>0</xdr:colOff>
                    <xdr:row>81</xdr:row>
                    <xdr:rowOff>0</xdr:rowOff>
                  </to>
                </anchor>
              </controlPr>
            </control>
          </mc:Choice>
        </mc:AlternateContent>
        <mc:AlternateContent xmlns:mc="http://schemas.openxmlformats.org/markup-compatibility/2006">
          <mc:Choice Requires="x14">
            <control shapeId="1556" r:id="rId122" name="DeleteBtn_81">
              <controlPr defaultSize="0" print="0" autoFill="0" autoPict="0" macro="[0]!DeleteCustomer">
                <anchor moveWithCells="1" sizeWithCells="1">
                  <from>
                    <xdr:col>39</xdr:col>
                    <xdr:colOff>0</xdr:colOff>
                    <xdr:row>81</xdr:row>
                    <xdr:rowOff>0</xdr:rowOff>
                  </from>
                  <to>
                    <xdr:col>40</xdr:col>
                    <xdr:colOff>0</xdr:colOff>
                    <xdr:row>82</xdr:row>
                    <xdr:rowOff>0</xdr:rowOff>
                  </to>
                </anchor>
              </controlPr>
            </control>
          </mc:Choice>
        </mc:AlternateContent>
        <mc:AlternateContent xmlns:mc="http://schemas.openxmlformats.org/markup-compatibility/2006">
          <mc:Choice Requires="x14">
            <control shapeId="1557" r:id="rId123" name="DeleteBtn_82">
              <controlPr defaultSize="0" print="0" autoFill="0" autoPict="0" macro="[0]!DeleteCustomer">
                <anchor moveWithCells="1" sizeWithCells="1">
                  <from>
                    <xdr:col>39</xdr:col>
                    <xdr:colOff>0</xdr:colOff>
                    <xdr:row>82</xdr:row>
                    <xdr:rowOff>0</xdr:rowOff>
                  </from>
                  <to>
                    <xdr:col>40</xdr:col>
                    <xdr:colOff>0</xdr:colOff>
                    <xdr:row>83</xdr:row>
                    <xdr:rowOff>0</xdr:rowOff>
                  </to>
                </anchor>
              </controlPr>
            </control>
          </mc:Choice>
        </mc:AlternateContent>
        <mc:AlternateContent xmlns:mc="http://schemas.openxmlformats.org/markup-compatibility/2006">
          <mc:Choice Requires="x14">
            <control shapeId="1558" r:id="rId124" name="DeleteBtn_83">
              <controlPr defaultSize="0" print="0" autoFill="0" autoPict="0" macro="[0]!DeleteCustomer">
                <anchor moveWithCells="1" sizeWithCells="1">
                  <from>
                    <xdr:col>39</xdr:col>
                    <xdr:colOff>0</xdr:colOff>
                    <xdr:row>83</xdr:row>
                    <xdr:rowOff>0</xdr:rowOff>
                  </from>
                  <to>
                    <xdr:col>40</xdr:col>
                    <xdr:colOff>0</xdr:colOff>
                    <xdr:row>84</xdr:row>
                    <xdr:rowOff>0</xdr:rowOff>
                  </to>
                </anchor>
              </controlPr>
            </control>
          </mc:Choice>
        </mc:AlternateContent>
        <mc:AlternateContent xmlns:mc="http://schemas.openxmlformats.org/markup-compatibility/2006">
          <mc:Choice Requires="x14">
            <control shapeId="1559" r:id="rId125" name="DeleteBtn_84">
              <controlPr defaultSize="0" print="0" autoFill="0" autoPict="0" macro="[0]!DeleteCustomer">
                <anchor moveWithCells="1" sizeWithCells="1">
                  <from>
                    <xdr:col>39</xdr:col>
                    <xdr:colOff>0</xdr:colOff>
                    <xdr:row>84</xdr:row>
                    <xdr:rowOff>0</xdr:rowOff>
                  </from>
                  <to>
                    <xdr:col>40</xdr:col>
                    <xdr:colOff>0</xdr:colOff>
                    <xdr:row>85</xdr:row>
                    <xdr:rowOff>0</xdr:rowOff>
                  </to>
                </anchor>
              </controlPr>
            </control>
          </mc:Choice>
        </mc:AlternateContent>
        <mc:AlternateContent xmlns:mc="http://schemas.openxmlformats.org/markup-compatibility/2006">
          <mc:Choice Requires="x14">
            <control shapeId="1560" r:id="rId126" name="DeleteBtn_85">
              <controlPr defaultSize="0" print="0" autoFill="0" autoPict="0" macro="[0]!DeleteCustomer">
                <anchor moveWithCells="1" sizeWithCells="1">
                  <from>
                    <xdr:col>39</xdr:col>
                    <xdr:colOff>0</xdr:colOff>
                    <xdr:row>85</xdr:row>
                    <xdr:rowOff>0</xdr:rowOff>
                  </from>
                  <to>
                    <xdr:col>40</xdr:col>
                    <xdr:colOff>0</xdr:colOff>
                    <xdr:row>86</xdr:row>
                    <xdr:rowOff>0</xdr:rowOff>
                  </to>
                </anchor>
              </controlPr>
            </control>
          </mc:Choice>
        </mc:AlternateContent>
        <mc:AlternateContent xmlns:mc="http://schemas.openxmlformats.org/markup-compatibility/2006">
          <mc:Choice Requires="x14">
            <control shapeId="1561" r:id="rId127" name="DeleteBtn_86">
              <controlPr defaultSize="0" print="0" autoFill="0" autoPict="0" macro="[0]!DeleteCustomer">
                <anchor moveWithCells="1" sizeWithCells="1">
                  <from>
                    <xdr:col>39</xdr:col>
                    <xdr:colOff>0</xdr:colOff>
                    <xdr:row>86</xdr:row>
                    <xdr:rowOff>0</xdr:rowOff>
                  </from>
                  <to>
                    <xdr:col>40</xdr:col>
                    <xdr:colOff>0</xdr:colOff>
                    <xdr:row>87</xdr:row>
                    <xdr:rowOff>0</xdr:rowOff>
                  </to>
                </anchor>
              </controlPr>
            </control>
          </mc:Choice>
        </mc:AlternateContent>
        <mc:AlternateContent xmlns:mc="http://schemas.openxmlformats.org/markup-compatibility/2006">
          <mc:Choice Requires="x14">
            <control shapeId="1562" r:id="rId128" name="DeleteBtn_87">
              <controlPr defaultSize="0" print="0" autoFill="0" autoPict="0" macro="[0]!DeleteCustomer">
                <anchor moveWithCells="1" sizeWithCells="1">
                  <from>
                    <xdr:col>39</xdr:col>
                    <xdr:colOff>0</xdr:colOff>
                    <xdr:row>87</xdr:row>
                    <xdr:rowOff>0</xdr:rowOff>
                  </from>
                  <to>
                    <xdr:col>40</xdr:col>
                    <xdr:colOff>0</xdr:colOff>
                    <xdr:row>88</xdr:row>
                    <xdr:rowOff>0</xdr:rowOff>
                  </to>
                </anchor>
              </controlPr>
            </control>
          </mc:Choice>
        </mc:AlternateContent>
        <mc:AlternateContent xmlns:mc="http://schemas.openxmlformats.org/markup-compatibility/2006">
          <mc:Choice Requires="x14">
            <control shapeId="1563" r:id="rId129" name="DeleteBtn_88">
              <controlPr defaultSize="0" print="0" autoFill="0" autoPict="0" macro="[0]!DeleteCustomer">
                <anchor moveWithCells="1" sizeWithCells="1">
                  <from>
                    <xdr:col>39</xdr:col>
                    <xdr:colOff>0</xdr:colOff>
                    <xdr:row>88</xdr:row>
                    <xdr:rowOff>0</xdr:rowOff>
                  </from>
                  <to>
                    <xdr:col>40</xdr:col>
                    <xdr:colOff>0</xdr:colOff>
                    <xdr:row>89</xdr:row>
                    <xdr:rowOff>0</xdr:rowOff>
                  </to>
                </anchor>
              </controlPr>
            </control>
          </mc:Choice>
        </mc:AlternateContent>
        <mc:AlternateContent xmlns:mc="http://schemas.openxmlformats.org/markup-compatibility/2006">
          <mc:Choice Requires="x14">
            <control shapeId="1564" r:id="rId130" name="DeleteBtn_89">
              <controlPr defaultSize="0" print="0" autoFill="0" autoPict="0" macro="[0]!DeleteCustomer">
                <anchor moveWithCells="1" sizeWithCells="1">
                  <from>
                    <xdr:col>39</xdr:col>
                    <xdr:colOff>0</xdr:colOff>
                    <xdr:row>89</xdr:row>
                    <xdr:rowOff>0</xdr:rowOff>
                  </from>
                  <to>
                    <xdr:col>40</xdr:col>
                    <xdr:colOff>0</xdr:colOff>
                    <xdr:row>90</xdr:row>
                    <xdr:rowOff>0</xdr:rowOff>
                  </to>
                </anchor>
              </controlPr>
            </control>
          </mc:Choice>
        </mc:AlternateContent>
        <mc:AlternateContent xmlns:mc="http://schemas.openxmlformats.org/markup-compatibility/2006">
          <mc:Choice Requires="x14">
            <control shapeId="1565" r:id="rId131" name="DeleteBtn_90">
              <controlPr defaultSize="0" print="0" autoFill="0" autoPict="0" macro="[0]!DeleteCustomer">
                <anchor moveWithCells="1" sizeWithCells="1">
                  <from>
                    <xdr:col>39</xdr:col>
                    <xdr:colOff>0</xdr:colOff>
                    <xdr:row>90</xdr:row>
                    <xdr:rowOff>0</xdr:rowOff>
                  </from>
                  <to>
                    <xdr:col>40</xdr:col>
                    <xdr:colOff>0</xdr:colOff>
                    <xdr:row>91</xdr:row>
                    <xdr:rowOff>0</xdr:rowOff>
                  </to>
                </anchor>
              </controlPr>
            </control>
          </mc:Choice>
        </mc:AlternateContent>
        <mc:AlternateContent xmlns:mc="http://schemas.openxmlformats.org/markup-compatibility/2006">
          <mc:Choice Requires="x14">
            <control shapeId="1566" r:id="rId132" name="DeleteBtn_91">
              <controlPr defaultSize="0" print="0" autoFill="0" autoPict="0" macro="[0]!DeleteCustomer">
                <anchor moveWithCells="1" sizeWithCells="1">
                  <from>
                    <xdr:col>39</xdr:col>
                    <xdr:colOff>0</xdr:colOff>
                    <xdr:row>91</xdr:row>
                    <xdr:rowOff>0</xdr:rowOff>
                  </from>
                  <to>
                    <xdr:col>40</xdr:col>
                    <xdr:colOff>0</xdr:colOff>
                    <xdr:row>92</xdr:row>
                    <xdr:rowOff>0</xdr:rowOff>
                  </to>
                </anchor>
              </controlPr>
            </control>
          </mc:Choice>
        </mc:AlternateContent>
        <mc:AlternateContent xmlns:mc="http://schemas.openxmlformats.org/markup-compatibility/2006">
          <mc:Choice Requires="x14">
            <control shapeId="1567" r:id="rId133" name="DeleteBtn_92">
              <controlPr defaultSize="0" print="0" autoFill="0" autoPict="0" macro="[0]!DeleteCustomer">
                <anchor moveWithCells="1" sizeWithCells="1">
                  <from>
                    <xdr:col>39</xdr:col>
                    <xdr:colOff>0</xdr:colOff>
                    <xdr:row>92</xdr:row>
                    <xdr:rowOff>0</xdr:rowOff>
                  </from>
                  <to>
                    <xdr:col>40</xdr:col>
                    <xdr:colOff>0</xdr:colOff>
                    <xdr:row>93</xdr:row>
                    <xdr:rowOff>0</xdr:rowOff>
                  </to>
                </anchor>
              </controlPr>
            </control>
          </mc:Choice>
        </mc:AlternateContent>
        <mc:AlternateContent xmlns:mc="http://schemas.openxmlformats.org/markup-compatibility/2006">
          <mc:Choice Requires="x14">
            <control shapeId="1568" r:id="rId134" name="DeleteBtn_93">
              <controlPr defaultSize="0" print="0" autoFill="0" autoPict="0" macro="[0]!DeleteCustomer">
                <anchor moveWithCells="1" sizeWithCells="1">
                  <from>
                    <xdr:col>39</xdr:col>
                    <xdr:colOff>0</xdr:colOff>
                    <xdr:row>93</xdr:row>
                    <xdr:rowOff>0</xdr:rowOff>
                  </from>
                  <to>
                    <xdr:col>40</xdr:col>
                    <xdr:colOff>0</xdr:colOff>
                    <xdr:row>94</xdr:row>
                    <xdr:rowOff>0</xdr:rowOff>
                  </to>
                </anchor>
              </controlPr>
            </control>
          </mc:Choice>
        </mc:AlternateContent>
        <mc:AlternateContent xmlns:mc="http://schemas.openxmlformats.org/markup-compatibility/2006">
          <mc:Choice Requires="x14">
            <control shapeId="1569" r:id="rId135" name="DeleteBtn_94">
              <controlPr defaultSize="0" print="0" autoFill="0" autoPict="0" macro="[0]!DeleteCustomer">
                <anchor moveWithCells="1" sizeWithCells="1">
                  <from>
                    <xdr:col>39</xdr:col>
                    <xdr:colOff>0</xdr:colOff>
                    <xdr:row>94</xdr:row>
                    <xdr:rowOff>0</xdr:rowOff>
                  </from>
                  <to>
                    <xdr:col>40</xdr:col>
                    <xdr:colOff>0</xdr:colOff>
                    <xdr:row>95</xdr:row>
                    <xdr:rowOff>0</xdr:rowOff>
                  </to>
                </anchor>
              </controlPr>
            </control>
          </mc:Choice>
        </mc:AlternateContent>
        <mc:AlternateContent xmlns:mc="http://schemas.openxmlformats.org/markup-compatibility/2006">
          <mc:Choice Requires="x14">
            <control shapeId="1570" r:id="rId136" name="DeleteBtn_95">
              <controlPr defaultSize="0" print="0" autoFill="0" autoPict="0" macro="[0]!DeleteCustomer">
                <anchor moveWithCells="1" sizeWithCells="1">
                  <from>
                    <xdr:col>39</xdr:col>
                    <xdr:colOff>0</xdr:colOff>
                    <xdr:row>95</xdr:row>
                    <xdr:rowOff>0</xdr:rowOff>
                  </from>
                  <to>
                    <xdr:col>40</xdr:col>
                    <xdr:colOff>0</xdr:colOff>
                    <xdr:row>96</xdr:row>
                    <xdr:rowOff>0</xdr:rowOff>
                  </to>
                </anchor>
              </controlPr>
            </control>
          </mc:Choice>
        </mc:AlternateContent>
        <mc:AlternateContent xmlns:mc="http://schemas.openxmlformats.org/markup-compatibility/2006">
          <mc:Choice Requires="x14">
            <control shapeId="1571" r:id="rId137" name="DeleteBtn_96">
              <controlPr defaultSize="0" print="0" autoFill="0" autoPict="0" macro="[0]!DeleteCustomer">
                <anchor moveWithCells="1" sizeWithCells="1">
                  <from>
                    <xdr:col>39</xdr:col>
                    <xdr:colOff>0</xdr:colOff>
                    <xdr:row>96</xdr:row>
                    <xdr:rowOff>0</xdr:rowOff>
                  </from>
                  <to>
                    <xdr:col>40</xdr:col>
                    <xdr:colOff>0</xdr:colOff>
                    <xdr:row>97</xdr:row>
                    <xdr:rowOff>0</xdr:rowOff>
                  </to>
                </anchor>
              </controlPr>
            </control>
          </mc:Choice>
        </mc:AlternateContent>
        <mc:AlternateContent xmlns:mc="http://schemas.openxmlformats.org/markup-compatibility/2006">
          <mc:Choice Requires="x14">
            <control shapeId="1572" r:id="rId138" name="DeleteBtn_97">
              <controlPr defaultSize="0" print="0" autoFill="0" autoPict="0" macro="[0]!DeleteCustomer">
                <anchor moveWithCells="1" sizeWithCells="1">
                  <from>
                    <xdr:col>39</xdr:col>
                    <xdr:colOff>0</xdr:colOff>
                    <xdr:row>97</xdr:row>
                    <xdr:rowOff>0</xdr:rowOff>
                  </from>
                  <to>
                    <xdr:col>40</xdr:col>
                    <xdr:colOff>0</xdr:colOff>
                    <xdr:row>98</xdr:row>
                    <xdr:rowOff>0</xdr:rowOff>
                  </to>
                </anchor>
              </controlPr>
            </control>
          </mc:Choice>
        </mc:AlternateContent>
        <mc:AlternateContent xmlns:mc="http://schemas.openxmlformats.org/markup-compatibility/2006">
          <mc:Choice Requires="x14">
            <control shapeId="1573" r:id="rId139" name="DeleteBtn_98">
              <controlPr defaultSize="0" print="0" autoFill="0" autoPict="0" macro="[0]!DeleteCustomer">
                <anchor moveWithCells="1" sizeWithCells="1">
                  <from>
                    <xdr:col>39</xdr:col>
                    <xdr:colOff>0</xdr:colOff>
                    <xdr:row>98</xdr:row>
                    <xdr:rowOff>0</xdr:rowOff>
                  </from>
                  <to>
                    <xdr:col>40</xdr:col>
                    <xdr:colOff>0</xdr:colOff>
                    <xdr:row>99</xdr:row>
                    <xdr:rowOff>0</xdr:rowOff>
                  </to>
                </anchor>
              </controlPr>
            </control>
          </mc:Choice>
        </mc:AlternateContent>
        <mc:AlternateContent xmlns:mc="http://schemas.openxmlformats.org/markup-compatibility/2006">
          <mc:Choice Requires="x14">
            <control shapeId="1574" r:id="rId140" name="DeleteBtn_99">
              <controlPr defaultSize="0" print="0" autoFill="0" autoPict="0" macro="[0]!DeleteCustomer">
                <anchor moveWithCells="1" sizeWithCells="1">
                  <from>
                    <xdr:col>39</xdr:col>
                    <xdr:colOff>0</xdr:colOff>
                    <xdr:row>99</xdr:row>
                    <xdr:rowOff>0</xdr:rowOff>
                  </from>
                  <to>
                    <xdr:col>40</xdr:col>
                    <xdr:colOff>0</xdr:colOff>
                    <xdr:row>100</xdr:row>
                    <xdr:rowOff>0</xdr:rowOff>
                  </to>
                </anchor>
              </controlPr>
            </control>
          </mc:Choice>
        </mc:AlternateContent>
        <mc:AlternateContent xmlns:mc="http://schemas.openxmlformats.org/markup-compatibility/2006">
          <mc:Choice Requires="x14">
            <control shapeId="1575" r:id="rId141" name="DeleteBtn_100">
              <controlPr defaultSize="0" print="0" autoFill="0" autoPict="0" macro="[0]!DeleteCustomer">
                <anchor moveWithCells="1" sizeWithCells="1">
                  <from>
                    <xdr:col>39</xdr:col>
                    <xdr:colOff>0</xdr:colOff>
                    <xdr:row>100</xdr:row>
                    <xdr:rowOff>0</xdr:rowOff>
                  </from>
                  <to>
                    <xdr:col>40</xdr:col>
                    <xdr:colOff>0</xdr:colOff>
                    <xdr:row>101</xdr:row>
                    <xdr:rowOff>0</xdr:rowOff>
                  </to>
                </anchor>
              </controlPr>
            </control>
          </mc:Choice>
        </mc:AlternateContent>
        <mc:AlternateContent xmlns:mc="http://schemas.openxmlformats.org/markup-compatibility/2006">
          <mc:Choice Requires="x14">
            <control shapeId="1576" r:id="rId142" name="DeleteBtn_101">
              <controlPr defaultSize="0" print="0" autoFill="0" autoPict="0" macro="[0]!DeleteCustomer">
                <anchor moveWithCells="1" sizeWithCells="1">
                  <from>
                    <xdr:col>39</xdr:col>
                    <xdr:colOff>0</xdr:colOff>
                    <xdr:row>101</xdr:row>
                    <xdr:rowOff>0</xdr:rowOff>
                  </from>
                  <to>
                    <xdr:col>40</xdr:col>
                    <xdr:colOff>0</xdr:colOff>
                    <xdr:row>102</xdr:row>
                    <xdr:rowOff>0</xdr:rowOff>
                  </to>
                </anchor>
              </controlPr>
            </control>
          </mc:Choice>
        </mc:AlternateContent>
        <mc:AlternateContent xmlns:mc="http://schemas.openxmlformats.org/markup-compatibility/2006">
          <mc:Choice Requires="x14">
            <control shapeId="1577" r:id="rId143" name="DeleteBtn_102">
              <controlPr defaultSize="0" print="0" autoFill="0" autoPict="0" macro="[0]!DeleteCustomer">
                <anchor moveWithCells="1" sizeWithCells="1">
                  <from>
                    <xdr:col>39</xdr:col>
                    <xdr:colOff>0</xdr:colOff>
                    <xdr:row>102</xdr:row>
                    <xdr:rowOff>0</xdr:rowOff>
                  </from>
                  <to>
                    <xdr:col>40</xdr:col>
                    <xdr:colOff>0</xdr:colOff>
                    <xdr:row>103</xdr:row>
                    <xdr:rowOff>0</xdr:rowOff>
                  </to>
                </anchor>
              </controlPr>
            </control>
          </mc:Choice>
        </mc:AlternateContent>
        <mc:AlternateContent xmlns:mc="http://schemas.openxmlformats.org/markup-compatibility/2006">
          <mc:Choice Requires="x14">
            <control shapeId="1578" r:id="rId144" name="DeleteBtn_103">
              <controlPr defaultSize="0" print="0" autoFill="0" autoPict="0" macro="[0]!DeleteCustomer">
                <anchor moveWithCells="1" sizeWithCells="1">
                  <from>
                    <xdr:col>39</xdr:col>
                    <xdr:colOff>0</xdr:colOff>
                    <xdr:row>103</xdr:row>
                    <xdr:rowOff>0</xdr:rowOff>
                  </from>
                  <to>
                    <xdr:col>40</xdr:col>
                    <xdr:colOff>0</xdr:colOff>
                    <xdr:row>104</xdr:row>
                    <xdr:rowOff>0</xdr:rowOff>
                  </to>
                </anchor>
              </controlPr>
            </control>
          </mc:Choice>
        </mc:AlternateContent>
        <mc:AlternateContent xmlns:mc="http://schemas.openxmlformats.org/markup-compatibility/2006">
          <mc:Choice Requires="x14">
            <control shapeId="1579" r:id="rId145" name="DeleteBtn_104">
              <controlPr defaultSize="0" print="0" autoFill="0" autoPict="0" macro="[0]!DeleteCustomer">
                <anchor moveWithCells="1" sizeWithCells="1">
                  <from>
                    <xdr:col>39</xdr:col>
                    <xdr:colOff>0</xdr:colOff>
                    <xdr:row>104</xdr:row>
                    <xdr:rowOff>0</xdr:rowOff>
                  </from>
                  <to>
                    <xdr:col>40</xdr:col>
                    <xdr:colOff>0</xdr:colOff>
                    <xdr:row>105</xdr:row>
                    <xdr:rowOff>0</xdr:rowOff>
                  </to>
                </anchor>
              </controlPr>
            </control>
          </mc:Choice>
        </mc:AlternateContent>
        <mc:AlternateContent xmlns:mc="http://schemas.openxmlformats.org/markup-compatibility/2006">
          <mc:Choice Requires="x14">
            <control shapeId="1580" r:id="rId146" name="DeleteBtn_105">
              <controlPr defaultSize="0" print="0" autoFill="0" autoPict="0" macro="[0]!DeleteCustomer">
                <anchor moveWithCells="1" sizeWithCells="1">
                  <from>
                    <xdr:col>39</xdr:col>
                    <xdr:colOff>0</xdr:colOff>
                    <xdr:row>105</xdr:row>
                    <xdr:rowOff>0</xdr:rowOff>
                  </from>
                  <to>
                    <xdr:col>40</xdr:col>
                    <xdr:colOff>0</xdr:colOff>
                    <xdr:row>106</xdr:row>
                    <xdr:rowOff>0</xdr:rowOff>
                  </to>
                </anchor>
              </controlPr>
            </control>
          </mc:Choice>
        </mc:AlternateContent>
        <mc:AlternateContent xmlns:mc="http://schemas.openxmlformats.org/markup-compatibility/2006">
          <mc:Choice Requires="x14">
            <control shapeId="1581" r:id="rId147" name="DeleteBtn_106">
              <controlPr defaultSize="0" print="0" autoFill="0" autoPict="0" macro="[0]!DeleteCustomer">
                <anchor moveWithCells="1" sizeWithCells="1">
                  <from>
                    <xdr:col>39</xdr:col>
                    <xdr:colOff>0</xdr:colOff>
                    <xdr:row>106</xdr:row>
                    <xdr:rowOff>0</xdr:rowOff>
                  </from>
                  <to>
                    <xdr:col>40</xdr:col>
                    <xdr:colOff>0</xdr:colOff>
                    <xdr:row>107</xdr:row>
                    <xdr:rowOff>0</xdr:rowOff>
                  </to>
                </anchor>
              </controlPr>
            </control>
          </mc:Choice>
        </mc:AlternateContent>
        <mc:AlternateContent xmlns:mc="http://schemas.openxmlformats.org/markup-compatibility/2006">
          <mc:Choice Requires="x14">
            <control shapeId="1582" r:id="rId148" name="DeleteBtn_107">
              <controlPr defaultSize="0" print="0" autoFill="0" autoPict="0" macro="[0]!DeleteCustomer">
                <anchor moveWithCells="1" sizeWithCells="1">
                  <from>
                    <xdr:col>39</xdr:col>
                    <xdr:colOff>0</xdr:colOff>
                    <xdr:row>107</xdr:row>
                    <xdr:rowOff>0</xdr:rowOff>
                  </from>
                  <to>
                    <xdr:col>40</xdr:col>
                    <xdr:colOff>0</xdr:colOff>
                    <xdr:row>108</xdr:row>
                    <xdr:rowOff>0</xdr:rowOff>
                  </to>
                </anchor>
              </controlPr>
            </control>
          </mc:Choice>
        </mc:AlternateContent>
        <mc:AlternateContent xmlns:mc="http://schemas.openxmlformats.org/markup-compatibility/2006">
          <mc:Choice Requires="x14">
            <control shapeId="1583" r:id="rId149" name="DeleteBtn_108">
              <controlPr defaultSize="0" print="0" autoFill="0" autoPict="0" macro="[0]!DeleteCustomer">
                <anchor moveWithCells="1" sizeWithCells="1">
                  <from>
                    <xdr:col>39</xdr:col>
                    <xdr:colOff>0</xdr:colOff>
                    <xdr:row>108</xdr:row>
                    <xdr:rowOff>0</xdr:rowOff>
                  </from>
                  <to>
                    <xdr:col>40</xdr:col>
                    <xdr:colOff>0</xdr:colOff>
                    <xdr:row>109</xdr:row>
                    <xdr:rowOff>0</xdr:rowOff>
                  </to>
                </anchor>
              </controlPr>
            </control>
          </mc:Choice>
        </mc:AlternateContent>
        <mc:AlternateContent xmlns:mc="http://schemas.openxmlformats.org/markup-compatibility/2006">
          <mc:Choice Requires="x14">
            <control shapeId="1584" r:id="rId150" name="DeleteBtn_109">
              <controlPr defaultSize="0" print="0" autoFill="0" autoPict="0" macro="[0]!DeleteCustomer">
                <anchor moveWithCells="1" sizeWithCells="1">
                  <from>
                    <xdr:col>39</xdr:col>
                    <xdr:colOff>0</xdr:colOff>
                    <xdr:row>109</xdr:row>
                    <xdr:rowOff>0</xdr:rowOff>
                  </from>
                  <to>
                    <xdr:col>40</xdr:col>
                    <xdr:colOff>0</xdr:colOff>
                    <xdr:row>110</xdr:row>
                    <xdr:rowOff>0</xdr:rowOff>
                  </to>
                </anchor>
              </controlPr>
            </control>
          </mc:Choice>
        </mc:AlternateContent>
        <mc:AlternateContent xmlns:mc="http://schemas.openxmlformats.org/markup-compatibility/2006">
          <mc:Choice Requires="x14">
            <control shapeId="1585" r:id="rId151" name="DeleteBtn_110">
              <controlPr defaultSize="0" print="0" autoFill="0" autoPict="0" macro="[0]!DeleteCustomer">
                <anchor moveWithCells="1" sizeWithCells="1">
                  <from>
                    <xdr:col>39</xdr:col>
                    <xdr:colOff>0</xdr:colOff>
                    <xdr:row>110</xdr:row>
                    <xdr:rowOff>0</xdr:rowOff>
                  </from>
                  <to>
                    <xdr:col>40</xdr:col>
                    <xdr:colOff>0</xdr:colOff>
                    <xdr:row>111</xdr:row>
                    <xdr:rowOff>0</xdr:rowOff>
                  </to>
                </anchor>
              </controlPr>
            </control>
          </mc:Choice>
        </mc:AlternateContent>
        <mc:AlternateContent xmlns:mc="http://schemas.openxmlformats.org/markup-compatibility/2006">
          <mc:Choice Requires="x14">
            <control shapeId="1586" r:id="rId152" name="DeleteBtn_111">
              <controlPr defaultSize="0" print="0" autoFill="0" autoPict="0" macro="[0]!DeleteCustomer">
                <anchor moveWithCells="1" sizeWithCells="1">
                  <from>
                    <xdr:col>39</xdr:col>
                    <xdr:colOff>0</xdr:colOff>
                    <xdr:row>111</xdr:row>
                    <xdr:rowOff>0</xdr:rowOff>
                  </from>
                  <to>
                    <xdr:col>40</xdr:col>
                    <xdr:colOff>0</xdr:colOff>
                    <xdr:row>112</xdr:row>
                    <xdr:rowOff>0</xdr:rowOff>
                  </to>
                </anchor>
              </controlPr>
            </control>
          </mc:Choice>
        </mc:AlternateContent>
        <mc:AlternateContent xmlns:mc="http://schemas.openxmlformats.org/markup-compatibility/2006">
          <mc:Choice Requires="x14">
            <control shapeId="1587" r:id="rId153" name="DeleteBtn_112">
              <controlPr defaultSize="0" print="0" autoFill="0" autoPict="0" macro="[0]!DeleteCustomer">
                <anchor moveWithCells="1" sizeWithCells="1">
                  <from>
                    <xdr:col>39</xdr:col>
                    <xdr:colOff>0</xdr:colOff>
                    <xdr:row>112</xdr:row>
                    <xdr:rowOff>0</xdr:rowOff>
                  </from>
                  <to>
                    <xdr:col>40</xdr:col>
                    <xdr:colOff>0</xdr:colOff>
                    <xdr:row>113</xdr:row>
                    <xdr:rowOff>0</xdr:rowOff>
                  </to>
                </anchor>
              </controlPr>
            </control>
          </mc:Choice>
        </mc:AlternateContent>
        <mc:AlternateContent xmlns:mc="http://schemas.openxmlformats.org/markup-compatibility/2006">
          <mc:Choice Requires="x14">
            <control shapeId="1588" r:id="rId154" name="DeleteBtn_113">
              <controlPr defaultSize="0" print="0" autoFill="0" autoPict="0" macro="[0]!DeleteCustomer">
                <anchor moveWithCells="1" sizeWithCells="1">
                  <from>
                    <xdr:col>39</xdr:col>
                    <xdr:colOff>0</xdr:colOff>
                    <xdr:row>113</xdr:row>
                    <xdr:rowOff>0</xdr:rowOff>
                  </from>
                  <to>
                    <xdr:col>40</xdr:col>
                    <xdr:colOff>0</xdr:colOff>
                    <xdr:row>114</xdr:row>
                    <xdr:rowOff>0</xdr:rowOff>
                  </to>
                </anchor>
              </controlPr>
            </control>
          </mc:Choice>
        </mc:AlternateContent>
        <mc:AlternateContent xmlns:mc="http://schemas.openxmlformats.org/markup-compatibility/2006">
          <mc:Choice Requires="x14">
            <control shapeId="1589" r:id="rId155" name="DeleteBtn_114">
              <controlPr defaultSize="0" print="0" autoFill="0" autoPict="0" macro="[0]!DeleteCustomer">
                <anchor moveWithCells="1" sizeWithCells="1">
                  <from>
                    <xdr:col>39</xdr:col>
                    <xdr:colOff>0</xdr:colOff>
                    <xdr:row>114</xdr:row>
                    <xdr:rowOff>0</xdr:rowOff>
                  </from>
                  <to>
                    <xdr:col>40</xdr:col>
                    <xdr:colOff>0</xdr:colOff>
                    <xdr:row>115</xdr:row>
                    <xdr:rowOff>0</xdr:rowOff>
                  </to>
                </anchor>
              </controlPr>
            </control>
          </mc:Choice>
        </mc:AlternateContent>
        <mc:AlternateContent xmlns:mc="http://schemas.openxmlformats.org/markup-compatibility/2006">
          <mc:Choice Requires="x14">
            <control shapeId="1590" r:id="rId156" name="DeleteBtn_115">
              <controlPr defaultSize="0" print="0" autoFill="0" autoPict="0" macro="[0]!DeleteCustomer">
                <anchor moveWithCells="1" sizeWithCells="1">
                  <from>
                    <xdr:col>39</xdr:col>
                    <xdr:colOff>0</xdr:colOff>
                    <xdr:row>115</xdr:row>
                    <xdr:rowOff>0</xdr:rowOff>
                  </from>
                  <to>
                    <xdr:col>40</xdr:col>
                    <xdr:colOff>0</xdr:colOff>
                    <xdr:row>116</xdr:row>
                    <xdr:rowOff>0</xdr:rowOff>
                  </to>
                </anchor>
              </controlPr>
            </control>
          </mc:Choice>
        </mc:AlternateContent>
        <mc:AlternateContent xmlns:mc="http://schemas.openxmlformats.org/markup-compatibility/2006">
          <mc:Choice Requires="x14">
            <control shapeId="1591" r:id="rId157" name="DeleteBtn_116">
              <controlPr defaultSize="0" print="0" autoFill="0" autoPict="0" macro="[0]!DeleteCustomer">
                <anchor moveWithCells="1" sizeWithCells="1">
                  <from>
                    <xdr:col>39</xdr:col>
                    <xdr:colOff>0</xdr:colOff>
                    <xdr:row>116</xdr:row>
                    <xdr:rowOff>0</xdr:rowOff>
                  </from>
                  <to>
                    <xdr:col>40</xdr:col>
                    <xdr:colOff>0</xdr:colOff>
                    <xdr:row>117</xdr:row>
                    <xdr:rowOff>0</xdr:rowOff>
                  </to>
                </anchor>
              </controlPr>
            </control>
          </mc:Choice>
        </mc:AlternateContent>
        <mc:AlternateContent xmlns:mc="http://schemas.openxmlformats.org/markup-compatibility/2006">
          <mc:Choice Requires="x14">
            <control shapeId="1592" r:id="rId158" name="DeleteBtn_117">
              <controlPr defaultSize="0" print="0" autoFill="0" autoPict="0" macro="[0]!DeleteCustomer">
                <anchor moveWithCells="1" sizeWithCells="1">
                  <from>
                    <xdr:col>39</xdr:col>
                    <xdr:colOff>0</xdr:colOff>
                    <xdr:row>117</xdr:row>
                    <xdr:rowOff>0</xdr:rowOff>
                  </from>
                  <to>
                    <xdr:col>40</xdr:col>
                    <xdr:colOff>0</xdr:colOff>
                    <xdr:row>118</xdr:row>
                    <xdr:rowOff>0</xdr:rowOff>
                  </to>
                </anchor>
              </controlPr>
            </control>
          </mc:Choice>
        </mc:AlternateContent>
        <mc:AlternateContent xmlns:mc="http://schemas.openxmlformats.org/markup-compatibility/2006">
          <mc:Choice Requires="x14">
            <control shapeId="1593" r:id="rId159" name="DeleteBtn_118">
              <controlPr defaultSize="0" print="0" autoFill="0" autoPict="0" macro="[0]!DeleteCustomer">
                <anchor moveWithCells="1" sizeWithCells="1">
                  <from>
                    <xdr:col>39</xdr:col>
                    <xdr:colOff>0</xdr:colOff>
                    <xdr:row>118</xdr:row>
                    <xdr:rowOff>0</xdr:rowOff>
                  </from>
                  <to>
                    <xdr:col>40</xdr:col>
                    <xdr:colOff>0</xdr:colOff>
                    <xdr:row>119</xdr:row>
                    <xdr:rowOff>0</xdr:rowOff>
                  </to>
                </anchor>
              </controlPr>
            </control>
          </mc:Choice>
        </mc:AlternateContent>
        <mc:AlternateContent xmlns:mc="http://schemas.openxmlformats.org/markup-compatibility/2006">
          <mc:Choice Requires="x14">
            <control shapeId="1594" r:id="rId160" name="DeleteBtn_119">
              <controlPr defaultSize="0" print="0" autoFill="0" autoPict="0" macro="[0]!DeleteCustomer">
                <anchor moveWithCells="1" sizeWithCells="1">
                  <from>
                    <xdr:col>39</xdr:col>
                    <xdr:colOff>0</xdr:colOff>
                    <xdr:row>119</xdr:row>
                    <xdr:rowOff>0</xdr:rowOff>
                  </from>
                  <to>
                    <xdr:col>40</xdr:col>
                    <xdr:colOff>0</xdr:colOff>
                    <xdr:row>120</xdr:row>
                    <xdr:rowOff>0</xdr:rowOff>
                  </to>
                </anchor>
              </controlPr>
            </control>
          </mc:Choice>
        </mc:AlternateContent>
        <mc:AlternateContent xmlns:mc="http://schemas.openxmlformats.org/markup-compatibility/2006">
          <mc:Choice Requires="x14">
            <control shapeId="1595" r:id="rId161" name="DeleteBtn_120">
              <controlPr defaultSize="0" print="0" autoFill="0" autoPict="0" macro="[0]!DeleteCustomer">
                <anchor moveWithCells="1" sizeWithCells="1">
                  <from>
                    <xdr:col>39</xdr:col>
                    <xdr:colOff>0</xdr:colOff>
                    <xdr:row>120</xdr:row>
                    <xdr:rowOff>0</xdr:rowOff>
                  </from>
                  <to>
                    <xdr:col>40</xdr:col>
                    <xdr:colOff>0</xdr:colOff>
                    <xdr:row>121</xdr:row>
                    <xdr:rowOff>0</xdr:rowOff>
                  </to>
                </anchor>
              </controlPr>
            </control>
          </mc:Choice>
        </mc:AlternateContent>
        <mc:AlternateContent xmlns:mc="http://schemas.openxmlformats.org/markup-compatibility/2006">
          <mc:Choice Requires="x14">
            <control shapeId="1596" r:id="rId162" name="DeleteBtn_121">
              <controlPr defaultSize="0" print="0" autoFill="0" autoPict="0" macro="[0]!DeleteCustomer">
                <anchor moveWithCells="1" sizeWithCells="1">
                  <from>
                    <xdr:col>39</xdr:col>
                    <xdr:colOff>0</xdr:colOff>
                    <xdr:row>121</xdr:row>
                    <xdr:rowOff>0</xdr:rowOff>
                  </from>
                  <to>
                    <xdr:col>40</xdr:col>
                    <xdr:colOff>0</xdr:colOff>
                    <xdr:row>122</xdr:row>
                    <xdr:rowOff>0</xdr:rowOff>
                  </to>
                </anchor>
              </controlPr>
            </control>
          </mc:Choice>
        </mc:AlternateContent>
        <mc:AlternateContent xmlns:mc="http://schemas.openxmlformats.org/markup-compatibility/2006">
          <mc:Choice Requires="x14">
            <control shapeId="1597" r:id="rId163" name="DeleteBtn_122">
              <controlPr defaultSize="0" print="0" autoFill="0" autoPict="0" macro="[0]!DeleteCustomer">
                <anchor moveWithCells="1" sizeWithCells="1">
                  <from>
                    <xdr:col>39</xdr:col>
                    <xdr:colOff>0</xdr:colOff>
                    <xdr:row>122</xdr:row>
                    <xdr:rowOff>0</xdr:rowOff>
                  </from>
                  <to>
                    <xdr:col>40</xdr:col>
                    <xdr:colOff>0</xdr:colOff>
                    <xdr:row>123</xdr:row>
                    <xdr:rowOff>0</xdr:rowOff>
                  </to>
                </anchor>
              </controlPr>
            </control>
          </mc:Choice>
        </mc:AlternateContent>
        <mc:AlternateContent xmlns:mc="http://schemas.openxmlformats.org/markup-compatibility/2006">
          <mc:Choice Requires="x14">
            <control shapeId="1598" r:id="rId164" name="DeleteBtn_123">
              <controlPr defaultSize="0" print="0" autoFill="0" autoPict="0" macro="[0]!DeleteCustomer">
                <anchor moveWithCells="1" sizeWithCells="1">
                  <from>
                    <xdr:col>39</xdr:col>
                    <xdr:colOff>0</xdr:colOff>
                    <xdr:row>123</xdr:row>
                    <xdr:rowOff>0</xdr:rowOff>
                  </from>
                  <to>
                    <xdr:col>40</xdr:col>
                    <xdr:colOff>0</xdr:colOff>
                    <xdr:row>124</xdr:row>
                    <xdr:rowOff>0</xdr:rowOff>
                  </to>
                </anchor>
              </controlPr>
            </control>
          </mc:Choice>
        </mc:AlternateContent>
        <mc:AlternateContent xmlns:mc="http://schemas.openxmlformats.org/markup-compatibility/2006">
          <mc:Choice Requires="x14">
            <control shapeId="1599" r:id="rId165" name="DeleteBtn_124">
              <controlPr defaultSize="0" print="0" autoFill="0" autoPict="0" macro="[0]!DeleteCustomer">
                <anchor moveWithCells="1" sizeWithCells="1">
                  <from>
                    <xdr:col>39</xdr:col>
                    <xdr:colOff>0</xdr:colOff>
                    <xdr:row>124</xdr:row>
                    <xdr:rowOff>0</xdr:rowOff>
                  </from>
                  <to>
                    <xdr:col>40</xdr:col>
                    <xdr:colOff>0</xdr:colOff>
                    <xdr:row>125</xdr:row>
                    <xdr:rowOff>0</xdr:rowOff>
                  </to>
                </anchor>
              </controlPr>
            </control>
          </mc:Choice>
        </mc:AlternateContent>
        <mc:AlternateContent xmlns:mc="http://schemas.openxmlformats.org/markup-compatibility/2006">
          <mc:Choice Requires="x14">
            <control shapeId="1600" r:id="rId166" name="DeleteBtn_125">
              <controlPr defaultSize="0" print="0" autoFill="0" autoPict="0" macro="[0]!DeleteCustomer">
                <anchor moveWithCells="1" sizeWithCells="1">
                  <from>
                    <xdr:col>39</xdr:col>
                    <xdr:colOff>0</xdr:colOff>
                    <xdr:row>125</xdr:row>
                    <xdr:rowOff>0</xdr:rowOff>
                  </from>
                  <to>
                    <xdr:col>40</xdr:col>
                    <xdr:colOff>0</xdr:colOff>
                    <xdr:row>126</xdr:row>
                    <xdr:rowOff>0</xdr:rowOff>
                  </to>
                </anchor>
              </controlPr>
            </control>
          </mc:Choice>
        </mc:AlternateContent>
        <mc:AlternateContent xmlns:mc="http://schemas.openxmlformats.org/markup-compatibility/2006">
          <mc:Choice Requires="x14">
            <control shapeId="1601" r:id="rId167" name="DeleteBtn_126">
              <controlPr defaultSize="0" print="0" autoFill="0" autoPict="0" macro="[0]!DeleteCustomer">
                <anchor moveWithCells="1" sizeWithCells="1">
                  <from>
                    <xdr:col>39</xdr:col>
                    <xdr:colOff>0</xdr:colOff>
                    <xdr:row>126</xdr:row>
                    <xdr:rowOff>0</xdr:rowOff>
                  </from>
                  <to>
                    <xdr:col>40</xdr:col>
                    <xdr:colOff>0</xdr:colOff>
                    <xdr:row>127</xdr:row>
                    <xdr:rowOff>0</xdr:rowOff>
                  </to>
                </anchor>
              </controlPr>
            </control>
          </mc:Choice>
        </mc:AlternateContent>
        <mc:AlternateContent xmlns:mc="http://schemas.openxmlformats.org/markup-compatibility/2006">
          <mc:Choice Requires="x14">
            <control shapeId="1602" r:id="rId168" name="DeleteBtn_127">
              <controlPr defaultSize="0" print="0" autoFill="0" autoPict="0" macro="[0]!DeleteCustomer">
                <anchor moveWithCells="1" sizeWithCells="1">
                  <from>
                    <xdr:col>39</xdr:col>
                    <xdr:colOff>0</xdr:colOff>
                    <xdr:row>127</xdr:row>
                    <xdr:rowOff>0</xdr:rowOff>
                  </from>
                  <to>
                    <xdr:col>40</xdr:col>
                    <xdr:colOff>0</xdr:colOff>
                    <xdr:row>128</xdr:row>
                    <xdr:rowOff>0</xdr:rowOff>
                  </to>
                </anchor>
              </controlPr>
            </control>
          </mc:Choice>
        </mc:AlternateContent>
        <mc:AlternateContent xmlns:mc="http://schemas.openxmlformats.org/markup-compatibility/2006">
          <mc:Choice Requires="x14">
            <control shapeId="1603" r:id="rId169" name="DeleteBtn_128">
              <controlPr defaultSize="0" print="0" autoFill="0" autoPict="0" macro="[0]!DeleteCustomer">
                <anchor moveWithCells="1" sizeWithCells="1">
                  <from>
                    <xdr:col>39</xdr:col>
                    <xdr:colOff>0</xdr:colOff>
                    <xdr:row>128</xdr:row>
                    <xdr:rowOff>0</xdr:rowOff>
                  </from>
                  <to>
                    <xdr:col>40</xdr:col>
                    <xdr:colOff>0</xdr:colOff>
                    <xdr:row>129</xdr:row>
                    <xdr:rowOff>0</xdr:rowOff>
                  </to>
                </anchor>
              </controlPr>
            </control>
          </mc:Choice>
        </mc:AlternateContent>
        <mc:AlternateContent xmlns:mc="http://schemas.openxmlformats.org/markup-compatibility/2006">
          <mc:Choice Requires="x14">
            <control shapeId="1604" r:id="rId170" name="DeleteBtn_129">
              <controlPr defaultSize="0" print="0" autoFill="0" autoPict="0" macro="[0]!DeleteCustomer">
                <anchor moveWithCells="1" sizeWithCells="1">
                  <from>
                    <xdr:col>39</xdr:col>
                    <xdr:colOff>0</xdr:colOff>
                    <xdr:row>129</xdr:row>
                    <xdr:rowOff>0</xdr:rowOff>
                  </from>
                  <to>
                    <xdr:col>40</xdr:col>
                    <xdr:colOff>0</xdr:colOff>
                    <xdr:row>130</xdr:row>
                    <xdr:rowOff>0</xdr:rowOff>
                  </to>
                </anchor>
              </controlPr>
            </control>
          </mc:Choice>
        </mc:AlternateContent>
        <mc:AlternateContent xmlns:mc="http://schemas.openxmlformats.org/markup-compatibility/2006">
          <mc:Choice Requires="x14">
            <control shapeId="1605" r:id="rId171" name="DeleteBtn_130">
              <controlPr defaultSize="0" print="0" autoFill="0" autoPict="0" macro="[0]!DeleteCustomer">
                <anchor moveWithCells="1" sizeWithCells="1">
                  <from>
                    <xdr:col>39</xdr:col>
                    <xdr:colOff>0</xdr:colOff>
                    <xdr:row>130</xdr:row>
                    <xdr:rowOff>0</xdr:rowOff>
                  </from>
                  <to>
                    <xdr:col>40</xdr:col>
                    <xdr:colOff>0</xdr:colOff>
                    <xdr:row>131</xdr:row>
                    <xdr:rowOff>0</xdr:rowOff>
                  </to>
                </anchor>
              </controlPr>
            </control>
          </mc:Choice>
        </mc:AlternateContent>
        <mc:AlternateContent xmlns:mc="http://schemas.openxmlformats.org/markup-compatibility/2006">
          <mc:Choice Requires="x14">
            <control shapeId="1606" r:id="rId172" name="DeleteBtn_131">
              <controlPr defaultSize="0" print="0" autoFill="0" autoPict="0" macro="[0]!DeleteCustomer">
                <anchor moveWithCells="1" sizeWithCells="1">
                  <from>
                    <xdr:col>39</xdr:col>
                    <xdr:colOff>0</xdr:colOff>
                    <xdr:row>131</xdr:row>
                    <xdr:rowOff>0</xdr:rowOff>
                  </from>
                  <to>
                    <xdr:col>40</xdr:col>
                    <xdr:colOff>0</xdr:colOff>
                    <xdr:row>132</xdr:row>
                    <xdr:rowOff>0</xdr:rowOff>
                  </to>
                </anchor>
              </controlPr>
            </control>
          </mc:Choice>
        </mc:AlternateContent>
        <mc:AlternateContent xmlns:mc="http://schemas.openxmlformats.org/markup-compatibility/2006">
          <mc:Choice Requires="x14">
            <control shapeId="1607" r:id="rId173" name="DeleteBtn_132">
              <controlPr defaultSize="0" print="0" autoFill="0" autoPict="0" macro="[0]!DeleteCustomer">
                <anchor moveWithCells="1" sizeWithCells="1">
                  <from>
                    <xdr:col>39</xdr:col>
                    <xdr:colOff>0</xdr:colOff>
                    <xdr:row>132</xdr:row>
                    <xdr:rowOff>0</xdr:rowOff>
                  </from>
                  <to>
                    <xdr:col>40</xdr:col>
                    <xdr:colOff>0</xdr:colOff>
                    <xdr:row>133</xdr:row>
                    <xdr:rowOff>0</xdr:rowOff>
                  </to>
                </anchor>
              </controlPr>
            </control>
          </mc:Choice>
        </mc:AlternateContent>
        <mc:AlternateContent xmlns:mc="http://schemas.openxmlformats.org/markup-compatibility/2006">
          <mc:Choice Requires="x14">
            <control shapeId="1608" r:id="rId174" name="DeleteBtn_133">
              <controlPr defaultSize="0" print="0" autoFill="0" autoPict="0" macro="[0]!DeleteCustomer">
                <anchor moveWithCells="1" sizeWithCells="1">
                  <from>
                    <xdr:col>39</xdr:col>
                    <xdr:colOff>0</xdr:colOff>
                    <xdr:row>133</xdr:row>
                    <xdr:rowOff>0</xdr:rowOff>
                  </from>
                  <to>
                    <xdr:col>40</xdr:col>
                    <xdr:colOff>0</xdr:colOff>
                    <xdr:row>134</xdr:row>
                    <xdr:rowOff>0</xdr:rowOff>
                  </to>
                </anchor>
              </controlPr>
            </control>
          </mc:Choice>
        </mc:AlternateContent>
        <mc:AlternateContent xmlns:mc="http://schemas.openxmlformats.org/markup-compatibility/2006">
          <mc:Choice Requires="x14">
            <control shapeId="1609" r:id="rId175" name="DeleteBtn_134">
              <controlPr defaultSize="0" print="0" autoFill="0" autoPict="0" macro="[0]!DeleteCustomer">
                <anchor moveWithCells="1" sizeWithCells="1">
                  <from>
                    <xdr:col>39</xdr:col>
                    <xdr:colOff>0</xdr:colOff>
                    <xdr:row>134</xdr:row>
                    <xdr:rowOff>0</xdr:rowOff>
                  </from>
                  <to>
                    <xdr:col>40</xdr:col>
                    <xdr:colOff>0</xdr:colOff>
                    <xdr:row>135</xdr:row>
                    <xdr:rowOff>0</xdr:rowOff>
                  </to>
                </anchor>
              </controlPr>
            </control>
          </mc:Choice>
        </mc:AlternateContent>
        <mc:AlternateContent xmlns:mc="http://schemas.openxmlformats.org/markup-compatibility/2006">
          <mc:Choice Requires="x14">
            <control shapeId="1610" r:id="rId176" name="DeleteBtn_135">
              <controlPr defaultSize="0" print="0" autoFill="0" autoPict="0" macro="[0]!DeleteCustomer">
                <anchor moveWithCells="1" sizeWithCells="1">
                  <from>
                    <xdr:col>39</xdr:col>
                    <xdr:colOff>0</xdr:colOff>
                    <xdr:row>135</xdr:row>
                    <xdr:rowOff>0</xdr:rowOff>
                  </from>
                  <to>
                    <xdr:col>40</xdr:col>
                    <xdr:colOff>0</xdr:colOff>
                    <xdr:row>136</xdr:row>
                    <xdr:rowOff>0</xdr:rowOff>
                  </to>
                </anchor>
              </controlPr>
            </control>
          </mc:Choice>
        </mc:AlternateContent>
        <mc:AlternateContent xmlns:mc="http://schemas.openxmlformats.org/markup-compatibility/2006">
          <mc:Choice Requires="x14">
            <control shapeId="1611" r:id="rId177" name="DeleteBtn_136">
              <controlPr defaultSize="0" print="0" autoFill="0" autoPict="0" macro="[0]!DeleteCustomer">
                <anchor moveWithCells="1" sizeWithCells="1">
                  <from>
                    <xdr:col>39</xdr:col>
                    <xdr:colOff>0</xdr:colOff>
                    <xdr:row>136</xdr:row>
                    <xdr:rowOff>0</xdr:rowOff>
                  </from>
                  <to>
                    <xdr:col>40</xdr:col>
                    <xdr:colOff>0</xdr:colOff>
                    <xdr:row>137</xdr:row>
                    <xdr:rowOff>0</xdr:rowOff>
                  </to>
                </anchor>
              </controlPr>
            </control>
          </mc:Choice>
        </mc:AlternateContent>
        <mc:AlternateContent xmlns:mc="http://schemas.openxmlformats.org/markup-compatibility/2006">
          <mc:Choice Requires="x14">
            <control shapeId="1612" r:id="rId178" name="DeleteBtn_137">
              <controlPr defaultSize="0" print="0" autoFill="0" autoPict="0" macro="[0]!DeleteCustomer">
                <anchor moveWithCells="1" sizeWithCells="1">
                  <from>
                    <xdr:col>39</xdr:col>
                    <xdr:colOff>0</xdr:colOff>
                    <xdr:row>137</xdr:row>
                    <xdr:rowOff>0</xdr:rowOff>
                  </from>
                  <to>
                    <xdr:col>40</xdr:col>
                    <xdr:colOff>0</xdr:colOff>
                    <xdr:row>138</xdr:row>
                    <xdr:rowOff>0</xdr:rowOff>
                  </to>
                </anchor>
              </controlPr>
            </control>
          </mc:Choice>
        </mc:AlternateContent>
        <mc:AlternateContent xmlns:mc="http://schemas.openxmlformats.org/markup-compatibility/2006">
          <mc:Choice Requires="x14">
            <control shapeId="1613" r:id="rId179" name="DeleteBtn_138">
              <controlPr defaultSize="0" print="0" autoFill="0" autoPict="0" macro="[0]!DeleteCustomer">
                <anchor moveWithCells="1" sizeWithCells="1">
                  <from>
                    <xdr:col>39</xdr:col>
                    <xdr:colOff>0</xdr:colOff>
                    <xdr:row>138</xdr:row>
                    <xdr:rowOff>0</xdr:rowOff>
                  </from>
                  <to>
                    <xdr:col>40</xdr:col>
                    <xdr:colOff>0</xdr:colOff>
                    <xdr:row>139</xdr:row>
                    <xdr:rowOff>0</xdr:rowOff>
                  </to>
                </anchor>
              </controlPr>
            </control>
          </mc:Choice>
        </mc:AlternateContent>
        <mc:AlternateContent xmlns:mc="http://schemas.openxmlformats.org/markup-compatibility/2006">
          <mc:Choice Requires="x14">
            <control shapeId="1614" r:id="rId180" name="DeleteBtn_139">
              <controlPr defaultSize="0" print="0" autoFill="0" autoPict="0" macro="[0]!DeleteCustomer">
                <anchor moveWithCells="1" sizeWithCells="1">
                  <from>
                    <xdr:col>39</xdr:col>
                    <xdr:colOff>0</xdr:colOff>
                    <xdr:row>139</xdr:row>
                    <xdr:rowOff>0</xdr:rowOff>
                  </from>
                  <to>
                    <xdr:col>40</xdr:col>
                    <xdr:colOff>0</xdr:colOff>
                    <xdr:row>140</xdr:row>
                    <xdr:rowOff>0</xdr:rowOff>
                  </to>
                </anchor>
              </controlPr>
            </control>
          </mc:Choice>
        </mc:AlternateContent>
        <mc:AlternateContent xmlns:mc="http://schemas.openxmlformats.org/markup-compatibility/2006">
          <mc:Choice Requires="x14">
            <control shapeId="1615" r:id="rId181" name="DeleteBtn_140">
              <controlPr defaultSize="0" print="0" autoFill="0" autoPict="0" macro="[0]!DeleteCustomer">
                <anchor moveWithCells="1" sizeWithCells="1">
                  <from>
                    <xdr:col>39</xdr:col>
                    <xdr:colOff>0</xdr:colOff>
                    <xdr:row>140</xdr:row>
                    <xdr:rowOff>0</xdr:rowOff>
                  </from>
                  <to>
                    <xdr:col>40</xdr:col>
                    <xdr:colOff>0</xdr:colOff>
                    <xdr:row>141</xdr:row>
                    <xdr:rowOff>0</xdr:rowOff>
                  </to>
                </anchor>
              </controlPr>
            </control>
          </mc:Choice>
        </mc:AlternateContent>
        <mc:AlternateContent xmlns:mc="http://schemas.openxmlformats.org/markup-compatibility/2006">
          <mc:Choice Requires="x14">
            <control shapeId="1616" r:id="rId182" name="DeleteBtn_141">
              <controlPr defaultSize="0" print="0" autoFill="0" autoPict="0" macro="[0]!DeleteCustomer">
                <anchor moveWithCells="1" sizeWithCells="1">
                  <from>
                    <xdr:col>39</xdr:col>
                    <xdr:colOff>0</xdr:colOff>
                    <xdr:row>141</xdr:row>
                    <xdr:rowOff>0</xdr:rowOff>
                  </from>
                  <to>
                    <xdr:col>40</xdr:col>
                    <xdr:colOff>0</xdr:colOff>
                    <xdr:row>142</xdr:row>
                    <xdr:rowOff>0</xdr:rowOff>
                  </to>
                </anchor>
              </controlPr>
            </control>
          </mc:Choice>
        </mc:AlternateContent>
        <mc:AlternateContent xmlns:mc="http://schemas.openxmlformats.org/markup-compatibility/2006">
          <mc:Choice Requires="x14">
            <control shapeId="1617" r:id="rId183" name="DeleteBtn_142">
              <controlPr defaultSize="0" print="0" autoFill="0" autoPict="0" macro="[0]!DeleteCustomer">
                <anchor moveWithCells="1" sizeWithCells="1">
                  <from>
                    <xdr:col>39</xdr:col>
                    <xdr:colOff>0</xdr:colOff>
                    <xdr:row>142</xdr:row>
                    <xdr:rowOff>0</xdr:rowOff>
                  </from>
                  <to>
                    <xdr:col>40</xdr:col>
                    <xdr:colOff>0</xdr:colOff>
                    <xdr:row>143</xdr:row>
                    <xdr:rowOff>0</xdr:rowOff>
                  </to>
                </anchor>
              </controlPr>
            </control>
          </mc:Choice>
        </mc:AlternateContent>
        <mc:AlternateContent xmlns:mc="http://schemas.openxmlformats.org/markup-compatibility/2006">
          <mc:Choice Requires="x14">
            <control shapeId="1618" r:id="rId184" name="DeleteBtn_143">
              <controlPr defaultSize="0" print="0" autoFill="0" autoPict="0" macro="[0]!DeleteCustomer">
                <anchor moveWithCells="1" sizeWithCells="1">
                  <from>
                    <xdr:col>39</xdr:col>
                    <xdr:colOff>0</xdr:colOff>
                    <xdr:row>143</xdr:row>
                    <xdr:rowOff>0</xdr:rowOff>
                  </from>
                  <to>
                    <xdr:col>40</xdr:col>
                    <xdr:colOff>0</xdr:colOff>
                    <xdr:row>144</xdr:row>
                    <xdr:rowOff>0</xdr:rowOff>
                  </to>
                </anchor>
              </controlPr>
            </control>
          </mc:Choice>
        </mc:AlternateContent>
        <mc:AlternateContent xmlns:mc="http://schemas.openxmlformats.org/markup-compatibility/2006">
          <mc:Choice Requires="x14">
            <control shapeId="1619" r:id="rId185" name="DeleteBtn_144">
              <controlPr defaultSize="0" print="0" autoFill="0" autoPict="0" macro="[0]!DeleteCustomer">
                <anchor moveWithCells="1" sizeWithCells="1">
                  <from>
                    <xdr:col>39</xdr:col>
                    <xdr:colOff>0</xdr:colOff>
                    <xdr:row>144</xdr:row>
                    <xdr:rowOff>0</xdr:rowOff>
                  </from>
                  <to>
                    <xdr:col>40</xdr:col>
                    <xdr:colOff>0</xdr:colOff>
                    <xdr:row>145</xdr:row>
                    <xdr:rowOff>0</xdr:rowOff>
                  </to>
                </anchor>
              </controlPr>
            </control>
          </mc:Choice>
        </mc:AlternateContent>
        <mc:AlternateContent xmlns:mc="http://schemas.openxmlformats.org/markup-compatibility/2006">
          <mc:Choice Requires="x14">
            <control shapeId="1620" r:id="rId186" name="DeleteBtn_145">
              <controlPr defaultSize="0" print="0" autoFill="0" autoPict="0" macro="[0]!DeleteCustomer">
                <anchor moveWithCells="1" sizeWithCells="1">
                  <from>
                    <xdr:col>39</xdr:col>
                    <xdr:colOff>0</xdr:colOff>
                    <xdr:row>145</xdr:row>
                    <xdr:rowOff>0</xdr:rowOff>
                  </from>
                  <to>
                    <xdr:col>40</xdr:col>
                    <xdr:colOff>0</xdr:colOff>
                    <xdr:row>146</xdr:row>
                    <xdr:rowOff>0</xdr:rowOff>
                  </to>
                </anchor>
              </controlPr>
            </control>
          </mc:Choice>
        </mc:AlternateContent>
        <mc:AlternateContent xmlns:mc="http://schemas.openxmlformats.org/markup-compatibility/2006">
          <mc:Choice Requires="x14">
            <control shapeId="1621" r:id="rId187" name="DeleteBtn_146">
              <controlPr defaultSize="0" print="0" autoFill="0" autoPict="0" macro="[0]!DeleteCustomer">
                <anchor moveWithCells="1" sizeWithCells="1">
                  <from>
                    <xdr:col>39</xdr:col>
                    <xdr:colOff>0</xdr:colOff>
                    <xdr:row>146</xdr:row>
                    <xdr:rowOff>0</xdr:rowOff>
                  </from>
                  <to>
                    <xdr:col>40</xdr:col>
                    <xdr:colOff>0</xdr:colOff>
                    <xdr:row>147</xdr:row>
                    <xdr:rowOff>0</xdr:rowOff>
                  </to>
                </anchor>
              </controlPr>
            </control>
          </mc:Choice>
        </mc:AlternateContent>
        <mc:AlternateContent xmlns:mc="http://schemas.openxmlformats.org/markup-compatibility/2006">
          <mc:Choice Requires="x14">
            <control shapeId="1622" r:id="rId188" name="DeleteBtn_147">
              <controlPr defaultSize="0" print="0" autoFill="0" autoPict="0" macro="[0]!DeleteCustomer">
                <anchor moveWithCells="1" sizeWithCells="1">
                  <from>
                    <xdr:col>39</xdr:col>
                    <xdr:colOff>0</xdr:colOff>
                    <xdr:row>147</xdr:row>
                    <xdr:rowOff>0</xdr:rowOff>
                  </from>
                  <to>
                    <xdr:col>40</xdr:col>
                    <xdr:colOff>0</xdr:colOff>
                    <xdr:row>148</xdr:row>
                    <xdr:rowOff>0</xdr:rowOff>
                  </to>
                </anchor>
              </controlPr>
            </control>
          </mc:Choice>
        </mc:AlternateContent>
        <mc:AlternateContent xmlns:mc="http://schemas.openxmlformats.org/markup-compatibility/2006">
          <mc:Choice Requires="x14">
            <control shapeId="1623" r:id="rId189" name="DeleteBtn_148">
              <controlPr defaultSize="0" print="0" autoFill="0" autoPict="0" macro="[0]!DeleteCustomer">
                <anchor moveWithCells="1" sizeWithCells="1">
                  <from>
                    <xdr:col>39</xdr:col>
                    <xdr:colOff>0</xdr:colOff>
                    <xdr:row>148</xdr:row>
                    <xdr:rowOff>0</xdr:rowOff>
                  </from>
                  <to>
                    <xdr:col>40</xdr:col>
                    <xdr:colOff>0</xdr:colOff>
                    <xdr:row>149</xdr:row>
                    <xdr:rowOff>0</xdr:rowOff>
                  </to>
                </anchor>
              </controlPr>
            </control>
          </mc:Choice>
        </mc:AlternateContent>
        <mc:AlternateContent xmlns:mc="http://schemas.openxmlformats.org/markup-compatibility/2006">
          <mc:Choice Requires="x14">
            <control shapeId="1624" r:id="rId190" name="DeleteBtn_149">
              <controlPr defaultSize="0" print="0" autoFill="0" autoPict="0" macro="[0]!DeleteCustomer">
                <anchor moveWithCells="1" sizeWithCells="1">
                  <from>
                    <xdr:col>39</xdr:col>
                    <xdr:colOff>0</xdr:colOff>
                    <xdr:row>149</xdr:row>
                    <xdr:rowOff>0</xdr:rowOff>
                  </from>
                  <to>
                    <xdr:col>40</xdr:col>
                    <xdr:colOff>0</xdr:colOff>
                    <xdr:row>150</xdr:row>
                    <xdr:rowOff>0</xdr:rowOff>
                  </to>
                </anchor>
              </controlPr>
            </control>
          </mc:Choice>
        </mc:AlternateContent>
        <mc:AlternateContent xmlns:mc="http://schemas.openxmlformats.org/markup-compatibility/2006">
          <mc:Choice Requires="x14">
            <control shapeId="1625" r:id="rId191" name="DeleteBtn_150">
              <controlPr defaultSize="0" print="0" autoFill="0" autoPict="0" macro="[0]!DeleteCustomer">
                <anchor moveWithCells="1" sizeWithCells="1">
                  <from>
                    <xdr:col>39</xdr:col>
                    <xdr:colOff>0</xdr:colOff>
                    <xdr:row>150</xdr:row>
                    <xdr:rowOff>0</xdr:rowOff>
                  </from>
                  <to>
                    <xdr:col>40</xdr:col>
                    <xdr:colOff>0</xdr:colOff>
                    <xdr:row>151</xdr:row>
                    <xdr:rowOff>0</xdr:rowOff>
                  </to>
                </anchor>
              </controlPr>
            </control>
          </mc:Choice>
        </mc:AlternateContent>
        <mc:AlternateContent xmlns:mc="http://schemas.openxmlformats.org/markup-compatibility/2006">
          <mc:Choice Requires="x14">
            <control shapeId="1626" r:id="rId192" name="DeleteBtn_151">
              <controlPr defaultSize="0" print="0" autoFill="0" autoPict="0" macro="[0]!DeleteCustomer">
                <anchor moveWithCells="1" sizeWithCells="1">
                  <from>
                    <xdr:col>39</xdr:col>
                    <xdr:colOff>0</xdr:colOff>
                    <xdr:row>151</xdr:row>
                    <xdr:rowOff>0</xdr:rowOff>
                  </from>
                  <to>
                    <xdr:col>40</xdr:col>
                    <xdr:colOff>0</xdr:colOff>
                    <xdr:row>152</xdr:row>
                    <xdr:rowOff>0</xdr:rowOff>
                  </to>
                </anchor>
              </controlPr>
            </control>
          </mc:Choice>
        </mc:AlternateContent>
        <mc:AlternateContent xmlns:mc="http://schemas.openxmlformats.org/markup-compatibility/2006">
          <mc:Choice Requires="x14">
            <control shapeId="1627" r:id="rId193" name="DeleteBtn_152">
              <controlPr defaultSize="0" print="0" autoFill="0" autoPict="0" macro="[0]!DeleteCustomer">
                <anchor moveWithCells="1" sizeWithCells="1">
                  <from>
                    <xdr:col>39</xdr:col>
                    <xdr:colOff>0</xdr:colOff>
                    <xdr:row>152</xdr:row>
                    <xdr:rowOff>0</xdr:rowOff>
                  </from>
                  <to>
                    <xdr:col>40</xdr:col>
                    <xdr:colOff>0</xdr:colOff>
                    <xdr:row>153</xdr:row>
                    <xdr:rowOff>0</xdr:rowOff>
                  </to>
                </anchor>
              </controlPr>
            </control>
          </mc:Choice>
        </mc:AlternateContent>
        <mc:AlternateContent xmlns:mc="http://schemas.openxmlformats.org/markup-compatibility/2006">
          <mc:Choice Requires="x14">
            <control shapeId="1628" r:id="rId194" name="DeleteBtn_153">
              <controlPr defaultSize="0" print="0" autoFill="0" autoPict="0" macro="[0]!DeleteCustomer">
                <anchor moveWithCells="1" sizeWithCells="1">
                  <from>
                    <xdr:col>39</xdr:col>
                    <xdr:colOff>0</xdr:colOff>
                    <xdr:row>153</xdr:row>
                    <xdr:rowOff>0</xdr:rowOff>
                  </from>
                  <to>
                    <xdr:col>40</xdr:col>
                    <xdr:colOff>0</xdr:colOff>
                    <xdr:row>154</xdr:row>
                    <xdr:rowOff>0</xdr:rowOff>
                  </to>
                </anchor>
              </controlPr>
            </control>
          </mc:Choice>
        </mc:AlternateContent>
        <mc:AlternateContent xmlns:mc="http://schemas.openxmlformats.org/markup-compatibility/2006">
          <mc:Choice Requires="x14">
            <control shapeId="1629" r:id="rId195" name="DeleteBtn_154">
              <controlPr defaultSize="0" print="0" autoFill="0" autoPict="0" macro="[0]!DeleteCustomer">
                <anchor moveWithCells="1" sizeWithCells="1">
                  <from>
                    <xdr:col>39</xdr:col>
                    <xdr:colOff>0</xdr:colOff>
                    <xdr:row>154</xdr:row>
                    <xdr:rowOff>0</xdr:rowOff>
                  </from>
                  <to>
                    <xdr:col>40</xdr:col>
                    <xdr:colOff>0</xdr:colOff>
                    <xdr:row>155</xdr:row>
                    <xdr:rowOff>0</xdr:rowOff>
                  </to>
                </anchor>
              </controlPr>
            </control>
          </mc:Choice>
        </mc:AlternateContent>
        <mc:AlternateContent xmlns:mc="http://schemas.openxmlformats.org/markup-compatibility/2006">
          <mc:Choice Requires="x14">
            <control shapeId="1630" r:id="rId196" name="DeleteBtn_155">
              <controlPr defaultSize="0" print="0" autoFill="0" autoPict="0" macro="[0]!DeleteCustomer">
                <anchor moveWithCells="1" sizeWithCells="1">
                  <from>
                    <xdr:col>39</xdr:col>
                    <xdr:colOff>0</xdr:colOff>
                    <xdr:row>155</xdr:row>
                    <xdr:rowOff>0</xdr:rowOff>
                  </from>
                  <to>
                    <xdr:col>40</xdr:col>
                    <xdr:colOff>0</xdr:colOff>
                    <xdr:row>156</xdr:row>
                    <xdr:rowOff>0</xdr:rowOff>
                  </to>
                </anchor>
              </controlPr>
            </control>
          </mc:Choice>
        </mc:AlternateContent>
        <mc:AlternateContent xmlns:mc="http://schemas.openxmlformats.org/markup-compatibility/2006">
          <mc:Choice Requires="x14">
            <control shapeId="1631" r:id="rId197" name="DeleteBtn_156">
              <controlPr defaultSize="0" print="0" autoFill="0" autoPict="0" macro="[0]!DeleteCustomer">
                <anchor moveWithCells="1" sizeWithCells="1">
                  <from>
                    <xdr:col>39</xdr:col>
                    <xdr:colOff>0</xdr:colOff>
                    <xdr:row>156</xdr:row>
                    <xdr:rowOff>0</xdr:rowOff>
                  </from>
                  <to>
                    <xdr:col>40</xdr:col>
                    <xdr:colOff>0</xdr:colOff>
                    <xdr:row>157</xdr:row>
                    <xdr:rowOff>0</xdr:rowOff>
                  </to>
                </anchor>
              </controlPr>
            </control>
          </mc:Choice>
        </mc:AlternateContent>
        <mc:AlternateContent xmlns:mc="http://schemas.openxmlformats.org/markup-compatibility/2006">
          <mc:Choice Requires="x14">
            <control shapeId="1632" r:id="rId198" name="DeleteBtn_157">
              <controlPr defaultSize="0" print="0" autoFill="0" autoPict="0" macro="[0]!DeleteCustomer">
                <anchor moveWithCells="1" sizeWithCells="1">
                  <from>
                    <xdr:col>39</xdr:col>
                    <xdr:colOff>0</xdr:colOff>
                    <xdr:row>157</xdr:row>
                    <xdr:rowOff>0</xdr:rowOff>
                  </from>
                  <to>
                    <xdr:col>40</xdr:col>
                    <xdr:colOff>0</xdr:colOff>
                    <xdr:row>158</xdr:row>
                    <xdr:rowOff>0</xdr:rowOff>
                  </to>
                </anchor>
              </controlPr>
            </control>
          </mc:Choice>
        </mc:AlternateContent>
        <mc:AlternateContent xmlns:mc="http://schemas.openxmlformats.org/markup-compatibility/2006">
          <mc:Choice Requires="x14">
            <control shapeId="1633" r:id="rId199" name="DeleteBtn_158">
              <controlPr defaultSize="0" print="0" autoFill="0" autoPict="0" macro="[0]!DeleteCustomer">
                <anchor moveWithCells="1" sizeWithCells="1">
                  <from>
                    <xdr:col>39</xdr:col>
                    <xdr:colOff>0</xdr:colOff>
                    <xdr:row>158</xdr:row>
                    <xdr:rowOff>0</xdr:rowOff>
                  </from>
                  <to>
                    <xdr:col>40</xdr:col>
                    <xdr:colOff>0</xdr:colOff>
                    <xdr:row>159</xdr:row>
                    <xdr:rowOff>0</xdr:rowOff>
                  </to>
                </anchor>
              </controlPr>
            </control>
          </mc:Choice>
        </mc:AlternateContent>
        <mc:AlternateContent xmlns:mc="http://schemas.openxmlformats.org/markup-compatibility/2006">
          <mc:Choice Requires="x14">
            <control shapeId="1634" r:id="rId200" name="DeleteBtn_159">
              <controlPr defaultSize="0" print="0" autoFill="0" autoPict="0" macro="[0]!DeleteCustomer">
                <anchor moveWithCells="1" sizeWithCells="1">
                  <from>
                    <xdr:col>39</xdr:col>
                    <xdr:colOff>0</xdr:colOff>
                    <xdr:row>159</xdr:row>
                    <xdr:rowOff>0</xdr:rowOff>
                  </from>
                  <to>
                    <xdr:col>40</xdr:col>
                    <xdr:colOff>0</xdr:colOff>
                    <xdr:row>160</xdr:row>
                    <xdr:rowOff>0</xdr:rowOff>
                  </to>
                </anchor>
              </controlPr>
            </control>
          </mc:Choice>
        </mc:AlternateContent>
        <mc:AlternateContent xmlns:mc="http://schemas.openxmlformats.org/markup-compatibility/2006">
          <mc:Choice Requires="x14">
            <control shapeId="1635" r:id="rId201" name="DeleteBtn_160">
              <controlPr defaultSize="0" print="0" autoFill="0" autoPict="0" macro="[0]!DeleteCustomer">
                <anchor moveWithCells="1" sizeWithCells="1">
                  <from>
                    <xdr:col>39</xdr:col>
                    <xdr:colOff>0</xdr:colOff>
                    <xdr:row>160</xdr:row>
                    <xdr:rowOff>0</xdr:rowOff>
                  </from>
                  <to>
                    <xdr:col>40</xdr:col>
                    <xdr:colOff>0</xdr:colOff>
                    <xdr:row>161</xdr:row>
                    <xdr:rowOff>0</xdr:rowOff>
                  </to>
                </anchor>
              </controlPr>
            </control>
          </mc:Choice>
        </mc:AlternateContent>
        <mc:AlternateContent xmlns:mc="http://schemas.openxmlformats.org/markup-compatibility/2006">
          <mc:Choice Requires="x14">
            <control shapeId="1636" r:id="rId202" name="DeleteBtn_161">
              <controlPr defaultSize="0" print="0" autoFill="0" autoPict="0" macro="[0]!DeleteCustomer">
                <anchor moveWithCells="1" sizeWithCells="1">
                  <from>
                    <xdr:col>39</xdr:col>
                    <xdr:colOff>0</xdr:colOff>
                    <xdr:row>161</xdr:row>
                    <xdr:rowOff>0</xdr:rowOff>
                  </from>
                  <to>
                    <xdr:col>40</xdr:col>
                    <xdr:colOff>0</xdr:colOff>
                    <xdr:row>162</xdr:row>
                    <xdr:rowOff>0</xdr:rowOff>
                  </to>
                </anchor>
              </controlPr>
            </control>
          </mc:Choice>
        </mc:AlternateContent>
        <mc:AlternateContent xmlns:mc="http://schemas.openxmlformats.org/markup-compatibility/2006">
          <mc:Choice Requires="x14">
            <control shapeId="1637" r:id="rId203" name="DeleteBtn_162">
              <controlPr defaultSize="0" print="0" autoFill="0" autoPict="0" macro="[0]!DeleteCustomer">
                <anchor moveWithCells="1" sizeWithCells="1">
                  <from>
                    <xdr:col>39</xdr:col>
                    <xdr:colOff>0</xdr:colOff>
                    <xdr:row>162</xdr:row>
                    <xdr:rowOff>0</xdr:rowOff>
                  </from>
                  <to>
                    <xdr:col>40</xdr:col>
                    <xdr:colOff>0</xdr:colOff>
                    <xdr:row>163</xdr:row>
                    <xdr:rowOff>0</xdr:rowOff>
                  </to>
                </anchor>
              </controlPr>
            </control>
          </mc:Choice>
        </mc:AlternateContent>
        <mc:AlternateContent xmlns:mc="http://schemas.openxmlformats.org/markup-compatibility/2006">
          <mc:Choice Requires="x14">
            <control shapeId="1638" r:id="rId204" name="DeleteBtn_163">
              <controlPr defaultSize="0" print="0" autoFill="0" autoPict="0" macro="[0]!DeleteCustomer">
                <anchor moveWithCells="1" sizeWithCells="1">
                  <from>
                    <xdr:col>39</xdr:col>
                    <xdr:colOff>0</xdr:colOff>
                    <xdr:row>163</xdr:row>
                    <xdr:rowOff>0</xdr:rowOff>
                  </from>
                  <to>
                    <xdr:col>40</xdr:col>
                    <xdr:colOff>0</xdr:colOff>
                    <xdr:row>164</xdr:row>
                    <xdr:rowOff>0</xdr:rowOff>
                  </to>
                </anchor>
              </controlPr>
            </control>
          </mc:Choice>
        </mc:AlternateContent>
        <mc:AlternateContent xmlns:mc="http://schemas.openxmlformats.org/markup-compatibility/2006">
          <mc:Choice Requires="x14">
            <control shapeId="1639" r:id="rId205" name="DeleteBtn_164">
              <controlPr defaultSize="0" print="0" autoFill="0" autoPict="0" macro="[0]!DeleteCustomer">
                <anchor moveWithCells="1" sizeWithCells="1">
                  <from>
                    <xdr:col>39</xdr:col>
                    <xdr:colOff>0</xdr:colOff>
                    <xdr:row>164</xdr:row>
                    <xdr:rowOff>0</xdr:rowOff>
                  </from>
                  <to>
                    <xdr:col>40</xdr:col>
                    <xdr:colOff>0</xdr:colOff>
                    <xdr:row>165</xdr:row>
                    <xdr:rowOff>0</xdr:rowOff>
                  </to>
                </anchor>
              </controlPr>
            </control>
          </mc:Choice>
        </mc:AlternateContent>
        <mc:AlternateContent xmlns:mc="http://schemas.openxmlformats.org/markup-compatibility/2006">
          <mc:Choice Requires="x14">
            <control shapeId="1640" r:id="rId206" name="DeleteBtn_165">
              <controlPr defaultSize="0" print="0" autoFill="0" autoPict="0" macro="[0]!DeleteCustomer">
                <anchor moveWithCells="1" sizeWithCells="1">
                  <from>
                    <xdr:col>39</xdr:col>
                    <xdr:colOff>0</xdr:colOff>
                    <xdr:row>165</xdr:row>
                    <xdr:rowOff>0</xdr:rowOff>
                  </from>
                  <to>
                    <xdr:col>40</xdr:col>
                    <xdr:colOff>0</xdr:colOff>
                    <xdr:row>166</xdr:row>
                    <xdr:rowOff>0</xdr:rowOff>
                  </to>
                </anchor>
              </controlPr>
            </control>
          </mc:Choice>
        </mc:AlternateContent>
        <mc:AlternateContent xmlns:mc="http://schemas.openxmlformats.org/markup-compatibility/2006">
          <mc:Choice Requires="x14">
            <control shapeId="1642" r:id="rId207" name="DeleteBtn_167">
              <controlPr defaultSize="0" print="0" autoFill="0" autoPict="0" macro="[0]!DeleteCustomer">
                <anchor moveWithCells="1" sizeWithCells="1">
                  <from>
                    <xdr:col>39</xdr:col>
                    <xdr:colOff>0</xdr:colOff>
                    <xdr:row>167</xdr:row>
                    <xdr:rowOff>0</xdr:rowOff>
                  </from>
                  <to>
                    <xdr:col>40</xdr:col>
                    <xdr:colOff>0</xdr:colOff>
                    <xdr:row>168</xdr:row>
                    <xdr:rowOff>0</xdr:rowOff>
                  </to>
                </anchor>
              </controlPr>
            </control>
          </mc:Choice>
        </mc:AlternateContent>
        <mc:AlternateContent xmlns:mc="http://schemas.openxmlformats.org/markup-compatibility/2006">
          <mc:Choice Requires="x14">
            <control shapeId="1643" r:id="rId208" name="DeleteBtn_168">
              <controlPr defaultSize="0" print="0" autoFill="0" autoPict="0" macro="[0]!DeleteCustomer">
                <anchor moveWithCells="1" sizeWithCells="1">
                  <from>
                    <xdr:col>39</xdr:col>
                    <xdr:colOff>0</xdr:colOff>
                    <xdr:row>169</xdr:row>
                    <xdr:rowOff>0</xdr:rowOff>
                  </from>
                  <to>
                    <xdr:col>40</xdr:col>
                    <xdr:colOff>0</xdr:colOff>
                    <xdr:row>170</xdr:row>
                    <xdr:rowOff>0</xdr:rowOff>
                  </to>
                </anchor>
              </controlPr>
            </control>
          </mc:Choice>
        </mc:AlternateContent>
        <mc:AlternateContent xmlns:mc="http://schemas.openxmlformats.org/markup-compatibility/2006">
          <mc:Choice Requires="x14">
            <control shapeId="1644" r:id="rId209" name="DeleteBtn_169">
              <controlPr defaultSize="0" print="0" autoFill="0" autoPict="0" macro="[0]!DeleteCustomer">
                <anchor moveWithCells="1" sizeWithCells="1">
                  <from>
                    <xdr:col>39</xdr:col>
                    <xdr:colOff>0</xdr:colOff>
                    <xdr:row>170</xdr:row>
                    <xdr:rowOff>0</xdr:rowOff>
                  </from>
                  <to>
                    <xdr:col>40</xdr:col>
                    <xdr:colOff>0</xdr:colOff>
                    <xdr:row>171</xdr:row>
                    <xdr:rowOff>0</xdr:rowOff>
                  </to>
                </anchor>
              </controlPr>
            </control>
          </mc:Choice>
        </mc:AlternateContent>
        <mc:AlternateContent xmlns:mc="http://schemas.openxmlformats.org/markup-compatibility/2006">
          <mc:Choice Requires="x14">
            <control shapeId="1645" r:id="rId210" name="DeleteBtn_170">
              <controlPr defaultSize="0" print="0" autoFill="0" autoPict="0" macro="[0]!DeleteCustomer">
                <anchor moveWithCells="1" sizeWithCells="1">
                  <from>
                    <xdr:col>39</xdr:col>
                    <xdr:colOff>0</xdr:colOff>
                    <xdr:row>171</xdr:row>
                    <xdr:rowOff>0</xdr:rowOff>
                  </from>
                  <to>
                    <xdr:col>40</xdr:col>
                    <xdr:colOff>0</xdr:colOff>
                    <xdr:row>172</xdr:row>
                    <xdr:rowOff>0</xdr:rowOff>
                  </to>
                </anchor>
              </controlPr>
            </control>
          </mc:Choice>
        </mc:AlternateContent>
        <mc:AlternateContent xmlns:mc="http://schemas.openxmlformats.org/markup-compatibility/2006">
          <mc:Choice Requires="x14">
            <control shapeId="1646" r:id="rId211" name="DeleteBtn_171">
              <controlPr defaultSize="0" print="0" autoFill="0" autoPict="0" macro="[0]!DeleteCustomer">
                <anchor moveWithCells="1" sizeWithCells="1">
                  <from>
                    <xdr:col>39</xdr:col>
                    <xdr:colOff>0</xdr:colOff>
                    <xdr:row>172</xdr:row>
                    <xdr:rowOff>0</xdr:rowOff>
                  </from>
                  <to>
                    <xdr:col>40</xdr:col>
                    <xdr:colOff>0</xdr:colOff>
                    <xdr:row>173</xdr:row>
                    <xdr:rowOff>0</xdr:rowOff>
                  </to>
                </anchor>
              </controlPr>
            </control>
          </mc:Choice>
        </mc:AlternateContent>
        <mc:AlternateContent xmlns:mc="http://schemas.openxmlformats.org/markup-compatibility/2006">
          <mc:Choice Requires="x14">
            <control shapeId="1647" r:id="rId212" name="DeleteBtn_172">
              <controlPr defaultSize="0" print="0" autoFill="0" autoPict="0" macro="[0]!DeleteCustomer">
                <anchor moveWithCells="1" sizeWithCells="1">
                  <from>
                    <xdr:col>39</xdr:col>
                    <xdr:colOff>0</xdr:colOff>
                    <xdr:row>173</xdr:row>
                    <xdr:rowOff>0</xdr:rowOff>
                  </from>
                  <to>
                    <xdr:col>40</xdr:col>
                    <xdr:colOff>0</xdr:colOff>
                    <xdr:row>174</xdr:row>
                    <xdr:rowOff>0</xdr:rowOff>
                  </to>
                </anchor>
              </controlPr>
            </control>
          </mc:Choice>
        </mc:AlternateContent>
        <mc:AlternateContent xmlns:mc="http://schemas.openxmlformats.org/markup-compatibility/2006">
          <mc:Choice Requires="x14">
            <control shapeId="1648" r:id="rId213" name="DeleteBtn_173">
              <controlPr defaultSize="0" print="0" autoFill="0" autoPict="0" macro="[0]!DeleteCustomer">
                <anchor moveWithCells="1" sizeWithCells="1">
                  <from>
                    <xdr:col>39</xdr:col>
                    <xdr:colOff>0</xdr:colOff>
                    <xdr:row>174</xdr:row>
                    <xdr:rowOff>0</xdr:rowOff>
                  </from>
                  <to>
                    <xdr:col>40</xdr:col>
                    <xdr:colOff>0</xdr:colOff>
                    <xdr:row>175</xdr:row>
                    <xdr:rowOff>0</xdr:rowOff>
                  </to>
                </anchor>
              </controlPr>
            </control>
          </mc:Choice>
        </mc:AlternateContent>
        <mc:AlternateContent xmlns:mc="http://schemas.openxmlformats.org/markup-compatibility/2006">
          <mc:Choice Requires="x14">
            <control shapeId="1649" r:id="rId214" name="DeleteBtn_174">
              <controlPr defaultSize="0" print="0" autoFill="0" autoPict="0" macro="[0]!DeleteCustomer">
                <anchor moveWithCells="1" sizeWithCells="1">
                  <from>
                    <xdr:col>39</xdr:col>
                    <xdr:colOff>0</xdr:colOff>
                    <xdr:row>175</xdr:row>
                    <xdr:rowOff>0</xdr:rowOff>
                  </from>
                  <to>
                    <xdr:col>40</xdr:col>
                    <xdr:colOff>0</xdr:colOff>
                    <xdr:row>176</xdr:row>
                    <xdr:rowOff>0</xdr:rowOff>
                  </to>
                </anchor>
              </controlPr>
            </control>
          </mc:Choice>
        </mc:AlternateContent>
        <mc:AlternateContent xmlns:mc="http://schemas.openxmlformats.org/markup-compatibility/2006">
          <mc:Choice Requires="x14">
            <control shapeId="1650" r:id="rId215" name="DeleteBtn_175">
              <controlPr defaultSize="0" print="0" autoFill="0" autoPict="0" macro="[0]!DeleteCustomer">
                <anchor moveWithCells="1" sizeWithCells="1">
                  <from>
                    <xdr:col>39</xdr:col>
                    <xdr:colOff>0</xdr:colOff>
                    <xdr:row>176</xdr:row>
                    <xdr:rowOff>0</xdr:rowOff>
                  </from>
                  <to>
                    <xdr:col>40</xdr:col>
                    <xdr:colOff>0</xdr:colOff>
                    <xdr:row>177</xdr:row>
                    <xdr:rowOff>0</xdr:rowOff>
                  </to>
                </anchor>
              </controlPr>
            </control>
          </mc:Choice>
        </mc:AlternateContent>
        <mc:AlternateContent xmlns:mc="http://schemas.openxmlformats.org/markup-compatibility/2006">
          <mc:Choice Requires="x14">
            <control shapeId="1651" r:id="rId216" name="DeleteBtn_176">
              <controlPr defaultSize="0" print="0" autoFill="0" autoPict="0" macro="[0]!DeleteCustomer">
                <anchor moveWithCells="1" sizeWithCells="1">
                  <from>
                    <xdr:col>39</xdr:col>
                    <xdr:colOff>0</xdr:colOff>
                    <xdr:row>177</xdr:row>
                    <xdr:rowOff>0</xdr:rowOff>
                  </from>
                  <to>
                    <xdr:col>40</xdr:col>
                    <xdr:colOff>0</xdr:colOff>
                    <xdr:row>178</xdr:row>
                    <xdr:rowOff>0</xdr:rowOff>
                  </to>
                </anchor>
              </controlPr>
            </control>
          </mc:Choice>
        </mc:AlternateContent>
        <mc:AlternateContent xmlns:mc="http://schemas.openxmlformats.org/markup-compatibility/2006">
          <mc:Choice Requires="x14">
            <control shapeId="1652" r:id="rId217" name="DeleteBtn_177">
              <controlPr defaultSize="0" print="0" autoFill="0" autoPict="0" macro="[0]!DeleteCustomer">
                <anchor moveWithCells="1" sizeWithCells="1">
                  <from>
                    <xdr:col>39</xdr:col>
                    <xdr:colOff>0</xdr:colOff>
                    <xdr:row>178</xdr:row>
                    <xdr:rowOff>0</xdr:rowOff>
                  </from>
                  <to>
                    <xdr:col>40</xdr:col>
                    <xdr:colOff>0</xdr:colOff>
                    <xdr:row>179</xdr:row>
                    <xdr:rowOff>0</xdr:rowOff>
                  </to>
                </anchor>
              </controlPr>
            </control>
          </mc:Choice>
        </mc:AlternateContent>
        <mc:AlternateContent xmlns:mc="http://schemas.openxmlformats.org/markup-compatibility/2006">
          <mc:Choice Requires="x14">
            <control shapeId="1653" r:id="rId218" name="DeleteBtn_178">
              <controlPr defaultSize="0" print="0" autoFill="0" autoPict="0" macro="[0]!DeleteCustomer">
                <anchor moveWithCells="1" sizeWithCells="1">
                  <from>
                    <xdr:col>39</xdr:col>
                    <xdr:colOff>0</xdr:colOff>
                    <xdr:row>179</xdr:row>
                    <xdr:rowOff>0</xdr:rowOff>
                  </from>
                  <to>
                    <xdr:col>40</xdr:col>
                    <xdr:colOff>0</xdr:colOff>
                    <xdr:row>180</xdr:row>
                    <xdr:rowOff>0</xdr:rowOff>
                  </to>
                </anchor>
              </controlPr>
            </control>
          </mc:Choice>
        </mc:AlternateContent>
        <mc:AlternateContent xmlns:mc="http://schemas.openxmlformats.org/markup-compatibility/2006">
          <mc:Choice Requires="x14">
            <control shapeId="1654" r:id="rId219" name="DeleteBtn_179">
              <controlPr defaultSize="0" print="0" autoFill="0" autoPict="0" macro="[0]!DeleteCustomer">
                <anchor moveWithCells="1" sizeWithCells="1">
                  <from>
                    <xdr:col>39</xdr:col>
                    <xdr:colOff>0</xdr:colOff>
                    <xdr:row>180</xdr:row>
                    <xdr:rowOff>0</xdr:rowOff>
                  </from>
                  <to>
                    <xdr:col>40</xdr:col>
                    <xdr:colOff>0</xdr:colOff>
                    <xdr:row>181</xdr:row>
                    <xdr:rowOff>0</xdr:rowOff>
                  </to>
                </anchor>
              </controlPr>
            </control>
          </mc:Choice>
        </mc:AlternateContent>
        <mc:AlternateContent xmlns:mc="http://schemas.openxmlformats.org/markup-compatibility/2006">
          <mc:Choice Requires="x14">
            <control shapeId="1655" r:id="rId220" name="DeleteBtn_180">
              <controlPr defaultSize="0" print="0" autoFill="0" autoPict="0" macro="[0]!DeleteCustomer">
                <anchor moveWithCells="1" sizeWithCells="1">
                  <from>
                    <xdr:col>39</xdr:col>
                    <xdr:colOff>0</xdr:colOff>
                    <xdr:row>181</xdr:row>
                    <xdr:rowOff>0</xdr:rowOff>
                  </from>
                  <to>
                    <xdr:col>40</xdr:col>
                    <xdr:colOff>0</xdr:colOff>
                    <xdr:row>182</xdr:row>
                    <xdr:rowOff>0</xdr:rowOff>
                  </to>
                </anchor>
              </controlPr>
            </control>
          </mc:Choice>
        </mc:AlternateContent>
        <mc:AlternateContent xmlns:mc="http://schemas.openxmlformats.org/markup-compatibility/2006">
          <mc:Choice Requires="x14">
            <control shapeId="1656" r:id="rId221" name="DeleteBtn_181">
              <controlPr defaultSize="0" print="0" autoFill="0" autoPict="0" macro="[0]!DeleteCustomer">
                <anchor moveWithCells="1" sizeWithCells="1">
                  <from>
                    <xdr:col>39</xdr:col>
                    <xdr:colOff>0</xdr:colOff>
                    <xdr:row>182</xdr:row>
                    <xdr:rowOff>0</xdr:rowOff>
                  </from>
                  <to>
                    <xdr:col>40</xdr:col>
                    <xdr:colOff>0</xdr:colOff>
                    <xdr:row>183</xdr:row>
                    <xdr:rowOff>0</xdr:rowOff>
                  </to>
                </anchor>
              </controlPr>
            </control>
          </mc:Choice>
        </mc:AlternateContent>
        <mc:AlternateContent xmlns:mc="http://schemas.openxmlformats.org/markup-compatibility/2006">
          <mc:Choice Requires="x14">
            <control shapeId="1657" r:id="rId222" name="DeleteBtn_182">
              <controlPr defaultSize="0" print="0" autoFill="0" autoPict="0" macro="[0]!DeleteCustomer">
                <anchor moveWithCells="1" sizeWithCells="1">
                  <from>
                    <xdr:col>39</xdr:col>
                    <xdr:colOff>0</xdr:colOff>
                    <xdr:row>183</xdr:row>
                    <xdr:rowOff>0</xdr:rowOff>
                  </from>
                  <to>
                    <xdr:col>40</xdr:col>
                    <xdr:colOff>0</xdr:colOff>
                    <xdr:row>184</xdr:row>
                    <xdr:rowOff>0</xdr:rowOff>
                  </to>
                </anchor>
              </controlPr>
            </control>
          </mc:Choice>
        </mc:AlternateContent>
        <mc:AlternateContent xmlns:mc="http://schemas.openxmlformats.org/markup-compatibility/2006">
          <mc:Choice Requires="x14">
            <control shapeId="1659" r:id="rId223" name="DeleteBtn_184">
              <controlPr defaultSize="0" print="0" autoFill="0" autoPict="0" macro="[0]!DeleteCustomer">
                <anchor moveWithCells="1" sizeWithCells="1">
                  <from>
                    <xdr:col>39</xdr:col>
                    <xdr:colOff>0</xdr:colOff>
                    <xdr:row>184</xdr:row>
                    <xdr:rowOff>0</xdr:rowOff>
                  </from>
                  <to>
                    <xdr:col>40</xdr:col>
                    <xdr:colOff>0</xdr:colOff>
                    <xdr:row>185</xdr:row>
                    <xdr:rowOff>0</xdr:rowOff>
                  </to>
                </anchor>
              </controlPr>
            </control>
          </mc:Choice>
        </mc:AlternateContent>
        <mc:AlternateContent xmlns:mc="http://schemas.openxmlformats.org/markup-compatibility/2006">
          <mc:Choice Requires="x14">
            <control shapeId="1660" r:id="rId224" name="DeleteBtn_185">
              <controlPr defaultSize="0" print="0" autoFill="0" autoPict="0" macro="[0]!DeleteCustomer">
                <anchor moveWithCells="1" sizeWithCells="1">
                  <from>
                    <xdr:col>39</xdr:col>
                    <xdr:colOff>0</xdr:colOff>
                    <xdr:row>185</xdr:row>
                    <xdr:rowOff>0</xdr:rowOff>
                  </from>
                  <to>
                    <xdr:col>40</xdr:col>
                    <xdr:colOff>0</xdr:colOff>
                    <xdr:row>186</xdr:row>
                    <xdr:rowOff>0</xdr:rowOff>
                  </to>
                </anchor>
              </controlPr>
            </control>
          </mc:Choice>
        </mc:AlternateContent>
        <mc:AlternateContent xmlns:mc="http://schemas.openxmlformats.org/markup-compatibility/2006">
          <mc:Choice Requires="x14">
            <control shapeId="1661" r:id="rId225" name="DeleteBtn_186">
              <controlPr defaultSize="0" print="0" autoFill="0" autoPict="0" macro="[0]!DeleteCustomer">
                <anchor moveWithCells="1" sizeWithCells="1">
                  <from>
                    <xdr:col>39</xdr:col>
                    <xdr:colOff>0</xdr:colOff>
                    <xdr:row>186</xdr:row>
                    <xdr:rowOff>0</xdr:rowOff>
                  </from>
                  <to>
                    <xdr:col>40</xdr:col>
                    <xdr:colOff>0</xdr:colOff>
                    <xdr:row>187</xdr:row>
                    <xdr:rowOff>0</xdr:rowOff>
                  </to>
                </anchor>
              </controlPr>
            </control>
          </mc:Choice>
        </mc:AlternateContent>
        <mc:AlternateContent xmlns:mc="http://schemas.openxmlformats.org/markup-compatibility/2006">
          <mc:Choice Requires="x14">
            <control shapeId="1662" r:id="rId226" name="DeleteBtn_187">
              <controlPr defaultSize="0" print="0" autoFill="0" autoPict="0" macro="[0]!DeleteCustomer">
                <anchor moveWithCells="1" sizeWithCells="1">
                  <from>
                    <xdr:col>39</xdr:col>
                    <xdr:colOff>0</xdr:colOff>
                    <xdr:row>187</xdr:row>
                    <xdr:rowOff>0</xdr:rowOff>
                  </from>
                  <to>
                    <xdr:col>40</xdr:col>
                    <xdr:colOff>0</xdr:colOff>
                    <xdr:row>188</xdr:row>
                    <xdr:rowOff>0</xdr:rowOff>
                  </to>
                </anchor>
              </controlPr>
            </control>
          </mc:Choice>
        </mc:AlternateContent>
        <mc:AlternateContent xmlns:mc="http://schemas.openxmlformats.org/markup-compatibility/2006">
          <mc:Choice Requires="x14">
            <control shapeId="1663" r:id="rId227" name="DeleteBtn_188">
              <controlPr defaultSize="0" print="0" autoFill="0" autoPict="0" macro="[0]!DeleteCustomer">
                <anchor moveWithCells="1" sizeWithCells="1">
                  <from>
                    <xdr:col>39</xdr:col>
                    <xdr:colOff>0</xdr:colOff>
                    <xdr:row>188</xdr:row>
                    <xdr:rowOff>0</xdr:rowOff>
                  </from>
                  <to>
                    <xdr:col>40</xdr:col>
                    <xdr:colOff>0</xdr:colOff>
                    <xdr:row>189</xdr:row>
                    <xdr:rowOff>0</xdr:rowOff>
                  </to>
                </anchor>
              </controlPr>
            </control>
          </mc:Choice>
        </mc:AlternateContent>
        <mc:AlternateContent xmlns:mc="http://schemas.openxmlformats.org/markup-compatibility/2006">
          <mc:Choice Requires="x14">
            <control shapeId="1664" r:id="rId228" name="DeleteBtn_189">
              <controlPr defaultSize="0" print="0" autoFill="0" autoPict="0" macro="[0]!DeleteCustomer">
                <anchor moveWithCells="1" sizeWithCells="1">
                  <from>
                    <xdr:col>39</xdr:col>
                    <xdr:colOff>0</xdr:colOff>
                    <xdr:row>189</xdr:row>
                    <xdr:rowOff>0</xdr:rowOff>
                  </from>
                  <to>
                    <xdr:col>40</xdr:col>
                    <xdr:colOff>0</xdr:colOff>
                    <xdr:row>190</xdr:row>
                    <xdr:rowOff>0</xdr:rowOff>
                  </to>
                </anchor>
              </controlPr>
            </control>
          </mc:Choice>
        </mc:AlternateContent>
        <mc:AlternateContent xmlns:mc="http://schemas.openxmlformats.org/markup-compatibility/2006">
          <mc:Choice Requires="x14">
            <control shapeId="1665" r:id="rId229" name="DeleteBtn_190">
              <controlPr defaultSize="0" print="0" autoFill="0" autoPict="0" macro="[0]!DeleteCustomer">
                <anchor moveWithCells="1" sizeWithCells="1">
                  <from>
                    <xdr:col>39</xdr:col>
                    <xdr:colOff>0</xdr:colOff>
                    <xdr:row>190</xdr:row>
                    <xdr:rowOff>0</xdr:rowOff>
                  </from>
                  <to>
                    <xdr:col>40</xdr:col>
                    <xdr:colOff>0</xdr:colOff>
                    <xdr:row>191</xdr:row>
                    <xdr:rowOff>0</xdr:rowOff>
                  </to>
                </anchor>
              </controlPr>
            </control>
          </mc:Choice>
        </mc:AlternateContent>
        <mc:AlternateContent xmlns:mc="http://schemas.openxmlformats.org/markup-compatibility/2006">
          <mc:Choice Requires="x14">
            <control shapeId="1666" r:id="rId230" name="DeleteBtn_191">
              <controlPr defaultSize="0" print="0" autoFill="0" autoPict="0" macro="[0]!DeleteCustomer">
                <anchor moveWithCells="1" sizeWithCells="1">
                  <from>
                    <xdr:col>39</xdr:col>
                    <xdr:colOff>0</xdr:colOff>
                    <xdr:row>191</xdr:row>
                    <xdr:rowOff>0</xdr:rowOff>
                  </from>
                  <to>
                    <xdr:col>40</xdr:col>
                    <xdr:colOff>0</xdr:colOff>
                    <xdr:row>192</xdr:row>
                    <xdr:rowOff>0</xdr:rowOff>
                  </to>
                </anchor>
              </controlPr>
            </control>
          </mc:Choice>
        </mc:AlternateContent>
        <mc:AlternateContent xmlns:mc="http://schemas.openxmlformats.org/markup-compatibility/2006">
          <mc:Choice Requires="x14">
            <control shapeId="1667" r:id="rId231" name="DeleteBtn_192">
              <controlPr defaultSize="0" print="0" autoFill="0" autoPict="0" macro="[0]!DeleteCustomer">
                <anchor moveWithCells="1" sizeWithCells="1">
                  <from>
                    <xdr:col>39</xdr:col>
                    <xdr:colOff>0</xdr:colOff>
                    <xdr:row>192</xdr:row>
                    <xdr:rowOff>0</xdr:rowOff>
                  </from>
                  <to>
                    <xdr:col>40</xdr:col>
                    <xdr:colOff>0</xdr:colOff>
                    <xdr:row>193</xdr:row>
                    <xdr:rowOff>0</xdr:rowOff>
                  </to>
                </anchor>
              </controlPr>
            </control>
          </mc:Choice>
        </mc:AlternateContent>
        <mc:AlternateContent xmlns:mc="http://schemas.openxmlformats.org/markup-compatibility/2006">
          <mc:Choice Requires="x14">
            <control shapeId="1668" r:id="rId232" name="DeleteBtn_193">
              <controlPr defaultSize="0" print="0" autoFill="0" autoPict="0" macro="[0]!DeleteCustomer">
                <anchor moveWithCells="1" sizeWithCells="1">
                  <from>
                    <xdr:col>39</xdr:col>
                    <xdr:colOff>0</xdr:colOff>
                    <xdr:row>193</xdr:row>
                    <xdr:rowOff>0</xdr:rowOff>
                  </from>
                  <to>
                    <xdr:col>40</xdr:col>
                    <xdr:colOff>0</xdr:colOff>
                    <xdr:row>194</xdr:row>
                    <xdr:rowOff>0</xdr:rowOff>
                  </to>
                </anchor>
              </controlPr>
            </control>
          </mc:Choice>
        </mc:AlternateContent>
        <mc:AlternateContent xmlns:mc="http://schemas.openxmlformats.org/markup-compatibility/2006">
          <mc:Choice Requires="x14">
            <control shapeId="1669" r:id="rId233" name="DeleteBtn_194">
              <controlPr defaultSize="0" print="0" autoFill="0" autoPict="0" macro="[0]!DeleteCustomer">
                <anchor moveWithCells="1" sizeWithCells="1">
                  <from>
                    <xdr:col>39</xdr:col>
                    <xdr:colOff>0</xdr:colOff>
                    <xdr:row>194</xdr:row>
                    <xdr:rowOff>0</xdr:rowOff>
                  </from>
                  <to>
                    <xdr:col>40</xdr:col>
                    <xdr:colOff>0</xdr:colOff>
                    <xdr:row>195</xdr:row>
                    <xdr:rowOff>0</xdr:rowOff>
                  </to>
                </anchor>
              </controlPr>
            </control>
          </mc:Choice>
        </mc:AlternateContent>
        <mc:AlternateContent xmlns:mc="http://schemas.openxmlformats.org/markup-compatibility/2006">
          <mc:Choice Requires="x14">
            <control shapeId="1670" r:id="rId234" name="DeleteBtn_195">
              <controlPr defaultSize="0" print="0" autoFill="0" autoPict="0" macro="[0]!DeleteCustomer">
                <anchor moveWithCells="1" sizeWithCells="1">
                  <from>
                    <xdr:col>39</xdr:col>
                    <xdr:colOff>0</xdr:colOff>
                    <xdr:row>195</xdr:row>
                    <xdr:rowOff>0</xdr:rowOff>
                  </from>
                  <to>
                    <xdr:col>40</xdr:col>
                    <xdr:colOff>0</xdr:colOff>
                    <xdr:row>196</xdr:row>
                    <xdr:rowOff>0</xdr:rowOff>
                  </to>
                </anchor>
              </controlPr>
            </control>
          </mc:Choice>
        </mc:AlternateContent>
        <mc:AlternateContent xmlns:mc="http://schemas.openxmlformats.org/markup-compatibility/2006">
          <mc:Choice Requires="x14">
            <control shapeId="1671" r:id="rId235" name="DeleteBtn_196">
              <controlPr defaultSize="0" print="0" autoFill="0" autoPict="0" macro="[0]!DeleteCustomer">
                <anchor moveWithCells="1" sizeWithCells="1">
                  <from>
                    <xdr:col>39</xdr:col>
                    <xdr:colOff>0</xdr:colOff>
                    <xdr:row>196</xdr:row>
                    <xdr:rowOff>0</xdr:rowOff>
                  </from>
                  <to>
                    <xdr:col>40</xdr:col>
                    <xdr:colOff>0</xdr:colOff>
                    <xdr:row>197</xdr:row>
                    <xdr:rowOff>0</xdr:rowOff>
                  </to>
                </anchor>
              </controlPr>
            </control>
          </mc:Choice>
        </mc:AlternateContent>
        <mc:AlternateContent xmlns:mc="http://schemas.openxmlformats.org/markup-compatibility/2006">
          <mc:Choice Requires="x14">
            <control shapeId="1672" r:id="rId236" name="DeleteBtn_197">
              <controlPr defaultSize="0" print="0" autoFill="0" autoPict="0" macro="[0]!DeleteCustomer">
                <anchor moveWithCells="1" sizeWithCells="1">
                  <from>
                    <xdr:col>39</xdr:col>
                    <xdr:colOff>0</xdr:colOff>
                    <xdr:row>197</xdr:row>
                    <xdr:rowOff>0</xdr:rowOff>
                  </from>
                  <to>
                    <xdr:col>40</xdr:col>
                    <xdr:colOff>0</xdr:colOff>
                    <xdr:row>198</xdr:row>
                    <xdr:rowOff>0</xdr:rowOff>
                  </to>
                </anchor>
              </controlPr>
            </control>
          </mc:Choice>
        </mc:AlternateContent>
        <mc:AlternateContent xmlns:mc="http://schemas.openxmlformats.org/markup-compatibility/2006">
          <mc:Choice Requires="x14">
            <control shapeId="1673" r:id="rId237" name="DeleteBtn_198">
              <controlPr defaultSize="0" print="0" autoFill="0" autoPict="0" macro="[0]!DeleteCustomer">
                <anchor moveWithCells="1" sizeWithCells="1">
                  <from>
                    <xdr:col>39</xdr:col>
                    <xdr:colOff>0</xdr:colOff>
                    <xdr:row>198</xdr:row>
                    <xdr:rowOff>0</xdr:rowOff>
                  </from>
                  <to>
                    <xdr:col>40</xdr:col>
                    <xdr:colOff>0</xdr:colOff>
                    <xdr:row>199</xdr:row>
                    <xdr:rowOff>0</xdr:rowOff>
                  </to>
                </anchor>
              </controlPr>
            </control>
          </mc:Choice>
        </mc:AlternateContent>
        <mc:AlternateContent xmlns:mc="http://schemas.openxmlformats.org/markup-compatibility/2006">
          <mc:Choice Requires="x14">
            <control shapeId="1674" r:id="rId238" name="DeleteBtn_199">
              <controlPr defaultSize="0" print="0" autoFill="0" autoPict="0" macro="[0]!DeleteCustomer">
                <anchor moveWithCells="1" sizeWithCells="1">
                  <from>
                    <xdr:col>39</xdr:col>
                    <xdr:colOff>0</xdr:colOff>
                    <xdr:row>199</xdr:row>
                    <xdr:rowOff>0</xdr:rowOff>
                  </from>
                  <to>
                    <xdr:col>40</xdr:col>
                    <xdr:colOff>0</xdr:colOff>
                    <xdr:row>200</xdr:row>
                    <xdr:rowOff>0</xdr:rowOff>
                  </to>
                </anchor>
              </controlPr>
            </control>
          </mc:Choice>
        </mc:AlternateContent>
        <mc:AlternateContent xmlns:mc="http://schemas.openxmlformats.org/markup-compatibility/2006">
          <mc:Choice Requires="x14">
            <control shapeId="1675" r:id="rId239" name="DeleteBtn_200">
              <controlPr defaultSize="0" print="0" autoFill="0" autoPict="0" macro="[0]!DeleteCustomer">
                <anchor moveWithCells="1" sizeWithCells="1">
                  <from>
                    <xdr:col>39</xdr:col>
                    <xdr:colOff>0</xdr:colOff>
                    <xdr:row>200</xdr:row>
                    <xdr:rowOff>0</xdr:rowOff>
                  </from>
                  <to>
                    <xdr:col>40</xdr:col>
                    <xdr:colOff>0</xdr:colOff>
                    <xdr:row>201</xdr:row>
                    <xdr:rowOff>0</xdr:rowOff>
                  </to>
                </anchor>
              </controlPr>
            </control>
          </mc:Choice>
        </mc:AlternateContent>
        <mc:AlternateContent xmlns:mc="http://schemas.openxmlformats.org/markup-compatibility/2006">
          <mc:Choice Requires="x14">
            <control shapeId="1676" r:id="rId240" name="DeleteBtn_201">
              <controlPr defaultSize="0" print="0" autoFill="0" autoPict="0" macro="[0]!DeleteCustomer">
                <anchor moveWithCells="1" sizeWithCells="1">
                  <from>
                    <xdr:col>39</xdr:col>
                    <xdr:colOff>0</xdr:colOff>
                    <xdr:row>201</xdr:row>
                    <xdr:rowOff>0</xdr:rowOff>
                  </from>
                  <to>
                    <xdr:col>40</xdr:col>
                    <xdr:colOff>0</xdr:colOff>
                    <xdr:row>202</xdr:row>
                    <xdr:rowOff>0</xdr:rowOff>
                  </to>
                </anchor>
              </controlPr>
            </control>
          </mc:Choice>
        </mc:AlternateContent>
        <mc:AlternateContent xmlns:mc="http://schemas.openxmlformats.org/markup-compatibility/2006">
          <mc:Choice Requires="x14">
            <control shapeId="1677" r:id="rId241" name="DeleteBtn_202">
              <controlPr defaultSize="0" print="0" autoFill="0" autoPict="0" macro="[0]!DeleteCustomer">
                <anchor moveWithCells="1" sizeWithCells="1">
                  <from>
                    <xdr:col>39</xdr:col>
                    <xdr:colOff>0</xdr:colOff>
                    <xdr:row>202</xdr:row>
                    <xdr:rowOff>0</xdr:rowOff>
                  </from>
                  <to>
                    <xdr:col>40</xdr:col>
                    <xdr:colOff>0</xdr:colOff>
                    <xdr:row>203</xdr:row>
                    <xdr:rowOff>0</xdr:rowOff>
                  </to>
                </anchor>
              </controlPr>
            </control>
          </mc:Choice>
        </mc:AlternateContent>
        <mc:AlternateContent xmlns:mc="http://schemas.openxmlformats.org/markup-compatibility/2006">
          <mc:Choice Requires="x14">
            <control shapeId="1678" r:id="rId242" name="DeleteBtn_203">
              <controlPr defaultSize="0" print="0" autoFill="0" autoPict="0" macro="[0]!DeleteCustomer">
                <anchor moveWithCells="1" sizeWithCells="1">
                  <from>
                    <xdr:col>39</xdr:col>
                    <xdr:colOff>0</xdr:colOff>
                    <xdr:row>203</xdr:row>
                    <xdr:rowOff>0</xdr:rowOff>
                  </from>
                  <to>
                    <xdr:col>40</xdr:col>
                    <xdr:colOff>0</xdr:colOff>
                    <xdr:row>204</xdr:row>
                    <xdr:rowOff>0</xdr:rowOff>
                  </to>
                </anchor>
              </controlPr>
            </control>
          </mc:Choice>
        </mc:AlternateContent>
        <mc:AlternateContent xmlns:mc="http://schemas.openxmlformats.org/markup-compatibility/2006">
          <mc:Choice Requires="x14">
            <control shapeId="1679" r:id="rId243" name="DeleteBtn_204">
              <controlPr defaultSize="0" print="0" autoFill="0" autoPict="0" macro="[0]!DeleteCustomer">
                <anchor moveWithCells="1" sizeWithCells="1">
                  <from>
                    <xdr:col>39</xdr:col>
                    <xdr:colOff>0</xdr:colOff>
                    <xdr:row>204</xdr:row>
                    <xdr:rowOff>0</xdr:rowOff>
                  </from>
                  <to>
                    <xdr:col>40</xdr:col>
                    <xdr:colOff>0</xdr:colOff>
                    <xdr:row>205</xdr:row>
                    <xdr:rowOff>0</xdr:rowOff>
                  </to>
                </anchor>
              </controlPr>
            </control>
          </mc:Choice>
        </mc:AlternateContent>
        <mc:AlternateContent xmlns:mc="http://schemas.openxmlformats.org/markup-compatibility/2006">
          <mc:Choice Requires="x14">
            <control shapeId="1680" r:id="rId244" name="DeleteBtn_205">
              <controlPr defaultSize="0" print="0" autoFill="0" autoPict="0" macro="[0]!DeleteCustomer">
                <anchor moveWithCells="1" sizeWithCells="1">
                  <from>
                    <xdr:col>39</xdr:col>
                    <xdr:colOff>0</xdr:colOff>
                    <xdr:row>205</xdr:row>
                    <xdr:rowOff>0</xdr:rowOff>
                  </from>
                  <to>
                    <xdr:col>40</xdr:col>
                    <xdr:colOff>0</xdr:colOff>
                    <xdr:row>206</xdr:row>
                    <xdr:rowOff>0</xdr:rowOff>
                  </to>
                </anchor>
              </controlPr>
            </control>
          </mc:Choice>
        </mc:AlternateContent>
        <mc:AlternateContent xmlns:mc="http://schemas.openxmlformats.org/markup-compatibility/2006">
          <mc:Choice Requires="x14">
            <control shapeId="1681" r:id="rId245" name="DeleteBtn_206">
              <controlPr defaultSize="0" print="0" autoFill="0" autoPict="0" macro="[0]!DeleteCustomer">
                <anchor moveWithCells="1" sizeWithCells="1">
                  <from>
                    <xdr:col>39</xdr:col>
                    <xdr:colOff>0</xdr:colOff>
                    <xdr:row>206</xdr:row>
                    <xdr:rowOff>0</xdr:rowOff>
                  </from>
                  <to>
                    <xdr:col>40</xdr:col>
                    <xdr:colOff>0</xdr:colOff>
                    <xdr:row>207</xdr:row>
                    <xdr:rowOff>0</xdr:rowOff>
                  </to>
                </anchor>
              </controlPr>
            </control>
          </mc:Choice>
        </mc:AlternateContent>
        <mc:AlternateContent xmlns:mc="http://schemas.openxmlformats.org/markup-compatibility/2006">
          <mc:Choice Requires="x14">
            <control shapeId="1682" r:id="rId246" name="DeleteBtn_207">
              <controlPr defaultSize="0" print="0" autoFill="0" autoPict="0" macro="[0]!DeleteCustomer">
                <anchor moveWithCells="1" sizeWithCells="1">
                  <from>
                    <xdr:col>39</xdr:col>
                    <xdr:colOff>0</xdr:colOff>
                    <xdr:row>207</xdr:row>
                    <xdr:rowOff>0</xdr:rowOff>
                  </from>
                  <to>
                    <xdr:col>40</xdr:col>
                    <xdr:colOff>0</xdr:colOff>
                    <xdr:row>208</xdr:row>
                    <xdr:rowOff>0</xdr:rowOff>
                  </to>
                </anchor>
              </controlPr>
            </control>
          </mc:Choice>
        </mc:AlternateContent>
        <mc:AlternateContent xmlns:mc="http://schemas.openxmlformats.org/markup-compatibility/2006">
          <mc:Choice Requires="x14">
            <control shapeId="1683" r:id="rId247" name="DeleteBtn_208">
              <controlPr defaultSize="0" print="0" autoFill="0" autoPict="0" macro="[0]!DeleteCustomer">
                <anchor moveWithCells="1" sizeWithCells="1">
                  <from>
                    <xdr:col>39</xdr:col>
                    <xdr:colOff>0</xdr:colOff>
                    <xdr:row>208</xdr:row>
                    <xdr:rowOff>0</xdr:rowOff>
                  </from>
                  <to>
                    <xdr:col>40</xdr:col>
                    <xdr:colOff>0</xdr:colOff>
                    <xdr:row>209</xdr:row>
                    <xdr:rowOff>0</xdr:rowOff>
                  </to>
                </anchor>
              </controlPr>
            </control>
          </mc:Choice>
        </mc:AlternateContent>
        <mc:AlternateContent xmlns:mc="http://schemas.openxmlformats.org/markup-compatibility/2006">
          <mc:Choice Requires="x14">
            <control shapeId="1684" r:id="rId248" name="DeleteBtn_209">
              <controlPr defaultSize="0" print="0" autoFill="0" autoPict="0" macro="[0]!DeleteCustomer">
                <anchor moveWithCells="1" sizeWithCells="1">
                  <from>
                    <xdr:col>39</xdr:col>
                    <xdr:colOff>0</xdr:colOff>
                    <xdr:row>209</xdr:row>
                    <xdr:rowOff>0</xdr:rowOff>
                  </from>
                  <to>
                    <xdr:col>40</xdr:col>
                    <xdr:colOff>0</xdr:colOff>
                    <xdr:row>210</xdr:row>
                    <xdr:rowOff>0</xdr:rowOff>
                  </to>
                </anchor>
              </controlPr>
            </control>
          </mc:Choice>
        </mc:AlternateContent>
        <mc:AlternateContent xmlns:mc="http://schemas.openxmlformats.org/markup-compatibility/2006">
          <mc:Choice Requires="x14">
            <control shapeId="1685" r:id="rId249" name="DeleteBtn_210">
              <controlPr defaultSize="0" print="0" autoFill="0" autoPict="0" macro="[0]!DeleteCustomer">
                <anchor moveWithCells="1" sizeWithCells="1">
                  <from>
                    <xdr:col>39</xdr:col>
                    <xdr:colOff>0</xdr:colOff>
                    <xdr:row>210</xdr:row>
                    <xdr:rowOff>0</xdr:rowOff>
                  </from>
                  <to>
                    <xdr:col>40</xdr:col>
                    <xdr:colOff>0</xdr:colOff>
                    <xdr:row>211</xdr:row>
                    <xdr:rowOff>0</xdr:rowOff>
                  </to>
                </anchor>
              </controlPr>
            </control>
          </mc:Choice>
        </mc:AlternateContent>
        <mc:AlternateContent xmlns:mc="http://schemas.openxmlformats.org/markup-compatibility/2006">
          <mc:Choice Requires="x14">
            <control shapeId="1686" r:id="rId250" name="DeleteBtn_211">
              <controlPr defaultSize="0" print="0" autoFill="0" autoPict="0" macro="[0]!DeleteCustomer">
                <anchor moveWithCells="1" sizeWithCells="1">
                  <from>
                    <xdr:col>39</xdr:col>
                    <xdr:colOff>0</xdr:colOff>
                    <xdr:row>211</xdr:row>
                    <xdr:rowOff>0</xdr:rowOff>
                  </from>
                  <to>
                    <xdr:col>40</xdr:col>
                    <xdr:colOff>0</xdr:colOff>
                    <xdr:row>212</xdr:row>
                    <xdr:rowOff>0</xdr:rowOff>
                  </to>
                </anchor>
              </controlPr>
            </control>
          </mc:Choice>
        </mc:AlternateContent>
        <mc:AlternateContent xmlns:mc="http://schemas.openxmlformats.org/markup-compatibility/2006">
          <mc:Choice Requires="x14">
            <control shapeId="1687" r:id="rId251" name="DeleteBtn_212">
              <controlPr defaultSize="0" print="0" autoFill="0" autoPict="0" macro="[0]!DeleteCustomer">
                <anchor moveWithCells="1" sizeWithCells="1">
                  <from>
                    <xdr:col>39</xdr:col>
                    <xdr:colOff>0</xdr:colOff>
                    <xdr:row>212</xdr:row>
                    <xdr:rowOff>0</xdr:rowOff>
                  </from>
                  <to>
                    <xdr:col>40</xdr:col>
                    <xdr:colOff>0</xdr:colOff>
                    <xdr:row>213</xdr:row>
                    <xdr:rowOff>0</xdr:rowOff>
                  </to>
                </anchor>
              </controlPr>
            </control>
          </mc:Choice>
        </mc:AlternateContent>
        <mc:AlternateContent xmlns:mc="http://schemas.openxmlformats.org/markup-compatibility/2006">
          <mc:Choice Requires="x14">
            <control shapeId="1688" r:id="rId252" name="DeleteBtn_213">
              <controlPr defaultSize="0" print="0" autoFill="0" autoPict="0" macro="[0]!DeleteCustomer">
                <anchor moveWithCells="1" sizeWithCells="1">
                  <from>
                    <xdr:col>39</xdr:col>
                    <xdr:colOff>0</xdr:colOff>
                    <xdr:row>213</xdr:row>
                    <xdr:rowOff>0</xdr:rowOff>
                  </from>
                  <to>
                    <xdr:col>40</xdr:col>
                    <xdr:colOff>0</xdr:colOff>
                    <xdr:row>214</xdr:row>
                    <xdr:rowOff>0</xdr:rowOff>
                  </to>
                </anchor>
              </controlPr>
            </control>
          </mc:Choice>
        </mc:AlternateContent>
        <mc:AlternateContent xmlns:mc="http://schemas.openxmlformats.org/markup-compatibility/2006">
          <mc:Choice Requires="x14">
            <control shapeId="1689" r:id="rId253" name="DeleteBtn_214">
              <controlPr defaultSize="0" print="0" autoFill="0" autoPict="0" macro="[0]!DeleteCustomer">
                <anchor moveWithCells="1" sizeWithCells="1">
                  <from>
                    <xdr:col>39</xdr:col>
                    <xdr:colOff>0</xdr:colOff>
                    <xdr:row>214</xdr:row>
                    <xdr:rowOff>0</xdr:rowOff>
                  </from>
                  <to>
                    <xdr:col>40</xdr:col>
                    <xdr:colOff>0</xdr:colOff>
                    <xdr:row>215</xdr:row>
                    <xdr:rowOff>0</xdr:rowOff>
                  </to>
                </anchor>
              </controlPr>
            </control>
          </mc:Choice>
        </mc:AlternateContent>
        <mc:AlternateContent xmlns:mc="http://schemas.openxmlformats.org/markup-compatibility/2006">
          <mc:Choice Requires="x14">
            <control shapeId="1690" r:id="rId254" name="DeleteBtn_215">
              <controlPr defaultSize="0" print="0" autoFill="0" autoPict="0" macro="[0]!DeleteCustomer">
                <anchor moveWithCells="1" sizeWithCells="1">
                  <from>
                    <xdr:col>39</xdr:col>
                    <xdr:colOff>0</xdr:colOff>
                    <xdr:row>215</xdr:row>
                    <xdr:rowOff>0</xdr:rowOff>
                  </from>
                  <to>
                    <xdr:col>40</xdr:col>
                    <xdr:colOff>0</xdr:colOff>
                    <xdr:row>216</xdr:row>
                    <xdr:rowOff>0</xdr:rowOff>
                  </to>
                </anchor>
              </controlPr>
            </control>
          </mc:Choice>
        </mc:AlternateContent>
        <mc:AlternateContent xmlns:mc="http://schemas.openxmlformats.org/markup-compatibility/2006">
          <mc:Choice Requires="x14">
            <control shapeId="1692" r:id="rId255" name="DeleteBtn_217">
              <controlPr defaultSize="0" print="0" autoFill="0" autoPict="0" macro="[0]!DeleteCustomer">
                <anchor moveWithCells="1" sizeWithCells="1">
                  <from>
                    <xdr:col>39</xdr:col>
                    <xdr:colOff>0</xdr:colOff>
                    <xdr:row>216</xdr:row>
                    <xdr:rowOff>0</xdr:rowOff>
                  </from>
                  <to>
                    <xdr:col>40</xdr:col>
                    <xdr:colOff>0</xdr:colOff>
                    <xdr:row>217</xdr:row>
                    <xdr:rowOff>0</xdr:rowOff>
                  </to>
                </anchor>
              </controlPr>
            </control>
          </mc:Choice>
        </mc:AlternateContent>
        <mc:AlternateContent xmlns:mc="http://schemas.openxmlformats.org/markup-compatibility/2006">
          <mc:Choice Requires="x14">
            <control shapeId="1693" r:id="rId256" name="DeleteBtn_218">
              <controlPr defaultSize="0" print="0" autoFill="0" autoPict="0" macro="[0]!DeleteCustomer">
                <anchor moveWithCells="1" sizeWithCells="1">
                  <from>
                    <xdr:col>39</xdr:col>
                    <xdr:colOff>0</xdr:colOff>
                    <xdr:row>217</xdr:row>
                    <xdr:rowOff>0</xdr:rowOff>
                  </from>
                  <to>
                    <xdr:col>40</xdr:col>
                    <xdr:colOff>0</xdr:colOff>
                    <xdr:row>218</xdr:row>
                    <xdr:rowOff>0</xdr:rowOff>
                  </to>
                </anchor>
              </controlPr>
            </control>
          </mc:Choice>
        </mc:AlternateContent>
        <mc:AlternateContent xmlns:mc="http://schemas.openxmlformats.org/markup-compatibility/2006">
          <mc:Choice Requires="x14">
            <control shapeId="1694" r:id="rId257" name="DeleteBtn_219">
              <controlPr defaultSize="0" print="0" autoFill="0" autoPict="0" macro="[0]!DeleteCustomer">
                <anchor moveWithCells="1" sizeWithCells="1">
                  <from>
                    <xdr:col>39</xdr:col>
                    <xdr:colOff>0</xdr:colOff>
                    <xdr:row>218</xdr:row>
                    <xdr:rowOff>0</xdr:rowOff>
                  </from>
                  <to>
                    <xdr:col>40</xdr:col>
                    <xdr:colOff>0</xdr:colOff>
                    <xdr:row>219</xdr:row>
                    <xdr:rowOff>0</xdr:rowOff>
                  </to>
                </anchor>
              </controlPr>
            </control>
          </mc:Choice>
        </mc:AlternateContent>
        <mc:AlternateContent xmlns:mc="http://schemas.openxmlformats.org/markup-compatibility/2006">
          <mc:Choice Requires="x14">
            <control shapeId="1695" r:id="rId258" name="DeleteBtn_220">
              <controlPr defaultSize="0" print="0" autoFill="0" autoPict="0" macro="[0]!DeleteCustomer">
                <anchor moveWithCells="1" sizeWithCells="1">
                  <from>
                    <xdr:col>39</xdr:col>
                    <xdr:colOff>0</xdr:colOff>
                    <xdr:row>219</xdr:row>
                    <xdr:rowOff>0</xdr:rowOff>
                  </from>
                  <to>
                    <xdr:col>40</xdr:col>
                    <xdr:colOff>0</xdr:colOff>
                    <xdr:row>220</xdr:row>
                    <xdr:rowOff>0</xdr:rowOff>
                  </to>
                </anchor>
              </controlPr>
            </control>
          </mc:Choice>
        </mc:AlternateContent>
        <mc:AlternateContent xmlns:mc="http://schemas.openxmlformats.org/markup-compatibility/2006">
          <mc:Choice Requires="x14">
            <control shapeId="1696" r:id="rId259" name="DeleteBtn_221">
              <controlPr defaultSize="0" print="0" autoFill="0" autoPict="0" macro="[0]!DeleteCustomer">
                <anchor moveWithCells="1" sizeWithCells="1">
                  <from>
                    <xdr:col>39</xdr:col>
                    <xdr:colOff>0</xdr:colOff>
                    <xdr:row>220</xdr:row>
                    <xdr:rowOff>0</xdr:rowOff>
                  </from>
                  <to>
                    <xdr:col>40</xdr:col>
                    <xdr:colOff>0</xdr:colOff>
                    <xdr:row>221</xdr:row>
                    <xdr:rowOff>0</xdr:rowOff>
                  </to>
                </anchor>
              </controlPr>
            </control>
          </mc:Choice>
        </mc:AlternateContent>
        <mc:AlternateContent xmlns:mc="http://schemas.openxmlformats.org/markup-compatibility/2006">
          <mc:Choice Requires="x14">
            <control shapeId="1697" r:id="rId260" name="DeleteBtn_222">
              <controlPr defaultSize="0" print="0" autoFill="0" autoPict="0" macro="[0]!DeleteCustomer">
                <anchor moveWithCells="1" sizeWithCells="1">
                  <from>
                    <xdr:col>39</xdr:col>
                    <xdr:colOff>0</xdr:colOff>
                    <xdr:row>221</xdr:row>
                    <xdr:rowOff>0</xdr:rowOff>
                  </from>
                  <to>
                    <xdr:col>40</xdr:col>
                    <xdr:colOff>0</xdr:colOff>
                    <xdr:row>222</xdr:row>
                    <xdr:rowOff>0</xdr:rowOff>
                  </to>
                </anchor>
              </controlPr>
            </control>
          </mc:Choice>
        </mc:AlternateContent>
        <mc:AlternateContent xmlns:mc="http://schemas.openxmlformats.org/markup-compatibility/2006">
          <mc:Choice Requires="x14">
            <control shapeId="1698" r:id="rId261" name="DeleteBtn_223">
              <controlPr defaultSize="0" print="0" autoFill="0" autoPict="0" macro="[0]!DeleteCustomer">
                <anchor moveWithCells="1" sizeWithCells="1">
                  <from>
                    <xdr:col>39</xdr:col>
                    <xdr:colOff>0</xdr:colOff>
                    <xdr:row>222</xdr:row>
                    <xdr:rowOff>0</xdr:rowOff>
                  </from>
                  <to>
                    <xdr:col>40</xdr:col>
                    <xdr:colOff>0</xdr:colOff>
                    <xdr:row>223</xdr:row>
                    <xdr:rowOff>0</xdr:rowOff>
                  </to>
                </anchor>
              </controlPr>
            </control>
          </mc:Choice>
        </mc:AlternateContent>
        <mc:AlternateContent xmlns:mc="http://schemas.openxmlformats.org/markup-compatibility/2006">
          <mc:Choice Requires="x14">
            <control shapeId="1699" r:id="rId262" name="DeleteBtn_224">
              <controlPr defaultSize="0" print="0" autoFill="0" autoPict="0" macro="[0]!DeleteCustomer">
                <anchor moveWithCells="1" sizeWithCells="1">
                  <from>
                    <xdr:col>39</xdr:col>
                    <xdr:colOff>0</xdr:colOff>
                    <xdr:row>223</xdr:row>
                    <xdr:rowOff>0</xdr:rowOff>
                  </from>
                  <to>
                    <xdr:col>40</xdr:col>
                    <xdr:colOff>0</xdr:colOff>
                    <xdr:row>224</xdr:row>
                    <xdr:rowOff>0</xdr:rowOff>
                  </to>
                </anchor>
              </controlPr>
            </control>
          </mc:Choice>
        </mc:AlternateContent>
        <mc:AlternateContent xmlns:mc="http://schemas.openxmlformats.org/markup-compatibility/2006">
          <mc:Choice Requires="x14">
            <control shapeId="1700" r:id="rId263" name="DeleteBtn_225">
              <controlPr defaultSize="0" print="0" autoFill="0" autoPict="0" macro="[0]!DeleteCustomer">
                <anchor moveWithCells="1" sizeWithCells="1">
                  <from>
                    <xdr:col>39</xdr:col>
                    <xdr:colOff>0</xdr:colOff>
                    <xdr:row>224</xdr:row>
                    <xdr:rowOff>0</xdr:rowOff>
                  </from>
                  <to>
                    <xdr:col>40</xdr:col>
                    <xdr:colOff>0</xdr:colOff>
                    <xdr:row>225</xdr:row>
                    <xdr:rowOff>0</xdr:rowOff>
                  </to>
                </anchor>
              </controlPr>
            </control>
          </mc:Choice>
        </mc:AlternateContent>
        <mc:AlternateContent xmlns:mc="http://schemas.openxmlformats.org/markup-compatibility/2006">
          <mc:Choice Requires="x14">
            <control shapeId="1701" r:id="rId264" name="DeleteBtn_226">
              <controlPr defaultSize="0" print="0" autoFill="0" autoPict="0" macro="[0]!DeleteCustomer">
                <anchor moveWithCells="1" sizeWithCells="1">
                  <from>
                    <xdr:col>39</xdr:col>
                    <xdr:colOff>0</xdr:colOff>
                    <xdr:row>225</xdr:row>
                    <xdr:rowOff>0</xdr:rowOff>
                  </from>
                  <to>
                    <xdr:col>40</xdr:col>
                    <xdr:colOff>0</xdr:colOff>
                    <xdr:row>226</xdr:row>
                    <xdr:rowOff>0</xdr:rowOff>
                  </to>
                </anchor>
              </controlPr>
            </control>
          </mc:Choice>
        </mc:AlternateContent>
        <mc:AlternateContent xmlns:mc="http://schemas.openxmlformats.org/markup-compatibility/2006">
          <mc:Choice Requires="x14">
            <control shapeId="1702" r:id="rId265" name="DeleteBtn_227">
              <controlPr defaultSize="0" print="0" autoFill="0" autoPict="0" macro="[0]!DeleteCustomer">
                <anchor moveWithCells="1" sizeWithCells="1">
                  <from>
                    <xdr:col>39</xdr:col>
                    <xdr:colOff>0</xdr:colOff>
                    <xdr:row>226</xdr:row>
                    <xdr:rowOff>0</xdr:rowOff>
                  </from>
                  <to>
                    <xdr:col>40</xdr:col>
                    <xdr:colOff>0</xdr:colOff>
                    <xdr:row>227</xdr:row>
                    <xdr:rowOff>0</xdr:rowOff>
                  </to>
                </anchor>
              </controlPr>
            </control>
          </mc:Choice>
        </mc:AlternateContent>
        <mc:AlternateContent xmlns:mc="http://schemas.openxmlformats.org/markup-compatibility/2006">
          <mc:Choice Requires="x14">
            <control shapeId="1641" r:id="rId266" name="DeleteBtn_166">
              <controlPr defaultSize="0" print="0" autoFill="0" autoPict="0" macro="[0]!DeleteCustomer">
                <anchor moveWithCells="1" sizeWithCells="1">
                  <from>
                    <xdr:col>39</xdr:col>
                    <xdr:colOff>0</xdr:colOff>
                    <xdr:row>166</xdr:row>
                    <xdr:rowOff>0</xdr:rowOff>
                  </from>
                  <to>
                    <xdr:col>40</xdr:col>
                    <xdr:colOff>0</xdr:colOff>
                    <xdr:row>167</xdr:row>
                    <xdr:rowOff>0</xdr:rowOff>
                  </to>
                </anchor>
              </controlPr>
            </control>
          </mc:Choice>
        </mc:AlternateContent>
        <mc:AlternateContent xmlns:mc="http://schemas.openxmlformats.org/markup-compatibility/2006">
          <mc:Choice Requires="x14">
            <control shapeId="1703" r:id="rId267" name="Button 679">
              <controlPr defaultSize="0" print="0" autoFill="0" autoPict="0" macro="[0]!DeleteCustomer">
                <anchor moveWithCells="1" sizeWithCells="1">
                  <from>
                    <xdr:col>31</xdr:col>
                    <xdr:colOff>0</xdr:colOff>
                    <xdr:row>168</xdr:row>
                    <xdr:rowOff>0</xdr:rowOff>
                  </from>
                  <to>
                    <xdr:col>32</xdr:col>
                    <xdr:colOff>0</xdr:colOff>
                    <xdr:row>169</xdr:row>
                    <xdr:rowOff>0</xdr:rowOff>
                  </to>
                </anchor>
              </controlPr>
            </control>
          </mc:Choice>
        </mc:AlternateContent>
        <mc:AlternateContent xmlns:mc="http://schemas.openxmlformats.org/markup-compatibility/2006">
          <mc:Choice Requires="x14">
            <control shapeId="1708" r:id="rId268" name="Button 684">
              <controlPr defaultSize="0" print="0" autoFill="0" autoPict="0" macro="[0]!SyncStudentToFinance">
                <anchor moveWithCells="1" sizeWithCells="1">
                  <from>
                    <xdr:col>0</xdr:col>
                    <xdr:colOff>57150</xdr:colOff>
                    <xdr:row>1</xdr:row>
                    <xdr:rowOff>28575</xdr:rowOff>
                  </from>
                  <to>
                    <xdr:col>0</xdr:col>
                    <xdr:colOff>1009650</xdr:colOff>
                    <xdr:row>1</xdr:row>
                    <xdr:rowOff>390525</xdr:rowOff>
                  </to>
                </anchor>
              </controlPr>
            </control>
          </mc:Choice>
        </mc:AlternateContent>
      </controls>
    </mc:Choice>
  </mc:AlternateContent>
  <tableParts count="1">
    <tablePart r:id="rId269"/>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BF736-D7D1-455D-B77B-1C9DDFD3BE1D}">
  <sheetPr codeName="Sheet12" filterMode="1"/>
  <dimension ref="A1:AG72"/>
  <sheetViews>
    <sheetView tabSelected="1" topLeftCell="R1" zoomScaleNormal="100" workbookViewId="0">
      <selection activeCell="Y4" sqref="Y4"/>
    </sheetView>
  </sheetViews>
  <sheetFormatPr defaultRowHeight="12.75"/>
  <cols>
    <col min="15" max="15" width="21" customWidth="1"/>
  </cols>
  <sheetData>
    <row r="1" spans="1:33">
      <c r="J1" t="s">
        <v>109</v>
      </c>
      <c r="L1" t="s">
        <v>2256</v>
      </c>
      <c r="M1" t="s">
        <v>2257</v>
      </c>
      <c r="N1" t="s">
        <v>2258</v>
      </c>
      <c r="O1" t="s">
        <v>2259</v>
      </c>
      <c r="P1" t="s">
        <v>2290</v>
      </c>
      <c r="Q1" t="s">
        <v>2259</v>
      </c>
      <c r="S1" t="s">
        <v>2309</v>
      </c>
      <c r="T1" t="s">
        <v>2259</v>
      </c>
      <c r="U1" t="s">
        <v>1565</v>
      </c>
      <c r="V1" t="s">
        <v>1839</v>
      </c>
      <c r="W1" t="s">
        <v>2259</v>
      </c>
      <c r="X1" t="s">
        <v>1565</v>
      </c>
      <c r="Y1" t="s">
        <v>1840</v>
      </c>
      <c r="Z1" t="s">
        <v>2259</v>
      </c>
      <c r="AA1" t="s">
        <v>1565</v>
      </c>
      <c r="AB1" t="s">
        <v>2310</v>
      </c>
      <c r="AC1" t="s">
        <v>2259</v>
      </c>
      <c r="AD1" t="s">
        <v>1565</v>
      </c>
      <c r="AE1" t="s">
        <v>2466</v>
      </c>
      <c r="AF1" t="s">
        <v>2259</v>
      </c>
      <c r="AG1" t="s">
        <v>1565</v>
      </c>
    </row>
    <row r="2" spans="1:33">
      <c r="A2" s="168">
        <v>125</v>
      </c>
      <c r="B2" s="168" t="s">
        <v>66</v>
      </c>
      <c r="C2" s="168" t="s">
        <v>200</v>
      </c>
      <c r="D2" s="168" t="s">
        <v>201</v>
      </c>
      <c r="E2" s="168"/>
      <c r="F2" s="168" t="s">
        <v>202</v>
      </c>
      <c r="G2" s="168" t="s">
        <v>203</v>
      </c>
      <c r="H2" s="168" t="s">
        <v>204</v>
      </c>
      <c r="I2" s="168">
        <v>14850</v>
      </c>
      <c r="J2" s="168" t="s">
        <v>196</v>
      </c>
      <c r="L2" s="168">
        <v>14850</v>
      </c>
      <c r="M2">
        <v>3500</v>
      </c>
      <c r="N2">
        <f>M2+L2</f>
        <v>18350</v>
      </c>
      <c r="P2">
        <f>I2</f>
        <v>14850</v>
      </c>
      <c r="S2">
        <f t="shared" ref="S2:S7" si="0">L2</f>
        <v>14850</v>
      </c>
      <c r="V2">
        <v>14850</v>
      </c>
    </row>
    <row r="3" spans="1:33">
      <c r="A3">
        <v>133</v>
      </c>
      <c r="B3" t="s">
        <v>66</v>
      </c>
      <c r="C3" t="s">
        <v>233</v>
      </c>
      <c r="D3" t="s">
        <v>234</v>
      </c>
      <c r="F3" t="s">
        <v>235</v>
      </c>
      <c r="G3" t="s">
        <v>236</v>
      </c>
      <c r="H3" t="s">
        <v>237</v>
      </c>
      <c r="I3">
        <v>6050</v>
      </c>
      <c r="J3" t="s">
        <v>109</v>
      </c>
      <c r="L3">
        <v>6050</v>
      </c>
      <c r="M3">
        <v>3500</v>
      </c>
      <c r="N3">
        <f t="shared" ref="N3:N60" si="1">M3+L3</f>
        <v>9550</v>
      </c>
      <c r="P3">
        <f t="shared" ref="P3:P62" si="2">I3</f>
        <v>6050</v>
      </c>
      <c r="S3">
        <f t="shared" si="0"/>
        <v>6050</v>
      </c>
      <c r="V3">
        <v>6050</v>
      </c>
    </row>
    <row r="4" spans="1:33">
      <c r="A4" s="168">
        <v>30</v>
      </c>
      <c r="B4" s="168" t="s">
        <v>103</v>
      </c>
      <c r="C4" s="168" t="s">
        <v>292</v>
      </c>
      <c r="D4" s="168" t="s">
        <v>293</v>
      </c>
      <c r="E4" s="168"/>
      <c r="F4" s="168" t="s">
        <v>294</v>
      </c>
      <c r="G4" s="168" t="s">
        <v>295</v>
      </c>
      <c r="H4" s="168" t="s">
        <v>296</v>
      </c>
      <c r="I4" s="168">
        <v>10900</v>
      </c>
      <c r="J4" s="168" t="s">
        <v>196</v>
      </c>
      <c r="L4" s="168">
        <v>10900</v>
      </c>
      <c r="M4">
        <v>3500</v>
      </c>
      <c r="N4">
        <f t="shared" si="1"/>
        <v>14400</v>
      </c>
      <c r="P4">
        <f t="shared" si="2"/>
        <v>10900</v>
      </c>
      <c r="S4">
        <f t="shared" si="0"/>
        <v>10900</v>
      </c>
      <c r="V4">
        <v>10900</v>
      </c>
      <c r="Y4">
        <v>10900</v>
      </c>
    </row>
    <row r="5" spans="1:33" ht="7.5" customHeight="1">
      <c r="A5" s="168">
        <v>113</v>
      </c>
      <c r="B5" s="168" t="s">
        <v>103</v>
      </c>
      <c r="C5" s="168" t="s">
        <v>412</v>
      </c>
      <c r="D5" s="168" t="s">
        <v>413</v>
      </c>
      <c r="E5" s="168"/>
      <c r="F5" s="168" t="s">
        <v>414</v>
      </c>
      <c r="G5" s="168" t="s">
        <v>415</v>
      </c>
      <c r="H5" s="168" t="s">
        <v>416</v>
      </c>
      <c r="I5" s="168">
        <v>6050</v>
      </c>
      <c r="J5" s="168" t="s">
        <v>109</v>
      </c>
      <c r="L5" s="168">
        <v>6050</v>
      </c>
      <c r="M5">
        <v>3500</v>
      </c>
      <c r="N5">
        <f t="shared" si="1"/>
        <v>9550</v>
      </c>
      <c r="P5">
        <f t="shared" si="2"/>
        <v>6050</v>
      </c>
      <c r="S5">
        <f t="shared" si="0"/>
        <v>6050</v>
      </c>
      <c r="V5">
        <v>6050</v>
      </c>
      <c r="Y5">
        <v>6050</v>
      </c>
    </row>
    <row r="6" spans="1:33">
      <c r="A6">
        <v>49</v>
      </c>
      <c r="B6" t="s">
        <v>103</v>
      </c>
      <c r="C6" t="s">
        <v>882</v>
      </c>
      <c r="D6" t="s">
        <v>421</v>
      </c>
      <c r="F6" t="s">
        <v>883</v>
      </c>
      <c r="G6" t="s">
        <v>884</v>
      </c>
      <c r="H6" t="s">
        <v>424</v>
      </c>
      <c r="I6" s="168">
        <v>6050</v>
      </c>
      <c r="J6" s="168" t="s">
        <v>109</v>
      </c>
      <c r="L6" s="168">
        <v>6050</v>
      </c>
      <c r="M6">
        <v>3500</v>
      </c>
      <c r="N6">
        <f t="shared" si="1"/>
        <v>9550</v>
      </c>
      <c r="P6">
        <f t="shared" si="2"/>
        <v>6050</v>
      </c>
      <c r="S6">
        <f t="shared" si="0"/>
        <v>6050</v>
      </c>
      <c r="V6">
        <v>6050</v>
      </c>
      <c r="Y6">
        <v>6050</v>
      </c>
    </row>
    <row r="7" spans="1:33">
      <c r="A7" s="168">
        <v>49</v>
      </c>
      <c r="B7" s="168" t="s">
        <v>103</v>
      </c>
      <c r="C7" t="s">
        <v>420</v>
      </c>
      <c r="D7" t="s">
        <v>421</v>
      </c>
      <c r="F7" t="s">
        <v>422</v>
      </c>
      <c r="G7" t="s">
        <v>423</v>
      </c>
      <c r="H7" t="s">
        <v>424</v>
      </c>
      <c r="I7">
        <v>6600</v>
      </c>
      <c r="J7" s="168" t="s">
        <v>109</v>
      </c>
      <c r="L7">
        <v>6600</v>
      </c>
      <c r="M7">
        <v>3500</v>
      </c>
      <c r="N7">
        <f t="shared" si="1"/>
        <v>10100</v>
      </c>
      <c r="P7">
        <f t="shared" si="2"/>
        <v>6600</v>
      </c>
      <c r="S7">
        <f t="shared" si="0"/>
        <v>6600</v>
      </c>
      <c r="V7">
        <v>6600</v>
      </c>
      <c r="Y7">
        <v>6600</v>
      </c>
    </row>
    <row r="8" spans="1:33">
      <c r="A8" s="168">
        <v>127</v>
      </c>
      <c r="B8" s="168" t="s">
        <v>103</v>
      </c>
      <c r="C8" s="168" t="s">
        <v>475</v>
      </c>
      <c r="D8" s="168" t="s">
        <v>482</v>
      </c>
      <c r="E8" s="168"/>
      <c r="F8" s="168" t="s">
        <v>483</v>
      </c>
      <c r="G8" s="168" t="s">
        <v>484</v>
      </c>
      <c r="H8" s="168" t="s">
        <v>485</v>
      </c>
      <c r="I8" s="168">
        <v>19800</v>
      </c>
      <c r="J8" s="168" t="s">
        <v>196</v>
      </c>
      <c r="L8" s="168">
        <v>19800</v>
      </c>
      <c r="M8">
        <v>3500</v>
      </c>
      <c r="N8">
        <f t="shared" si="1"/>
        <v>23300</v>
      </c>
      <c r="P8" s="160">
        <v>0</v>
      </c>
      <c r="S8" s="160">
        <v>12900</v>
      </c>
      <c r="T8" t="s">
        <v>2356</v>
      </c>
      <c r="V8">
        <v>12900</v>
      </c>
      <c r="Y8">
        <v>12900</v>
      </c>
    </row>
    <row r="9" spans="1:33">
      <c r="A9" s="168">
        <v>15</v>
      </c>
      <c r="B9" s="168" t="s">
        <v>103</v>
      </c>
      <c r="C9" s="168" t="s">
        <v>548</v>
      </c>
      <c r="D9" s="168" t="s">
        <v>549</v>
      </c>
      <c r="E9" s="168"/>
      <c r="F9" s="168" t="s">
        <v>550</v>
      </c>
      <c r="G9" s="168" t="s">
        <v>551</v>
      </c>
      <c r="H9" s="168" t="s">
        <v>552</v>
      </c>
      <c r="I9" s="168">
        <v>8800</v>
      </c>
      <c r="J9" s="168" t="s">
        <v>553</v>
      </c>
      <c r="L9" s="168">
        <v>8800</v>
      </c>
      <c r="M9">
        <v>3500</v>
      </c>
      <c r="N9">
        <f t="shared" si="1"/>
        <v>12300</v>
      </c>
      <c r="P9">
        <f t="shared" si="2"/>
        <v>8800</v>
      </c>
      <c r="S9">
        <f t="shared" ref="S9:S15" si="3">L9</f>
        <v>8800</v>
      </c>
      <c r="V9">
        <v>8800</v>
      </c>
      <c r="Y9">
        <v>8800</v>
      </c>
    </row>
    <row r="10" spans="1:33">
      <c r="A10">
        <v>112</v>
      </c>
      <c r="B10" t="s">
        <v>103</v>
      </c>
      <c r="C10" t="s">
        <v>580</v>
      </c>
      <c r="D10" t="s">
        <v>581</v>
      </c>
      <c r="F10" t="s">
        <v>582</v>
      </c>
      <c r="G10" t="s">
        <v>583</v>
      </c>
      <c r="H10" t="s">
        <v>584</v>
      </c>
      <c r="I10">
        <v>19800</v>
      </c>
      <c r="J10" s="168" t="s">
        <v>494</v>
      </c>
      <c r="L10">
        <v>19800</v>
      </c>
      <c r="M10">
        <v>3500</v>
      </c>
      <c r="N10">
        <f t="shared" si="1"/>
        <v>23300</v>
      </c>
      <c r="P10">
        <f t="shared" si="2"/>
        <v>19800</v>
      </c>
      <c r="S10">
        <f t="shared" si="3"/>
        <v>19800</v>
      </c>
      <c r="T10" s="197" t="s">
        <v>2412</v>
      </c>
      <c r="V10">
        <v>19800</v>
      </c>
      <c r="W10" s="197" t="s">
        <v>2411</v>
      </c>
      <c r="X10">
        <v>36600</v>
      </c>
      <c r="Y10" s="197">
        <v>1500</v>
      </c>
    </row>
    <row r="11" spans="1:33">
      <c r="A11" s="168">
        <v>104</v>
      </c>
      <c r="B11" s="168" t="s">
        <v>66</v>
      </c>
      <c r="C11" s="168" t="s">
        <v>785</v>
      </c>
      <c r="D11" s="168" t="s">
        <v>178</v>
      </c>
      <c r="E11" s="168"/>
      <c r="F11" s="168" t="s">
        <v>604</v>
      </c>
      <c r="G11" s="168" t="s">
        <v>605</v>
      </c>
      <c r="H11" s="168" t="s">
        <v>181</v>
      </c>
      <c r="I11" s="168">
        <v>6600</v>
      </c>
      <c r="J11" s="168" t="s">
        <v>109</v>
      </c>
      <c r="L11" s="168">
        <v>6600</v>
      </c>
      <c r="M11">
        <v>3500</v>
      </c>
      <c r="N11">
        <f t="shared" si="1"/>
        <v>10100</v>
      </c>
      <c r="P11">
        <f t="shared" si="2"/>
        <v>6600</v>
      </c>
      <c r="S11">
        <f t="shared" si="3"/>
        <v>6600</v>
      </c>
      <c r="V11">
        <v>6600</v>
      </c>
      <c r="Y11">
        <v>0</v>
      </c>
    </row>
    <row r="12" spans="1:33">
      <c r="A12">
        <v>104</v>
      </c>
      <c r="B12" s="168" t="s">
        <v>103</v>
      </c>
      <c r="C12" t="s">
        <v>603</v>
      </c>
      <c r="D12" t="s">
        <v>178</v>
      </c>
      <c r="F12" t="s">
        <v>1581</v>
      </c>
      <c r="G12" s="217" t="s">
        <v>1582</v>
      </c>
      <c r="H12" t="s">
        <v>181</v>
      </c>
      <c r="I12" s="168">
        <v>6050</v>
      </c>
      <c r="J12" s="168" t="s">
        <v>109</v>
      </c>
      <c r="L12" s="168">
        <v>6050</v>
      </c>
      <c r="M12">
        <v>3500</v>
      </c>
      <c r="N12">
        <f t="shared" si="1"/>
        <v>9550</v>
      </c>
      <c r="P12">
        <f t="shared" si="2"/>
        <v>6050</v>
      </c>
      <c r="S12">
        <f t="shared" si="3"/>
        <v>6050</v>
      </c>
      <c r="V12">
        <v>6050</v>
      </c>
      <c r="Y12">
        <v>6600</v>
      </c>
    </row>
    <row r="13" spans="1:33" ht="11.25" customHeight="1">
      <c r="A13" s="168">
        <v>152</v>
      </c>
      <c r="B13" s="168" t="s">
        <v>66</v>
      </c>
      <c r="C13" s="168" t="s">
        <v>652</v>
      </c>
      <c r="D13" s="168" t="s">
        <v>644</v>
      </c>
      <c r="E13" s="168"/>
      <c r="F13" s="168" t="s">
        <v>653</v>
      </c>
      <c r="G13" s="168" t="s">
        <v>654</v>
      </c>
      <c r="H13" s="168" t="s">
        <v>647</v>
      </c>
      <c r="I13" s="168">
        <v>6050</v>
      </c>
      <c r="J13" s="168" t="s">
        <v>109</v>
      </c>
      <c r="L13" s="168">
        <v>6050</v>
      </c>
      <c r="M13">
        <v>3500</v>
      </c>
      <c r="N13">
        <f t="shared" si="1"/>
        <v>9550</v>
      </c>
      <c r="P13">
        <f t="shared" si="2"/>
        <v>6050</v>
      </c>
      <c r="S13">
        <f t="shared" si="3"/>
        <v>6050</v>
      </c>
      <c r="V13">
        <v>6050</v>
      </c>
      <c r="Y13">
        <v>6050</v>
      </c>
    </row>
    <row r="14" spans="1:33" ht="12.75" customHeight="1">
      <c r="A14" s="168">
        <v>152</v>
      </c>
      <c r="B14" s="168" t="s">
        <v>66</v>
      </c>
      <c r="C14" t="s">
        <v>643</v>
      </c>
      <c r="D14" t="s">
        <v>644</v>
      </c>
      <c r="F14" t="s">
        <v>645</v>
      </c>
      <c r="G14" t="s">
        <v>646</v>
      </c>
      <c r="H14" t="s">
        <v>647</v>
      </c>
      <c r="I14">
        <v>6050</v>
      </c>
      <c r="J14" s="168" t="s">
        <v>109</v>
      </c>
      <c r="L14">
        <v>6050</v>
      </c>
      <c r="M14">
        <v>3500</v>
      </c>
      <c r="N14">
        <f t="shared" si="1"/>
        <v>9550</v>
      </c>
      <c r="P14">
        <f t="shared" si="2"/>
        <v>6050</v>
      </c>
      <c r="S14">
        <f t="shared" si="3"/>
        <v>6050</v>
      </c>
      <c r="V14">
        <v>6050</v>
      </c>
      <c r="Y14">
        <v>6050</v>
      </c>
    </row>
    <row r="15" spans="1:33">
      <c r="A15">
        <v>2</v>
      </c>
      <c r="B15" t="s">
        <v>103</v>
      </c>
      <c r="C15" t="s">
        <v>673</v>
      </c>
      <c r="D15" t="s">
        <v>674</v>
      </c>
      <c r="F15" t="s">
        <v>675</v>
      </c>
      <c r="G15" t="s">
        <v>676</v>
      </c>
      <c r="H15" t="s">
        <v>677</v>
      </c>
      <c r="I15" s="168">
        <v>6050</v>
      </c>
      <c r="J15" s="168" t="s">
        <v>196</v>
      </c>
      <c r="L15" s="168">
        <v>6050</v>
      </c>
      <c r="M15">
        <v>3500</v>
      </c>
      <c r="N15">
        <f t="shared" si="1"/>
        <v>9550</v>
      </c>
      <c r="P15">
        <f t="shared" si="2"/>
        <v>6050</v>
      </c>
      <c r="S15">
        <f t="shared" si="3"/>
        <v>6050</v>
      </c>
      <c r="V15">
        <v>6050</v>
      </c>
      <c r="Y15">
        <v>6050</v>
      </c>
    </row>
    <row r="16" spans="1:33">
      <c r="A16">
        <v>119</v>
      </c>
      <c r="B16" t="s">
        <v>103</v>
      </c>
      <c r="C16" t="s">
        <v>720</v>
      </c>
      <c r="D16" t="s">
        <v>721</v>
      </c>
      <c r="F16" t="s">
        <v>722</v>
      </c>
      <c r="G16" t="s">
        <v>723</v>
      </c>
      <c r="H16" t="s">
        <v>724</v>
      </c>
      <c r="I16" s="168">
        <v>59400</v>
      </c>
      <c r="J16" s="168" t="s">
        <v>196</v>
      </c>
      <c r="L16" s="168">
        <v>0</v>
      </c>
      <c r="M16">
        <v>3500</v>
      </c>
      <c r="N16">
        <f t="shared" si="1"/>
        <v>3500</v>
      </c>
      <c r="P16" s="160">
        <v>0</v>
      </c>
      <c r="S16" s="160">
        <v>0</v>
      </c>
      <c r="V16" s="197">
        <v>59400</v>
      </c>
      <c r="W16" t="s">
        <v>2397</v>
      </c>
      <c r="Y16">
        <v>59400</v>
      </c>
    </row>
    <row r="17" spans="1:30" ht="21.75" customHeight="1">
      <c r="A17">
        <v>129</v>
      </c>
      <c r="B17" t="s">
        <v>66</v>
      </c>
      <c r="C17" t="s">
        <v>761</v>
      </c>
      <c r="D17" t="s">
        <v>762</v>
      </c>
      <c r="F17" t="s">
        <v>763</v>
      </c>
      <c r="G17" t="s">
        <v>764</v>
      </c>
      <c r="H17" t="s">
        <v>765</v>
      </c>
      <c r="I17" s="168">
        <v>6600</v>
      </c>
      <c r="J17" s="168" t="s">
        <v>109</v>
      </c>
      <c r="L17" s="168">
        <v>6600</v>
      </c>
      <c r="M17">
        <v>3500</v>
      </c>
      <c r="N17">
        <f t="shared" si="1"/>
        <v>10100</v>
      </c>
      <c r="P17">
        <f t="shared" si="2"/>
        <v>6600</v>
      </c>
      <c r="S17">
        <f t="shared" ref="S17:S29" si="4">L17</f>
        <v>6600</v>
      </c>
      <c r="V17">
        <v>6600</v>
      </c>
      <c r="Y17">
        <v>6600</v>
      </c>
      <c r="Z17" t="s">
        <v>2455</v>
      </c>
      <c r="AA17" s="197">
        <v>13200</v>
      </c>
    </row>
    <row r="18" spans="1:30">
      <c r="A18" s="168">
        <v>137</v>
      </c>
      <c r="B18" s="168" t="s">
        <v>103</v>
      </c>
      <c r="C18" s="168" t="s">
        <v>1190</v>
      </c>
      <c r="D18" s="168" t="s">
        <v>1199</v>
      </c>
      <c r="E18" s="168" t="s">
        <v>1199</v>
      </c>
      <c r="F18" s="168" t="s">
        <v>1200</v>
      </c>
      <c r="G18" s="168" t="s">
        <v>1201</v>
      </c>
      <c r="H18" s="168" t="s">
        <v>832</v>
      </c>
      <c r="I18" s="168">
        <v>7000</v>
      </c>
      <c r="J18" s="168" t="s">
        <v>109</v>
      </c>
      <c r="L18" s="168">
        <v>7000</v>
      </c>
      <c r="M18">
        <v>3500</v>
      </c>
      <c r="N18">
        <f t="shared" si="1"/>
        <v>10500</v>
      </c>
      <c r="P18">
        <f t="shared" si="2"/>
        <v>7000</v>
      </c>
      <c r="S18">
        <f t="shared" si="4"/>
        <v>7000</v>
      </c>
      <c r="V18">
        <v>7000</v>
      </c>
      <c r="Y18">
        <v>7000</v>
      </c>
    </row>
    <row r="19" spans="1:30">
      <c r="A19">
        <v>29</v>
      </c>
      <c r="B19" t="s">
        <v>66</v>
      </c>
      <c r="C19" t="s">
        <v>837</v>
      </c>
      <c r="D19" t="s">
        <v>838</v>
      </c>
      <c r="F19" t="s">
        <v>839</v>
      </c>
      <c r="G19" t="s">
        <v>840</v>
      </c>
      <c r="H19" t="s">
        <v>841</v>
      </c>
      <c r="I19" s="168">
        <v>17600</v>
      </c>
      <c r="J19" s="168" t="s">
        <v>196</v>
      </c>
      <c r="L19" s="168">
        <v>17600</v>
      </c>
      <c r="M19">
        <v>3500</v>
      </c>
      <c r="N19">
        <f t="shared" si="1"/>
        <v>21100</v>
      </c>
      <c r="P19">
        <f t="shared" si="2"/>
        <v>17600</v>
      </c>
      <c r="S19">
        <f t="shared" si="4"/>
        <v>17600</v>
      </c>
      <c r="V19">
        <v>17600</v>
      </c>
      <c r="Y19">
        <v>17600</v>
      </c>
    </row>
    <row r="20" spans="1:30">
      <c r="A20" s="168">
        <v>135</v>
      </c>
      <c r="B20" s="168" t="s">
        <v>103</v>
      </c>
      <c r="C20" s="168" t="s">
        <v>866</v>
      </c>
      <c r="D20" s="168" t="s">
        <v>867</v>
      </c>
      <c r="E20" s="168"/>
      <c r="F20" s="168" t="s">
        <v>868</v>
      </c>
      <c r="G20" s="168" t="s">
        <v>869</v>
      </c>
      <c r="H20" s="168" t="s">
        <v>870</v>
      </c>
      <c r="I20" s="168">
        <v>9900</v>
      </c>
      <c r="J20" s="168" t="s">
        <v>494</v>
      </c>
      <c r="L20" s="168">
        <v>9900</v>
      </c>
      <c r="M20">
        <v>3500</v>
      </c>
      <c r="N20">
        <f t="shared" si="1"/>
        <v>13400</v>
      </c>
      <c r="P20">
        <f t="shared" si="2"/>
        <v>9900</v>
      </c>
      <c r="S20">
        <f t="shared" si="4"/>
        <v>9900</v>
      </c>
      <c r="V20">
        <v>16875</v>
      </c>
      <c r="W20" t="s">
        <v>2399</v>
      </c>
      <c r="Y20">
        <v>0</v>
      </c>
    </row>
    <row r="21" spans="1:30">
      <c r="A21" s="168">
        <v>135</v>
      </c>
      <c r="B21" s="168" t="s">
        <v>103</v>
      </c>
      <c r="C21" s="168" t="s">
        <v>866</v>
      </c>
      <c r="D21" s="168" t="s">
        <v>867</v>
      </c>
      <c r="E21" s="168"/>
      <c r="F21" s="168" t="s">
        <v>868</v>
      </c>
      <c r="G21" s="168" t="s">
        <v>869</v>
      </c>
      <c r="H21" s="168" t="s">
        <v>870</v>
      </c>
      <c r="I21" s="168">
        <v>3300</v>
      </c>
      <c r="J21" s="168" t="s">
        <v>494</v>
      </c>
      <c r="L21" s="168">
        <v>3300</v>
      </c>
      <c r="N21">
        <f t="shared" si="1"/>
        <v>3300</v>
      </c>
      <c r="P21">
        <f t="shared" si="2"/>
        <v>3300</v>
      </c>
      <c r="S21">
        <f t="shared" si="4"/>
        <v>3300</v>
      </c>
      <c r="V21">
        <v>0</v>
      </c>
    </row>
    <row r="22" spans="1:30">
      <c r="A22">
        <v>105</v>
      </c>
      <c r="B22" t="s">
        <v>66</v>
      </c>
      <c r="C22" t="s">
        <v>875</v>
      </c>
      <c r="D22" t="s">
        <v>876</v>
      </c>
      <c r="F22" t="s">
        <v>877</v>
      </c>
      <c r="G22" t="s">
        <v>878</v>
      </c>
      <c r="H22" t="s">
        <v>879</v>
      </c>
      <c r="I22" s="168">
        <v>14850</v>
      </c>
      <c r="J22" s="168" t="s">
        <v>196</v>
      </c>
      <c r="L22" s="168">
        <v>14850</v>
      </c>
      <c r="M22">
        <v>3500</v>
      </c>
      <c r="N22">
        <f t="shared" si="1"/>
        <v>18350</v>
      </c>
      <c r="P22">
        <f t="shared" si="2"/>
        <v>14850</v>
      </c>
      <c r="S22">
        <f t="shared" si="4"/>
        <v>14850</v>
      </c>
      <c r="V22">
        <v>14850</v>
      </c>
      <c r="Y22">
        <v>14850</v>
      </c>
      <c r="Z22" t="s">
        <v>2456</v>
      </c>
      <c r="AA22" s="197">
        <v>15070</v>
      </c>
    </row>
    <row r="23" spans="1:30">
      <c r="A23" s="168">
        <v>157</v>
      </c>
      <c r="B23" s="168" t="s">
        <v>103</v>
      </c>
      <c r="C23" s="168" t="s">
        <v>889</v>
      </c>
      <c r="D23" s="168" t="s">
        <v>890</v>
      </c>
      <c r="E23" s="168"/>
      <c r="F23" s="168" t="s">
        <v>891</v>
      </c>
      <c r="G23" s="168" t="s">
        <v>892</v>
      </c>
      <c r="H23" s="168" t="s">
        <v>893</v>
      </c>
      <c r="I23" s="168">
        <v>11700</v>
      </c>
      <c r="J23" s="168" t="s">
        <v>109</v>
      </c>
      <c r="L23" s="168">
        <v>11700</v>
      </c>
      <c r="M23">
        <v>3500</v>
      </c>
      <c r="N23">
        <f t="shared" si="1"/>
        <v>15200</v>
      </c>
      <c r="P23">
        <f t="shared" si="2"/>
        <v>11700</v>
      </c>
      <c r="S23">
        <f t="shared" si="4"/>
        <v>11700</v>
      </c>
      <c r="V23">
        <v>11700</v>
      </c>
      <c r="Y23">
        <v>11700</v>
      </c>
    </row>
    <row r="24" spans="1:30">
      <c r="A24">
        <v>22</v>
      </c>
      <c r="B24" t="s">
        <v>103</v>
      </c>
      <c r="C24" t="s">
        <v>895</v>
      </c>
      <c r="D24" t="s">
        <v>901</v>
      </c>
      <c r="F24" t="s">
        <v>902</v>
      </c>
      <c r="G24" t="s">
        <v>903</v>
      </c>
      <c r="H24" t="s">
        <v>904</v>
      </c>
      <c r="I24" s="168">
        <v>17600</v>
      </c>
      <c r="J24" s="168" t="s">
        <v>196</v>
      </c>
      <c r="L24" s="168">
        <v>17600</v>
      </c>
      <c r="M24">
        <v>3500</v>
      </c>
      <c r="N24">
        <f t="shared" si="1"/>
        <v>21100</v>
      </c>
      <c r="P24">
        <f t="shared" si="2"/>
        <v>17600</v>
      </c>
      <c r="S24">
        <f t="shared" si="4"/>
        <v>17600</v>
      </c>
      <c r="V24">
        <v>17600</v>
      </c>
      <c r="Y24">
        <v>17600</v>
      </c>
    </row>
    <row r="25" spans="1:30">
      <c r="A25">
        <v>139</v>
      </c>
      <c r="B25" t="s">
        <v>103</v>
      </c>
      <c r="C25" t="s">
        <v>989</v>
      </c>
      <c r="D25" t="s">
        <v>990</v>
      </c>
      <c r="F25" t="s">
        <v>991</v>
      </c>
      <c r="G25" t="s">
        <v>992</v>
      </c>
      <c r="H25" t="s">
        <v>993</v>
      </c>
      <c r="I25" s="168">
        <v>12100</v>
      </c>
      <c r="J25" s="168" t="s">
        <v>109</v>
      </c>
      <c r="L25" s="168">
        <v>12100</v>
      </c>
      <c r="M25">
        <v>3500</v>
      </c>
      <c r="N25">
        <f t="shared" si="1"/>
        <v>15600</v>
      </c>
      <c r="P25">
        <f t="shared" si="2"/>
        <v>12100</v>
      </c>
      <c r="S25">
        <f t="shared" si="4"/>
        <v>12100</v>
      </c>
      <c r="V25">
        <v>12100</v>
      </c>
      <c r="Y25">
        <v>12100</v>
      </c>
      <c r="AB25" s="197">
        <v>14300</v>
      </c>
      <c r="AC25" t="s">
        <v>2447</v>
      </c>
    </row>
    <row r="26" spans="1:30">
      <c r="A26">
        <v>149</v>
      </c>
      <c r="B26" t="s">
        <v>103</v>
      </c>
      <c r="C26" t="s">
        <v>1106</v>
      </c>
      <c r="D26" t="s">
        <v>1115</v>
      </c>
      <c r="F26" t="s">
        <v>1116</v>
      </c>
      <c r="G26" t="s">
        <v>1117</v>
      </c>
      <c r="H26" t="s">
        <v>1118</v>
      </c>
      <c r="I26" s="168">
        <v>19800</v>
      </c>
      <c r="J26" s="168" t="s">
        <v>196</v>
      </c>
      <c r="L26" s="168">
        <v>19800</v>
      </c>
      <c r="M26">
        <v>3500</v>
      </c>
      <c r="N26">
        <f t="shared" si="1"/>
        <v>23300</v>
      </c>
      <c r="P26">
        <f t="shared" si="2"/>
        <v>19800</v>
      </c>
      <c r="S26">
        <f t="shared" si="4"/>
        <v>19800</v>
      </c>
      <c r="V26">
        <v>19800</v>
      </c>
      <c r="Y26">
        <v>19800</v>
      </c>
    </row>
    <row r="27" spans="1:30">
      <c r="A27" s="168">
        <v>138</v>
      </c>
      <c r="B27" s="168" t="s">
        <v>103</v>
      </c>
      <c r="C27" s="168" t="s">
        <v>1217</v>
      </c>
      <c r="D27" s="168" t="s">
        <v>1121</v>
      </c>
      <c r="E27" s="168"/>
      <c r="F27" s="168" t="s">
        <v>1218</v>
      </c>
      <c r="G27" s="168" t="s">
        <v>1219</v>
      </c>
      <c r="H27" s="168" t="s">
        <v>1124</v>
      </c>
      <c r="I27" s="168">
        <v>6600</v>
      </c>
      <c r="J27" s="168" t="s">
        <v>109</v>
      </c>
      <c r="L27" s="168">
        <v>6600</v>
      </c>
      <c r="M27">
        <v>3500</v>
      </c>
      <c r="N27">
        <f t="shared" si="1"/>
        <v>10100</v>
      </c>
      <c r="P27">
        <f t="shared" si="2"/>
        <v>6600</v>
      </c>
      <c r="S27">
        <f t="shared" si="4"/>
        <v>6600</v>
      </c>
      <c r="V27">
        <v>6600</v>
      </c>
      <c r="Y27">
        <v>6600</v>
      </c>
      <c r="Z27" t="s">
        <v>2460</v>
      </c>
      <c r="AA27" t="s">
        <v>2461</v>
      </c>
      <c r="AC27" t="s">
        <v>2459</v>
      </c>
      <c r="AD27" s="197" t="s">
        <v>2458</v>
      </c>
    </row>
    <row r="28" spans="1:30">
      <c r="A28">
        <v>140</v>
      </c>
      <c r="B28" t="s">
        <v>103</v>
      </c>
      <c r="C28" t="s">
        <v>630</v>
      </c>
      <c r="D28" t="s">
        <v>631</v>
      </c>
      <c r="F28" t="s">
        <v>1221</v>
      </c>
      <c r="G28" t="s">
        <v>1222</v>
      </c>
      <c r="H28" t="s">
        <v>634</v>
      </c>
      <c r="I28" s="168">
        <v>6050</v>
      </c>
      <c r="J28" s="168" t="s">
        <v>109</v>
      </c>
      <c r="L28" s="168">
        <v>6050</v>
      </c>
      <c r="M28">
        <v>3500</v>
      </c>
      <c r="N28">
        <f t="shared" si="1"/>
        <v>9550</v>
      </c>
      <c r="P28">
        <f t="shared" si="2"/>
        <v>6050</v>
      </c>
      <c r="S28">
        <f t="shared" si="4"/>
        <v>6050</v>
      </c>
      <c r="V28">
        <v>6050</v>
      </c>
      <c r="Y28">
        <v>6050</v>
      </c>
    </row>
    <row r="29" spans="1:30">
      <c r="A29">
        <v>120</v>
      </c>
      <c r="B29" t="s">
        <v>103</v>
      </c>
      <c r="C29" t="s">
        <v>1238</v>
      </c>
      <c r="D29" t="s">
        <v>1239</v>
      </c>
      <c r="F29" t="s">
        <v>1240</v>
      </c>
      <c r="G29" t="s">
        <v>1241</v>
      </c>
      <c r="H29" t="s">
        <v>1242</v>
      </c>
      <c r="I29" s="168">
        <v>15000</v>
      </c>
      <c r="J29" s="168" t="s">
        <v>494</v>
      </c>
      <c r="L29" s="168">
        <v>15000</v>
      </c>
      <c r="M29">
        <v>3500</v>
      </c>
      <c r="N29">
        <f t="shared" si="1"/>
        <v>18500</v>
      </c>
      <c r="P29">
        <f t="shared" si="2"/>
        <v>15000</v>
      </c>
      <c r="S29">
        <f t="shared" si="4"/>
        <v>15000</v>
      </c>
      <c r="V29">
        <v>15000</v>
      </c>
      <c r="Y29">
        <v>15000</v>
      </c>
    </row>
    <row r="30" spans="1:30">
      <c r="A30" s="168">
        <v>134</v>
      </c>
      <c r="B30" s="168" t="s">
        <v>103</v>
      </c>
      <c r="C30" s="168" t="s">
        <v>1257</v>
      </c>
      <c r="D30" s="168" t="s">
        <v>1258</v>
      </c>
      <c r="E30" s="168"/>
      <c r="F30" s="168" t="s">
        <v>1259</v>
      </c>
      <c r="G30" s="168" t="s">
        <v>1260</v>
      </c>
      <c r="H30" s="168" t="s">
        <v>1261</v>
      </c>
      <c r="I30" s="168">
        <v>9900</v>
      </c>
      <c r="J30" s="168" t="s">
        <v>494</v>
      </c>
      <c r="L30" s="168">
        <v>9900</v>
      </c>
      <c r="M30">
        <v>3500</v>
      </c>
      <c r="N30">
        <f t="shared" si="1"/>
        <v>13400</v>
      </c>
      <c r="P30">
        <v>13200</v>
      </c>
      <c r="S30" s="160">
        <v>16500</v>
      </c>
      <c r="T30" t="s">
        <v>2332</v>
      </c>
      <c r="V30">
        <v>16500</v>
      </c>
      <c r="Y30">
        <v>16500</v>
      </c>
    </row>
    <row r="31" spans="1:30">
      <c r="A31">
        <v>20</v>
      </c>
      <c r="B31" t="s">
        <v>103</v>
      </c>
      <c r="C31" t="s">
        <v>1289</v>
      </c>
      <c r="D31" t="s">
        <v>1031</v>
      </c>
      <c r="F31" t="s">
        <v>1290</v>
      </c>
      <c r="G31" t="s">
        <v>1291</v>
      </c>
      <c r="H31" t="s">
        <v>1034</v>
      </c>
      <c r="I31" s="168">
        <v>14800</v>
      </c>
      <c r="J31" s="168" t="s">
        <v>196</v>
      </c>
      <c r="L31" s="168">
        <v>14800</v>
      </c>
      <c r="M31">
        <v>3500</v>
      </c>
      <c r="N31">
        <f t="shared" si="1"/>
        <v>18300</v>
      </c>
      <c r="P31">
        <f>I31</f>
        <v>14800</v>
      </c>
      <c r="S31">
        <f t="shared" ref="S31:S60" si="5">L31</f>
        <v>14800</v>
      </c>
      <c r="V31">
        <v>14800</v>
      </c>
      <c r="Y31">
        <v>14800</v>
      </c>
    </row>
    <row r="32" spans="1:30">
      <c r="A32" s="168">
        <v>142</v>
      </c>
      <c r="B32" s="168" t="s">
        <v>103</v>
      </c>
      <c r="C32" s="168" t="s">
        <v>1308</v>
      </c>
      <c r="D32" s="168" t="s">
        <v>762</v>
      </c>
      <c r="E32" s="168"/>
      <c r="F32" s="168" t="s">
        <v>1309</v>
      </c>
      <c r="G32" s="168" t="s">
        <v>1310</v>
      </c>
      <c r="H32" s="168" t="s">
        <v>765</v>
      </c>
      <c r="I32" s="168">
        <v>6600</v>
      </c>
      <c r="J32" s="168" t="s">
        <v>109</v>
      </c>
      <c r="L32" s="168">
        <v>6600</v>
      </c>
      <c r="M32">
        <v>3500</v>
      </c>
      <c r="N32">
        <f t="shared" si="1"/>
        <v>10100</v>
      </c>
      <c r="P32">
        <f t="shared" si="2"/>
        <v>6600</v>
      </c>
      <c r="S32">
        <f t="shared" si="5"/>
        <v>6600</v>
      </c>
      <c r="V32">
        <v>6600</v>
      </c>
      <c r="Y32">
        <v>6600</v>
      </c>
    </row>
    <row r="33" spans="1:29">
      <c r="A33" s="168">
        <v>100</v>
      </c>
      <c r="B33" s="168" t="s">
        <v>103</v>
      </c>
      <c r="C33" s="168" t="s">
        <v>1390</v>
      </c>
      <c r="D33" s="168" t="s">
        <v>381</v>
      </c>
      <c r="E33" s="168"/>
      <c r="F33" s="168" t="s">
        <v>1391</v>
      </c>
      <c r="G33" s="168" t="s">
        <v>1392</v>
      </c>
      <c r="H33" s="168" t="s">
        <v>384</v>
      </c>
      <c r="I33" s="168">
        <v>6050</v>
      </c>
      <c r="J33" s="168" t="s">
        <v>109</v>
      </c>
      <c r="L33" s="168">
        <v>6050</v>
      </c>
      <c r="M33">
        <v>3500</v>
      </c>
      <c r="N33">
        <f t="shared" si="1"/>
        <v>9550</v>
      </c>
      <c r="P33">
        <f t="shared" si="2"/>
        <v>6050</v>
      </c>
      <c r="S33">
        <f t="shared" si="5"/>
        <v>6050</v>
      </c>
      <c r="V33">
        <v>6050</v>
      </c>
      <c r="Y33">
        <v>6050</v>
      </c>
    </row>
    <row r="34" spans="1:29">
      <c r="A34">
        <v>121</v>
      </c>
      <c r="B34" t="s">
        <v>103</v>
      </c>
      <c r="C34" t="s">
        <v>1401</v>
      </c>
      <c r="D34" t="s">
        <v>1115</v>
      </c>
      <c r="F34" t="s">
        <v>1309</v>
      </c>
      <c r="G34" t="s">
        <v>1402</v>
      </c>
      <c r="H34" t="s">
        <v>1118</v>
      </c>
      <c r="I34" s="168">
        <v>6600</v>
      </c>
      <c r="J34" s="168" t="s">
        <v>1955</v>
      </c>
      <c r="L34" s="168">
        <v>17600</v>
      </c>
      <c r="M34">
        <v>3500</v>
      </c>
      <c r="N34">
        <f t="shared" si="1"/>
        <v>21100</v>
      </c>
      <c r="O34" t="s">
        <v>2263</v>
      </c>
      <c r="P34">
        <f t="shared" si="2"/>
        <v>6600</v>
      </c>
      <c r="S34">
        <f t="shared" si="5"/>
        <v>17600</v>
      </c>
      <c r="V34">
        <v>17600</v>
      </c>
      <c r="Y34">
        <v>17600</v>
      </c>
    </row>
    <row r="35" spans="1:29">
      <c r="A35" s="168">
        <v>95</v>
      </c>
      <c r="B35" s="168" t="s">
        <v>103</v>
      </c>
      <c r="C35" s="168" t="s">
        <v>1412</v>
      </c>
      <c r="D35" s="168" t="s">
        <v>1413</v>
      </c>
      <c r="E35" s="168"/>
      <c r="F35" s="168" t="s">
        <v>1414</v>
      </c>
      <c r="G35" s="168" t="s">
        <v>1415</v>
      </c>
      <c r="H35" s="168" t="s">
        <v>1416</v>
      </c>
      <c r="I35" s="168">
        <v>19800</v>
      </c>
      <c r="J35" s="168" t="s">
        <v>109</v>
      </c>
      <c r="L35" s="168">
        <v>19800</v>
      </c>
      <c r="M35">
        <v>3500</v>
      </c>
      <c r="N35">
        <f t="shared" si="1"/>
        <v>23300</v>
      </c>
      <c r="P35">
        <f t="shared" si="2"/>
        <v>19800</v>
      </c>
      <c r="S35">
        <f t="shared" si="5"/>
        <v>19800</v>
      </c>
      <c r="V35">
        <v>19800</v>
      </c>
      <c r="Y35">
        <v>19800</v>
      </c>
    </row>
    <row r="36" spans="1:29">
      <c r="A36">
        <v>151</v>
      </c>
      <c r="B36" t="s">
        <v>103</v>
      </c>
      <c r="C36" t="s">
        <v>1289</v>
      </c>
      <c r="D36" t="s">
        <v>1463</v>
      </c>
      <c r="H36" t="s">
        <v>1466</v>
      </c>
      <c r="I36" s="168">
        <v>19800</v>
      </c>
      <c r="J36" s="168" t="s">
        <v>196</v>
      </c>
      <c r="L36" s="168">
        <v>19800</v>
      </c>
      <c r="M36">
        <v>3500</v>
      </c>
      <c r="N36">
        <f t="shared" si="1"/>
        <v>23300</v>
      </c>
      <c r="P36">
        <f t="shared" si="2"/>
        <v>19800</v>
      </c>
      <c r="S36">
        <f t="shared" si="5"/>
        <v>19800</v>
      </c>
      <c r="V36">
        <v>19800</v>
      </c>
      <c r="Y36">
        <v>19800</v>
      </c>
    </row>
    <row r="37" spans="1:29">
      <c r="A37" s="168">
        <v>160</v>
      </c>
      <c r="B37" s="168" t="s">
        <v>103</v>
      </c>
      <c r="C37" t="s">
        <v>489</v>
      </c>
      <c r="D37" t="s">
        <v>490</v>
      </c>
      <c r="F37" t="s">
        <v>491</v>
      </c>
      <c r="G37" t="s">
        <v>492</v>
      </c>
      <c r="H37" t="s">
        <v>493</v>
      </c>
      <c r="I37" s="217">
        <v>9500</v>
      </c>
      <c r="J37" t="s">
        <v>109</v>
      </c>
      <c r="L37" s="217">
        <v>20500</v>
      </c>
      <c r="M37">
        <v>3500</v>
      </c>
      <c r="N37">
        <f t="shared" si="1"/>
        <v>24000</v>
      </c>
      <c r="P37">
        <f t="shared" si="2"/>
        <v>9500</v>
      </c>
      <c r="S37">
        <f t="shared" si="5"/>
        <v>20500</v>
      </c>
      <c r="V37">
        <v>20500</v>
      </c>
      <c r="Y37">
        <v>20500</v>
      </c>
    </row>
    <row r="38" spans="1:29">
      <c r="A38" s="168">
        <v>160</v>
      </c>
      <c r="B38" s="168" t="s">
        <v>103</v>
      </c>
      <c r="C38" s="168" t="s">
        <v>499</v>
      </c>
      <c r="D38" s="168" t="s">
        <v>490</v>
      </c>
      <c r="E38" s="168"/>
      <c r="F38" s="168" t="s">
        <v>500</v>
      </c>
      <c r="G38" s="168" t="s">
        <v>501</v>
      </c>
      <c r="H38" s="168" t="s">
        <v>493</v>
      </c>
      <c r="I38" s="217">
        <v>7000</v>
      </c>
      <c r="J38" t="s">
        <v>109</v>
      </c>
      <c r="L38" s="217">
        <v>7000</v>
      </c>
      <c r="M38">
        <v>3500</v>
      </c>
      <c r="N38">
        <f t="shared" si="1"/>
        <v>10500</v>
      </c>
      <c r="P38">
        <f t="shared" si="2"/>
        <v>7000</v>
      </c>
      <c r="S38">
        <f t="shared" si="5"/>
        <v>7000</v>
      </c>
      <c r="V38">
        <v>7000</v>
      </c>
      <c r="W38" s="197" t="s">
        <v>2413</v>
      </c>
      <c r="Y38">
        <v>7900</v>
      </c>
      <c r="AB38" s="197">
        <v>7600</v>
      </c>
    </row>
    <row r="39" spans="1:29">
      <c r="A39" s="168">
        <v>160</v>
      </c>
      <c r="B39" s="168" t="s">
        <v>103</v>
      </c>
      <c r="C39" t="s">
        <v>504</v>
      </c>
      <c r="D39" t="s">
        <v>490</v>
      </c>
      <c r="F39" t="s">
        <v>505</v>
      </c>
      <c r="G39" t="s">
        <v>506</v>
      </c>
      <c r="H39" t="s">
        <v>493</v>
      </c>
      <c r="I39" s="217">
        <v>20500</v>
      </c>
      <c r="J39" t="s">
        <v>109</v>
      </c>
      <c r="L39" s="217">
        <v>9500</v>
      </c>
      <c r="M39">
        <v>3500</v>
      </c>
      <c r="N39">
        <f t="shared" si="1"/>
        <v>13000</v>
      </c>
      <c r="P39">
        <f t="shared" si="2"/>
        <v>20500</v>
      </c>
      <c r="S39">
        <f t="shared" si="5"/>
        <v>9500</v>
      </c>
      <c r="V39">
        <v>9500</v>
      </c>
      <c r="Y39">
        <v>9500</v>
      </c>
    </row>
    <row r="40" spans="1:29">
      <c r="A40">
        <v>165</v>
      </c>
      <c r="B40" t="s">
        <v>103</v>
      </c>
      <c r="C40" t="s">
        <v>1470</v>
      </c>
      <c r="D40" t="s">
        <v>740</v>
      </c>
      <c r="F40" t="s">
        <v>1471</v>
      </c>
      <c r="G40" t="s">
        <v>1472</v>
      </c>
      <c r="H40" t="s">
        <v>743</v>
      </c>
      <c r="I40" s="168">
        <v>6600</v>
      </c>
      <c r="J40" t="s">
        <v>109</v>
      </c>
      <c r="L40" s="168">
        <v>6600</v>
      </c>
      <c r="M40">
        <v>3500</v>
      </c>
      <c r="N40">
        <f t="shared" si="1"/>
        <v>10100</v>
      </c>
      <c r="P40">
        <f t="shared" si="2"/>
        <v>6600</v>
      </c>
      <c r="S40">
        <f t="shared" si="5"/>
        <v>6600</v>
      </c>
      <c r="V40">
        <v>6600</v>
      </c>
      <c r="Y40">
        <v>6600</v>
      </c>
    </row>
    <row r="41" spans="1:29">
      <c r="A41" s="168"/>
      <c r="B41" s="168" t="s">
        <v>103</v>
      </c>
      <c r="C41" s="168" t="s">
        <v>1470</v>
      </c>
      <c r="D41" s="168" t="s">
        <v>1494</v>
      </c>
      <c r="E41" s="168"/>
      <c r="F41" s="168" t="s">
        <v>1471</v>
      </c>
      <c r="G41" s="168" t="s">
        <v>1495</v>
      </c>
      <c r="H41" s="168" t="s">
        <v>1496</v>
      </c>
      <c r="I41" s="168">
        <v>7000</v>
      </c>
      <c r="J41" t="s">
        <v>109</v>
      </c>
      <c r="L41" s="168">
        <v>7000</v>
      </c>
      <c r="M41">
        <v>3500</v>
      </c>
      <c r="N41">
        <f t="shared" si="1"/>
        <v>10500</v>
      </c>
      <c r="P41">
        <f t="shared" si="2"/>
        <v>7000</v>
      </c>
      <c r="S41">
        <f t="shared" si="5"/>
        <v>7000</v>
      </c>
      <c r="V41">
        <v>7000</v>
      </c>
      <c r="Y41">
        <v>7000</v>
      </c>
    </row>
    <row r="42" spans="1:29">
      <c r="A42">
        <v>166</v>
      </c>
      <c r="B42" t="s">
        <v>103</v>
      </c>
      <c r="C42" t="s">
        <v>1499</v>
      </c>
      <c r="D42" t="s">
        <v>1500</v>
      </c>
      <c r="F42" t="s">
        <v>1501</v>
      </c>
      <c r="G42" t="s">
        <v>1502</v>
      </c>
      <c r="H42" t="s">
        <v>1503</v>
      </c>
      <c r="I42" s="168">
        <v>7000</v>
      </c>
      <c r="J42" t="s">
        <v>109</v>
      </c>
      <c r="L42" s="168">
        <v>7000</v>
      </c>
      <c r="M42">
        <v>3500</v>
      </c>
      <c r="N42">
        <f t="shared" si="1"/>
        <v>10500</v>
      </c>
      <c r="P42">
        <f t="shared" si="2"/>
        <v>7000</v>
      </c>
      <c r="S42">
        <f t="shared" si="5"/>
        <v>7000</v>
      </c>
      <c r="V42">
        <v>7000</v>
      </c>
      <c r="Y42">
        <v>7000</v>
      </c>
    </row>
    <row r="43" spans="1:29">
      <c r="A43" s="168">
        <v>167</v>
      </c>
      <c r="B43" s="168" t="s">
        <v>66</v>
      </c>
      <c r="C43" s="168" t="s">
        <v>1508</v>
      </c>
      <c r="D43" s="168" t="s">
        <v>1509</v>
      </c>
      <c r="E43" s="168"/>
      <c r="F43" s="168" t="s">
        <v>1510</v>
      </c>
      <c r="G43" s="168" t="s">
        <v>1511</v>
      </c>
      <c r="H43" s="168" t="s">
        <v>1512</v>
      </c>
      <c r="I43" s="168">
        <v>7000</v>
      </c>
      <c r="J43" t="s">
        <v>109</v>
      </c>
      <c r="L43" s="218">
        <v>7000</v>
      </c>
      <c r="M43" s="197">
        <v>3500</v>
      </c>
      <c r="N43" s="197">
        <f t="shared" si="1"/>
        <v>10500</v>
      </c>
      <c r="O43" t="s">
        <v>2264</v>
      </c>
      <c r="P43">
        <f t="shared" si="2"/>
        <v>7000</v>
      </c>
      <c r="S43">
        <f t="shared" si="5"/>
        <v>7000</v>
      </c>
      <c r="V43">
        <v>7000</v>
      </c>
      <c r="Y43">
        <v>7000</v>
      </c>
    </row>
    <row r="44" spans="1:29">
      <c r="A44">
        <v>168</v>
      </c>
      <c r="B44" t="s">
        <v>103</v>
      </c>
      <c r="C44" t="s">
        <v>1516</v>
      </c>
      <c r="D44" t="s">
        <v>1517</v>
      </c>
      <c r="F44" t="s">
        <v>1518</v>
      </c>
      <c r="G44" t="s">
        <v>1519</v>
      </c>
      <c r="H44" t="s">
        <v>1520</v>
      </c>
      <c r="I44" s="168">
        <v>7000</v>
      </c>
      <c r="J44" t="s">
        <v>109</v>
      </c>
      <c r="L44" s="168">
        <v>7000</v>
      </c>
      <c r="M44">
        <v>3500</v>
      </c>
      <c r="N44">
        <f t="shared" si="1"/>
        <v>10500</v>
      </c>
      <c r="P44">
        <f t="shared" si="2"/>
        <v>7000</v>
      </c>
      <c r="S44">
        <f t="shared" si="5"/>
        <v>7000</v>
      </c>
      <c r="V44">
        <v>7000</v>
      </c>
      <c r="Y44">
        <v>7000</v>
      </c>
    </row>
    <row r="45" spans="1:29">
      <c r="A45" s="168">
        <v>169</v>
      </c>
      <c r="B45" s="168" t="s">
        <v>103</v>
      </c>
      <c r="C45" s="168" t="s">
        <v>1524</v>
      </c>
      <c r="D45" s="168" t="s">
        <v>1525</v>
      </c>
      <c r="E45" s="168"/>
      <c r="F45" s="168" t="s">
        <v>1526</v>
      </c>
      <c r="G45" s="168" t="s">
        <v>1527</v>
      </c>
      <c r="H45" s="168" t="s">
        <v>1528</v>
      </c>
      <c r="I45" s="168">
        <v>7000</v>
      </c>
      <c r="J45" t="s">
        <v>109</v>
      </c>
      <c r="L45" s="168">
        <v>7000</v>
      </c>
      <c r="M45">
        <v>3500</v>
      </c>
      <c r="N45">
        <f t="shared" si="1"/>
        <v>10500</v>
      </c>
      <c r="P45">
        <f t="shared" si="2"/>
        <v>7000</v>
      </c>
      <c r="S45">
        <f t="shared" si="5"/>
        <v>7000</v>
      </c>
      <c r="V45">
        <v>7000</v>
      </c>
      <c r="Y45">
        <v>7000</v>
      </c>
      <c r="AB45" s="197">
        <v>0</v>
      </c>
      <c r="AC45" t="s">
        <v>2424</v>
      </c>
    </row>
    <row r="46" spans="1:29">
      <c r="A46">
        <v>170</v>
      </c>
      <c r="B46" t="s">
        <v>103</v>
      </c>
      <c r="C46" t="s">
        <v>1532</v>
      </c>
      <c r="D46" t="s">
        <v>854</v>
      </c>
      <c r="F46" t="s">
        <v>1533</v>
      </c>
      <c r="G46" t="s">
        <v>1534</v>
      </c>
      <c r="H46" t="s">
        <v>1535</v>
      </c>
      <c r="I46" s="168">
        <v>7000</v>
      </c>
      <c r="J46" t="s">
        <v>109</v>
      </c>
      <c r="L46" s="168">
        <v>7000</v>
      </c>
      <c r="M46">
        <v>3500</v>
      </c>
      <c r="N46">
        <f t="shared" si="1"/>
        <v>10500</v>
      </c>
      <c r="P46">
        <f t="shared" si="2"/>
        <v>7000</v>
      </c>
      <c r="S46">
        <f t="shared" si="5"/>
        <v>7000</v>
      </c>
      <c r="V46">
        <v>7000</v>
      </c>
      <c r="Y46">
        <v>7000</v>
      </c>
    </row>
    <row r="47" spans="1:29">
      <c r="A47" s="168">
        <v>171</v>
      </c>
      <c r="B47" s="168" t="s">
        <v>103</v>
      </c>
      <c r="C47" s="168" t="s">
        <v>1390</v>
      </c>
      <c r="D47" s="168" t="s">
        <v>490</v>
      </c>
      <c r="E47" s="168"/>
      <c r="F47" s="168" t="s">
        <v>1537</v>
      </c>
      <c r="G47" s="168" t="s">
        <v>1538</v>
      </c>
      <c r="H47" s="168" t="s">
        <v>493</v>
      </c>
      <c r="I47" s="168">
        <v>7000</v>
      </c>
      <c r="J47" t="s">
        <v>109</v>
      </c>
      <c r="L47" s="168">
        <v>7000</v>
      </c>
      <c r="M47">
        <v>3500</v>
      </c>
      <c r="N47">
        <f t="shared" si="1"/>
        <v>10500</v>
      </c>
      <c r="P47">
        <f t="shared" si="2"/>
        <v>7000</v>
      </c>
      <c r="S47">
        <f t="shared" si="5"/>
        <v>7000</v>
      </c>
      <c r="V47">
        <v>7000</v>
      </c>
      <c r="Y47">
        <v>12100</v>
      </c>
    </row>
    <row r="48" spans="1:29">
      <c r="A48">
        <v>172</v>
      </c>
      <c r="B48" t="s">
        <v>103</v>
      </c>
      <c r="C48" t="s">
        <v>1540</v>
      </c>
      <c r="D48" t="s">
        <v>1541</v>
      </c>
      <c r="F48" t="s">
        <v>1542</v>
      </c>
      <c r="G48" t="s">
        <v>1543</v>
      </c>
      <c r="H48" t="s">
        <v>1544</v>
      </c>
      <c r="I48" s="168">
        <v>12100</v>
      </c>
      <c r="J48" t="s">
        <v>109</v>
      </c>
      <c r="L48" s="168">
        <v>12100</v>
      </c>
      <c r="M48">
        <v>3500</v>
      </c>
      <c r="N48">
        <f t="shared" si="1"/>
        <v>15600</v>
      </c>
      <c r="P48">
        <f t="shared" si="2"/>
        <v>12100</v>
      </c>
      <c r="S48">
        <f t="shared" si="5"/>
        <v>12100</v>
      </c>
      <c r="V48">
        <v>12100</v>
      </c>
      <c r="Y48">
        <v>9500</v>
      </c>
    </row>
    <row r="49" spans="1:31">
      <c r="A49" s="168">
        <v>173</v>
      </c>
      <c r="B49" s="168" t="s">
        <v>2464</v>
      </c>
      <c r="C49" s="168" t="s">
        <v>1524</v>
      </c>
      <c r="D49" s="168" t="s">
        <v>1550</v>
      </c>
      <c r="E49" s="168"/>
      <c r="F49" s="168" t="s">
        <v>1551</v>
      </c>
      <c r="G49" s="168" t="s">
        <v>1552</v>
      </c>
      <c r="H49" s="168" t="s">
        <v>1552</v>
      </c>
      <c r="I49" s="168">
        <v>9500</v>
      </c>
      <c r="J49" t="s">
        <v>109</v>
      </c>
      <c r="L49" s="168">
        <v>9500</v>
      </c>
      <c r="M49">
        <v>3500</v>
      </c>
      <c r="N49">
        <f t="shared" si="1"/>
        <v>13000</v>
      </c>
      <c r="P49">
        <f t="shared" si="2"/>
        <v>9500</v>
      </c>
      <c r="S49">
        <f t="shared" si="5"/>
        <v>9500</v>
      </c>
      <c r="V49">
        <v>9500</v>
      </c>
      <c r="Y49">
        <v>7000</v>
      </c>
      <c r="AC49" t="s">
        <v>2465</v>
      </c>
      <c r="AE49">
        <v>0</v>
      </c>
    </row>
    <row r="50" spans="1:31">
      <c r="A50">
        <v>174</v>
      </c>
      <c r="B50" t="s">
        <v>103</v>
      </c>
      <c r="C50" t="s">
        <v>749</v>
      </c>
      <c r="D50" t="s">
        <v>149</v>
      </c>
      <c r="F50" t="s">
        <v>1557</v>
      </c>
      <c r="G50" t="s">
        <v>1558</v>
      </c>
      <c r="H50" t="s">
        <v>752</v>
      </c>
      <c r="I50" s="168">
        <v>7000</v>
      </c>
      <c r="J50" t="s">
        <v>109</v>
      </c>
      <c r="L50" s="168">
        <v>7000</v>
      </c>
      <c r="M50">
        <v>3500</v>
      </c>
      <c r="N50">
        <f t="shared" si="1"/>
        <v>10500</v>
      </c>
      <c r="P50">
        <f t="shared" si="2"/>
        <v>7000</v>
      </c>
      <c r="S50">
        <f t="shared" si="5"/>
        <v>7000</v>
      </c>
      <c r="V50">
        <v>7000</v>
      </c>
      <c r="Y50">
        <v>7000</v>
      </c>
    </row>
    <row r="51" spans="1:31">
      <c r="A51" s="168">
        <v>175</v>
      </c>
      <c r="B51" s="168" t="s">
        <v>103</v>
      </c>
      <c r="C51" s="168" t="s">
        <v>1937</v>
      </c>
      <c r="D51" s="168" t="s">
        <v>1940</v>
      </c>
      <c r="E51" s="168"/>
      <c r="F51" s="168" t="s">
        <v>1938</v>
      </c>
      <c r="G51" s="168" t="s">
        <v>1939</v>
      </c>
      <c r="H51" s="168" t="s">
        <v>1372</v>
      </c>
      <c r="I51" s="168">
        <v>6600</v>
      </c>
      <c r="J51" t="s">
        <v>109</v>
      </c>
      <c r="L51" s="168">
        <v>6600</v>
      </c>
      <c r="M51">
        <v>3500</v>
      </c>
      <c r="N51">
        <f t="shared" si="1"/>
        <v>10100</v>
      </c>
      <c r="P51">
        <f t="shared" si="2"/>
        <v>6600</v>
      </c>
      <c r="S51">
        <f t="shared" si="5"/>
        <v>6600</v>
      </c>
      <c r="V51">
        <v>6600</v>
      </c>
      <c r="Y51">
        <v>6600</v>
      </c>
    </row>
    <row r="52" spans="1:31">
      <c r="A52" s="233">
        <v>177</v>
      </c>
      <c r="B52" s="233" t="s">
        <v>103</v>
      </c>
      <c r="C52" s="233" t="s">
        <v>2010</v>
      </c>
      <c r="D52" s="233" t="s">
        <v>2011</v>
      </c>
      <c r="E52" s="233"/>
      <c r="F52" s="227" t="s">
        <v>2040</v>
      </c>
      <c r="G52" s="227" t="s">
        <v>2008</v>
      </c>
      <c r="H52" s="227" t="s">
        <v>2009</v>
      </c>
      <c r="I52" s="168">
        <v>7000</v>
      </c>
      <c r="J52" t="s">
        <v>109</v>
      </c>
      <c r="L52" s="168">
        <v>7000</v>
      </c>
      <c r="M52">
        <v>3500</v>
      </c>
      <c r="N52">
        <f t="shared" si="1"/>
        <v>10500</v>
      </c>
      <c r="P52">
        <f t="shared" si="2"/>
        <v>7000</v>
      </c>
      <c r="S52">
        <f t="shared" si="5"/>
        <v>7000</v>
      </c>
      <c r="V52">
        <v>7000</v>
      </c>
      <c r="Y52">
        <v>7000</v>
      </c>
    </row>
    <row r="53" spans="1:31">
      <c r="A53">
        <v>178</v>
      </c>
      <c r="B53" t="s">
        <v>103</v>
      </c>
      <c r="C53" t="s">
        <v>586</v>
      </c>
      <c r="D53" t="s">
        <v>587</v>
      </c>
      <c r="F53" t="s">
        <v>588</v>
      </c>
      <c r="G53" t="s">
        <v>589</v>
      </c>
      <c r="H53" t="s">
        <v>590</v>
      </c>
      <c r="I53" s="168">
        <v>7000</v>
      </c>
      <c r="J53" t="s">
        <v>109</v>
      </c>
      <c r="L53" s="168">
        <v>7000</v>
      </c>
      <c r="M53">
        <v>3500</v>
      </c>
      <c r="N53">
        <f t="shared" si="1"/>
        <v>10500</v>
      </c>
      <c r="P53">
        <f t="shared" si="2"/>
        <v>7000</v>
      </c>
      <c r="S53">
        <f t="shared" si="5"/>
        <v>7000</v>
      </c>
      <c r="V53" s="197">
        <v>17250</v>
      </c>
      <c r="W53" s="197" t="s">
        <v>2398</v>
      </c>
      <c r="Y53" s="197">
        <v>8800</v>
      </c>
      <c r="Z53" t="s">
        <v>2423</v>
      </c>
      <c r="AB53" s="197">
        <v>7600</v>
      </c>
    </row>
    <row r="54" spans="1:31">
      <c r="A54">
        <v>179</v>
      </c>
      <c r="B54" t="s">
        <v>103</v>
      </c>
      <c r="C54" t="s">
        <v>630</v>
      </c>
      <c r="D54" t="s">
        <v>2034</v>
      </c>
      <c r="F54" t="s">
        <v>2038</v>
      </c>
      <c r="G54" t="s">
        <v>2033</v>
      </c>
      <c r="H54" t="s">
        <v>2035</v>
      </c>
      <c r="I54" s="168">
        <v>6600</v>
      </c>
      <c r="J54" t="s">
        <v>109</v>
      </c>
      <c r="L54" s="236">
        <v>6600</v>
      </c>
      <c r="M54">
        <v>3500</v>
      </c>
      <c r="N54" t="s">
        <v>2342</v>
      </c>
      <c r="P54">
        <f t="shared" si="2"/>
        <v>6600</v>
      </c>
      <c r="S54">
        <f t="shared" si="5"/>
        <v>6600</v>
      </c>
      <c r="V54">
        <v>6600</v>
      </c>
      <c r="Y54">
        <v>6600</v>
      </c>
      <c r="AB54" s="197">
        <v>7800</v>
      </c>
      <c r="AC54" t="s">
        <v>2446</v>
      </c>
    </row>
    <row r="55" spans="1:31">
      <c r="A55">
        <v>181</v>
      </c>
      <c r="B55" t="s">
        <v>103</v>
      </c>
      <c r="C55" t="s">
        <v>2100</v>
      </c>
      <c r="D55" t="s">
        <v>490</v>
      </c>
      <c r="F55" t="s">
        <v>2132</v>
      </c>
      <c r="G55" t="s">
        <v>2131</v>
      </c>
      <c r="H55" t="s">
        <v>493</v>
      </c>
      <c r="I55">
        <v>9500</v>
      </c>
      <c r="J55" t="s">
        <v>109</v>
      </c>
      <c r="L55" s="236">
        <v>22750</v>
      </c>
      <c r="M55">
        <v>3500</v>
      </c>
      <c r="N55">
        <f t="shared" si="1"/>
        <v>26250</v>
      </c>
      <c r="P55">
        <f t="shared" si="2"/>
        <v>9500</v>
      </c>
      <c r="S55">
        <f t="shared" si="5"/>
        <v>22750</v>
      </c>
      <c r="V55">
        <v>22750</v>
      </c>
      <c r="Y55">
        <v>22750</v>
      </c>
    </row>
    <row r="56" spans="1:31">
      <c r="A56" s="168">
        <v>182</v>
      </c>
      <c r="B56" t="s">
        <v>103</v>
      </c>
      <c r="C56" t="s">
        <v>1272</v>
      </c>
      <c r="D56" t="s">
        <v>1084</v>
      </c>
      <c r="F56" s="256" t="s">
        <v>2117</v>
      </c>
      <c r="G56" s="256" t="s">
        <v>2070</v>
      </c>
      <c r="H56" s="256" t="s">
        <v>2114</v>
      </c>
      <c r="I56" s="168">
        <v>7000</v>
      </c>
      <c r="J56" t="s">
        <v>109</v>
      </c>
      <c r="L56" s="168">
        <v>7000</v>
      </c>
      <c r="M56">
        <v>3500</v>
      </c>
      <c r="N56">
        <f t="shared" si="1"/>
        <v>10500</v>
      </c>
      <c r="P56">
        <f t="shared" si="2"/>
        <v>7000</v>
      </c>
      <c r="S56">
        <f t="shared" si="5"/>
        <v>7000</v>
      </c>
      <c r="V56">
        <v>7000</v>
      </c>
      <c r="Y56">
        <v>7000</v>
      </c>
    </row>
    <row r="57" spans="1:31">
      <c r="A57" s="168">
        <v>183</v>
      </c>
      <c r="B57" t="s">
        <v>103</v>
      </c>
      <c r="C57" t="s">
        <v>67</v>
      </c>
      <c r="D57" t="s">
        <v>2115</v>
      </c>
      <c r="F57" t="s">
        <v>2118</v>
      </c>
      <c r="G57" t="s">
        <v>2066</v>
      </c>
      <c r="H57" t="s">
        <v>2116</v>
      </c>
      <c r="I57" s="168">
        <v>7000</v>
      </c>
      <c r="J57" t="s">
        <v>109</v>
      </c>
      <c r="L57" s="168">
        <v>7000</v>
      </c>
      <c r="M57">
        <v>3500</v>
      </c>
      <c r="N57">
        <f t="shared" si="1"/>
        <v>10500</v>
      </c>
      <c r="P57">
        <f t="shared" si="2"/>
        <v>7000</v>
      </c>
      <c r="S57">
        <f t="shared" si="5"/>
        <v>7000</v>
      </c>
      <c r="V57">
        <v>7000</v>
      </c>
      <c r="Y57">
        <v>7000</v>
      </c>
    </row>
    <row r="58" spans="1:31">
      <c r="A58" s="168">
        <v>184</v>
      </c>
      <c r="B58" t="s">
        <v>103</v>
      </c>
      <c r="C58" t="s">
        <v>560</v>
      </c>
      <c r="D58" t="s">
        <v>2126</v>
      </c>
      <c r="G58" s="256" t="s">
        <v>2084</v>
      </c>
      <c r="H58" t="s">
        <v>562</v>
      </c>
      <c r="I58" s="168">
        <v>7000</v>
      </c>
      <c r="J58" t="s">
        <v>109</v>
      </c>
      <c r="L58" s="168">
        <v>7000</v>
      </c>
      <c r="M58">
        <v>3500</v>
      </c>
      <c r="N58">
        <f t="shared" si="1"/>
        <v>10500</v>
      </c>
      <c r="P58">
        <f t="shared" si="2"/>
        <v>7000</v>
      </c>
      <c r="S58">
        <f t="shared" si="5"/>
        <v>7000</v>
      </c>
      <c r="V58">
        <v>7000</v>
      </c>
      <c r="Y58">
        <v>7000</v>
      </c>
    </row>
    <row r="59" spans="1:31">
      <c r="A59" s="168">
        <v>185</v>
      </c>
      <c r="B59" t="s">
        <v>103</v>
      </c>
      <c r="C59" t="s">
        <v>2127</v>
      </c>
      <c r="D59" t="s">
        <v>2125</v>
      </c>
      <c r="G59" s="256" t="s">
        <v>2079</v>
      </c>
      <c r="H59" s="256" t="s">
        <v>2128</v>
      </c>
      <c r="I59" s="168">
        <v>7000</v>
      </c>
      <c r="J59" t="s">
        <v>109</v>
      </c>
      <c r="L59" s="168">
        <v>7000</v>
      </c>
      <c r="M59">
        <v>3500</v>
      </c>
      <c r="N59">
        <f t="shared" si="1"/>
        <v>10500</v>
      </c>
      <c r="P59">
        <f t="shared" si="2"/>
        <v>7000</v>
      </c>
      <c r="S59">
        <f t="shared" si="5"/>
        <v>7000</v>
      </c>
      <c r="V59">
        <v>7000</v>
      </c>
      <c r="Y59">
        <v>7000</v>
      </c>
    </row>
    <row r="60" spans="1:31" ht="18" customHeight="1">
      <c r="A60" s="168">
        <v>186</v>
      </c>
      <c r="B60" t="s">
        <v>66</v>
      </c>
      <c r="H60" s="256" t="s">
        <v>237</v>
      </c>
      <c r="I60" s="168">
        <v>7000</v>
      </c>
      <c r="J60" t="s">
        <v>109</v>
      </c>
      <c r="L60" s="168">
        <v>7000</v>
      </c>
      <c r="M60">
        <v>3500</v>
      </c>
      <c r="N60">
        <f t="shared" si="1"/>
        <v>10500</v>
      </c>
      <c r="P60">
        <f t="shared" si="2"/>
        <v>7000</v>
      </c>
      <c r="S60">
        <f t="shared" si="5"/>
        <v>7000</v>
      </c>
      <c r="V60">
        <v>7000</v>
      </c>
      <c r="Y60">
        <v>7000</v>
      </c>
    </row>
    <row r="61" spans="1:31" ht="18.75" customHeight="1">
      <c r="A61">
        <v>187</v>
      </c>
      <c r="B61" t="s">
        <v>66</v>
      </c>
      <c r="C61" t="s">
        <v>2285</v>
      </c>
      <c r="H61" s="256" t="s">
        <v>2147</v>
      </c>
      <c r="I61" s="168">
        <v>7000</v>
      </c>
      <c r="J61" t="s">
        <v>109</v>
      </c>
      <c r="L61" s="168">
        <v>7000</v>
      </c>
      <c r="M61">
        <v>3500</v>
      </c>
      <c r="N61">
        <f>M61+L61</f>
        <v>10500</v>
      </c>
      <c r="O61" t="s">
        <v>2262</v>
      </c>
      <c r="P61">
        <f t="shared" si="2"/>
        <v>7000</v>
      </c>
      <c r="S61" s="271">
        <v>7000</v>
      </c>
      <c r="T61" t="s">
        <v>2381</v>
      </c>
      <c r="V61">
        <v>7000</v>
      </c>
      <c r="Y61">
        <v>7000</v>
      </c>
    </row>
    <row r="62" spans="1:31">
      <c r="A62">
        <v>188</v>
      </c>
      <c r="B62" t="s">
        <v>103</v>
      </c>
      <c r="C62" t="s">
        <v>948</v>
      </c>
      <c r="D62" t="s">
        <v>2279</v>
      </c>
      <c r="G62" t="s">
        <v>2243</v>
      </c>
      <c r="H62" t="s">
        <v>951</v>
      </c>
      <c r="I62" s="168">
        <v>9500</v>
      </c>
      <c r="J62" t="s">
        <v>109</v>
      </c>
      <c r="L62" s="168">
        <v>9500</v>
      </c>
      <c r="P62">
        <f t="shared" si="2"/>
        <v>9500</v>
      </c>
      <c r="S62">
        <f>L62</f>
        <v>9500</v>
      </c>
      <c r="V62">
        <v>9500</v>
      </c>
      <c r="Y62">
        <v>9500</v>
      </c>
      <c r="AB62" s="295"/>
      <c r="AC62" t="s">
        <v>2453</v>
      </c>
    </row>
    <row r="63" spans="1:31">
      <c r="A63">
        <v>189</v>
      </c>
      <c r="B63" t="s">
        <v>103</v>
      </c>
      <c r="C63" s="275" t="s">
        <v>1168</v>
      </c>
      <c r="D63" s="275" t="s">
        <v>2260</v>
      </c>
      <c r="E63" s="275"/>
      <c r="F63" s="275" t="s">
        <v>2230</v>
      </c>
      <c r="G63" s="275" t="s">
        <v>2229</v>
      </c>
      <c r="H63" s="275" t="s">
        <v>2229</v>
      </c>
      <c r="I63" s="275">
        <v>6600</v>
      </c>
      <c r="J63" t="s">
        <v>109</v>
      </c>
      <c r="P63">
        <v>7600</v>
      </c>
      <c r="Q63" t="s">
        <v>2337</v>
      </c>
      <c r="S63">
        <v>7600</v>
      </c>
      <c r="T63" s="197" t="s">
        <v>2380</v>
      </c>
      <c r="V63">
        <v>7600</v>
      </c>
      <c r="Y63">
        <v>7600</v>
      </c>
    </row>
    <row r="64" spans="1:31" ht="14.25" customHeight="1">
      <c r="A64">
        <v>190</v>
      </c>
      <c r="B64" t="s">
        <v>103</v>
      </c>
      <c r="C64" t="s">
        <v>2282</v>
      </c>
      <c r="D64" t="s">
        <v>364</v>
      </c>
      <c r="G64" s="278" t="s">
        <v>2225</v>
      </c>
      <c r="H64" s="278" t="s">
        <v>2225</v>
      </c>
      <c r="I64" s="168">
        <v>13200</v>
      </c>
      <c r="J64" t="s">
        <v>109</v>
      </c>
      <c r="L64">
        <v>13200</v>
      </c>
      <c r="M64" t="s">
        <v>2339</v>
      </c>
      <c r="P64" s="197">
        <v>13200</v>
      </c>
      <c r="Q64" t="s">
        <v>2340</v>
      </c>
      <c r="S64">
        <v>13200</v>
      </c>
      <c r="T64" t="s">
        <v>2396</v>
      </c>
      <c r="V64">
        <v>13200</v>
      </c>
      <c r="Y64">
        <v>13200</v>
      </c>
    </row>
    <row r="65" spans="1:26">
      <c r="A65">
        <v>191</v>
      </c>
      <c r="B65" t="s">
        <v>103</v>
      </c>
      <c r="C65" t="s">
        <v>560</v>
      </c>
      <c r="D65" t="s">
        <v>2286</v>
      </c>
      <c r="G65" s="256" t="s">
        <v>2287</v>
      </c>
      <c r="H65" s="256" t="s">
        <v>2289</v>
      </c>
      <c r="I65" s="168">
        <v>12100</v>
      </c>
      <c r="J65" t="s">
        <v>109</v>
      </c>
      <c r="L65" t="s">
        <v>1586</v>
      </c>
      <c r="P65">
        <v>12100</v>
      </c>
      <c r="Q65" t="s">
        <v>2339</v>
      </c>
      <c r="S65">
        <v>12100</v>
      </c>
      <c r="T65" t="s">
        <v>2396</v>
      </c>
      <c r="V65">
        <v>12100</v>
      </c>
      <c r="Y65">
        <v>12100</v>
      </c>
    </row>
    <row r="66" spans="1:26">
      <c r="A66">
        <v>191</v>
      </c>
      <c r="B66" t="s">
        <v>103</v>
      </c>
      <c r="C66" t="s">
        <v>560</v>
      </c>
      <c r="G66" s="256" t="s">
        <v>2287</v>
      </c>
      <c r="H66" s="256" t="s">
        <v>2288</v>
      </c>
      <c r="I66" s="168">
        <v>12100</v>
      </c>
      <c r="J66" t="s">
        <v>109</v>
      </c>
      <c r="L66" t="s">
        <v>1586</v>
      </c>
      <c r="P66">
        <v>12100</v>
      </c>
      <c r="Q66" t="s">
        <v>2339</v>
      </c>
      <c r="S66">
        <v>12100</v>
      </c>
      <c r="T66" t="s">
        <v>2396</v>
      </c>
      <c r="V66">
        <v>12100</v>
      </c>
      <c r="Y66">
        <v>12100</v>
      </c>
    </row>
    <row r="67" spans="1:26">
      <c r="A67">
        <v>193</v>
      </c>
      <c r="B67" t="s">
        <v>103</v>
      </c>
      <c r="C67" t="s">
        <v>2280</v>
      </c>
      <c r="D67" t="s">
        <v>2281</v>
      </c>
      <c r="G67" t="s">
        <v>2343</v>
      </c>
      <c r="H67" s="256" t="s">
        <v>2283</v>
      </c>
      <c r="I67" s="168">
        <v>7000</v>
      </c>
      <c r="J67" t="s">
        <v>109</v>
      </c>
      <c r="L67" t="s">
        <v>1586</v>
      </c>
      <c r="P67">
        <v>7000</v>
      </c>
      <c r="Q67" t="s">
        <v>2339</v>
      </c>
      <c r="S67" s="197">
        <v>7000</v>
      </c>
      <c r="T67" t="s">
        <v>2371</v>
      </c>
      <c r="V67">
        <v>7000</v>
      </c>
      <c r="Y67">
        <v>7000</v>
      </c>
    </row>
    <row r="68" spans="1:26">
      <c r="A68">
        <v>194</v>
      </c>
      <c r="B68" t="s">
        <v>103</v>
      </c>
      <c r="C68" t="s">
        <v>2319</v>
      </c>
      <c r="D68" t="s">
        <v>2318</v>
      </c>
      <c r="G68" s="256" t="s">
        <v>2315</v>
      </c>
      <c r="H68" s="256" t="s">
        <v>2317</v>
      </c>
      <c r="I68" s="168">
        <v>20500</v>
      </c>
      <c r="J68" t="s">
        <v>109</v>
      </c>
      <c r="O68">
        <v>20500</v>
      </c>
      <c r="P68">
        <v>20500</v>
      </c>
      <c r="Q68" t="s">
        <v>1586</v>
      </c>
      <c r="S68">
        <v>20500</v>
      </c>
      <c r="T68" t="s">
        <v>2363</v>
      </c>
      <c r="V68">
        <v>20500</v>
      </c>
      <c r="Y68">
        <v>20500</v>
      </c>
    </row>
    <row r="69" spans="1:26" ht="14.25">
      <c r="A69">
        <v>195</v>
      </c>
      <c r="B69" t="s">
        <v>103</v>
      </c>
      <c r="C69" s="280" t="s">
        <v>2321</v>
      </c>
      <c r="D69" s="280" t="s">
        <v>1313</v>
      </c>
      <c r="H69" s="56"/>
      <c r="J69" t="s">
        <v>109</v>
      </c>
      <c r="O69" t="s">
        <v>2322</v>
      </c>
      <c r="P69" s="271" t="s">
        <v>2336</v>
      </c>
      <c r="Q69" s="197" t="s">
        <v>2336</v>
      </c>
    </row>
    <row r="70" spans="1:26" ht="14.25">
      <c r="A70">
        <v>196</v>
      </c>
      <c r="B70" t="s">
        <v>103</v>
      </c>
      <c r="C70" t="s">
        <v>2334</v>
      </c>
      <c r="D70" t="s">
        <v>490</v>
      </c>
      <c r="G70" s="56" t="s">
        <v>493</v>
      </c>
      <c r="H70" s="56" t="s">
        <v>2333</v>
      </c>
      <c r="I70" s="168">
        <v>20500</v>
      </c>
      <c r="J70" t="s">
        <v>109</v>
      </c>
      <c r="K70" t="s">
        <v>110</v>
      </c>
      <c r="O70">
        <v>20500</v>
      </c>
      <c r="P70" s="271" t="s">
        <v>2336</v>
      </c>
      <c r="Q70" s="197" t="s">
        <v>2336</v>
      </c>
      <c r="S70">
        <v>20500</v>
      </c>
      <c r="V70">
        <v>20500</v>
      </c>
      <c r="Y70">
        <v>20500</v>
      </c>
    </row>
    <row r="71" spans="1:26" hidden="1">
      <c r="A71">
        <v>197</v>
      </c>
      <c r="I71">
        <f>SUM(I2:I70)</f>
        <v>722150</v>
      </c>
    </row>
    <row r="72" spans="1:26" hidden="1">
      <c r="A72">
        <v>198</v>
      </c>
      <c r="C72" s="294" t="s">
        <v>2438</v>
      </c>
      <c r="D72" s="294" t="s">
        <v>2439</v>
      </c>
      <c r="G72" s="294" t="s">
        <v>2436</v>
      </c>
      <c r="H72" s="294" t="s">
        <v>2437</v>
      </c>
      <c r="J72" t="s">
        <v>109</v>
      </c>
      <c r="K72" t="s">
        <v>1559</v>
      </c>
      <c r="L72" s="227" t="s">
        <v>502</v>
      </c>
      <c r="O72">
        <v>7000</v>
      </c>
      <c r="Y72">
        <v>7000</v>
      </c>
      <c r="Z72" t="s">
        <v>2442</v>
      </c>
    </row>
  </sheetData>
  <autoFilter ref="A1:AC72" xr:uid="{A9CBF736-D7D1-455D-B77B-1C9DDFD3BE1D}">
    <filterColumn colId="1">
      <customFilters>
        <customFilter operator="notEqual" val=" "/>
      </customFilters>
    </filterColumn>
  </autoFilter>
  <phoneticPr fontId="43"/>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9" filterMode="1"/>
  <dimension ref="A1:AT908"/>
  <sheetViews>
    <sheetView zoomScaleNormal="100" workbookViewId="0">
      <pane xSplit="1" ySplit="1" topLeftCell="AE59" activePane="bottomRight" state="frozen"/>
      <selection pane="topRight" activeCell="B1" sqref="B1"/>
      <selection pane="bottomLeft" activeCell="A2" sqref="A2"/>
      <selection pane="bottomRight" activeCell="AQ84" sqref="A1:AT908"/>
    </sheetView>
  </sheetViews>
  <sheetFormatPr defaultColWidth="14.265625" defaultRowHeight="12.75"/>
  <cols>
    <col min="14" max="14" width="9.86328125" customWidth="1"/>
  </cols>
  <sheetData>
    <row r="1" spans="1:45" ht="32.25" customHeight="1">
      <c r="A1" s="169"/>
      <c r="B1" s="169" t="s">
        <v>1</v>
      </c>
      <c r="C1" s="170" t="s">
        <v>2</v>
      </c>
      <c r="D1" s="170" t="s">
        <v>3</v>
      </c>
      <c r="E1" s="169" t="s">
        <v>4</v>
      </c>
      <c r="F1" s="169" t="s">
        <v>5</v>
      </c>
      <c r="G1" s="169" t="s">
        <v>6</v>
      </c>
      <c r="H1" s="169" t="s">
        <v>7</v>
      </c>
      <c r="I1" s="171" t="s">
        <v>14</v>
      </c>
      <c r="J1" s="171" t="s">
        <v>9</v>
      </c>
      <c r="K1" s="171"/>
      <c r="L1" s="171" t="s">
        <v>1563</v>
      </c>
      <c r="M1" s="171" t="s">
        <v>1564</v>
      </c>
      <c r="N1" s="171" t="s">
        <v>1565</v>
      </c>
      <c r="O1" s="171" t="s">
        <v>1566</v>
      </c>
      <c r="P1" s="171" t="s">
        <v>1564</v>
      </c>
      <c r="Q1" s="171" t="s">
        <v>1567</v>
      </c>
      <c r="R1" s="171" t="s">
        <v>1568</v>
      </c>
      <c r="S1" s="171" t="s">
        <v>1564</v>
      </c>
      <c r="T1" s="171" t="s">
        <v>1569</v>
      </c>
      <c r="U1" s="171" t="s">
        <v>1570</v>
      </c>
      <c r="V1" s="171" t="s">
        <v>1564</v>
      </c>
      <c r="W1" s="171" t="s">
        <v>1567</v>
      </c>
      <c r="X1" s="171" t="s">
        <v>1571</v>
      </c>
      <c r="Y1" s="171" t="s">
        <v>1564</v>
      </c>
      <c r="Z1" s="171" t="s">
        <v>1567</v>
      </c>
      <c r="AA1" s="171" t="s">
        <v>1572</v>
      </c>
      <c r="AB1" s="171" t="s">
        <v>1564</v>
      </c>
      <c r="AC1" s="171" t="s">
        <v>1567</v>
      </c>
      <c r="AD1" s="171" t="s">
        <v>1573</v>
      </c>
      <c r="AE1" s="171" t="s">
        <v>1564</v>
      </c>
      <c r="AF1" s="171" t="s">
        <v>1567</v>
      </c>
      <c r="AG1" s="171" t="s">
        <v>1574</v>
      </c>
      <c r="AH1" s="171" t="s">
        <v>1564</v>
      </c>
      <c r="AI1" s="171" t="s">
        <v>1565</v>
      </c>
      <c r="AJ1" s="171" t="s">
        <v>1575</v>
      </c>
      <c r="AK1" s="171" t="s">
        <v>1564</v>
      </c>
      <c r="AL1" s="171" t="s">
        <v>1565</v>
      </c>
      <c r="AM1" s="171" t="s">
        <v>1576</v>
      </c>
      <c r="AN1" s="171" t="s">
        <v>1564</v>
      </c>
      <c r="AO1" s="171" t="s">
        <v>1567</v>
      </c>
      <c r="AP1" s="171" t="s">
        <v>1577</v>
      </c>
      <c r="AQ1" s="171" t="s">
        <v>1564</v>
      </c>
      <c r="AR1" s="171" t="s">
        <v>1567</v>
      </c>
      <c r="AS1" s="171" t="s">
        <v>1578</v>
      </c>
    </row>
    <row r="2" spans="1:45" ht="32.25" hidden="1" customHeight="1">
      <c r="A2" s="153"/>
      <c r="B2" s="153"/>
      <c r="C2" s="180"/>
      <c r="D2" s="180"/>
      <c r="E2" s="153"/>
      <c r="F2" s="153"/>
      <c r="G2" s="153"/>
      <c r="H2" s="153"/>
      <c r="I2" s="153"/>
      <c r="J2" s="153"/>
      <c r="K2" s="153"/>
      <c r="L2" s="153"/>
      <c r="M2" s="153"/>
      <c r="N2" s="153"/>
      <c r="O2" s="153"/>
      <c r="P2" s="153"/>
      <c r="Q2" s="153"/>
      <c r="R2" s="153"/>
      <c r="S2" s="153"/>
      <c r="T2" s="153"/>
      <c r="U2" s="153"/>
      <c r="V2" s="153"/>
      <c r="W2" s="153"/>
      <c r="X2" s="153"/>
      <c r="Y2" s="153"/>
      <c r="Z2" s="153"/>
      <c r="AA2" s="153"/>
      <c r="AB2" s="153"/>
      <c r="AC2" s="153"/>
      <c r="AD2" s="153"/>
      <c r="AE2" s="153"/>
      <c r="AF2" s="153"/>
      <c r="AG2" s="153"/>
      <c r="AH2" s="153"/>
      <c r="AI2" s="153"/>
      <c r="AJ2" s="153"/>
      <c r="AK2" s="153"/>
      <c r="AL2" s="153"/>
      <c r="AM2" s="153"/>
      <c r="AN2" s="153"/>
      <c r="AO2" s="153"/>
      <c r="AP2" s="153"/>
      <c r="AQ2" s="153"/>
      <c r="AR2" s="153"/>
      <c r="AS2" s="153"/>
    </row>
    <row r="3" spans="1:45">
      <c r="A3">
        <v>161</v>
      </c>
      <c r="B3" t="s">
        <v>103</v>
      </c>
      <c r="C3" t="s">
        <v>2127</v>
      </c>
      <c r="D3" t="s">
        <v>2125</v>
      </c>
      <c r="G3" t="s">
        <v>2079</v>
      </c>
      <c r="H3" t="s">
        <v>2128</v>
      </c>
      <c r="J3" t="s">
        <v>109</v>
      </c>
      <c r="L3" s="168"/>
      <c r="O3" s="168"/>
      <c r="R3" s="168"/>
      <c r="U3" s="168"/>
      <c r="X3" s="168"/>
      <c r="AA3" s="168">
        <v>6600</v>
      </c>
      <c r="AD3" s="168">
        <f t="shared" ref="AD3" si="0">I3 + MAX(0, I3 - AA3) + 2750</f>
        <v>2750</v>
      </c>
      <c r="AG3" s="168">
        <f t="shared" ref="AG3:AG66" si="1">I3 + MAX(0, I3 - AD3)</f>
        <v>0</v>
      </c>
      <c r="AJ3" s="168">
        <f t="shared" ref="AJ3:AJ66" si="2">I3 + MAX(0, I3 - AD3)</f>
        <v>0</v>
      </c>
      <c r="AM3" s="168">
        <f t="shared" ref="AM3:AM66" si="3">I3 + MAX(0, I3 - AD3)</f>
        <v>0</v>
      </c>
      <c r="AP3" s="205">
        <f t="shared" ref="AP3:AP65" si="4">I3 + MAX(0, I3 - AD3)</f>
        <v>0</v>
      </c>
      <c r="AS3" s="168">
        <f t="shared" ref="AS3:AS65" si="5">I3 + MAX(0, I3 - AD3)</f>
        <v>0</v>
      </c>
    </row>
    <row r="4" spans="1:45" hidden="1">
      <c r="A4">
        <v>136</v>
      </c>
      <c r="B4" t="s">
        <v>66</v>
      </c>
      <c r="C4" t="s">
        <v>1486</v>
      </c>
      <c r="D4" t="s">
        <v>1487</v>
      </c>
      <c r="F4" t="s">
        <v>1488</v>
      </c>
      <c r="G4" t="s">
        <v>1489</v>
      </c>
      <c r="H4" t="s">
        <v>1490</v>
      </c>
      <c r="I4" t="s">
        <v>1985</v>
      </c>
      <c r="L4" s="168"/>
      <c r="O4" s="168"/>
      <c r="R4" s="168"/>
      <c r="U4" s="168"/>
      <c r="X4" s="168"/>
      <c r="AA4" s="168">
        <v>6050</v>
      </c>
      <c r="AD4" s="168">
        <v>0</v>
      </c>
      <c r="AG4" s="168">
        <v>0</v>
      </c>
      <c r="AJ4" s="168">
        <v>0</v>
      </c>
      <c r="AM4" s="168">
        <v>0</v>
      </c>
      <c r="AP4" s="168">
        <v>0</v>
      </c>
      <c r="AS4" s="168">
        <v>0</v>
      </c>
    </row>
    <row r="5" spans="1:45" s="197" customFormat="1" hidden="1">
      <c r="A5" s="218">
        <v>103</v>
      </c>
      <c r="B5" s="218" t="s">
        <v>66</v>
      </c>
      <c r="C5" s="218" t="s">
        <v>1252</v>
      </c>
      <c r="D5" s="218" t="s">
        <v>184</v>
      </c>
      <c r="E5" s="218"/>
      <c r="F5" s="218" t="s">
        <v>1253</v>
      </c>
      <c r="G5" s="218" t="s">
        <v>1254</v>
      </c>
      <c r="H5" s="218" t="s">
        <v>187</v>
      </c>
      <c r="I5" s="218">
        <v>6600</v>
      </c>
      <c r="J5" s="218" t="s">
        <v>109</v>
      </c>
      <c r="K5" s="218"/>
      <c r="L5" s="218"/>
      <c r="O5" s="218"/>
      <c r="R5" s="218"/>
      <c r="U5" s="218"/>
      <c r="X5" s="218"/>
      <c r="AA5" s="218">
        <v>46200</v>
      </c>
      <c r="AD5" s="205">
        <v>55000</v>
      </c>
      <c r="AE5" s="197" t="s">
        <v>1964</v>
      </c>
      <c r="AG5" s="168">
        <f t="shared" si="1"/>
        <v>6600</v>
      </c>
      <c r="AJ5" s="168">
        <f t="shared" si="2"/>
        <v>6600</v>
      </c>
      <c r="AM5" s="168">
        <f t="shared" si="3"/>
        <v>6600</v>
      </c>
      <c r="AP5" s="168">
        <f t="shared" si="4"/>
        <v>6600</v>
      </c>
      <c r="AS5" s="168">
        <f t="shared" si="5"/>
        <v>6600</v>
      </c>
    </row>
    <row r="6" spans="1:45" hidden="1">
      <c r="A6">
        <v>87</v>
      </c>
      <c r="B6" t="s">
        <v>66</v>
      </c>
      <c r="C6" t="s">
        <v>191</v>
      </c>
      <c r="D6" t="s">
        <v>192</v>
      </c>
      <c r="F6" t="s">
        <v>193</v>
      </c>
      <c r="G6" t="s">
        <v>194</v>
      </c>
      <c r="H6" t="s">
        <v>195</v>
      </c>
      <c r="I6">
        <v>15800</v>
      </c>
      <c r="J6" t="s">
        <v>196</v>
      </c>
      <c r="L6" s="168"/>
      <c r="O6" s="168"/>
      <c r="R6" s="168"/>
      <c r="U6" s="168"/>
      <c r="X6" s="168"/>
      <c r="AA6" s="168">
        <v>19800</v>
      </c>
      <c r="AD6" s="168">
        <f t="shared" ref="AD6:AD9" si="6">I6 + MAX(0, I6 - AA6) + 2750</f>
        <v>18550</v>
      </c>
      <c r="AG6" s="168">
        <f t="shared" si="1"/>
        <v>15800</v>
      </c>
      <c r="AJ6" s="168">
        <f t="shared" si="2"/>
        <v>15800</v>
      </c>
      <c r="AM6" s="168">
        <f t="shared" si="3"/>
        <v>15800</v>
      </c>
      <c r="AP6" s="168">
        <f t="shared" si="4"/>
        <v>15800</v>
      </c>
      <c r="AS6" s="168">
        <f t="shared" si="5"/>
        <v>15800</v>
      </c>
    </row>
    <row r="7" spans="1:45">
      <c r="A7" s="168">
        <v>125</v>
      </c>
      <c r="B7" s="168" t="s">
        <v>103</v>
      </c>
      <c r="C7" s="168" t="s">
        <v>200</v>
      </c>
      <c r="D7" s="168" t="s">
        <v>201</v>
      </c>
      <c r="E7" s="168"/>
      <c r="F7" s="168" t="s">
        <v>202</v>
      </c>
      <c r="G7" s="168" t="s">
        <v>203</v>
      </c>
      <c r="H7" s="168" t="s">
        <v>204</v>
      </c>
      <c r="I7" s="168">
        <v>14850</v>
      </c>
      <c r="J7" s="168" t="s">
        <v>196</v>
      </c>
      <c r="K7" s="168"/>
      <c r="L7" s="168"/>
      <c r="O7" s="168"/>
      <c r="R7" s="168"/>
      <c r="U7" s="168"/>
      <c r="X7" s="168"/>
      <c r="AA7" s="168">
        <v>14850</v>
      </c>
      <c r="AD7" s="168">
        <f t="shared" si="6"/>
        <v>17600</v>
      </c>
      <c r="AG7" s="168">
        <f t="shared" si="1"/>
        <v>14850</v>
      </c>
      <c r="AJ7" s="168">
        <f t="shared" si="2"/>
        <v>14850</v>
      </c>
      <c r="AM7" s="168">
        <f t="shared" si="3"/>
        <v>14850</v>
      </c>
      <c r="AP7" s="168">
        <f t="shared" si="4"/>
        <v>14850</v>
      </c>
      <c r="AS7" s="168">
        <f t="shared" si="5"/>
        <v>14850</v>
      </c>
    </row>
    <row r="8" spans="1:45">
      <c r="A8">
        <v>133</v>
      </c>
      <c r="B8" t="s">
        <v>103</v>
      </c>
      <c r="C8" t="s">
        <v>233</v>
      </c>
      <c r="D8" t="s">
        <v>234</v>
      </c>
      <c r="F8" t="s">
        <v>235</v>
      </c>
      <c r="G8" t="s">
        <v>236</v>
      </c>
      <c r="H8" t="s">
        <v>237</v>
      </c>
      <c r="I8">
        <v>6050</v>
      </c>
      <c r="J8" t="s">
        <v>109</v>
      </c>
      <c r="L8" s="168"/>
      <c r="O8" s="168"/>
      <c r="R8" s="168"/>
      <c r="U8" s="168"/>
      <c r="X8" s="168"/>
      <c r="AA8" s="205">
        <v>17050</v>
      </c>
      <c r="AB8" t="s">
        <v>1579</v>
      </c>
      <c r="AC8">
        <v>11000</v>
      </c>
      <c r="AD8" s="168">
        <f t="shared" si="6"/>
        <v>8800</v>
      </c>
      <c r="AG8" s="168">
        <f t="shared" si="1"/>
        <v>6050</v>
      </c>
      <c r="AJ8" s="168">
        <f t="shared" si="2"/>
        <v>6050</v>
      </c>
      <c r="AM8" s="168">
        <f t="shared" si="3"/>
        <v>6050</v>
      </c>
      <c r="AP8" s="168">
        <f t="shared" si="4"/>
        <v>6050</v>
      </c>
      <c r="AS8" s="168">
        <f t="shared" si="5"/>
        <v>6050</v>
      </c>
    </row>
    <row r="9" spans="1:45">
      <c r="A9" s="168">
        <v>30</v>
      </c>
      <c r="B9" s="168" t="s">
        <v>103</v>
      </c>
      <c r="C9" s="168" t="s">
        <v>292</v>
      </c>
      <c r="D9" s="168" t="s">
        <v>293</v>
      </c>
      <c r="E9" s="168"/>
      <c r="F9" s="168" t="s">
        <v>294</v>
      </c>
      <c r="G9" s="168" t="s">
        <v>295</v>
      </c>
      <c r="H9" s="168" t="s">
        <v>296</v>
      </c>
      <c r="I9" s="168">
        <v>10900</v>
      </c>
      <c r="J9" s="168" t="s">
        <v>196</v>
      </c>
      <c r="K9" s="168"/>
      <c r="L9" s="168"/>
      <c r="O9" s="168"/>
      <c r="R9" s="168"/>
      <c r="U9" s="168"/>
      <c r="X9" s="168"/>
      <c r="AA9" s="168">
        <v>10900</v>
      </c>
      <c r="AD9" s="168">
        <f t="shared" si="6"/>
        <v>13650</v>
      </c>
      <c r="AE9" t="s">
        <v>1950</v>
      </c>
      <c r="AF9">
        <v>7850</v>
      </c>
      <c r="AG9" s="205">
        <f t="shared" si="1"/>
        <v>10900</v>
      </c>
      <c r="AJ9" s="168">
        <f t="shared" si="2"/>
        <v>10900</v>
      </c>
      <c r="AM9" s="168">
        <f t="shared" si="3"/>
        <v>10900</v>
      </c>
      <c r="AP9" s="168">
        <f t="shared" si="4"/>
        <v>10900</v>
      </c>
      <c r="AS9" s="168">
        <f t="shared" si="5"/>
        <v>10900</v>
      </c>
    </row>
    <row r="10" spans="1:45" hidden="1">
      <c r="A10">
        <v>114</v>
      </c>
      <c r="B10" t="s">
        <v>66</v>
      </c>
      <c r="C10" t="s">
        <v>402</v>
      </c>
      <c r="D10" t="s">
        <v>318</v>
      </c>
      <c r="F10" t="s">
        <v>403</v>
      </c>
      <c r="G10" t="s">
        <v>404</v>
      </c>
      <c r="H10" t="s">
        <v>321</v>
      </c>
      <c r="I10">
        <v>6050</v>
      </c>
      <c r="J10" t="s">
        <v>109</v>
      </c>
      <c r="L10" s="168"/>
      <c r="O10" s="168"/>
      <c r="R10" s="168"/>
      <c r="U10" s="168"/>
      <c r="X10" s="168"/>
      <c r="Y10" t="s">
        <v>1580</v>
      </c>
      <c r="Z10">
        <v>24200</v>
      </c>
      <c r="AA10" s="205"/>
      <c r="AD10" s="168">
        <f t="shared" ref="AD10:AD66" si="7">I10 + MAX(0, I10 - AA10) + 3500</f>
        <v>15600</v>
      </c>
      <c r="AG10" s="168">
        <f t="shared" si="1"/>
        <v>6050</v>
      </c>
      <c r="AJ10" s="168">
        <f t="shared" si="2"/>
        <v>6050</v>
      </c>
      <c r="AM10" s="168">
        <f t="shared" si="3"/>
        <v>6050</v>
      </c>
      <c r="AP10" s="168">
        <f t="shared" si="4"/>
        <v>6050</v>
      </c>
      <c r="AS10" s="168">
        <f t="shared" si="5"/>
        <v>6050</v>
      </c>
    </row>
    <row r="11" spans="1:45">
      <c r="A11" s="168">
        <v>113</v>
      </c>
      <c r="B11" s="168" t="s">
        <v>103</v>
      </c>
      <c r="C11" s="168" t="s">
        <v>412</v>
      </c>
      <c r="D11" s="168" t="s">
        <v>413</v>
      </c>
      <c r="E11" s="168"/>
      <c r="F11" s="168" t="s">
        <v>414</v>
      </c>
      <c r="G11" s="168" t="s">
        <v>415</v>
      </c>
      <c r="H11" s="168" t="s">
        <v>416</v>
      </c>
      <c r="I11" s="168">
        <v>6050</v>
      </c>
      <c r="J11" s="168" t="s">
        <v>109</v>
      </c>
      <c r="K11" s="168"/>
      <c r="L11" s="168"/>
      <c r="O11" s="168"/>
      <c r="R11" s="168"/>
      <c r="U11" s="168"/>
      <c r="X11" s="168"/>
      <c r="AA11" s="168">
        <v>6050</v>
      </c>
      <c r="AD11" s="205">
        <v>0</v>
      </c>
      <c r="AG11" s="168">
        <v>17050</v>
      </c>
      <c r="AH11" t="s">
        <v>1969</v>
      </c>
      <c r="AJ11" s="168">
        <f t="shared" si="2"/>
        <v>12100</v>
      </c>
      <c r="AM11" s="168">
        <f t="shared" si="3"/>
        <v>12100</v>
      </c>
      <c r="AP11" s="168">
        <f t="shared" si="4"/>
        <v>12100</v>
      </c>
      <c r="AS11" s="168">
        <f t="shared" si="5"/>
        <v>12100</v>
      </c>
    </row>
    <row r="12" spans="1:45">
      <c r="A12">
        <v>49</v>
      </c>
      <c r="B12" t="s">
        <v>103</v>
      </c>
      <c r="C12" t="s">
        <v>882</v>
      </c>
      <c r="D12" t="s">
        <v>421</v>
      </c>
      <c r="F12" t="s">
        <v>883</v>
      </c>
      <c r="G12" t="s">
        <v>884</v>
      </c>
      <c r="H12" t="s">
        <v>424</v>
      </c>
      <c r="I12" s="168">
        <v>6050</v>
      </c>
      <c r="J12" s="168" t="s">
        <v>109</v>
      </c>
      <c r="K12" s="168"/>
      <c r="L12" s="168"/>
      <c r="O12" s="168"/>
      <c r="R12" s="168"/>
      <c r="U12" s="168"/>
      <c r="X12" s="168"/>
      <c r="AA12" s="168">
        <v>12650</v>
      </c>
      <c r="AD12" s="168">
        <f t="shared" ref="AD12:AD14" si="8">I12 + MAX(0, I12 - AA12) + 2750</f>
        <v>8800</v>
      </c>
      <c r="AG12" s="168">
        <f t="shared" si="1"/>
        <v>6050</v>
      </c>
      <c r="AJ12" s="168">
        <f t="shared" si="2"/>
        <v>6050</v>
      </c>
      <c r="AM12" s="205">
        <f t="shared" si="3"/>
        <v>6050</v>
      </c>
      <c r="AP12" s="168">
        <v>17050</v>
      </c>
      <c r="AQ12" t="s">
        <v>2189</v>
      </c>
      <c r="AS12" s="168">
        <f t="shared" si="5"/>
        <v>6050</v>
      </c>
    </row>
    <row r="13" spans="1:45">
      <c r="A13" s="168">
        <v>49</v>
      </c>
      <c r="B13" s="168" t="s">
        <v>103</v>
      </c>
      <c r="C13" t="s">
        <v>420</v>
      </c>
      <c r="D13" t="s">
        <v>421</v>
      </c>
      <c r="F13" t="s">
        <v>422</v>
      </c>
      <c r="G13" t="s">
        <v>423</v>
      </c>
      <c r="H13" t="s">
        <v>424</v>
      </c>
      <c r="I13">
        <v>6600</v>
      </c>
      <c r="J13" s="168" t="s">
        <v>109</v>
      </c>
      <c r="K13" s="168"/>
      <c r="L13" s="168"/>
      <c r="O13" s="168"/>
      <c r="R13" s="168"/>
      <c r="U13" s="168"/>
      <c r="X13" s="168"/>
      <c r="AA13" s="168">
        <v>12650</v>
      </c>
      <c r="AD13" s="168">
        <f t="shared" si="8"/>
        <v>9350</v>
      </c>
      <c r="AG13" s="168">
        <f t="shared" si="1"/>
        <v>6600</v>
      </c>
      <c r="AJ13" s="168">
        <f t="shared" si="2"/>
        <v>6600</v>
      </c>
      <c r="AM13" s="168">
        <f t="shared" si="3"/>
        <v>6600</v>
      </c>
      <c r="AP13" s="168">
        <f t="shared" si="4"/>
        <v>6600</v>
      </c>
      <c r="AS13" s="168">
        <f t="shared" si="5"/>
        <v>6600</v>
      </c>
    </row>
    <row r="14" spans="1:45">
      <c r="A14" s="168">
        <v>127</v>
      </c>
      <c r="B14" s="168" t="s">
        <v>103</v>
      </c>
      <c r="C14" s="168" t="s">
        <v>475</v>
      </c>
      <c r="D14" s="168" t="s">
        <v>482</v>
      </c>
      <c r="E14" s="168"/>
      <c r="F14" s="168" t="s">
        <v>483</v>
      </c>
      <c r="G14" s="168" t="s">
        <v>484</v>
      </c>
      <c r="H14" s="168" t="s">
        <v>485</v>
      </c>
      <c r="I14" s="168">
        <v>19800</v>
      </c>
      <c r="J14" s="168" t="s">
        <v>196</v>
      </c>
      <c r="K14" s="168"/>
      <c r="L14" s="168"/>
      <c r="O14" s="168"/>
      <c r="R14" s="168"/>
      <c r="U14" s="168"/>
      <c r="X14" s="168"/>
      <c r="AA14" s="168">
        <v>19800</v>
      </c>
      <c r="AC14">
        <v>6050</v>
      </c>
      <c r="AD14" s="168">
        <f t="shared" si="8"/>
        <v>22550</v>
      </c>
      <c r="AG14" s="168">
        <f t="shared" si="1"/>
        <v>19800</v>
      </c>
      <c r="AJ14" s="168">
        <f t="shared" si="2"/>
        <v>19800</v>
      </c>
      <c r="AM14" s="205">
        <f t="shared" si="3"/>
        <v>19800</v>
      </c>
      <c r="AN14" t="s">
        <v>2157</v>
      </c>
      <c r="AO14">
        <v>19800</v>
      </c>
      <c r="AP14" s="168">
        <f t="shared" si="4"/>
        <v>19800</v>
      </c>
      <c r="AS14" s="168">
        <f t="shared" si="5"/>
        <v>19800</v>
      </c>
    </row>
    <row r="15" spans="1:45" hidden="1">
      <c r="A15" s="168">
        <v>124</v>
      </c>
      <c r="B15" s="168" t="s">
        <v>66</v>
      </c>
      <c r="C15" s="168" t="s">
        <v>518</v>
      </c>
      <c r="D15" s="168" t="s">
        <v>519</v>
      </c>
      <c r="E15" s="168"/>
      <c r="F15" s="168" t="s">
        <v>520</v>
      </c>
      <c r="G15" s="168" t="s">
        <v>521</v>
      </c>
      <c r="H15" s="168" t="s">
        <v>522</v>
      </c>
      <c r="I15" s="168">
        <v>19800</v>
      </c>
      <c r="J15" s="168" t="s">
        <v>494</v>
      </c>
      <c r="K15" s="168"/>
      <c r="L15" s="168"/>
      <c r="O15" s="168"/>
      <c r="R15" s="168"/>
      <c r="U15" s="168"/>
      <c r="X15" s="168"/>
      <c r="AA15" s="168"/>
      <c r="AD15" s="168">
        <f t="shared" si="7"/>
        <v>43100</v>
      </c>
      <c r="AG15" s="168">
        <f t="shared" si="1"/>
        <v>19800</v>
      </c>
      <c r="AJ15" s="168">
        <f t="shared" si="2"/>
        <v>19800</v>
      </c>
      <c r="AM15" s="168">
        <f t="shared" si="3"/>
        <v>19800</v>
      </c>
      <c r="AP15" s="168">
        <f t="shared" si="4"/>
        <v>19800</v>
      </c>
      <c r="AS15" s="168">
        <f t="shared" si="5"/>
        <v>19800</v>
      </c>
    </row>
    <row r="16" spans="1:45" hidden="1">
      <c r="A16">
        <v>89</v>
      </c>
      <c r="B16" t="s">
        <v>66</v>
      </c>
      <c r="C16" t="s">
        <v>540</v>
      </c>
      <c r="D16" t="s">
        <v>541</v>
      </c>
      <c r="F16" t="s">
        <v>542</v>
      </c>
      <c r="G16" t="s">
        <v>543</v>
      </c>
      <c r="H16" t="s">
        <v>544</v>
      </c>
      <c r="L16" s="168"/>
      <c r="O16" s="168"/>
      <c r="R16" s="168"/>
      <c r="U16" s="168"/>
      <c r="X16" s="168"/>
      <c r="AA16" s="168">
        <v>12100</v>
      </c>
      <c r="AD16" s="205"/>
      <c r="AF16" t="s">
        <v>2013</v>
      </c>
      <c r="AG16" s="168">
        <f t="shared" si="1"/>
        <v>0</v>
      </c>
      <c r="AJ16" s="168">
        <f t="shared" si="2"/>
        <v>0</v>
      </c>
      <c r="AM16" s="168">
        <f>I16 + MAX(0, I16 - AD16)</f>
        <v>0</v>
      </c>
      <c r="AP16" s="168">
        <f t="shared" si="4"/>
        <v>0</v>
      </c>
      <c r="AS16" s="168">
        <f t="shared" si="5"/>
        <v>0</v>
      </c>
    </row>
    <row r="17" spans="1:45">
      <c r="A17" s="168">
        <v>15</v>
      </c>
      <c r="B17" s="168" t="s">
        <v>103</v>
      </c>
      <c r="C17" s="168" t="s">
        <v>548</v>
      </c>
      <c r="D17" s="168" t="s">
        <v>549</v>
      </c>
      <c r="E17" s="168"/>
      <c r="F17" s="168" t="s">
        <v>550</v>
      </c>
      <c r="G17" s="168" t="s">
        <v>551</v>
      </c>
      <c r="H17" s="168" t="s">
        <v>552</v>
      </c>
      <c r="I17" s="168">
        <v>8800</v>
      </c>
      <c r="J17" s="168" t="s">
        <v>553</v>
      </c>
      <c r="K17" s="168"/>
      <c r="L17" s="168"/>
      <c r="O17" s="168"/>
      <c r="R17" s="168"/>
      <c r="U17" s="168"/>
      <c r="X17" s="168"/>
      <c r="AA17" s="168">
        <v>8800</v>
      </c>
      <c r="AD17" s="168">
        <f t="shared" ref="AD17:AD19" si="9">I17 + MAX(0, I17 - AA17) + 2750</f>
        <v>11550</v>
      </c>
      <c r="AG17" s="168">
        <f t="shared" si="1"/>
        <v>8800</v>
      </c>
      <c r="AJ17" s="168">
        <f t="shared" si="2"/>
        <v>8800</v>
      </c>
      <c r="AM17" s="168">
        <f t="shared" si="3"/>
        <v>8800</v>
      </c>
      <c r="AP17" s="168">
        <f t="shared" si="4"/>
        <v>8800</v>
      </c>
      <c r="AS17" s="168">
        <f t="shared" si="5"/>
        <v>8800</v>
      </c>
    </row>
    <row r="18" spans="1:45">
      <c r="A18">
        <v>112</v>
      </c>
      <c r="B18" t="s">
        <v>103</v>
      </c>
      <c r="C18" t="s">
        <v>580</v>
      </c>
      <c r="D18" t="s">
        <v>581</v>
      </c>
      <c r="F18" t="s">
        <v>582</v>
      </c>
      <c r="G18" t="s">
        <v>583</v>
      </c>
      <c r="H18" t="s">
        <v>584</v>
      </c>
      <c r="I18">
        <v>19800</v>
      </c>
      <c r="J18" s="168" t="s">
        <v>494</v>
      </c>
      <c r="K18" s="168"/>
      <c r="L18" s="168"/>
      <c r="O18" s="168"/>
      <c r="R18" s="168"/>
      <c r="U18" s="168"/>
      <c r="X18" s="168"/>
      <c r="AA18" s="168">
        <v>19800</v>
      </c>
      <c r="AD18" s="168">
        <f t="shared" si="9"/>
        <v>22550</v>
      </c>
      <c r="AG18" s="168">
        <f t="shared" si="1"/>
        <v>19800</v>
      </c>
      <c r="AJ18" s="168">
        <f t="shared" si="2"/>
        <v>19800</v>
      </c>
      <c r="AM18" s="168">
        <f t="shared" si="3"/>
        <v>19800</v>
      </c>
      <c r="AP18" s="168">
        <f t="shared" si="4"/>
        <v>19800</v>
      </c>
      <c r="AS18" s="168">
        <f t="shared" si="5"/>
        <v>19800</v>
      </c>
    </row>
    <row r="19" spans="1:45">
      <c r="A19" s="168">
        <v>104</v>
      </c>
      <c r="B19" s="168" t="s">
        <v>103</v>
      </c>
      <c r="C19" s="168" t="s">
        <v>785</v>
      </c>
      <c r="D19" s="168" t="s">
        <v>178</v>
      </c>
      <c r="E19" s="168"/>
      <c r="F19" s="168" t="s">
        <v>604</v>
      </c>
      <c r="G19" s="168" t="s">
        <v>605</v>
      </c>
      <c r="H19" s="168" t="s">
        <v>181</v>
      </c>
      <c r="I19" s="168">
        <v>6600</v>
      </c>
      <c r="J19" s="168" t="s">
        <v>109</v>
      </c>
      <c r="K19" s="168"/>
      <c r="L19" s="168"/>
      <c r="O19" s="168"/>
      <c r="R19" s="168"/>
      <c r="U19" s="168"/>
      <c r="X19" s="168"/>
      <c r="AA19" s="168">
        <v>12100</v>
      </c>
      <c r="AD19" s="168">
        <f t="shared" si="9"/>
        <v>9350</v>
      </c>
      <c r="AG19" s="168">
        <f t="shared" si="1"/>
        <v>6600</v>
      </c>
      <c r="AJ19" s="168">
        <f t="shared" si="2"/>
        <v>6600</v>
      </c>
      <c r="AM19" s="168">
        <f t="shared" si="3"/>
        <v>6600</v>
      </c>
      <c r="AP19" s="168">
        <f t="shared" si="4"/>
        <v>6600</v>
      </c>
      <c r="AS19" s="168">
        <f t="shared" si="5"/>
        <v>6600</v>
      </c>
    </row>
    <row r="20" spans="1:45" hidden="1">
      <c r="A20">
        <v>156</v>
      </c>
      <c r="B20" t="s">
        <v>66</v>
      </c>
      <c r="C20" t="s">
        <v>637</v>
      </c>
      <c r="D20" t="s">
        <v>638</v>
      </c>
      <c r="F20" t="s">
        <v>639</v>
      </c>
      <c r="G20" t="s">
        <v>640</v>
      </c>
      <c r="H20" t="s">
        <v>641</v>
      </c>
      <c r="L20" s="168"/>
      <c r="O20" s="168"/>
      <c r="R20" s="168"/>
      <c r="U20" s="168"/>
      <c r="X20" s="168"/>
      <c r="AA20" s="168"/>
      <c r="AD20" s="168">
        <f t="shared" si="7"/>
        <v>3500</v>
      </c>
      <c r="AG20" s="168">
        <f t="shared" si="1"/>
        <v>0</v>
      </c>
      <c r="AJ20" s="168">
        <f t="shared" si="2"/>
        <v>0</v>
      </c>
      <c r="AM20" s="168">
        <f t="shared" si="3"/>
        <v>0</v>
      </c>
      <c r="AP20" s="168">
        <f t="shared" si="4"/>
        <v>0</v>
      </c>
      <c r="AS20" s="168">
        <f t="shared" si="5"/>
        <v>0</v>
      </c>
    </row>
    <row r="21" spans="1:45">
      <c r="A21">
        <v>104</v>
      </c>
      <c r="B21" s="168" t="s">
        <v>103</v>
      </c>
      <c r="C21" t="s">
        <v>603</v>
      </c>
      <c r="D21" t="s">
        <v>178</v>
      </c>
      <c r="F21" t="s">
        <v>1581</v>
      </c>
      <c r="G21" s="217" t="s">
        <v>1582</v>
      </c>
      <c r="H21" t="s">
        <v>181</v>
      </c>
      <c r="I21" s="168">
        <v>6050</v>
      </c>
      <c r="J21" s="168" t="s">
        <v>109</v>
      </c>
      <c r="K21" s="168"/>
      <c r="L21" s="168"/>
      <c r="O21" s="168"/>
      <c r="R21" s="168"/>
      <c r="U21" s="168"/>
      <c r="X21" s="168"/>
      <c r="AA21" s="205">
        <v>12100</v>
      </c>
      <c r="AD21" s="168">
        <f t="shared" ref="AD21:AD24" si="10">I21 + MAX(0, I21 - AA21) + 2750</f>
        <v>8800</v>
      </c>
      <c r="AG21" s="168">
        <v>17050</v>
      </c>
      <c r="AH21" t="s">
        <v>1969</v>
      </c>
      <c r="AJ21" s="168">
        <f t="shared" si="2"/>
        <v>6050</v>
      </c>
      <c r="AM21" s="168">
        <f t="shared" si="3"/>
        <v>6050</v>
      </c>
      <c r="AP21" s="168">
        <f t="shared" si="4"/>
        <v>6050</v>
      </c>
      <c r="AS21" s="168">
        <f t="shared" si="5"/>
        <v>6050</v>
      </c>
    </row>
    <row r="22" spans="1:45">
      <c r="A22" s="168">
        <v>152</v>
      </c>
      <c r="B22" s="168" t="s">
        <v>103</v>
      </c>
      <c r="C22" s="168" t="s">
        <v>652</v>
      </c>
      <c r="D22" s="168" t="s">
        <v>644</v>
      </c>
      <c r="E22" s="168"/>
      <c r="F22" s="168" t="s">
        <v>653</v>
      </c>
      <c r="G22" s="168" t="s">
        <v>654</v>
      </c>
      <c r="H22" s="168" t="s">
        <v>647</v>
      </c>
      <c r="I22" s="168">
        <v>6050</v>
      </c>
      <c r="J22" s="168" t="s">
        <v>109</v>
      </c>
      <c r="K22" s="168"/>
      <c r="L22" s="168"/>
      <c r="O22" s="168"/>
      <c r="R22" s="168"/>
      <c r="U22" s="168"/>
      <c r="X22" s="168"/>
      <c r="AA22" s="168">
        <v>12100</v>
      </c>
      <c r="AD22" s="205">
        <f t="shared" si="10"/>
        <v>8800</v>
      </c>
      <c r="AG22" s="168">
        <v>17050</v>
      </c>
      <c r="AH22" t="s">
        <v>1969</v>
      </c>
      <c r="AJ22" s="168">
        <f t="shared" si="2"/>
        <v>6050</v>
      </c>
      <c r="AM22" s="168">
        <f t="shared" si="3"/>
        <v>6050</v>
      </c>
      <c r="AP22" s="168">
        <f t="shared" si="4"/>
        <v>6050</v>
      </c>
      <c r="AS22" s="168">
        <f t="shared" si="5"/>
        <v>6050</v>
      </c>
    </row>
    <row r="23" spans="1:45">
      <c r="A23" s="168">
        <v>152</v>
      </c>
      <c r="B23" s="168" t="s">
        <v>103</v>
      </c>
      <c r="C23" t="s">
        <v>643</v>
      </c>
      <c r="D23" t="s">
        <v>644</v>
      </c>
      <c r="F23" t="s">
        <v>645</v>
      </c>
      <c r="G23" t="s">
        <v>646</v>
      </c>
      <c r="H23" t="s">
        <v>647</v>
      </c>
      <c r="I23">
        <v>6050</v>
      </c>
      <c r="J23" s="168" t="s">
        <v>109</v>
      </c>
      <c r="K23" s="168"/>
      <c r="L23" s="168"/>
      <c r="O23" s="168"/>
      <c r="R23" s="168"/>
      <c r="U23" s="168"/>
      <c r="X23" s="168"/>
      <c r="AA23" s="168">
        <v>12100</v>
      </c>
      <c r="AD23" s="168">
        <f t="shared" si="10"/>
        <v>8800</v>
      </c>
      <c r="AG23" s="168">
        <f t="shared" si="1"/>
        <v>6050</v>
      </c>
      <c r="AJ23" s="168">
        <f t="shared" si="2"/>
        <v>6050</v>
      </c>
      <c r="AM23" s="168">
        <f t="shared" si="3"/>
        <v>6050</v>
      </c>
      <c r="AP23" s="168">
        <f t="shared" si="4"/>
        <v>6050</v>
      </c>
      <c r="AS23" s="168">
        <f t="shared" si="5"/>
        <v>6050</v>
      </c>
    </row>
    <row r="24" spans="1:45">
      <c r="A24">
        <v>2</v>
      </c>
      <c r="B24" t="s">
        <v>103</v>
      </c>
      <c r="C24" t="s">
        <v>673</v>
      </c>
      <c r="D24" t="s">
        <v>674</v>
      </c>
      <c r="F24" t="s">
        <v>675</v>
      </c>
      <c r="G24" t="s">
        <v>676</v>
      </c>
      <c r="H24" t="s">
        <v>677</v>
      </c>
      <c r="I24" s="168">
        <v>6050</v>
      </c>
      <c r="J24" s="168" t="s">
        <v>196</v>
      </c>
      <c r="K24" s="168"/>
      <c r="L24" s="168"/>
      <c r="O24" s="168"/>
      <c r="R24" s="168"/>
      <c r="U24" s="168"/>
      <c r="X24" s="168"/>
      <c r="AA24" s="205">
        <v>6050</v>
      </c>
      <c r="AB24" t="s">
        <v>1583</v>
      </c>
      <c r="AC24">
        <v>11000</v>
      </c>
      <c r="AD24" s="168">
        <f t="shared" si="10"/>
        <v>8800</v>
      </c>
      <c r="AG24" s="168">
        <f t="shared" si="1"/>
        <v>6050</v>
      </c>
      <c r="AJ24" s="168">
        <f t="shared" si="2"/>
        <v>6050</v>
      </c>
      <c r="AM24" s="168">
        <f t="shared" si="3"/>
        <v>6050</v>
      </c>
      <c r="AP24" s="168">
        <f t="shared" si="4"/>
        <v>6050</v>
      </c>
      <c r="AS24" s="168">
        <f t="shared" si="5"/>
        <v>6050</v>
      </c>
    </row>
    <row r="25" spans="1:45" hidden="1">
      <c r="A25" s="168">
        <v>147</v>
      </c>
      <c r="B25" s="168" t="s">
        <v>66</v>
      </c>
      <c r="C25" s="168" t="s">
        <v>707</v>
      </c>
      <c r="D25" s="168" t="s">
        <v>348</v>
      </c>
      <c r="E25" s="168"/>
      <c r="F25" s="168" t="s">
        <v>708</v>
      </c>
      <c r="G25" s="168" t="s">
        <v>709</v>
      </c>
      <c r="H25" s="168" t="s">
        <v>351</v>
      </c>
      <c r="I25" s="168"/>
      <c r="J25" s="168"/>
      <c r="K25" s="168"/>
      <c r="L25" s="168"/>
      <c r="O25" s="168"/>
      <c r="R25" s="168"/>
      <c r="U25" s="168"/>
      <c r="X25" s="168"/>
      <c r="AA25" s="168">
        <v>13200</v>
      </c>
      <c r="AD25" s="168">
        <f t="shared" si="7"/>
        <v>3500</v>
      </c>
      <c r="AG25" s="168">
        <f t="shared" si="1"/>
        <v>0</v>
      </c>
      <c r="AJ25" s="168">
        <f t="shared" si="2"/>
        <v>0</v>
      </c>
      <c r="AM25" s="168">
        <f t="shared" si="3"/>
        <v>0</v>
      </c>
      <c r="AP25" s="168">
        <f t="shared" si="4"/>
        <v>0</v>
      </c>
      <c r="AS25" s="168">
        <f t="shared" si="5"/>
        <v>0</v>
      </c>
    </row>
    <row r="26" spans="1:45">
      <c r="A26">
        <v>119</v>
      </c>
      <c r="B26" t="s">
        <v>103</v>
      </c>
      <c r="C26" t="s">
        <v>720</v>
      </c>
      <c r="D26" t="s">
        <v>721</v>
      </c>
      <c r="F26" t="s">
        <v>722</v>
      </c>
      <c r="G26" t="s">
        <v>723</v>
      </c>
      <c r="H26" t="s">
        <v>724</v>
      </c>
      <c r="I26" s="168">
        <v>59400</v>
      </c>
      <c r="J26" s="168" t="s">
        <v>196</v>
      </c>
      <c r="K26" s="168"/>
      <c r="L26" s="168"/>
      <c r="O26" s="168"/>
      <c r="R26" s="168"/>
      <c r="U26" s="168"/>
      <c r="X26" s="168"/>
      <c r="AA26" s="168">
        <v>59400</v>
      </c>
      <c r="AD26" s="168">
        <f>I26 + MAX(0, I26 - AA26) + 2750</f>
        <v>62150</v>
      </c>
      <c r="AG26" s="168">
        <f t="shared" si="1"/>
        <v>59400</v>
      </c>
      <c r="AJ26" s="168">
        <f t="shared" si="2"/>
        <v>59400</v>
      </c>
      <c r="AM26" s="168">
        <f t="shared" si="3"/>
        <v>59400</v>
      </c>
      <c r="AP26" s="168">
        <f t="shared" si="4"/>
        <v>59400</v>
      </c>
      <c r="AS26" s="168">
        <f t="shared" si="5"/>
        <v>59400</v>
      </c>
    </row>
    <row r="27" spans="1:45" hidden="1">
      <c r="A27" s="168">
        <v>70</v>
      </c>
      <c r="B27" s="168" t="s">
        <v>66</v>
      </c>
      <c r="C27" s="168" t="s">
        <v>808</v>
      </c>
      <c r="D27" s="168" t="s">
        <v>733</v>
      </c>
      <c r="E27" s="168"/>
      <c r="F27" s="168" t="s">
        <v>809</v>
      </c>
      <c r="G27" s="168" t="s">
        <v>810</v>
      </c>
      <c r="H27" s="168" t="s">
        <v>736</v>
      </c>
      <c r="I27" s="168"/>
      <c r="J27" s="168"/>
      <c r="K27" s="168"/>
      <c r="L27" s="168"/>
      <c r="O27" s="168"/>
      <c r="R27" s="168"/>
      <c r="U27" s="168"/>
      <c r="X27" s="168"/>
      <c r="AA27" s="168"/>
      <c r="AD27" s="168">
        <f t="shared" si="7"/>
        <v>3500</v>
      </c>
      <c r="AG27" s="168">
        <f t="shared" si="1"/>
        <v>0</v>
      </c>
      <c r="AJ27" s="168">
        <f t="shared" si="2"/>
        <v>0</v>
      </c>
      <c r="AM27" s="168">
        <f t="shared" si="3"/>
        <v>0</v>
      </c>
      <c r="AP27" s="168">
        <f t="shared" si="4"/>
        <v>0</v>
      </c>
      <c r="AS27" s="168">
        <f t="shared" si="5"/>
        <v>0</v>
      </c>
    </row>
    <row r="28" spans="1:45">
      <c r="A28">
        <v>129</v>
      </c>
      <c r="B28" t="s">
        <v>103</v>
      </c>
      <c r="C28" t="s">
        <v>761</v>
      </c>
      <c r="D28" t="s">
        <v>762</v>
      </c>
      <c r="F28" t="s">
        <v>763</v>
      </c>
      <c r="G28" t="s">
        <v>764</v>
      </c>
      <c r="H28" t="s">
        <v>765</v>
      </c>
      <c r="I28" s="168">
        <v>6600</v>
      </c>
      <c r="J28" s="168" t="s">
        <v>109</v>
      </c>
      <c r="K28" s="168"/>
      <c r="L28" s="168"/>
      <c r="O28" s="168"/>
      <c r="R28" s="168"/>
      <c r="U28" s="168"/>
      <c r="X28" s="168"/>
      <c r="AA28" s="168">
        <v>6600</v>
      </c>
      <c r="AD28" s="205">
        <f>I28 + MAX(0, I28 - AA28) + 2750</f>
        <v>9350</v>
      </c>
      <c r="AG28" s="168">
        <v>17600</v>
      </c>
      <c r="AH28" t="s">
        <v>1969</v>
      </c>
      <c r="AJ28" s="168">
        <f t="shared" si="2"/>
        <v>6600</v>
      </c>
      <c r="AM28" s="168">
        <f>I28 + MAX(0, I28 - AD28)</f>
        <v>6600</v>
      </c>
      <c r="AP28" s="168">
        <f t="shared" si="4"/>
        <v>6600</v>
      </c>
      <c r="AS28" s="168">
        <f t="shared" si="5"/>
        <v>6600</v>
      </c>
    </row>
    <row r="29" spans="1:45" hidden="1">
      <c r="A29" s="168">
        <v>137</v>
      </c>
      <c r="B29" s="168" t="s">
        <v>66</v>
      </c>
      <c r="C29" s="168" t="s">
        <v>1190</v>
      </c>
      <c r="D29" s="168" t="s">
        <v>1199</v>
      </c>
      <c r="E29" s="168" t="s">
        <v>1199</v>
      </c>
      <c r="F29" s="168" t="s">
        <v>1200</v>
      </c>
      <c r="G29" s="168" t="s">
        <v>1201</v>
      </c>
      <c r="H29" s="168" t="s">
        <v>832</v>
      </c>
      <c r="I29" s="168">
        <v>12100</v>
      </c>
      <c r="J29" s="168" t="s">
        <v>109</v>
      </c>
      <c r="K29" s="168"/>
      <c r="L29" s="168"/>
      <c r="O29" s="168"/>
      <c r="R29" s="168"/>
      <c r="U29" s="168"/>
      <c r="X29" s="168"/>
      <c r="AA29" s="205">
        <v>24200</v>
      </c>
      <c r="AD29" s="168">
        <f t="shared" si="7"/>
        <v>15600</v>
      </c>
      <c r="AG29" s="168">
        <f t="shared" si="1"/>
        <v>12100</v>
      </c>
      <c r="AJ29" s="168">
        <f t="shared" si="2"/>
        <v>12100</v>
      </c>
      <c r="AM29" s="168">
        <f t="shared" si="3"/>
        <v>12100</v>
      </c>
      <c r="AP29" s="168">
        <f t="shared" si="4"/>
        <v>12100</v>
      </c>
      <c r="AS29" s="168">
        <f t="shared" si="5"/>
        <v>12100</v>
      </c>
    </row>
    <row r="30" spans="1:45">
      <c r="A30" s="168">
        <v>137</v>
      </c>
      <c r="B30" s="168" t="s">
        <v>103</v>
      </c>
      <c r="C30" s="168" t="s">
        <v>1190</v>
      </c>
      <c r="D30" s="168" t="s">
        <v>1199</v>
      </c>
      <c r="E30" s="168" t="s">
        <v>1199</v>
      </c>
      <c r="F30" s="168" t="s">
        <v>1200</v>
      </c>
      <c r="G30" s="168" t="s">
        <v>1201</v>
      </c>
      <c r="H30" s="168" t="s">
        <v>832</v>
      </c>
      <c r="I30" s="168">
        <v>7000</v>
      </c>
      <c r="J30" s="168" t="s">
        <v>109</v>
      </c>
      <c r="K30" s="168"/>
      <c r="L30" s="168"/>
      <c r="O30" s="168"/>
      <c r="R30" s="168"/>
      <c r="U30" s="168"/>
      <c r="X30" s="168"/>
      <c r="AA30" s="168">
        <v>24200</v>
      </c>
      <c r="AB30" t="s">
        <v>1584</v>
      </c>
      <c r="AC30">
        <v>17600</v>
      </c>
      <c r="AD30" s="168">
        <f t="shared" ref="AD30:AD38" si="11">I30 + MAX(0, I30 - AA30) + 2750</f>
        <v>9750</v>
      </c>
      <c r="AG30" s="168">
        <f t="shared" si="1"/>
        <v>7000</v>
      </c>
      <c r="AJ30" s="168">
        <f t="shared" si="2"/>
        <v>7000</v>
      </c>
      <c r="AM30" s="168">
        <f t="shared" si="3"/>
        <v>7000</v>
      </c>
      <c r="AP30" s="168">
        <f t="shared" si="4"/>
        <v>7000</v>
      </c>
      <c r="AS30" s="168">
        <f t="shared" si="5"/>
        <v>7000</v>
      </c>
    </row>
    <row r="31" spans="1:45">
      <c r="A31">
        <v>29</v>
      </c>
      <c r="B31" t="s">
        <v>103</v>
      </c>
      <c r="C31" t="s">
        <v>837</v>
      </c>
      <c r="D31" t="s">
        <v>838</v>
      </c>
      <c r="F31" t="s">
        <v>839</v>
      </c>
      <c r="G31" t="s">
        <v>840</v>
      </c>
      <c r="H31" t="s">
        <v>841</v>
      </c>
      <c r="I31" s="168">
        <v>17600</v>
      </c>
      <c r="J31" s="168" t="s">
        <v>196</v>
      </c>
      <c r="K31" s="168"/>
      <c r="L31" s="168"/>
      <c r="O31" s="168"/>
      <c r="R31" s="168"/>
      <c r="U31" s="168"/>
      <c r="X31" s="168"/>
      <c r="AA31" s="168">
        <v>17600</v>
      </c>
      <c r="AD31" s="168">
        <f t="shared" si="11"/>
        <v>20350</v>
      </c>
      <c r="AG31" s="168">
        <f t="shared" si="1"/>
        <v>17600</v>
      </c>
      <c r="AJ31" s="168">
        <f t="shared" si="2"/>
        <v>17600</v>
      </c>
      <c r="AM31" s="168">
        <f t="shared" si="3"/>
        <v>17600</v>
      </c>
      <c r="AP31" s="168">
        <f t="shared" si="4"/>
        <v>17600</v>
      </c>
      <c r="AS31" s="168">
        <f t="shared" si="5"/>
        <v>17600</v>
      </c>
    </row>
    <row r="32" spans="1:45">
      <c r="A32" s="168">
        <v>135</v>
      </c>
      <c r="B32" s="168" t="s">
        <v>103</v>
      </c>
      <c r="C32" s="168" t="s">
        <v>866</v>
      </c>
      <c r="D32" s="168" t="s">
        <v>867</v>
      </c>
      <c r="E32" s="168"/>
      <c r="F32" s="168" t="s">
        <v>868</v>
      </c>
      <c r="G32" s="168" t="s">
        <v>869</v>
      </c>
      <c r="H32" s="168" t="s">
        <v>870</v>
      </c>
      <c r="I32" s="168">
        <v>9900</v>
      </c>
      <c r="J32" s="168" t="s">
        <v>494</v>
      </c>
      <c r="K32" s="168"/>
      <c r="L32" s="168"/>
      <c r="O32" s="168"/>
      <c r="R32" s="168"/>
      <c r="U32" s="168"/>
      <c r="X32" s="168"/>
      <c r="AA32" s="168">
        <v>13200</v>
      </c>
      <c r="AD32" s="168">
        <f t="shared" si="11"/>
        <v>12650</v>
      </c>
      <c r="AG32" s="168">
        <f t="shared" si="1"/>
        <v>9900</v>
      </c>
      <c r="AJ32" s="168">
        <f t="shared" si="2"/>
        <v>9900</v>
      </c>
      <c r="AM32" s="168">
        <f t="shared" si="3"/>
        <v>9900</v>
      </c>
      <c r="AP32" s="168">
        <f t="shared" si="4"/>
        <v>9900</v>
      </c>
      <c r="AS32" s="168">
        <f t="shared" si="5"/>
        <v>9900</v>
      </c>
    </row>
    <row r="33" spans="1:45">
      <c r="A33" s="168">
        <v>135</v>
      </c>
      <c r="B33" s="168" t="s">
        <v>103</v>
      </c>
      <c r="C33" s="168" t="s">
        <v>866</v>
      </c>
      <c r="D33" s="168" t="s">
        <v>867</v>
      </c>
      <c r="E33" s="168"/>
      <c r="F33" s="168" t="s">
        <v>868</v>
      </c>
      <c r="G33" s="168" t="s">
        <v>869</v>
      </c>
      <c r="H33" s="168" t="s">
        <v>870</v>
      </c>
      <c r="I33" s="168">
        <v>3300</v>
      </c>
      <c r="J33" s="168" t="s">
        <v>494</v>
      </c>
      <c r="K33" s="168"/>
      <c r="L33" s="168"/>
      <c r="O33" s="168"/>
      <c r="R33" s="168"/>
      <c r="U33" s="168"/>
      <c r="X33" s="168"/>
      <c r="AA33" s="168">
        <v>13200</v>
      </c>
      <c r="AD33" s="168">
        <f t="shared" si="11"/>
        <v>6050</v>
      </c>
      <c r="AG33" s="168">
        <f t="shared" si="1"/>
        <v>3300</v>
      </c>
      <c r="AJ33" s="168">
        <f t="shared" si="2"/>
        <v>3300</v>
      </c>
      <c r="AM33" s="168">
        <f t="shared" si="3"/>
        <v>3300</v>
      </c>
      <c r="AP33" s="168">
        <f t="shared" si="4"/>
        <v>3300</v>
      </c>
      <c r="AS33" s="168">
        <f t="shared" si="5"/>
        <v>3300</v>
      </c>
    </row>
    <row r="34" spans="1:45">
      <c r="A34">
        <v>105</v>
      </c>
      <c r="B34" t="s">
        <v>103</v>
      </c>
      <c r="C34" t="s">
        <v>875</v>
      </c>
      <c r="D34" t="s">
        <v>876</v>
      </c>
      <c r="F34" t="s">
        <v>877</v>
      </c>
      <c r="G34" t="s">
        <v>878</v>
      </c>
      <c r="H34" t="s">
        <v>879</v>
      </c>
      <c r="I34" s="168">
        <v>14850</v>
      </c>
      <c r="J34" s="168" t="s">
        <v>196</v>
      </c>
      <c r="K34" s="168"/>
      <c r="L34" s="168"/>
      <c r="O34" s="168"/>
      <c r="R34" s="168"/>
      <c r="U34" s="168"/>
      <c r="X34" s="168"/>
      <c r="AA34" s="168"/>
      <c r="AD34" s="168">
        <v>17600</v>
      </c>
      <c r="AG34" s="205">
        <f t="shared" si="1"/>
        <v>14850</v>
      </c>
      <c r="AH34" t="s">
        <v>2062</v>
      </c>
      <c r="AI34">
        <v>14580</v>
      </c>
      <c r="AJ34" s="168">
        <f t="shared" si="2"/>
        <v>14850</v>
      </c>
      <c r="AM34" s="168">
        <f t="shared" si="3"/>
        <v>14850</v>
      </c>
      <c r="AP34" s="168">
        <f t="shared" si="4"/>
        <v>14850</v>
      </c>
      <c r="AS34" s="168">
        <f t="shared" si="5"/>
        <v>14850</v>
      </c>
    </row>
    <row r="35" spans="1:45">
      <c r="A35" s="168">
        <v>157</v>
      </c>
      <c r="B35" s="168" t="s">
        <v>103</v>
      </c>
      <c r="C35" s="168" t="s">
        <v>889</v>
      </c>
      <c r="D35" s="168" t="s">
        <v>890</v>
      </c>
      <c r="E35" s="168"/>
      <c r="F35" s="168" t="s">
        <v>891</v>
      </c>
      <c r="G35" s="168" t="s">
        <v>892</v>
      </c>
      <c r="H35" s="168" t="s">
        <v>893</v>
      </c>
      <c r="I35" s="168">
        <v>6050</v>
      </c>
      <c r="J35" s="168" t="s">
        <v>109</v>
      </c>
      <c r="K35" s="168"/>
      <c r="L35" s="168"/>
      <c r="O35" s="168"/>
      <c r="R35" s="168"/>
      <c r="U35" s="168"/>
      <c r="X35" s="168"/>
      <c r="AA35" s="168">
        <v>6050</v>
      </c>
      <c r="AD35" s="168">
        <f t="shared" si="11"/>
        <v>8800</v>
      </c>
      <c r="AG35" s="168">
        <f t="shared" si="1"/>
        <v>6050</v>
      </c>
      <c r="AJ35" s="205">
        <f t="shared" si="2"/>
        <v>6050</v>
      </c>
      <c r="AM35" s="245">
        <v>11700</v>
      </c>
      <c r="AN35" t="s">
        <v>2074</v>
      </c>
      <c r="AP35" s="168">
        <v>22700</v>
      </c>
      <c r="AQ35" t="s">
        <v>2191</v>
      </c>
      <c r="AS35" s="168">
        <f t="shared" si="5"/>
        <v>6050</v>
      </c>
    </row>
    <row r="36" spans="1:45">
      <c r="A36">
        <v>22</v>
      </c>
      <c r="B36" t="s">
        <v>103</v>
      </c>
      <c r="C36" t="s">
        <v>895</v>
      </c>
      <c r="D36" t="s">
        <v>901</v>
      </c>
      <c r="F36" t="s">
        <v>902</v>
      </c>
      <c r="G36" t="s">
        <v>903</v>
      </c>
      <c r="H36" t="s">
        <v>904</v>
      </c>
      <c r="I36" s="168">
        <v>17600</v>
      </c>
      <c r="J36" s="168" t="s">
        <v>196</v>
      </c>
      <c r="K36" s="168"/>
      <c r="L36" s="168"/>
      <c r="O36" s="168"/>
      <c r="R36" s="168"/>
      <c r="U36" s="168"/>
      <c r="X36" s="168"/>
      <c r="AA36" s="168">
        <v>17600</v>
      </c>
      <c r="AD36" s="168">
        <f t="shared" si="11"/>
        <v>20350</v>
      </c>
      <c r="AG36" s="168">
        <f t="shared" si="1"/>
        <v>17600</v>
      </c>
      <c r="AJ36" s="205">
        <f t="shared" si="2"/>
        <v>17600</v>
      </c>
      <c r="AM36" s="168">
        <v>1500</v>
      </c>
      <c r="AN36" t="s">
        <v>2075</v>
      </c>
      <c r="AP36" s="168">
        <v>17600</v>
      </c>
      <c r="AS36" s="168">
        <v>17600</v>
      </c>
    </row>
    <row r="37" spans="1:45" hidden="1">
      <c r="A37" s="168">
        <v>155</v>
      </c>
      <c r="B37" s="168" t="s">
        <v>66</v>
      </c>
      <c r="C37" s="168" t="s">
        <v>919</v>
      </c>
      <c r="D37" s="168" t="s">
        <v>920</v>
      </c>
      <c r="E37" s="168"/>
      <c r="F37" s="168" t="s">
        <v>921</v>
      </c>
      <c r="G37" s="168" t="s">
        <v>922</v>
      </c>
      <c r="H37" s="168" t="s">
        <v>923</v>
      </c>
      <c r="I37" s="168">
        <v>9500</v>
      </c>
      <c r="J37" s="168" t="s">
        <v>494</v>
      </c>
      <c r="K37" s="168"/>
      <c r="L37" s="168"/>
      <c r="O37" s="168"/>
      <c r="R37" s="168"/>
      <c r="U37" s="168"/>
      <c r="X37" s="168"/>
      <c r="AA37" s="168">
        <v>9500</v>
      </c>
      <c r="AD37" s="168">
        <f t="shared" si="11"/>
        <v>12250</v>
      </c>
      <c r="AG37" s="168">
        <f t="shared" si="1"/>
        <v>9500</v>
      </c>
      <c r="AJ37" s="168">
        <f t="shared" si="2"/>
        <v>9500</v>
      </c>
      <c r="AM37" s="168">
        <f t="shared" si="3"/>
        <v>9500</v>
      </c>
      <c r="AP37" s="168">
        <f t="shared" si="4"/>
        <v>9500</v>
      </c>
      <c r="AS37" s="168">
        <f t="shared" si="5"/>
        <v>9500</v>
      </c>
    </row>
    <row r="38" spans="1:45">
      <c r="A38">
        <v>139</v>
      </c>
      <c r="B38" t="s">
        <v>103</v>
      </c>
      <c r="C38" t="s">
        <v>989</v>
      </c>
      <c r="D38" t="s">
        <v>990</v>
      </c>
      <c r="F38" t="s">
        <v>991</v>
      </c>
      <c r="G38" t="s">
        <v>992</v>
      </c>
      <c r="H38" t="s">
        <v>993</v>
      </c>
      <c r="I38" s="168">
        <v>12100</v>
      </c>
      <c r="J38" s="168" t="s">
        <v>109</v>
      </c>
      <c r="K38" s="168"/>
      <c r="L38" s="168"/>
      <c r="O38" s="168"/>
      <c r="R38" s="168"/>
      <c r="U38" s="168"/>
      <c r="X38" s="168"/>
      <c r="AA38" s="168">
        <v>12100</v>
      </c>
      <c r="AD38" s="168">
        <f t="shared" si="11"/>
        <v>14850</v>
      </c>
      <c r="AG38" s="168">
        <f t="shared" si="1"/>
        <v>12100</v>
      </c>
      <c r="AJ38" s="168">
        <f t="shared" si="2"/>
        <v>12100</v>
      </c>
      <c r="AM38" s="168">
        <f t="shared" si="3"/>
        <v>12100</v>
      </c>
      <c r="AP38" s="168">
        <f t="shared" si="4"/>
        <v>12100</v>
      </c>
      <c r="AS38" s="168">
        <f t="shared" si="5"/>
        <v>12100</v>
      </c>
    </row>
    <row r="39" spans="1:45" hidden="1">
      <c r="A39" s="168">
        <v>153</v>
      </c>
      <c r="B39" s="168" t="s">
        <v>66</v>
      </c>
      <c r="C39" s="168" t="s">
        <v>1052</v>
      </c>
      <c r="D39" s="168" t="s">
        <v>1053</v>
      </c>
      <c r="E39" s="168"/>
      <c r="F39" s="168" t="s">
        <v>1054</v>
      </c>
      <c r="G39" s="168" t="s">
        <v>1055</v>
      </c>
      <c r="H39" s="168" t="s">
        <v>1056</v>
      </c>
      <c r="I39" s="168"/>
      <c r="J39" s="168"/>
      <c r="K39" s="168"/>
      <c r="L39" s="168"/>
      <c r="O39" s="168"/>
      <c r="R39" s="168"/>
      <c r="U39" s="168"/>
      <c r="X39" s="168"/>
      <c r="AA39" s="168"/>
      <c r="AD39" s="168">
        <f t="shared" si="7"/>
        <v>3500</v>
      </c>
      <c r="AG39" s="168">
        <f t="shared" si="1"/>
        <v>0</v>
      </c>
      <c r="AJ39" s="168">
        <f t="shared" si="2"/>
        <v>0</v>
      </c>
      <c r="AM39" s="168">
        <f t="shared" si="3"/>
        <v>0</v>
      </c>
      <c r="AP39" s="168">
        <f t="shared" si="4"/>
        <v>0</v>
      </c>
      <c r="AS39" s="168">
        <f t="shared" si="5"/>
        <v>0</v>
      </c>
    </row>
    <row r="40" spans="1:45" hidden="1">
      <c r="A40">
        <v>99</v>
      </c>
      <c r="B40" t="s">
        <v>66</v>
      </c>
      <c r="C40" t="s">
        <v>1059</v>
      </c>
      <c r="D40" t="s">
        <v>134</v>
      </c>
      <c r="F40" t="s">
        <v>1060</v>
      </c>
      <c r="G40" t="s">
        <v>1061</v>
      </c>
      <c r="H40" t="s">
        <v>137</v>
      </c>
      <c r="L40" s="168"/>
      <c r="O40" s="168"/>
      <c r="R40" s="168"/>
      <c r="U40" s="168"/>
      <c r="X40" s="168"/>
      <c r="AA40" s="168">
        <v>19800</v>
      </c>
      <c r="AD40" s="168">
        <f t="shared" si="7"/>
        <v>3500</v>
      </c>
      <c r="AG40" s="168">
        <f t="shared" si="1"/>
        <v>0</v>
      </c>
      <c r="AJ40" s="205">
        <f t="shared" si="2"/>
        <v>0</v>
      </c>
      <c r="AK40" t="s">
        <v>2123</v>
      </c>
      <c r="AL40">
        <v>59400</v>
      </c>
      <c r="AM40" s="168">
        <f t="shared" si="3"/>
        <v>0</v>
      </c>
      <c r="AP40" s="168">
        <f t="shared" si="4"/>
        <v>0</v>
      </c>
      <c r="AS40" s="168">
        <f t="shared" si="5"/>
        <v>0</v>
      </c>
    </row>
    <row r="41" spans="1:45" hidden="1">
      <c r="A41" s="168">
        <v>126</v>
      </c>
      <c r="B41" s="168" t="s">
        <v>66</v>
      </c>
      <c r="C41" s="168" t="s">
        <v>1486</v>
      </c>
      <c r="D41" s="168" t="s">
        <v>1487</v>
      </c>
      <c r="E41" s="168"/>
      <c r="F41" s="168" t="s">
        <v>1488</v>
      </c>
      <c r="G41" s="168" t="s">
        <v>1489</v>
      </c>
      <c r="H41" s="168" t="s">
        <v>1490</v>
      </c>
      <c r="I41" s="168" t="s">
        <v>1985</v>
      </c>
      <c r="J41" s="168" t="s">
        <v>109</v>
      </c>
      <c r="K41" s="168"/>
      <c r="L41" s="168"/>
      <c r="O41" s="168"/>
      <c r="R41" s="168"/>
      <c r="U41" s="168"/>
      <c r="X41" s="168"/>
      <c r="AA41" s="168">
        <v>17050</v>
      </c>
      <c r="AD41" s="168" t="e">
        <f t="shared" ref="AD41:AD43" si="12">I41 + MAX(0, I41 - AA41) + 2750</f>
        <v>#VALUE!</v>
      </c>
      <c r="AG41" s="168" t="e">
        <f t="shared" si="1"/>
        <v>#VALUE!</v>
      </c>
      <c r="AJ41" s="168" t="e">
        <f t="shared" si="2"/>
        <v>#VALUE!</v>
      </c>
      <c r="AM41" s="168" t="e">
        <f t="shared" si="3"/>
        <v>#VALUE!</v>
      </c>
      <c r="AP41" s="168" t="e">
        <f t="shared" si="4"/>
        <v>#VALUE!</v>
      </c>
      <c r="AS41" s="168" t="e">
        <f t="shared" si="5"/>
        <v>#VALUE!</v>
      </c>
    </row>
    <row r="42" spans="1:45">
      <c r="A42">
        <v>149</v>
      </c>
      <c r="B42" t="s">
        <v>103</v>
      </c>
      <c r="C42" t="s">
        <v>1106</v>
      </c>
      <c r="D42" t="s">
        <v>1115</v>
      </c>
      <c r="F42" t="s">
        <v>1116</v>
      </c>
      <c r="G42" t="s">
        <v>1117</v>
      </c>
      <c r="H42" t="s">
        <v>1118</v>
      </c>
      <c r="I42" s="168">
        <v>19800</v>
      </c>
      <c r="J42" s="168" t="s">
        <v>196</v>
      </c>
      <c r="K42" s="168"/>
      <c r="L42" s="168"/>
      <c r="O42" s="168"/>
      <c r="R42" s="168"/>
      <c r="U42" s="168"/>
      <c r="X42" s="168"/>
      <c r="AA42" s="168">
        <v>19800</v>
      </c>
      <c r="AD42" s="168">
        <f t="shared" si="12"/>
        <v>22550</v>
      </c>
      <c r="AG42" s="168">
        <f t="shared" si="1"/>
        <v>19800</v>
      </c>
      <c r="AJ42" s="168">
        <f t="shared" si="2"/>
        <v>19800</v>
      </c>
      <c r="AM42" s="168">
        <f t="shared" si="3"/>
        <v>19800</v>
      </c>
      <c r="AP42" s="168">
        <f t="shared" si="4"/>
        <v>19800</v>
      </c>
      <c r="AS42" s="168">
        <f t="shared" si="5"/>
        <v>19800</v>
      </c>
    </row>
    <row r="43" spans="1:45">
      <c r="A43" s="168">
        <v>138</v>
      </c>
      <c r="B43" s="168" t="s">
        <v>103</v>
      </c>
      <c r="C43" s="168" t="s">
        <v>1217</v>
      </c>
      <c r="D43" s="168" t="s">
        <v>1121</v>
      </c>
      <c r="E43" s="168"/>
      <c r="F43" s="168" t="s">
        <v>1218</v>
      </c>
      <c r="G43" s="168" t="s">
        <v>1219</v>
      </c>
      <c r="H43" s="168" t="s">
        <v>1124</v>
      </c>
      <c r="I43" s="168">
        <v>6600</v>
      </c>
      <c r="J43" s="168" t="s">
        <v>109</v>
      </c>
      <c r="K43" s="168"/>
      <c r="L43" s="168"/>
      <c r="O43" s="168"/>
      <c r="R43" s="168"/>
      <c r="U43" s="168"/>
      <c r="X43" s="168"/>
      <c r="AA43" s="168">
        <v>17600</v>
      </c>
      <c r="AD43" s="168">
        <f t="shared" si="12"/>
        <v>9350</v>
      </c>
      <c r="AG43" s="168">
        <f t="shared" si="1"/>
        <v>6600</v>
      </c>
      <c r="AJ43" s="168">
        <f t="shared" si="2"/>
        <v>6600</v>
      </c>
      <c r="AM43" s="168">
        <f t="shared" si="3"/>
        <v>6600</v>
      </c>
      <c r="AP43" s="168">
        <f t="shared" si="4"/>
        <v>6600</v>
      </c>
      <c r="AS43" s="168">
        <f t="shared" si="5"/>
        <v>6600</v>
      </c>
    </row>
    <row r="44" spans="1:45" hidden="1">
      <c r="A44">
        <v>111</v>
      </c>
      <c r="B44" t="s">
        <v>66</v>
      </c>
      <c r="C44" t="s">
        <v>1155</v>
      </c>
      <c r="D44" t="s">
        <v>1161</v>
      </c>
      <c r="F44" t="s">
        <v>1162</v>
      </c>
      <c r="G44" t="s">
        <v>1163</v>
      </c>
      <c r="H44" t="s">
        <v>626</v>
      </c>
      <c r="L44" s="168"/>
      <c r="O44" s="168"/>
      <c r="R44" s="168"/>
      <c r="U44" s="168"/>
      <c r="X44" s="168"/>
      <c r="AA44" s="168"/>
      <c r="AD44" s="168">
        <f t="shared" si="7"/>
        <v>3500</v>
      </c>
      <c r="AG44" s="168">
        <f t="shared" si="1"/>
        <v>0</v>
      </c>
      <c r="AJ44" s="168">
        <f t="shared" si="2"/>
        <v>0</v>
      </c>
      <c r="AM44" s="168">
        <f t="shared" si="3"/>
        <v>0</v>
      </c>
      <c r="AP44" s="168">
        <f t="shared" si="4"/>
        <v>0</v>
      </c>
      <c r="AS44" s="168">
        <f t="shared" si="5"/>
        <v>0</v>
      </c>
    </row>
    <row r="45" spans="1:45" hidden="1">
      <c r="A45" s="168">
        <v>146</v>
      </c>
      <c r="B45" s="168" t="s">
        <v>66</v>
      </c>
      <c r="C45" s="168" t="s">
        <v>1167</v>
      </c>
      <c r="D45" s="168" t="s">
        <v>1168</v>
      </c>
      <c r="E45" s="168"/>
      <c r="F45" s="168" t="s">
        <v>1169</v>
      </c>
      <c r="G45" s="168" t="s">
        <v>1170</v>
      </c>
      <c r="H45" s="168" t="s">
        <v>1171</v>
      </c>
      <c r="I45" s="168">
        <v>19800</v>
      </c>
      <c r="J45" s="168" t="s">
        <v>196</v>
      </c>
      <c r="K45" s="168"/>
      <c r="L45" s="168"/>
      <c r="O45" s="168"/>
      <c r="R45" s="168"/>
      <c r="U45" s="168"/>
      <c r="X45" s="168"/>
      <c r="AA45" s="168">
        <v>19800</v>
      </c>
      <c r="AD45" s="168">
        <f t="shared" ref="AD45:AD58" si="13">I45 + MAX(0, I45 - AA45) + 2750</f>
        <v>22550</v>
      </c>
      <c r="AG45" s="168">
        <f t="shared" si="1"/>
        <v>19800</v>
      </c>
      <c r="AJ45" s="168">
        <f t="shared" si="2"/>
        <v>19800</v>
      </c>
      <c r="AM45" s="168">
        <f t="shared" si="3"/>
        <v>19800</v>
      </c>
      <c r="AP45" s="168">
        <f t="shared" si="4"/>
        <v>19800</v>
      </c>
      <c r="AS45" s="168">
        <f t="shared" si="5"/>
        <v>19800</v>
      </c>
    </row>
    <row r="46" spans="1:45">
      <c r="A46">
        <v>140</v>
      </c>
      <c r="B46" t="s">
        <v>103</v>
      </c>
      <c r="C46" t="s">
        <v>630</v>
      </c>
      <c r="D46" t="s">
        <v>631</v>
      </c>
      <c r="F46" t="s">
        <v>1221</v>
      </c>
      <c r="G46" t="s">
        <v>1222</v>
      </c>
      <c r="H46" t="s">
        <v>634</v>
      </c>
      <c r="I46" s="168">
        <v>6050</v>
      </c>
      <c r="J46" s="168" t="s">
        <v>109</v>
      </c>
      <c r="K46" s="168"/>
      <c r="L46" s="168"/>
      <c r="O46" s="168"/>
      <c r="R46" s="168"/>
      <c r="U46" s="168"/>
      <c r="X46" s="168"/>
      <c r="AA46" s="168">
        <v>17050</v>
      </c>
      <c r="AD46" s="168">
        <f t="shared" si="13"/>
        <v>8800</v>
      </c>
      <c r="AG46" s="168">
        <f t="shared" si="1"/>
        <v>6050</v>
      </c>
      <c r="AJ46" s="168">
        <f t="shared" si="2"/>
        <v>6050</v>
      </c>
      <c r="AM46" s="168">
        <f t="shared" si="3"/>
        <v>6050</v>
      </c>
      <c r="AP46" s="168">
        <f t="shared" si="4"/>
        <v>6050</v>
      </c>
      <c r="AS46" s="168">
        <f t="shared" si="5"/>
        <v>6050</v>
      </c>
    </row>
    <row r="47" spans="1:45" hidden="1">
      <c r="A47" s="168">
        <v>10</v>
      </c>
      <c r="B47" s="168" t="s">
        <v>66</v>
      </c>
      <c r="C47" s="168" t="s">
        <v>1227</v>
      </c>
      <c r="D47" s="168" t="s">
        <v>1228</v>
      </c>
      <c r="E47" s="168"/>
      <c r="F47" s="168" t="s">
        <v>1229</v>
      </c>
      <c r="G47" s="168" t="s">
        <v>1230</v>
      </c>
      <c r="H47" s="168" t="s">
        <v>1231</v>
      </c>
      <c r="I47" s="168">
        <v>17600</v>
      </c>
      <c r="J47" s="168" t="s">
        <v>196</v>
      </c>
      <c r="K47" s="168"/>
      <c r="L47" s="168"/>
      <c r="O47" s="168"/>
      <c r="R47" s="168"/>
      <c r="U47" s="168"/>
      <c r="V47" t="s">
        <v>1585</v>
      </c>
      <c r="W47">
        <v>17600</v>
      </c>
      <c r="X47" s="168"/>
      <c r="AA47" s="205"/>
      <c r="AD47" s="205">
        <v>20350</v>
      </c>
      <c r="AE47" t="s">
        <v>1943</v>
      </c>
      <c r="AF47">
        <v>20350</v>
      </c>
      <c r="AG47" s="168">
        <v>20350</v>
      </c>
      <c r="AH47" t="s">
        <v>1942</v>
      </c>
      <c r="AJ47" s="205">
        <f t="shared" si="2"/>
        <v>17600</v>
      </c>
      <c r="AK47" t="s">
        <v>2124</v>
      </c>
      <c r="AM47" s="168">
        <v>0</v>
      </c>
      <c r="AP47" s="168">
        <v>0</v>
      </c>
      <c r="AS47" s="168">
        <v>0</v>
      </c>
    </row>
    <row r="48" spans="1:45">
      <c r="A48">
        <v>120</v>
      </c>
      <c r="B48" t="s">
        <v>103</v>
      </c>
      <c r="C48" t="s">
        <v>1238</v>
      </c>
      <c r="D48" t="s">
        <v>1239</v>
      </c>
      <c r="F48" t="s">
        <v>1240</v>
      </c>
      <c r="G48" t="s">
        <v>1241</v>
      </c>
      <c r="H48" t="s">
        <v>1242</v>
      </c>
      <c r="I48" s="168">
        <v>15000</v>
      </c>
      <c r="J48" s="168" t="s">
        <v>494</v>
      </c>
      <c r="K48" s="168"/>
      <c r="L48" s="168"/>
      <c r="O48" s="168"/>
      <c r="R48" s="168"/>
      <c r="U48" s="168"/>
      <c r="X48" s="168"/>
      <c r="AA48" s="168">
        <v>15000</v>
      </c>
      <c r="AD48" s="168">
        <f t="shared" si="13"/>
        <v>17750</v>
      </c>
      <c r="AG48" s="168">
        <f t="shared" si="1"/>
        <v>15000</v>
      </c>
      <c r="AJ48" s="168">
        <f t="shared" si="2"/>
        <v>15000</v>
      </c>
      <c r="AM48" s="168">
        <f t="shared" si="3"/>
        <v>15000</v>
      </c>
      <c r="AP48" s="168">
        <f t="shared" si="4"/>
        <v>15000</v>
      </c>
      <c r="AS48" s="168">
        <f t="shared" si="5"/>
        <v>15000</v>
      </c>
    </row>
    <row r="49" spans="1:45">
      <c r="A49" s="168">
        <v>134</v>
      </c>
      <c r="B49" s="168" t="s">
        <v>103</v>
      </c>
      <c r="C49" s="168" t="s">
        <v>1257</v>
      </c>
      <c r="D49" s="168" t="s">
        <v>1258</v>
      </c>
      <c r="E49" s="168"/>
      <c r="F49" s="168" t="s">
        <v>1259</v>
      </c>
      <c r="G49" s="168" t="s">
        <v>1260</v>
      </c>
      <c r="H49" s="168" t="s">
        <v>1261</v>
      </c>
      <c r="I49" s="168">
        <v>9900</v>
      </c>
      <c r="J49" s="168" t="s">
        <v>494</v>
      </c>
      <c r="K49" s="168"/>
      <c r="L49" s="168"/>
      <c r="O49" s="168"/>
      <c r="R49" s="168"/>
      <c r="U49" s="168"/>
      <c r="X49" s="168"/>
      <c r="AA49" s="168">
        <v>13200</v>
      </c>
      <c r="AD49" s="168">
        <v>15950</v>
      </c>
      <c r="AG49" s="168">
        <f t="shared" si="1"/>
        <v>9900</v>
      </c>
      <c r="AJ49" s="168">
        <f t="shared" si="2"/>
        <v>9900</v>
      </c>
      <c r="AM49" s="168">
        <f t="shared" si="3"/>
        <v>9900</v>
      </c>
      <c r="AP49" s="168">
        <f t="shared" si="4"/>
        <v>9900</v>
      </c>
      <c r="AS49" s="168">
        <f t="shared" si="5"/>
        <v>9900</v>
      </c>
    </row>
    <row r="50" spans="1:45">
      <c r="A50" s="168">
        <v>134</v>
      </c>
      <c r="B50" s="168" t="s">
        <v>103</v>
      </c>
      <c r="C50" s="168" t="s">
        <v>1257</v>
      </c>
      <c r="D50" s="168" t="s">
        <v>1258</v>
      </c>
      <c r="E50" s="168"/>
      <c r="F50" s="168" t="s">
        <v>1259</v>
      </c>
      <c r="G50" s="168" t="s">
        <v>1260</v>
      </c>
      <c r="H50" s="168" t="s">
        <v>1261</v>
      </c>
      <c r="I50" s="168">
        <v>3300</v>
      </c>
      <c r="J50" s="168" t="s">
        <v>494</v>
      </c>
      <c r="K50" s="168"/>
      <c r="L50" s="168"/>
      <c r="O50" s="168"/>
      <c r="R50" s="168"/>
      <c r="U50" s="168"/>
      <c r="X50" s="168"/>
      <c r="AA50" s="168">
        <v>13200</v>
      </c>
      <c r="AD50" s="168">
        <v>15950</v>
      </c>
      <c r="AG50" s="168">
        <f t="shared" si="1"/>
        <v>3300</v>
      </c>
      <c r="AJ50" s="168">
        <f t="shared" si="2"/>
        <v>3300</v>
      </c>
      <c r="AM50" s="168">
        <f t="shared" si="3"/>
        <v>3300</v>
      </c>
      <c r="AP50" s="168">
        <f t="shared" si="4"/>
        <v>3300</v>
      </c>
      <c r="AS50" s="168">
        <f t="shared" si="5"/>
        <v>3300</v>
      </c>
    </row>
    <row r="51" spans="1:45" hidden="1">
      <c r="A51">
        <v>159</v>
      </c>
      <c r="B51" t="s">
        <v>66</v>
      </c>
      <c r="C51" t="s">
        <v>1272</v>
      </c>
      <c r="D51" t="s">
        <v>1273</v>
      </c>
      <c r="F51" t="s">
        <v>1274</v>
      </c>
      <c r="G51" t="s">
        <v>1275</v>
      </c>
      <c r="H51" t="s">
        <v>1276</v>
      </c>
      <c r="I51" s="168">
        <v>12100</v>
      </c>
      <c r="J51" s="168" t="s">
        <v>109</v>
      </c>
      <c r="K51" s="168"/>
      <c r="L51" s="168"/>
      <c r="O51" s="168"/>
      <c r="R51" s="168"/>
      <c r="U51" s="168"/>
      <c r="X51" s="168"/>
      <c r="AA51" s="168">
        <v>33300</v>
      </c>
      <c r="AD51" s="168">
        <v>36050</v>
      </c>
      <c r="AG51" s="168">
        <f t="shared" si="1"/>
        <v>12100</v>
      </c>
      <c r="AJ51" s="168">
        <f t="shared" si="2"/>
        <v>12100</v>
      </c>
      <c r="AM51" s="168">
        <f t="shared" si="3"/>
        <v>12100</v>
      </c>
      <c r="AP51" s="168">
        <f t="shared" si="4"/>
        <v>12100</v>
      </c>
      <c r="AS51" s="168">
        <f t="shared" si="5"/>
        <v>12100</v>
      </c>
    </row>
    <row r="52" spans="1:45" hidden="1">
      <c r="A52">
        <v>159</v>
      </c>
      <c r="B52" t="s">
        <v>66</v>
      </c>
      <c r="C52" t="s">
        <v>1272</v>
      </c>
      <c r="D52" t="s">
        <v>1273</v>
      </c>
      <c r="F52" t="s">
        <v>1274</v>
      </c>
      <c r="G52" t="s">
        <v>1275</v>
      </c>
      <c r="H52" t="s">
        <v>1276</v>
      </c>
      <c r="I52" s="168">
        <v>19800</v>
      </c>
      <c r="J52" s="168" t="s">
        <v>494</v>
      </c>
      <c r="K52" s="168"/>
      <c r="L52" s="168"/>
      <c r="O52" s="168"/>
      <c r="R52" s="168"/>
      <c r="U52" s="168"/>
      <c r="X52" s="168"/>
      <c r="AA52" s="168">
        <v>33300</v>
      </c>
      <c r="AD52" s="168">
        <v>36050</v>
      </c>
      <c r="AG52" s="168">
        <f t="shared" si="1"/>
        <v>19800</v>
      </c>
      <c r="AJ52" s="168">
        <f t="shared" si="2"/>
        <v>19800</v>
      </c>
      <c r="AM52" s="168">
        <f t="shared" si="3"/>
        <v>19800</v>
      </c>
      <c r="AP52" s="168">
        <f t="shared" si="4"/>
        <v>19800</v>
      </c>
      <c r="AS52" s="168">
        <f t="shared" si="5"/>
        <v>19800</v>
      </c>
    </row>
    <row r="53" spans="1:45" hidden="1">
      <c r="A53" s="168">
        <v>143</v>
      </c>
      <c r="B53" s="168" t="s">
        <v>66</v>
      </c>
      <c r="C53" s="168" t="s">
        <v>1279</v>
      </c>
      <c r="D53" s="168" t="s">
        <v>909</v>
      </c>
      <c r="E53" s="168"/>
      <c r="F53" s="168" t="s">
        <v>1280</v>
      </c>
      <c r="G53" s="168" t="s">
        <v>1281</v>
      </c>
      <c r="H53" s="168" t="s">
        <v>912</v>
      </c>
      <c r="I53" s="168">
        <v>19800</v>
      </c>
      <c r="J53" s="168" t="s">
        <v>109</v>
      </c>
      <c r="K53" s="168"/>
      <c r="L53" s="168"/>
      <c r="O53" s="168"/>
      <c r="R53" s="168"/>
      <c r="U53" s="168"/>
      <c r="X53" s="168"/>
      <c r="AA53" s="168">
        <v>19800</v>
      </c>
      <c r="AD53" s="168">
        <f t="shared" si="13"/>
        <v>22550</v>
      </c>
      <c r="AG53" s="168">
        <f t="shared" si="1"/>
        <v>19800</v>
      </c>
      <c r="AJ53" s="168">
        <f t="shared" si="2"/>
        <v>19800</v>
      </c>
      <c r="AM53" s="168">
        <f t="shared" si="3"/>
        <v>19800</v>
      </c>
      <c r="AP53" s="168">
        <f t="shared" si="4"/>
        <v>19800</v>
      </c>
      <c r="AS53" s="168">
        <f t="shared" si="5"/>
        <v>19800</v>
      </c>
    </row>
    <row r="54" spans="1:45">
      <c r="A54">
        <v>20</v>
      </c>
      <c r="B54" t="s">
        <v>103</v>
      </c>
      <c r="C54" t="s">
        <v>1289</v>
      </c>
      <c r="D54" t="s">
        <v>1031</v>
      </c>
      <c r="F54" t="s">
        <v>1290</v>
      </c>
      <c r="G54" t="s">
        <v>1291</v>
      </c>
      <c r="H54" t="s">
        <v>1034</v>
      </c>
      <c r="I54" s="168">
        <v>14800</v>
      </c>
      <c r="J54" s="168" t="s">
        <v>196</v>
      </c>
      <c r="K54" s="168"/>
      <c r="L54" s="168"/>
      <c r="O54" s="168"/>
      <c r="R54" s="168"/>
      <c r="U54" s="168"/>
      <c r="X54" s="168"/>
      <c r="AA54" s="168">
        <v>14850</v>
      </c>
      <c r="AD54" s="168">
        <f t="shared" si="13"/>
        <v>17550</v>
      </c>
      <c r="AG54" s="168">
        <f t="shared" si="1"/>
        <v>14800</v>
      </c>
      <c r="AJ54" s="168">
        <f t="shared" si="2"/>
        <v>14800</v>
      </c>
      <c r="AM54" s="168">
        <f t="shared" si="3"/>
        <v>14800</v>
      </c>
      <c r="AP54" s="168">
        <f t="shared" si="4"/>
        <v>14800</v>
      </c>
      <c r="AS54" s="168">
        <f t="shared" si="5"/>
        <v>14800</v>
      </c>
    </row>
    <row r="55" spans="1:45">
      <c r="A55" s="168">
        <v>142</v>
      </c>
      <c r="B55" s="168" t="s">
        <v>103</v>
      </c>
      <c r="C55" s="168" t="s">
        <v>1308</v>
      </c>
      <c r="D55" s="168" t="s">
        <v>762</v>
      </c>
      <c r="E55" s="168"/>
      <c r="F55" s="168" t="s">
        <v>1309</v>
      </c>
      <c r="G55" s="168" t="s">
        <v>1310</v>
      </c>
      <c r="H55" s="168" t="s">
        <v>765</v>
      </c>
      <c r="I55" s="168">
        <v>6600</v>
      </c>
      <c r="J55" s="168" t="s">
        <v>109</v>
      </c>
      <c r="K55" s="168"/>
      <c r="L55" s="168"/>
      <c r="O55" s="168"/>
      <c r="R55" s="168"/>
      <c r="U55" s="168"/>
      <c r="X55" s="168"/>
      <c r="AA55" s="168">
        <v>6600</v>
      </c>
      <c r="AD55" s="205">
        <f t="shared" si="13"/>
        <v>9350</v>
      </c>
      <c r="AG55" s="168">
        <f t="shared" si="1"/>
        <v>6600</v>
      </c>
      <c r="AJ55" s="168">
        <f t="shared" si="2"/>
        <v>6600</v>
      </c>
      <c r="AM55" s="168">
        <f t="shared" si="3"/>
        <v>6600</v>
      </c>
      <c r="AP55" s="168">
        <f t="shared" si="4"/>
        <v>6600</v>
      </c>
      <c r="AS55" s="168">
        <f t="shared" si="5"/>
        <v>6600</v>
      </c>
    </row>
    <row r="56" spans="1:45" hidden="1">
      <c r="A56">
        <v>141</v>
      </c>
      <c r="B56" t="s">
        <v>66</v>
      </c>
      <c r="C56" t="s">
        <v>1350</v>
      </c>
      <c r="D56" t="s">
        <v>1355</v>
      </c>
      <c r="F56" t="s">
        <v>1356</v>
      </c>
      <c r="G56" t="s">
        <v>1357</v>
      </c>
      <c r="H56" t="s">
        <v>1358</v>
      </c>
      <c r="I56" s="168">
        <v>19800</v>
      </c>
      <c r="J56" t="s">
        <v>196</v>
      </c>
      <c r="L56" s="168"/>
      <c r="O56" s="168"/>
      <c r="R56" s="168"/>
      <c r="U56" s="168"/>
      <c r="X56" s="168"/>
      <c r="AA56" s="168"/>
      <c r="AD56" s="168">
        <v>0</v>
      </c>
      <c r="AG56" s="168">
        <f t="shared" si="1"/>
        <v>39600</v>
      </c>
      <c r="AJ56" s="168">
        <f t="shared" si="2"/>
        <v>39600</v>
      </c>
      <c r="AM56" s="168">
        <f t="shared" si="3"/>
        <v>39600</v>
      </c>
      <c r="AP56" s="168">
        <f t="shared" si="4"/>
        <v>39600</v>
      </c>
      <c r="AS56" s="168">
        <f t="shared" si="5"/>
        <v>39600</v>
      </c>
    </row>
    <row r="57" spans="1:45">
      <c r="A57" s="168">
        <v>100</v>
      </c>
      <c r="B57" s="168" t="s">
        <v>103</v>
      </c>
      <c r="C57" s="168" t="s">
        <v>1390</v>
      </c>
      <c r="D57" s="168" t="s">
        <v>381</v>
      </c>
      <c r="E57" s="168"/>
      <c r="F57" s="168" t="s">
        <v>1391</v>
      </c>
      <c r="G57" s="168" t="s">
        <v>1392</v>
      </c>
      <c r="H57" s="168" t="s">
        <v>384</v>
      </c>
      <c r="I57" s="168">
        <v>6050</v>
      </c>
      <c r="J57" s="168" t="s">
        <v>109</v>
      </c>
      <c r="K57" s="168"/>
      <c r="L57" s="168"/>
      <c r="O57" s="168"/>
      <c r="R57" s="168"/>
      <c r="U57" s="168"/>
      <c r="X57" s="168"/>
      <c r="AA57" s="168">
        <v>6050</v>
      </c>
      <c r="AD57" s="168">
        <f t="shared" si="13"/>
        <v>8800</v>
      </c>
      <c r="AG57" s="168">
        <f t="shared" si="1"/>
        <v>6050</v>
      </c>
      <c r="AJ57" s="168">
        <f t="shared" si="2"/>
        <v>6050</v>
      </c>
      <c r="AM57" s="168">
        <f t="shared" si="3"/>
        <v>6050</v>
      </c>
      <c r="AP57" s="168">
        <f t="shared" si="4"/>
        <v>6050</v>
      </c>
      <c r="AS57" s="168">
        <f t="shared" si="5"/>
        <v>6050</v>
      </c>
    </row>
    <row r="58" spans="1:45">
      <c r="A58">
        <v>121</v>
      </c>
      <c r="B58" t="s">
        <v>103</v>
      </c>
      <c r="C58" t="s">
        <v>1401</v>
      </c>
      <c r="D58" t="s">
        <v>1115</v>
      </c>
      <c r="F58" t="s">
        <v>1309</v>
      </c>
      <c r="G58" t="s">
        <v>1402</v>
      </c>
      <c r="H58" t="s">
        <v>1118</v>
      </c>
      <c r="I58" s="168">
        <v>6600</v>
      </c>
      <c r="J58" s="168" t="s">
        <v>494</v>
      </c>
      <c r="K58" s="168"/>
      <c r="L58" s="168"/>
      <c r="O58" s="168"/>
      <c r="R58" s="168"/>
      <c r="U58" s="168"/>
      <c r="X58" s="168"/>
      <c r="AA58" s="168">
        <v>6600</v>
      </c>
      <c r="AD58" s="168">
        <f t="shared" si="13"/>
        <v>9350</v>
      </c>
      <c r="AG58" s="168">
        <f t="shared" si="1"/>
        <v>6600</v>
      </c>
      <c r="AJ58" s="168">
        <f t="shared" si="2"/>
        <v>6600</v>
      </c>
      <c r="AM58" s="168">
        <f t="shared" si="3"/>
        <v>6600</v>
      </c>
      <c r="AP58" s="168">
        <f t="shared" si="4"/>
        <v>6600</v>
      </c>
      <c r="AS58" s="168">
        <f t="shared" si="5"/>
        <v>6600</v>
      </c>
    </row>
    <row r="59" spans="1:45">
      <c r="A59" s="168">
        <v>95</v>
      </c>
      <c r="B59" s="168" t="s">
        <v>103</v>
      </c>
      <c r="C59" s="168" t="s">
        <v>1412</v>
      </c>
      <c r="D59" s="168" t="s">
        <v>1413</v>
      </c>
      <c r="E59" s="168"/>
      <c r="F59" s="168" t="s">
        <v>1414</v>
      </c>
      <c r="G59" s="168" t="s">
        <v>1415</v>
      </c>
      <c r="H59" s="168" t="s">
        <v>1416</v>
      </c>
      <c r="I59" s="168">
        <v>19800</v>
      </c>
      <c r="J59" s="168" t="s">
        <v>109</v>
      </c>
      <c r="K59" s="168"/>
      <c r="L59" s="168"/>
      <c r="O59" s="168"/>
      <c r="R59" s="168"/>
      <c r="U59" s="168"/>
      <c r="X59" s="168"/>
      <c r="AA59" s="168">
        <v>19800</v>
      </c>
      <c r="AD59" s="168">
        <f>I59 + MAX(0, I59 - AA59) + 2750</f>
        <v>22550</v>
      </c>
      <c r="AG59" s="168">
        <f t="shared" si="1"/>
        <v>19800</v>
      </c>
      <c r="AJ59" s="168">
        <f t="shared" si="2"/>
        <v>19800</v>
      </c>
      <c r="AM59" s="168">
        <f t="shared" si="3"/>
        <v>19800</v>
      </c>
      <c r="AP59" s="168">
        <f t="shared" si="4"/>
        <v>19800</v>
      </c>
      <c r="AS59" s="168">
        <f t="shared" si="5"/>
        <v>19800</v>
      </c>
    </row>
    <row r="60" spans="1:45">
      <c r="A60">
        <v>151</v>
      </c>
      <c r="B60" t="s">
        <v>103</v>
      </c>
      <c r="C60" t="s">
        <v>1289</v>
      </c>
      <c r="D60" t="s">
        <v>1463</v>
      </c>
      <c r="H60" t="s">
        <v>1466</v>
      </c>
      <c r="I60" s="168">
        <v>19800</v>
      </c>
      <c r="J60" s="168" t="s">
        <v>196</v>
      </c>
      <c r="K60" s="168"/>
      <c r="L60" s="168"/>
      <c r="O60" s="168"/>
      <c r="R60" s="168"/>
      <c r="U60" s="168"/>
      <c r="X60" s="168"/>
      <c r="AA60" s="168">
        <v>19800</v>
      </c>
      <c r="AD60" s="168">
        <f t="shared" si="7"/>
        <v>23300</v>
      </c>
      <c r="AG60" s="168">
        <f t="shared" si="1"/>
        <v>19800</v>
      </c>
      <c r="AJ60" s="168">
        <f t="shared" si="2"/>
        <v>19800</v>
      </c>
      <c r="AM60" s="168">
        <f t="shared" si="3"/>
        <v>19800</v>
      </c>
      <c r="AP60" s="168">
        <f t="shared" si="4"/>
        <v>19800</v>
      </c>
      <c r="AS60" s="168">
        <f t="shared" si="5"/>
        <v>19800</v>
      </c>
    </row>
    <row r="61" spans="1:45" hidden="1">
      <c r="A61" s="168"/>
      <c r="B61" s="168" t="s">
        <v>66</v>
      </c>
      <c r="C61" s="217" t="s">
        <v>1003</v>
      </c>
      <c r="D61" s="217" t="s">
        <v>1010</v>
      </c>
      <c r="E61" s="217"/>
      <c r="F61" s="217" t="s">
        <v>1011</v>
      </c>
      <c r="G61" s="217" t="s">
        <v>1012</v>
      </c>
      <c r="H61" s="217" t="s">
        <v>1013</v>
      </c>
      <c r="I61" s="217">
        <v>15600</v>
      </c>
      <c r="J61" s="168"/>
      <c r="K61" s="168"/>
      <c r="L61" s="168"/>
      <c r="O61" s="168"/>
      <c r="R61" s="168"/>
      <c r="U61" s="168"/>
      <c r="X61" s="168"/>
      <c r="AA61" s="168"/>
      <c r="AD61" s="168">
        <f t="shared" si="7"/>
        <v>34700</v>
      </c>
      <c r="AG61" s="168">
        <f t="shared" si="1"/>
        <v>15600</v>
      </c>
      <c r="AJ61" s="168">
        <f t="shared" si="2"/>
        <v>15600</v>
      </c>
      <c r="AM61" s="168">
        <f t="shared" si="3"/>
        <v>15600</v>
      </c>
      <c r="AP61" s="168">
        <f t="shared" si="4"/>
        <v>15600</v>
      </c>
      <c r="AS61" s="168">
        <f t="shared" si="5"/>
        <v>15600</v>
      </c>
    </row>
    <row r="62" spans="1:45">
      <c r="A62" s="168">
        <v>160</v>
      </c>
      <c r="B62" s="168" t="s">
        <v>103</v>
      </c>
      <c r="C62" t="s">
        <v>489</v>
      </c>
      <c r="D62" t="s">
        <v>490</v>
      </c>
      <c r="F62" t="s">
        <v>491</v>
      </c>
      <c r="G62" t="s">
        <v>492</v>
      </c>
      <c r="H62" t="s">
        <v>493</v>
      </c>
      <c r="I62" s="217">
        <v>9500</v>
      </c>
      <c r="J62" s="168"/>
      <c r="K62" s="168"/>
      <c r="L62" s="168"/>
      <c r="O62" s="168"/>
      <c r="R62" s="168"/>
      <c r="U62" s="168"/>
      <c r="X62" s="168"/>
      <c r="AA62" s="168">
        <v>37000</v>
      </c>
      <c r="AD62" s="168">
        <f t="shared" si="7"/>
        <v>13000</v>
      </c>
      <c r="AG62" s="168">
        <f t="shared" si="1"/>
        <v>9500</v>
      </c>
      <c r="AJ62" s="168">
        <f t="shared" si="2"/>
        <v>9500</v>
      </c>
      <c r="AM62" s="168">
        <f t="shared" si="3"/>
        <v>9500</v>
      </c>
      <c r="AP62" s="205">
        <v>20500</v>
      </c>
      <c r="AQ62" t="s">
        <v>2222</v>
      </c>
      <c r="AS62" s="168">
        <f t="shared" si="5"/>
        <v>9500</v>
      </c>
    </row>
    <row r="63" spans="1:45">
      <c r="A63" s="168">
        <v>160</v>
      </c>
      <c r="B63" s="168" t="s">
        <v>103</v>
      </c>
      <c r="C63" s="168" t="s">
        <v>499</v>
      </c>
      <c r="D63" s="168" t="s">
        <v>490</v>
      </c>
      <c r="E63" s="168"/>
      <c r="F63" s="168" t="s">
        <v>500</v>
      </c>
      <c r="G63" s="168" t="s">
        <v>501</v>
      </c>
      <c r="H63" s="168" t="s">
        <v>493</v>
      </c>
      <c r="I63" s="217">
        <v>7000</v>
      </c>
      <c r="J63" s="168"/>
      <c r="K63" s="168"/>
      <c r="L63" s="168"/>
      <c r="O63" s="168"/>
      <c r="R63" s="168"/>
      <c r="U63" s="168"/>
      <c r="X63" s="168"/>
      <c r="AA63" s="168">
        <v>37000</v>
      </c>
      <c r="AD63" s="168">
        <f t="shared" si="7"/>
        <v>10500</v>
      </c>
      <c r="AG63" s="168">
        <f t="shared" si="1"/>
        <v>7000</v>
      </c>
      <c r="AJ63" s="168">
        <f t="shared" si="2"/>
        <v>7000</v>
      </c>
      <c r="AM63" s="168">
        <f t="shared" si="3"/>
        <v>7000</v>
      </c>
      <c r="AP63" s="168">
        <v>14000</v>
      </c>
      <c r="AQ63" t="s">
        <v>2190</v>
      </c>
      <c r="AS63" s="168">
        <f t="shared" si="5"/>
        <v>7000</v>
      </c>
    </row>
    <row r="64" spans="1:45">
      <c r="A64" s="168">
        <v>160</v>
      </c>
      <c r="B64" s="168" t="s">
        <v>103</v>
      </c>
      <c r="C64" t="s">
        <v>504</v>
      </c>
      <c r="D64" t="s">
        <v>490</v>
      </c>
      <c r="F64" t="s">
        <v>505</v>
      </c>
      <c r="G64" t="s">
        <v>506</v>
      </c>
      <c r="H64" t="s">
        <v>493</v>
      </c>
      <c r="I64" s="217">
        <v>20500</v>
      </c>
      <c r="J64" s="168"/>
      <c r="K64" s="168"/>
      <c r="L64" s="168"/>
      <c r="O64" s="168"/>
      <c r="R64" s="168"/>
      <c r="U64" s="168"/>
      <c r="X64" s="168"/>
      <c r="AA64" s="168">
        <v>37000</v>
      </c>
      <c r="AD64" s="168">
        <f t="shared" si="7"/>
        <v>24000</v>
      </c>
      <c r="AG64" s="168">
        <f t="shared" si="1"/>
        <v>20500</v>
      </c>
      <c r="AJ64" s="168">
        <f t="shared" si="2"/>
        <v>20500</v>
      </c>
      <c r="AM64" s="168">
        <f t="shared" si="3"/>
        <v>20500</v>
      </c>
      <c r="AP64" s="168">
        <f t="shared" si="4"/>
        <v>20500</v>
      </c>
      <c r="AQ64" t="s">
        <v>2190</v>
      </c>
      <c r="AS64" s="168">
        <f t="shared" si="5"/>
        <v>20500</v>
      </c>
    </row>
    <row r="65" spans="1:45">
      <c r="A65">
        <v>165</v>
      </c>
      <c r="B65" t="s">
        <v>103</v>
      </c>
      <c r="C65" t="s">
        <v>1470</v>
      </c>
      <c r="D65" t="s">
        <v>740</v>
      </c>
      <c r="F65" t="s">
        <v>1471</v>
      </c>
      <c r="G65" t="s">
        <v>1472</v>
      </c>
      <c r="H65" t="s">
        <v>743</v>
      </c>
      <c r="I65" s="168">
        <v>6600</v>
      </c>
      <c r="L65" s="168"/>
      <c r="O65" s="168"/>
      <c r="R65" s="168"/>
      <c r="U65" s="168"/>
      <c r="X65" s="168"/>
      <c r="AA65" s="205">
        <v>6600</v>
      </c>
      <c r="AD65" s="168">
        <f t="shared" si="7"/>
        <v>10100</v>
      </c>
      <c r="AG65" s="168">
        <f t="shared" si="1"/>
        <v>6600</v>
      </c>
      <c r="AJ65" s="168">
        <f t="shared" si="2"/>
        <v>6600</v>
      </c>
      <c r="AM65" s="168">
        <f t="shared" si="3"/>
        <v>6600</v>
      </c>
      <c r="AP65" s="168">
        <f t="shared" si="4"/>
        <v>6600</v>
      </c>
      <c r="AS65" s="168">
        <f t="shared" si="5"/>
        <v>6600</v>
      </c>
    </row>
    <row r="66" spans="1:45" ht="14.25" hidden="1" customHeight="1">
      <c r="A66" s="168">
        <v>163</v>
      </c>
      <c r="B66" s="168" t="s">
        <v>66</v>
      </c>
      <c r="C66" s="168" t="s">
        <v>1477</v>
      </c>
      <c r="D66" s="168" t="s">
        <v>1478</v>
      </c>
      <c r="E66" s="168"/>
      <c r="F66" s="168" t="s">
        <v>1479</v>
      </c>
      <c r="G66" s="168" t="s">
        <v>1480</v>
      </c>
      <c r="H66" s="168" t="s">
        <v>1481</v>
      </c>
      <c r="I66" s="168">
        <v>6600</v>
      </c>
      <c r="J66" s="168"/>
      <c r="K66" s="168"/>
      <c r="L66" s="168"/>
      <c r="O66" s="168"/>
      <c r="R66" s="168"/>
      <c r="U66" s="168"/>
      <c r="X66" s="168"/>
      <c r="AA66" s="168">
        <v>13200</v>
      </c>
      <c r="AD66" s="168">
        <f t="shared" si="7"/>
        <v>10100</v>
      </c>
      <c r="AG66" s="168">
        <f t="shared" si="1"/>
        <v>6600</v>
      </c>
      <c r="AJ66" s="168">
        <f t="shared" si="2"/>
        <v>6600</v>
      </c>
      <c r="AM66" s="168">
        <f t="shared" si="3"/>
        <v>6600</v>
      </c>
      <c r="AP66" s="205">
        <v>0</v>
      </c>
      <c r="AQ66" t="s">
        <v>2223</v>
      </c>
      <c r="AS66" s="168">
        <v>0</v>
      </c>
    </row>
    <row r="67" spans="1:45" hidden="1">
      <c r="A67">
        <v>164</v>
      </c>
      <c r="B67" t="s">
        <v>66</v>
      </c>
      <c r="C67" t="s">
        <v>1486</v>
      </c>
      <c r="D67" t="s">
        <v>1487</v>
      </c>
      <c r="F67" t="s">
        <v>1488</v>
      </c>
      <c r="G67" t="s">
        <v>1489</v>
      </c>
      <c r="H67" t="s">
        <v>1490</v>
      </c>
      <c r="I67" s="168">
        <v>19800</v>
      </c>
      <c r="J67" s="168"/>
      <c r="K67" s="168"/>
      <c r="L67" s="168"/>
      <c r="O67" s="168"/>
      <c r="R67" s="168"/>
      <c r="U67" s="168"/>
      <c r="X67" s="168"/>
      <c r="AA67" s="168">
        <v>19800</v>
      </c>
      <c r="AD67" s="168">
        <f t="shared" ref="AD67:AD74" si="14">I67 + MAX(0, I67 - AA67) + 3500</f>
        <v>23300</v>
      </c>
      <c r="AG67" s="168">
        <f t="shared" ref="AG67:AG75" si="15">I67 + MAX(0, I67 - AD67)</f>
        <v>19800</v>
      </c>
      <c r="AJ67" s="168">
        <f t="shared" ref="AJ67:AJ80" si="16">I67 + MAX(0, I67 - AD67)</f>
        <v>19800</v>
      </c>
      <c r="AM67" s="168">
        <f t="shared" ref="AM67:AM78" si="17">I67 + MAX(0, I67 - AD67)</f>
        <v>19800</v>
      </c>
      <c r="AP67" s="168">
        <f t="shared" ref="AP67:AP78" si="18">I67 + MAX(0, I67 - AD67)</f>
        <v>19800</v>
      </c>
      <c r="AS67" s="168">
        <f t="shared" ref="AS67:AS78" si="19">I67 + MAX(0, I67 - AD67)</f>
        <v>19800</v>
      </c>
    </row>
    <row r="68" spans="1:45">
      <c r="A68" s="168"/>
      <c r="B68" s="168" t="s">
        <v>103</v>
      </c>
      <c r="C68" s="168" t="s">
        <v>1470</v>
      </c>
      <c r="D68" s="168" t="s">
        <v>1494</v>
      </c>
      <c r="E68" s="168"/>
      <c r="F68" s="168" t="s">
        <v>1471</v>
      </c>
      <c r="G68" s="168" t="s">
        <v>1495</v>
      </c>
      <c r="H68" s="168" t="s">
        <v>1496</v>
      </c>
      <c r="I68" s="168">
        <v>7000</v>
      </c>
      <c r="J68" s="168"/>
      <c r="K68" s="168"/>
      <c r="L68" s="168"/>
      <c r="O68" s="168"/>
      <c r="R68" s="168"/>
      <c r="U68" s="168"/>
      <c r="X68" s="168"/>
      <c r="AA68" s="168">
        <v>6600</v>
      </c>
      <c r="AD68" s="168">
        <f t="shared" si="14"/>
        <v>10900</v>
      </c>
      <c r="AG68" s="168">
        <f t="shared" si="15"/>
        <v>7000</v>
      </c>
      <c r="AJ68" s="168">
        <f t="shared" si="16"/>
        <v>7000</v>
      </c>
      <c r="AM68" s="168">
        <f t="shared" si="17"/>
        <v>7000</v>
      </c>
      <c r="AP68" s="168">
        <f t="shared" si="18"/>
        <v>7000</v>
      </c>
      <c r="AS68" s="168">
        <f t="shared" si="19"/>
        <v>7000</v>
      </c>
    </row>
    <row r="69" spans="1:45">
      <c r="A69">
        <v>166</v>
      </c>
      <c r="B69" t="s">
        <v>103</v>
      </c>
      <c r="C69" t="s">
        <v>1499</v>
      </c>
      <c r="D69" t="s">
        <v>1500</v>
      </c>
      <c r="F69" t="s">
        <v>1501</v>
      </c>
      <c r="G69" t="s">
        <v>1502</v>
      </c>
      <c r="H69" t="s">
        <v>1503</v>
      </c>
      <c r="I69" s="168">
        <v>7000</v>
      </c>
      <c r="J69" s="168"/>
      <c r="K69" s="168"/>
      <c r="L69" s="168"/>
      <c r="O69" s="168"/>
      <c r="R69" s="168"/>
      <c r="U69" s="168"/>
      <c r="X69" s="168"/>
      <c r="AA69" s="168">
        <v>7000</v>
      </c>
      <c r="AD69" s="168">
        <f t="shared" si="14"/>
        <v>10500</v>
      </c>
      <c r="AG69" s="168">
        <f t="shared" si="15"/>
        <v>7000</v>
      </c>
      <c r="AJ69" s="168">
        <f t="shared" si="16"/>
        <v>7000</v>
      </c>
      <c r="AM69" s="168">
        <f t="shared" si="17"/>
        <v>7000</v>
      </c>
      <c r="AP69" s="168">
        <f t="shared" si="18"/>
        <v>7000</v>
      </c>
      <c r="AS69" s="168">
        <f t="shared" si="19"/>
        <v>7000</v>
      </c>
    </row>
    <row r="70" spans="1:45">
      <c r="A70" s="168">
        <v>167</v>
      </c>
      <c r="B70" s="168" t="s">
        <v>103</v>
      </c>
      <c r="C70" s="168" t="s">
        <v>1508</v>
      </c>
      <c r="D70" s="168" t="s">
        <v>1509</v>
      </c>
      <c r="E70" s="168"/>
      <c r="F70" s="168" t="s">
        <v>1510</v>
      </c>
      <c r="G70" s="168" t="s">
        <v>1511</v>
      </c>
      <c r="H70" s="168" t="s">
        <v>1512</v>
      </c>
      <c r="I70" s="168">
        <v>7000</v>
      </c>
      <c r="J70" s="168"/>
      <c r="K70" s="168"/>
      <c r="L70" s="168"/>
      <c r="O70" s="168"/>
      <c r="R70" s="168"/>
      <c r="U70" s="168"/>
      <c r="X70" s="168"/>
      <c r="Y70" t="s">
        <v>2058</v>
      </c>
      <c r="AA70" s="168"/>
      <c r="AB70" t="s">
        <v>2058</v>
      </c>
      <c r="AD70" s="168">
        <f t="shared" si="14"/>
        <v>17500</v>
      </c>
      <c r="AE70" t="s">
        <v>2058</v>
      </c>
      <c r="AG70" s="205">
        <f t="shared" si="15"/>
        <v>7000</v>
      </c>
      <c r="AJ70" s="168">
        <f t="shared" si="16"/>
        <v>7000</v>
      </c>
      <c r="AM70" s="168">
        <f t="shared" si="17"/>
        <v>7000</v>
      </c>
      <c r="AP70" s="168">
        <f t="shared" si="18"/>
        <v>7000</v>
      </c>
      <c r="AS70" s="168">
        <f t="shared" si="19"/>
        <v>7000</v>
      </c>
    </row>
    <row r="71" spans="1:45">
      <c r="A71">
        <v>168</v>
      </c>
      <c r="B71" t="s">
        <v>103</v>
      </c>
      <c r="C71" t="s">
        <v>1516</v>
      </c>
      <c r="D71" t="s">
        <v>1517</v>
      </c>
      <c r="F71" t="s">
        <v>1518</v>
      </c>
      <c r="G71" t="s">
        <v>1519</v>
      </c>
      <c r="H71" t="s">
        <v>1520</v>
      </c>
      <c r="I71" s="168">
        <v>7000</v>
      </c>
      <c r="L71" s="168"/>
      <c r="O71" s="168"/>
      <c r="R71" s="168"/>
      <c r="U71" s="168"/>
      <c r="X71" s="168"/>
      <c r="Y71" s="160" t="s">
        <v>1911</v>
      </c>
      <c r="AA71" s="205"/>
      <c r="AB71" s="160"/>
      <c r="AD71" s="205">
        <v>0</v>
      </c>
      <c r="AG71" s="168">
        <v>7000</v>
      </c>
      <c r="AJ71" s="168">
        <f t="shared" si="16"/>
        <v>14000</v>
      </c>
      <c r="AM71" s="168">
        <f t="shared" si="17"/>
        <v>14000</v>
      </c>
      <c r="AP71" s="168">
        <f t="shared" si="18"/>
        <v>14000</v>
      </c>
      <c r="AS71" s="168">
        <f t="shared" si="19"/>
        <v>14000</v>
      </c>
    </row>
    <row r="72" spans="1:45">
      <c r="A72" s="168">
        <v>169</v>
      </c>
      <c r="B72" s="168" t="s">
        <v>103</v>
      </c>
      <c r="C72" s="168" t="s">
        <v>1524</v>
      </c>
      <c r="D72" s="168" t="s">
        <v>1525</v>
      </c>
      <c r="E72" s="168"/>
      <c r="F72" s="168" t="s">
        <v>1526</v>
      </c>
      <c r="G72" s="168" t="s">
        <v>1527</v>
      </c>
      <c r="H72" s="168" t="s">
        <v>1528</v>
      </c>
      <c r="I72" s="168">
        <v>7000</v>
      </c>
      <c r="J72" s="168"/>
      <c r="K72" s="168"/>
      <c r="L72" s="168"/>
      <c r="O72" s="168"/>
      <c r="R72" s="168"/>
      <c r="U72" s="168"/>
      <c r="X72" s="168"/>
      <c r="Y72" s="160" t="s">
        <v>1911</v>
      </c>
      <c r="AA72" s="205"/>
      <c r="AD72" s="168">
        <v>0</v>
      </c>
      <c r="AG72" s="205">
        <v>7000</v>
      </c>
      <c r="AJ72" s="168">
        <f t="shared" si="16"/>
        <v>14000</v>
      </c>
      <c r="AM72" s="168">
        <f t="shared" si="17"/>
        <v>14000</v>
      </c>
      <c r="AP72" s="168">
        <f t="shared" si="18"/>
        <v>14000</v>
      </c>
      <c r="AS72" s="168">
        <f t="shared" si="19"/>
        <v>14000</v>
      </c>
    </row>
    <row r="73" spans="1:45">
      <c r="A73">
        <v>170</v>
      </c>
      <c r="B73" t="s">
        <v>103</v>
      </c>
      <c r="C73" t="s">
        <v>1532</v>
      </c>
      <c r="D73" t="s">
        <v>854</v>
      </c>
      <c r="F73" t="s">
        <v>1533</v>
      </c>
      <c r="G73" t="s">
        <v>1534</v>
      </c>
      <c r="H73" t="s">
        <v>1535</v>
      </c>
      <c r="I73" s="168">
        <v>7000</v>
      </c>
      <c r="L73" s="168"/>
      <c r="O73" s="168"/>
      <c r="R73" s="168"/>
      <c r="U73" s="168"/>
      <c r="X73" s="168"/>
      <c r="AA73" s="205"/>
      <c r="AD73" s="168">
        <f t="shared" si="14"/>
        <v>17500</v>
      </c>
      <c r="AE73" t="s">
        <v>1912</v>
      </c>
      <c r="AG73" s="205">
        <v>17500</v>
      </c>
      <c r="AH73" t="s">
        <v>2027</v>
      </c>
      <c r="AJ73" s="168">
        <f t="shared" si="16"/>
        <v>7000</v>
      </c>
      <c r="AM73" s="168">
        <f t="shared" si="17"/>
        <v>7000</v>
      </c>
      <c r="AP73" s="168">
        <f t="shared" si="18"/>
        <v>7000</v>
      </c>
      <c r="AS73" s="168">
        <f t="shared" si="19"/>
        <v>7000</v>
      </c>
    </row>
    <row r="74" spans="1:45">
      <c r="A74" s="168">
        <v>171</v>
      </c>
      <c r="B74" s="168" t="s">
        <v>103</v>
      </c>
      <c r="C74" s="168" t="s">
        <v>1390</v>
      </c>
      <c r="D74" s="168" t="s">
        <v>490</v>
      </c>
      <c r="E74" s="168"/>
      <c r="F74" s="168" t="s">
        <v>1537</v>
      </c>
      <c r="G74" s="168" t="s">
        <v>1538</v>
      </c>
      <c r="H74" s="168" t="s">
        <v>493</v>
      </c>
      <c r="I74" s="168">
        <v>7000</v>
      </c>
      <c r="J74" s="168"/>
      <c r="K74" s="168"/>
      <c r="L74" s="168"/>
      <c r="O74" s="168"/>
      <c r="R74" s="168"/>
      <c r="U74" s="168"/>
      <c r="X74" s="168"/>
      <c r="AA74" s="168"/>
      <c r="AD74" s="205">
        <f t="shared" si="14"/>
        <v>17500</v>
      </c>
      <c r="AE74" t="s">
        <v>1912</v>
      </c>
      <c r="AG74" s="168">
        <v>17500</v>
      </c>
      <c r="AH74" t="s">
        <v>1957</v>
      </c>
      <c r="AJ74" s="168">
        <f t="shared" si="16"/>
        <v>7000</v>
      </c>
      <c r="AM74" s="168">
        <f t="shared" si="17"/>
        <v>7000</v>
      </c>
      <c r="AP74" s="168">
        <f t="shared" si="18"/>
        <v>7000</v>
      </c>
      <c r="AS74" s="168">
        <f t="shared" si="19"/>
        <v>7000</v>
      </c>
    </row>
    <row r="75" spans="1:45">
      <c r="A75">
        <v>172</v>
      </c>
      <c r="B75" t="s">
        <v>103</v>
      </c>
      <c r="C75" t="s">
        <v>1540</v>
      </c>
      <c r="D75" t="s">
        <v>1541</v>
      </c>
      <c r="F75" t="s">
        <v>1542</v>
      </c>
      <c r="G75" t="s">
        <v>1543</v>
      </c>
      <c r="H75" t="s">
        <v>1544</v>
      </c>
      <c r="I75" s="168">
        <v>12100</v>
      </c>
      <c r="J75" s="168"/>
      <c r="K75" s="168"/>
      <c r="L75" s="168"/>
      <c r="O75" s="168"/>
      <c r="R75" s="168"/>
      <c r="U75" s="168"/>
      <c r="X75" s="168"/>
      <c r="AA75" s="205" t="s">
        <v>1587</v>
      </c>
      <c r="AB75" s="160" t="s">
        <v>1588</v>
      </c>
      <c r="AD75" s="168">
        <v>15600</v>
      </c>
      <c r="AE75" t="s">
        <v>1968</v>
      </c>
      <c r="AG75" s="168">
        <f t="shared" si="15"/>
        <v>12100</v>
      </c>
      <c r="AJ75" s="168">
        <f t="shared" si="16"/>
        <v>12100</v>
      </c>
      <c r="AM75" s="168">
        <f t="shared" si="17"/>
        <v>12100</v>
      </c>
      <c r="AP75" s="168">
        <f t="shared" si="18"/>
        <v>12100</v>
      </c>
      <c r="AS75" s="168">
        <f t="shared" si="19"/>
        <v>12100</v>
      </c>
    </row>
    <row r="76" spans="1:45">
      <c r="A76" s="168">
        <v>173</v>
      </c>
      <c r="B76" s="168" t="s">
        <v>103</v>
      </c>
      <c r="C76" s="168" t="s">
        <v>1524</v>
      </c>
      <c r="D76" s="168" t="s">
        <v>1550</v>
      </c>
      <c r="E76" s="168"/>
      <c r="F76" s="168" t="s">
        <v>1551</v>
      </c>
      <c r="G76" s="168" t="s">
        <v>1552</v>
      </c>
      <c r="H76" s="168" t="s">
        <v>1552</v>
      </c>
      <c r="I76" s="168">
        <v>9500</v>
      </c>
      <c r="J76" s="168"/>
      <c r="K76" s="168"/>
      <c r="L76" s="168"/>
      <c r="O76" s="168"/>
      <c r="R76" s="168"/>
      <c r="U76" s="168"/>
      <c r="X76" s="168"/>
      <c r="AA76" s="205" t="s">
        <v>1587</v>
      </c>
      <c r="AB76" s="160" t="s">
        <v>1588</v>
      </c>
      <c r="AD76" s="217">
        <v>13000</v>
      </c>
      <c r="AE76" t="s">
        <v>1915</v>
      </c>
      <c r="AG76" s="168">
        <v>7000</v>
      </c>
      <c r="AJ76" s="168">
        <f t="shared" si="16"/>
        <v>9500</v>
      </c>
      <c r="AM76" s="168">
        <f t="shared" si="17"/>
        <v>9500</v>
      </c>
      <c r="AP76" s="168">
        <f t="shared" si="18"/>
        <v>9500</v>
      </c>
      <c r="AS76" s="168">
        <f t="shared" si="19"/>
        <v>9500</v>
      </c>
    </row>
    <row r="77" spans="1:45">
      <c r="A77">
        <v>174</v>
      </c>
      <c r="B77" t="s">
        <v>103</v>
      </c>
      <c r="C77" t="s">
        <v>749</v>
      </c>
      <c r="D77" t="s">
        <v>149</v>
      </c>
      <c r="F77" t="s">
        <v>1557</v>
      </c>
      <c r="G77" t="s">
        <v>1558</v>
      </c>
      <c r="H77" t="s">
        <v>752</v>
      </c>
      <c r="I77" s="168">
        <v>7000</v>
      </c>
      <c r="L77" s="168"/>
      <c r="O77" s="168"/>
      <c r="R77" s="168"/>
      <c r="U77" s="168"/>
      <c r="X77" s="168"/>
      <c r="AA77" s="205"/>
      <c r="AD77" s="236"/>
      <c r="AE77" t="s">
        <v>1983</v>
      </c>
      <c r="AG77" s="217">
        <v>7000</v>
      </c>
      <c r="AH77" t="s">
        <v>1991</v>
      </c>
      <c r="AJ77" s="235">
        <f t="shared" si="16"/>
        <v>14000</v>
      </c>
      <c r="AM77" s="218">
        <v>7000</v>
      </c>
      <c r="AN77" t="s">
        <v>2171</v>
      </c>
      <c r="AP77" s="205">
        <f t="shared" si="18"/>
        <v>14000</v>
      </c>
      <c r="AQ77" t="s">
        <v>2210</v>
      </c>
      <c r="AS77" s="168">
        <f t="shared" si="19"/>
        <v>14000</v>
      </c>
    </row>
    <row r="78" spans="1:45">
      <c r="A78" s="168">
        <v>175</v>
      </c>
      <c r="B78" s="168" t="s">
        <v>1936</v>
      </c>
      <c r="C78" s="168" t="s">
        <v>1937</v>
      </c>
      <c r="D78" s="168" t="s">
        <v>1940</v>
      </c>
      <c r="E78" s="168"/>
      <c r="F78" s="168" t="s">
        <v>1938</v>
      </c>
      <c r="G78" s="168" t="s">
        <v>1939</v>
      </c>
      <c r="H78" s="168" t="s">
        <v>1372</v>
      </c>
      <c r="I78" s="168">
        <v>6600</v>
      </c>
      <c r="J78" s="168"/>
      <c r="K78" s="168"/>
      <c r="L78" s="168"/>
      <c r="O78" s="168"/>
      <c r="R78" s="168"/>
      <c r="U78" s="168"/>
      <c r="X78" s="168"/>
      <c r="AA78" s="168"/>
      <c r="AD78" s="236"/>
      <c r="AE78" t="s">
        <v>2015</v>
      </c>
      <c r="AG78" s="217">
        <v>6600</v>
      </c>
      <c r="AH78" t="s">
        <v>1991</v>
      </c>
      <c r="AJ78" s="235">
        <f t="shared" si="16"/>
        <v>13200</v>
      </c>
      <c r="AM78" s="168">
        <f t="shared" si="17"/>
        <v>13200</v>
      </c>
      <c r="AP78" s="168">
        <f t="shared" si="18"/>
        <v>13200</v>
      </c>
      <c r="AS78" s="168">
        <f t="shared" si="19"/>
        <v>13200</v>
      </c>
    </row>
    <row r="79" spans="1:45" hidden="1">
      <c r="A79" s="168">
        <v>176</v>
      </c>
      <c r="B79" s="168" t="s">
        <v>66</v>
      </c>
      <c r="C79" s="168" t="s">
        <v>1981</v>
      </c>
      <c r="D79" s="168" t="s">
        <v>1982</v>
      </c>
      <c r="E79" s="168"/>
      <c r="F79" s="49" t="s">
        <v>1979</v>
      </c>
      <c r="G79" s="168" t="s">
        <v>1978</v>
      </c>
      <c r="H79" s="168" t="s">
        <v>1978</v>
      </c>
      <c r="I79" s="168">
        <v>6600</v>
      </c>
      <c r="AD79" s="236"/>
      <c r="AE79" t="s">
        <v>2057</v>
      </c>
      <c r="AG79" s="168"/>
      <c r="AJ79" s="205">
        <f t="shared" si="16"/>
        <v>13200</v>
      </c>
      <c r="AM79" s="168">
        <v>0</v>
      </c>
      <c r="AP79" s="168">
        <v>0</v>
      </c>
      <c r="AS79" s="168">
        <v>0</v>
      </c>
    </row>
    <row r="80" spans="1:45">
      <c r="A80" s="233">
        <v>177</v>
      </c>
      <c r="B80" s="233" t="s">
        <v>103</v>
      </c>
      <c r="C80" s="233" t="s">
        <v>2010</v>
      </c>
      <c r="D80" s="233" t="s">
        <v>2011</v>
      </c>
      <c r="E80" s="233"/>
      <c r="F80" s="227" t="s">
        <v>2040</v>
      </c>
      <c r="G80" s="227" t="s">
        <v>2008</v>
      </c>
      <c r="H80" s="227" t="s">
        <v>2009</v>
      </c>
      <c r="I80" s="168">
        <v>7000</v>
      </c>
      <c r="J80" t="s">
        <v>109</v>
      </c>
      <c r="AD80" s="168">
        <v>7000</v>
      </c>
      <c r="AE80" t="s">
        <v>2047</v>
      </c>
      <c r="AG80">
        <v>7000</v>
      </c>
      <c r="AH80" t="s">
        <v>2041</v>
      </c>
      <c r="AJ80" s="257">
        <f t="shared" si="16"/>
        <v>7000</v>
      </c>
      <c r="AK80" t="s">
        <v>2146</v>
      </c>
      <c r="AM80" s="257">
        <v>7000</v>
      </c>
      <c r="AP80">
        <v>7000</v>
      </c>
      <c r="AS80" s="168">
        <f>I80 + MAX(0, I80 - AD80)</f>
        <v>7000</v>
      </c>
    </row>
    <row r="81" spans="1:46">
      <c r="A81">
        <v>178</v>
      </c>
      <c r="B81" t="s">
        <v>103</v>
      </c>
      <c r="C81" t="s">
        <v>586</v>
      </c>
      <c r="D81" t="s">
        <v>587</v>
      </c>
      <c r="F81" t="s">
        <v>588</v>
      </c>
      <c r="G81" t="s">
        <v>589</v>
      </c>
      <c r="H81" t="s">
        <v>590</v>
      </c>
      <c r="I81" s="168">
        <v>7000</v>
      </c>
      <c r="J81" t="s">
        <v>109</v>
      </c>
      <c r="AD81" s="168"/>
      <c r="AG81">
        <v>7000</v>
      </c>
      <c r="AH81" t="s">
        <v>2041</v>
      </c>
      <c r="AJ81" s="205">
        <v>7000</v>
      </c>
      <c r="AK81" t="s">
        <v>2090</v>
      </c>
      <c r="AM81">
        <v>7000</v>
      </c>
      <c r="AP81">
        <v>7000</v>
      </c>
      <c r="AS81" s="168">
        <v>7000</v>
      </c>
    </row>
    <row r="82" spans="1:46">
      <c r="A82">
        <v>179</v>
      </c>
      <c r="B82" t="s">
        <v>103</v>
      </c>
      <c r="C82" t="s">
        <v>630</v>
      </c>
      <c r="D82" t="s">
        <v>2034</v>
      </c>
      <c r="F82" t="s">
        <v>2038</v>
      </c>
      <c r="G82" t="s">
        <v>2033</v>
      </c>
      <c r="H82" t="s">
        <v>2035</v>
      </c>
      <c r="I82" s="168">
        <v>6600</v>
      </c>
      <c r="J82" t="s">
        <v>109</v>
      </c>
      <c r="AD82" s="168"/>
      <c r="AG82" s="205">
        <v>6600</v>
      </c>
      <c r="AH82" t="s">
        <v>2056</v>
      </c>
      <c r="AJ82" s="205">
        <v>0</v>
      </c>
      <c r="AK82" t="s">
        <v>2039</v>
      </c>
      <c r="AM82" s="257">
        <v>0</v>
      </c>
      <c r="AN82" t="s">
        <v>2039</v>
      </c>
      <c r="AP82">
        <v>6600</v>
      </c>
      <c r="AQ82" t="s">
        <v>2211</v>
      </c>
      <c r="AS82" s="218">
        <v>6600</v>
      </c>
      <c r="AT82" t="s">
        <v>2255</v>
      </c>
    </row>
    <row r="83" spans="1:46" ht="17.25" customHeight="1">
      <c r="A83">
        <v>181</v>
      </c>
      <c r="B83" t="s">
        <v>103</v>
      </c>
      <c r="C83" t="s">
        <v>2100</v>
      </c>
      <c r="D83" t="s">
        <v>490</v>
      </c>
      <c r="F83" t="s">
        <v>2132</v>
      </c>
      <c r="G83" t="s">
        <v>2131</v>
      </c>
      <c r="H83" t="s">
        <v>493</v>
      </c>
      <c r="I83">
        <v>9500</v>
      </c>
      <c r="J83" t="s">
        <v>109</v>
      </c>
      <c r="AJ83">
        <v>9500</v>
      </c>
      <c r="AK83" t="s">
        <v>2039</v>
      </c>
      <c r="AM83">
        <v>9500</v>
      </c>
      <c r="AN83" t="s">
        <v>2208</v>
      </c>
      <c r="AP83">
        <v>9500</v>
      </c>
      <c r="AQ83" t="s">
        <v>2254</v>
      </c>
      <c r="AS83" s="197">
        <v>9500</v>
      </c>
      <c r="AT83" t="s">
        <v>2255</v>
      </c>
    </row>
    <row r="84" spans="1:46">
      <c r="A84" s="168">
        <v>182</v>
      </c>
      <c r="B84" t="s">
        <v>103</v>
      </c>
      <c r="C84" t="s">
        <v>1272</v>
      </c>
      <c r="D84" t="s">
        <v>1084</v>
      </c>
      <c r="F84" s="256" t="s">
        <v>2117</v>
      </c>
      <c r="G84" s="256" t="s">
        <v>2070</v>
      </c>
      <c r="H84" s="256" t="s">
        <v>2114</v>
      </c>
      <c r="I84" s="168">
        <v>7000</v>
      </c>
      <c r="J84" t="s">
        <v>109</v>
      </c>
      <c r="AD84" s="168"/>
      <c r="AG84" s="168"/>
      <c r="AJ84" s="205">
        <v>7000</v>
      </c>
      <c r="AK84" t="s">
        <v>2119</v>
      </c>
      <c r="AM84" s="264">
        <v>7000</v>
      </c>
      <c r="AP84" s="257">
        <v>14000</v>
      </c>
      <c r="AQ84" t="s">
        <v>2221</v>
      </c>
      <c r="AS84">
        <v>7000</v>
      </c>
    </row>
    <row r="85" spans="1:46">
      <c r="A85" s="168">
        <v>183</v>
      </c>
      <c r="B85" t="s">
        <v>103</v>
      </c>
      <c r="C85" t="s">
        <v>67</v>
      </c>
      <c r="D85" t="s">
        <v>2115</v>
      </c>
      <c r="F85" t="s">
        <v>2118</v>
      </c>
      <c r="G85" t="s">
        <v>2066</v>
      </c>
      <c r="H85" t="s">
        <v>2116</v>
      </c>
      <c r="I85" s="168">
        <v>7000</v>
      </c>
      <c r="J85" t="s">
        <v>109</v>
      </c>
      <c r="AD85" s="168"/>
      <c r="AG85" s="168"/>
      <c r="AJ85" s="205">
        <v>7000</v>
      </c>
      <c r="AK85" t="s">
        <v>2119</v>
      </c>
      <c r="AM85" s="197">
        <v>7000</v>
      </c>
      <c r="AN85" t="s">
        <v>2172</v>
      </c>
      <c r="AP85" s="257">
        <v>14000</v>
      </c>
      <c r="AQ85" t="s">
        <v>2192</v>
      </c>
      <c r="AS85">
        <v>7000</v>
      </c>
    </row>
    <row r="86" spans="1:46">
      <c r="A86" s="168">
        <v>184</v>
      </c>
      <c r="B86" t="s">
        <v>103</v>
      </c>
      <c r="C86" t="s">
        <v>560</v>
      </c>
      <c r="D86" t="s">
        <v>2126</v>
      </c>
      <c r="G86" s="256" t="s">
        <v>2084</v>
      </c>
      <c r="H86" t="s">
        <v>562</v>
      </c>
      <c r="I86" s="168">
        <v>7000</v>
      </c>
      <c r="J86" t="s">
        <v>109</v>
      </c>
      <c r="AD86" s="168"/>
      <c r="AG86" s="168"/>
      <c r="AJ86" s="205"/>
      <c r="AM86" s="257">
        <v>7000</v>
      </c>
      <c r="AN86" t="s">
        <v>2213</v>
      </c>
      <c r="AP86">
        <v>7000</v>
      </c>
      <c r="AS86">
        <v>7000</v>
      </c>
    </row>
    <row r="87" spans="1:46">
      <c r="A87" s="168">
        <v>185</v>
      </c>
      <c r="B87" t="s">
        <v>103</v>
      </c>
      <c r="C87" t="s">
        <v>2127</v>
      </c>
      <c r="D87" t="s">
        <v>2125</v>
      </c>
      <c r="G87" s="256" t="s">
        <v>2079</v>
      </c>
      <c r="H87" s="256" t="s">
        <v>2128</v>
      </c>
      <c r="I87" s="168">
        <v>7000</v>
      </c>
      <c r="J87" t="s">
        <v>109</v>
      </c>
      <c r="AD87" s="168"/>
      <c r="AG87" s="168"/>
      <c r="AJ87" s="168"/>
      <c r="AM87" s="197">
        <v>7000</v>
      </c>
      <c r="AN87" t="s">
        <v>2214</v>
      </c>
      <c r="AP87" s="257">
        <v>7000</v>
      </c>
      <c r="AQ87" t="s">
        <v>2212</v>
      </c>
      <c r="AS87">
        <v>7000</v>
      </c>
    </row>
    <row r="88" spans="1:46">
      <c r="A88" s="168">
        <v>186</v>
      </c>
      <c r="B88" t="s">
        <v>103</v>
      </c>
      <c r="H88" s="256" t="s">
        <v>237</v>
      </c>
      <c r="I88" s="168">
        <v>7000</v>
      </c>
      <c r="J88" t="s">
        <v>109</v>
      </c>
      <c r="AD88" s="168"/>
      <c r="AG88" s="168"/>
      <c r="AJ88" s="168"/>
      <c r="AM88" s="257">
        <v>7000</v>
      </c>
      <c r="AN88" t="s">
        <v>2167</v>
      </c>
      <c r="AP88" s="257">
        <v>7000</v>
      </c>
      <c r="AQ88" t="s">
        <v>2209</v>
      </c>
      <c r="AS88">
        <v>7000</v>
      </c>
      <c r="AT88" t="s">
        <v>2239</v>
      </c>
    </row>
    <row r="89" spans="1:46">
      <c r="A89" s="168">
        <v>187</v>
      </c>
      <c r="B89" t="s">
        <v>103</v>
      </c>
      <c r="H89" s="256" t="s">
        <v>2147</v>
      </c>
      <c r="I89" s="168">
        <v>7000</v>
      </c>
      <c r="J89" t="s">
        <v>109</v>
      </c>
      <c r="AD89" s="168"/>
      <c r="AG89" s="168"/>
      <c r="AJ89" s="168"/>
      <c r="AP89" s="257">
        <v>7000</v>
      </c>
      <c r="AQ89" t="s">
        <v>2207</v>
      </c>
      <c r="AS89">
        <v>7000</v>
      </c>
    </row>
    <row r="90" spans="1:46" hidden="1">
      <c r="A90" s="92">
        <v>188</v>
      </c>
      <c r="B90" s="92"/>
      <c r="C90" s="92"/>
      <c r="D90" s="92"/>
      <c r="E90" s="92"/>
      <c r="F90" s="92"/>
      <c r="G90" s="92" t="s">
        <v>2243</v>
      </c>
      <c r="H90" s="92" t="s">
        <v>951</v>
      </c>
      <c r="I90" s="168">
        <v>9500</v>
      </c>
      <c r="J90" t="s">
        <v>109</v>
      </c>
      <c r="AD90" s="168"/>
      <c r="AG90" s="168"/>
      <c r="AJ90" s="168"/>
    </row>
    <row r="91" spans="1:46" hidden="1">
      <c r="AD91" s="168"/>
      <c r="AG91" s="168"/>
      <c r="AJ91" s="168"/>
    </row>
    <row r="92" spans="1:46" hidden="1">
      <c r="AD92" s="168"/>
      <c r="AG92" s="168"/>
      <c r="AJ92" s="168"/>
    </row>
    <row r="93" spans="1:46" hidden="1">
      <c r="AD93" s="168"/>
      <c r="AG93" s="168"/>
      <c r="AJ93" s="168"/>
    </row>
    <row r="94" spans="1:46" hidden="1">
      <c r="AD94" s="168"/>
      <c r="AG94" s="168"/>
      <c r="AJ94" s="168"/>
    </row>
    <row r="95" spans="1:46" hidden="1">
      <c r="AD95" s="168"/>
      <c r="AG95" s="168"/>
      <c r="AJ95" s="168"/>
    </row>
    <row r="96" spans="1:46" hidden="1">
      <c r="AD96" s="168"/>
      <c r="AG96" s="168"/>
      <c r="AJ96" s="168"/>
    </row>
    <row r="97" spans="30:36" hidden="1">
      <c r="AD97" s="168"/>
      <c r="AG97" s="168"/>
      <c r="AJ97" s="168"/>
    </row>
    <row r="98" spans="30:36" hidden="1">
      <c r="AD98" s="168"/>
      <c r="AG98" s="168"/>
      <c r="AJ98" s="168"/>
    </row>
    <row r="99" spans="30:36" hidden="1">
      <c r="AD99" s="168"/>
      <c r="AG99" s="168"/>
      <c r="AJ99" s="168"/>
    </row>
    <row r="100" spans="30:36" hidden="1">
      <c r="AD100" s="168"/>
      <c r="AG100" s="168"/>
      <c r="AJ100" s="168"/>
    </row>
    <row r="101" spans="30:36" hidden="1">
      <c r="AD101" s="168"/>
      <c r="AG101" s="168"/>
      <c r="AJ101" s="168"/>
    </row>
    <row r="102" spans="30:36" hidden="1">
      <c r="AD102" s="168"/>
      <c r="AG102" s="168"/>
      <c r="AJ102" s="168"/>
    </row>
    <row r="103" spans="30:36" hidden="1">
      <c r="AD103" s="168"/>
      <c r="AG103" s="168"/>
      <c r="AJ103" s="168"/>
    </row>
    <row r="104" spans="30:36" hidden="1">
      <c r="AD104" s="168"/>
      <c r="AG104" s="168"/>
      <c r="AJ104" s="168"/>
    </row>
    <row r="105" spans="30:36" hidden="1">
      <c r="AD105" s="168"/>
      <c r="AG105" s="168"/>
      <c r="AJ105" s="168"/>
    </row>
    <row r="106" spans="30:36" hidden="1">
      <c r="AD106" s="168"/>
      <c r="AG106" s="168"/>
      <c r="AJ106" s="168"/>
    </row>
    <row r="107" spans="30:36" hidden="1">
      <c r="AD107" s="168"/>
      <c r="AG107" s="168"/>
      <c r="AJ107" s="168"/>
    </row>
    <row r="108" spans="30:36" hidden="1">
      <c r="AD108" s="168"/>
      <c r="AG108" s="168"/>
      <c r="AJ108" s="168"/>
    </row>
    <row r="109" spans="30:36" hidden="1">
      <c r="AD109" s="168"/>
      <c r="AG109" s="168"/>
      <c r="AJ109" s="168"/>
    </row>
    <row r="110" spans="30:36" hidden="1">
      <c r="AD110" s="168"/>
      <c r="AG110" s="168"/>
      <c r="AJ110" s="168"/>
    </row>
    <row r="111" spans="30:36" hidden="1">
      <c r="AD111" s="168"/>
      <c r="AG111" s="168"/>
      <c r="AJ111" s="168"/>
    </row>
    <row r="112" spans="30:36" hidden="1">
      <c r="AD112" s="168"/>
      <c r="AG112" s="168"/>
      <c r="AJ112" s="168"/>
    </row>
    <row r="113" spans="30:36" hidden="1">
      <c r="AD113" s="168"/>
      <c r="AG113" s="168"/>
      <c r="AJ113" s="168"/>
    </row>
    <row r="114" spans="30:36" hidden="1">
      <c r="AD114" s="168"/>
      <c r="AG114" s="168"/>
      <c r="AJ114" s="168"/>
    </row>
    <row r="115" spans="30:36" hidden="1">
      <c r="AD115" s="168"/>
      <c r="AG115" s="168"/>
      <c r="AJ115" s="168"/>
    </row>
    <row r="116" spans="30:36" hidden="1">
      <c r="AD116" s="168"/>
      <c r="AG116" s="168"/>
      <c r="AJ116" s="168"/>
    </row>
    <row r="117" spans="30:36" hidden="1">
      <c r="AD117" s="168"/>
      <c r="AG117" s="168"/>
      <c r="AJ117" s="168"/>
    </row>
    <row r="118" spans="30:36" hidden="1">
      <c r="AD118" s="168"/>
      <c r="AG118" s="168"/>
      <c r="AJ118" s="168"/>
    </row>
    <row r="119" spans="30:36" hidden="1">
      <c r="AD119" s="168"/>
      <c r="AG119" s="168"/>
      <c r="AJ119" s="168"/>
    </row>
    <row r="120" spans="30:36" hidden="1">
      <c r="AD120" s="168"/>
      <c r="AG120" s="168"/>
      <c r="AJ120" s="168"/>
    </row>
    <row r="121" spans="30:36" hidden="1">
      <c r="AD121" s="168"/>
      <c r="AG121" s="168"/>
      <c r="AJ121" s="168"/>
    </row>
    <row r="122" spans="30:36" hidden="1">
      <c r="AD122" s="168"/>
      <c r="AG122" s="168"/>
      <c r="AJ122" s="168"/>
    </row>
    <row r="123" spans="30:36" hidden="1">
      <c r="AD123" s="168"/>
      <c r="AG123" s="168"/>
      <c r="AJ123" s="168"/>
    </row>
    <row r="124" spans="30:36" hidden="1">
      <c r="AD124" s="168"/>
      <c r="AG124" s="168"/>
      <c r="AJ124" s="168"/>
    </row>
    <row r="125" spans="30:36" hidden="1">
      <c r="AD125" s="168"/>
      <c r="AG125" s="168"/>
      <c r="AJ125" s="168"/>
    </row>
    <row r="126" spans="30:36" hidden="1">
      <c r="AD126" s="168"/>
      <c r="AG126" s="168"/>
      <c r="AJ126" s="168"/>
    </row>
    <row r="127" spans="30:36" hidden="1">
      <c r="AD127" s="168"/>
      <c r="AG127" s="168"/>
      <c r="AJ127" s="168"/>
    </row>
    <row r="128" spans="30:36" hidden="1">
      <c r="AD128" s="168"/>
      <c r="AG128" s="168"/>
      <c r="AJ128" s="168"/>
    </row>
    <row r="129" spans="30:36" hidden="1">
      <c r="AD129" s="168"/>
      <c r="AG129" s="168"/>
      <c r="AJ129" s="168"/>
    </row>
    <row r="130" spans="30:36" hidden="1">
      <c r="AD130" s="168"/>
      <c r="AG130" s="168"/>
      <c r="AJ130" s="168"/>
    </row>
    <row r="131" spans="30:36" hidden="1">
      <c r="AD131" s="168"/>
      <c r="AG131" s="168"/>
      <c r="AJ131" s="168"/>
    </row>
    <row r="132" spans="30:36" hidden="1">
      <c r="AD132" s="168"/>
      <c r="AG132" s="168"/>
      <c r="AJ132" s="168"/>
    </row>
    <row r="133" spans="30:36" hidden="1">
      <c r="AD133" s="168"/>
      <c r="AG133" s="168"/>
      <c r="AJ133" s="168"/>
    </row>
    <row r="134" spans="30:36" hidden="1">
      <c r="AD134" s="168"/>
      <c r="AG134" s="168"/>
      <c r="AJ134" s="168"/>
    </row>
    <row r="135" spans="30:36" hidden="1">
      <c r="AD135" s="168"/>
      <c r="AG135" s="168"/>
      <c r="AJ135" s="168"/>
    </row>
    <row r="136" spans="30:36" hidden="1">
      <c r="AD136" s="168"/>
      <c r="AG136" s="168"/>
      <c r="AJ136" s="168"/>
    </row>
    <row r="137" spans="30:36" hidden="1">
      <c r="AD137" s="168"/>
      <c r="AG137" s="168"/>
      <c r="AJ137" s="168"/>
    </row>
    <row r="138" spans="30:36" hidden="1">
      <c r="AD138" s="168"/>
      <c r="AG138" s="168"/>
      <c r="AJ138" s="168"/>
    </row>
    <row r="139" spans="30:36" hidden="1">
      <c r="AD139" s="168"/>
      <c r="AG139" s="168"/>
      <c r="AJ139" s="168"/>
    </row>
    <row r="140" spans="30:36" hidden="1">
      <c r="AD140" s="168"/>
      <c r="AG140" s="168"/>
      <c r="AJ140" s="168"/>
    </row>
    <row r="141" spans="30:36" hidden="1">
      <c r="AD141" s="168"/>
      <c r="AG141" s="168"/>
      <c r="AJ141" s="168"/>
    </row>
    <row r="142" spans="30:36" hidden="1">
      <c r="AD142" s="168"/>
      <c r="AG142" s="168"/>
      <c r="AJ142" s="168"/>
    </row>
    <row r="143" spans="30:36" hidden="1">
      <c r="AD143" s="168"/>
      <c r="AG143" s="168"/>
      <c r="AJ143" s="168"/>
    </row>
    <row r="144" spans="30:36" hidden="1">
      <c r="AD144" s="168"/>
      <c r="AG144" s="168"/>
      <c r="AJ144" s="168"/>
    </row>
    <row r="145" spans="1:36" hidden="1">
      <c r="AD145" s="168"/>
      <c r="AG145" s="168"/>
      <c r="AJ145" s="168"/>
    </row>
    <row r="146" spans="1:36" hidden="1">
      <c r="AD146" s="168"/>
      <c r="AG146" s="168"/>
      <c r="AJ146" s="168"/>
    </row>
    <row r="147" spans="1:36" ht="178.5" hidden="1">
      <c r="B147" s="233"/>
      <c r="C147" s="233"/>
      <c r="D147" s="233"/>
      <c r="E147" s="233"/>
      <c r="F147" s="233"/>
      <c r="G147" s="234"/>
      <c r="H147" s="233"/>
      <c r="I147" s="168"/>
      <c r="AD147" s="236">
        <v>6600</v>
      </c>
      <c r="AE147" s="40" t="s">
        <v>2006</v>
      </c>
      <c r="AG147" s="217">
        <v>6600</v>
      </c>
      <c r="AH147" t="s">
        <v>1995</v>
      </c>
      <c r="AJ147" s="235">
        <f t="shared" ref="AJ147" si="20">I147 + MAX(0, I147 - AD147)</f>
        <v>0</v>
      </c>
    </row>
    <row r="148" spans="1:36">
      <c r="A148" s="168"/>
      <c r="B148" s="227"/>
      <c r="C148" s="227"/>
      <c r="D148" s="227"/>
      <c r="E148" s="227"/>
      <c r="F148" s="227"/>
      <c r="G148" s="234"/>
      <c r="H148" s="227"/>
      <c r="AD148" s="168"/>
      <c r="AG148" s="168">
        <f>SUBTOTAL(9,AG3:AG147)</f>
        <v>629300</v>
      </c>
      <c r="AJ148" s="168"/>
    </row>
    <row r="149" spans="1:36">
      <c r="AD149" s="168"/>
      <c r="AG149" s="168"/>
      <c r="AJ149" s="168"/>
    </row>
    <row r="150" spans="1:36">
      <c r="AD150" s="168"/>
      <c r="AG150" s="168"/>
      <c r="AJ150" s="168"/>
    </row>
    <row r="151" spans="1:36">
      <c r="AD151" s="168"/>
      <c r="AG151" s="168"/>
      <c r="AJ151" s="168"/>
    </row>
    <row r="152" spans="1:36">
      <c r="AD152" s="168"/>
      <c r="AG152" s="168"/>
      <c r="AJ152" s="168"/>
    </row>
    <row r="153" spans="1:36">
      <c r="AD153" s="168"/>
      <c r="AG153" s="168"/>
      <c r="AJ153" s="168"/>
    </row>
    <row r="154" spans="1:36">
      <c r="AD154" s="168"/>
      <c r="AG154" s="168"/>
      <c r="AJ154" s="168"/>
    </row>
    <row r="155" spans="1:36">
      <c r="AD155" s="168"/>
      <c r="AG155" s="168"/>
      <c r="AJ155" s="168"/>
    </row>
    <row r="156" spans="1:36">
      <c r="AD156" s="168"/>
      <c r="AG156" s="168"/>
      <c r="AJ156" s="168"/>
    </row>
    <row r="157" spans="1:36">
      <c r="AD157" s="168"/>
      <c r="AG157" s="168"/>
      <c r="AJ157" s="168"/>
    </row>
    <row r="158" spans="1:36">
      <c r="AD158" s="168"/>
      <c r="AG158" s="168"/>
      <c r="AJ158" s="168"/>
    </row>
    <row r="159" spans="1:36">
      <c r="AD159" s="168"/>
      <c r="AG159" s="168"/>
      <c r="AJ159" s="168"/>
    </row>
    <row r="160" spans="1:36">
      <c r="AD160" s="168"/>
      <c r="AG160" s="168"/>
      <c r="AJ160" s="168"/>
    </row>
    <row r="161" spans="30:36">
      <c r="AD161" s="168"/>
      <c r="AG161" s="168"/>
      <c r="AJ161" s="168"/>
    </row>
    <row r="162" spans="30:36">
      <c r="AD162" s="168"/>
      <c r="AG162" s="168"/>
      <c r="AJ162" s="168"/>
    </row>
    <row r="163" spans="30:36">
      <c r="AD163" s="168"/>
      <c r="AG163" s="168"/>
      <c r="AJ163" s="168"/>
    </row>
    <row r="164" spans="30:36">
      <c r="AD164" s="168"/>
      <c r="AG164" s="168"/>
      <c r="AJ164" s="168"/>
    </row>
    <row r="165" spans="30:36">
      <c r="AD165" s="168"/>
      <c r="AG165" s="168"/>
      <c r="AJ165" s="168"/>
    </row>
    <row r="166" spans="30:36">
      <c r="AD166" s="168"/>
      <c r="AG166" s="168"/>
      <c r="AJ166" s="168"/>
    </row>
    <row r="167" spans="30:36">
      <c r="AD167" s="168"/>
      <c r="AG167" s="168"/>
      <c r="AJ167" s="168"/>
    </row>
    <row r="168" spans="30:36">
      <c r="AD168" s="168"/>
      <c r="AG168" s="168"/>
      <c r="AJ168" s="168"/>
    </row>
    <row r="169" spans="30:36">
      <c r="AD169" s="168"/>
      <c r="AG169" s="168"/>
      <c r="AJ169" s="168"/>
    </row>
    <row r="170" spans="30:36">
      <c r="AD170" s="168"/>
      <c r="AG170" s="168"/>
      <c r="AJ170" s="168"/>
    </row>
    <row r="171" spans="30:36">
      <c r="AD171" s="168"/>
      <c r="AG171" s="168"/>
      <c r="AJ171" s="168"/>
    </row>
    <row r="172" spans="30:36">
      <c r="AD172" s="168"/>
      <c r="AG172" s="168"/>
      <c r="AJ172" s="168"/>
    </row>
    <row r="173" spans="30:36">
      <c r="AD173" s="168"/>
      <c r="AG173" s="168"/>
      <c r="AJ173" s="168"/>
    </row>
    <row r="174" spans="30:36">
      <c r="AD174" s="168"/>
      <c r="AG174" s="168"/>
      <c r="AJ174" s="168"/>
    </row>
    <row r="175" spans="30:36">
      <c r="AD175" s="168"/>
      <c r="AG175" s="168"/>
      <c r="AJ175" s="168"/>
    </row>
    <row r="176" spans="30:36">
      <c r="AD176" s="168"/>
      <c r="AG176" s="168"/>
      <c r="AJ176" s="168"/>
    </row>
    <row r="177" spans="30:36">
      <c r="AD177" s="168"/>
      <c r="AG177" s="168"/>
      <c r="AJ177" s="168"/>
    </row>
    <row r="178" spans="30:36">
      <c r="AD178" s="168"/>
      <c r="AG178" s="168"/>
      <c r="AJ178" s="168"/>
    </row>
    <row r="179" spans="30:36">
      <c r="AD179" s="168"/>
      <c r="AG179" s="168"/>
      <c r="AJ179" s="168"/>
    </row>
    <row r="180" spans="30:36">
      <c r="AD180" s="168"/>
      <c r="AG180" s="168"/>
      <c r="AJ180" s="168"/>
    </row>
    <row r="181" spans="30:36">
      <c r="AD181" s="168"/>
      <c r="AG181" s="168"/>
      <c r="AJ181" s="168"/>
    </row>
    <row r="182" spans="30:36">
      <c r="AD182" s="168"/>
      <c r="AG182" s="168"/>
      <c r="AJ182" s="168"/>
    </row>
    <row r="183" spans="30:36">
      <c r="AD183" s="168"/>
      <c r="AG183" s="168"/>
      <c r="AJ183" s="168"/>
    </row>
    <row r="184" spans="30:36">
      <c r="AD184" s="168"/>
      <c r="AG184" s="168"/>
      <c r="AJ184" s="168"/>
    </row>
    <row r="185" spans="30:36">
      <c r="AD185" s="168"/>
      <c r="AG185" s="168"/>
      <c r="AJ185" s="168"/>
    </row>
    <row r="186" spans="30:36">
      <c r="AD186" s="168"/>
      <c r="AG186" s="168"/>
      <c r="AJ186" s="168"/>
    </row>
    <row r="187" spans="30:36">
      <c r="AD187" s="168"/>
      <c r="AG187" s="168"/>
      <c r="AJ187" s="168"/>
    </row>
    <row r="188" spans="30:36">
      <c r="AD188" s="168"/>
      <c r="AG188" s="168"/>
      <c r="AJ188" s="168"/>
    </row>
    <row r="189" spans="30:36">
      <c r="AD189" s="168"/>
      <c r="AG189" s="168"/>
      <c r="AJ189" s="168"/>
    </row>
    <row r="190" spans="30:36">
      <c r="AD190" s="168"/>
      <c r="AG190" s="168"/>
      <c r="AJ190" s="168"/>
    </row>
    <row r="191" spans="30:36">
      <c r="AD191" s="168"/>
      <c r="AG191" s="168"/>
      <c r="AJ191" s="168"/>
    </row>
    <row r="192" spans="30:36">
      <c r="AD192" s="168"/>
      <c r="AG192" s="168"/>
      <c r="AJ192" s="168"/>
    </row>
    <row r="193" spans="30:36">
      <c r="AD193" s="168"/>
      <c r="AG193" s="168"/>
      <c r="AJ193" s="168"/>
    </row>
    <row r="194" spans="30:36">
      <c r="AD194" s="168"/>
      <c r="AG194" s="168"/>
      <c r="AJ194" s="168"/>
    </row>
    <row r="195" spans="30:36">
      <c r="AD195" s="168"/>
      <c r="AG195" s="168"/>
      <c r="AJ195" s="168"/>
    </row>
    <row r="196" spans="30:36">
      <c r="AD196" s="168"/>
      <c r="AG196" s="168"/>
      <c r="AJ196" s="168"/>
    </row>
    <row r="197" spans="30:36">
      <c r="AD197" s="168"/>
      <c r="AG197" s="168"/>
      <c r="AJ197" s="168"/>
    </row>
    <row r="198" spans="30:36">
      <c r="AD198" s="168"/>
      <c r="AG198" s="168"/>
      <c r="AJ198" s="168"/>
    </row>
    <row r="199" spans="30:36">
      <c r="AD199" s="168"/>
      <c r="AG199" s="168"/>
      <c r="AJ199" s="168"/>
    </row>
    <row r="200" spans="30:36">
      <c r="AD200" s="168"/>
      <c r="AG200" s="168"/>
      <c r="AJ200" s="168"/>
    </row>
    <row r="201" spans="30:36">
      <c r="AD201" s="168"/>
      <c r="AG201" s="168"/>
      <c r="AJ201" s="168"/>
    </row>
    <row r="202" spans="30:36">
      <c r="AD202" s="168"/>
      <c r="AG202" s="168"/>
      <c r="AJ202" s="168"/>
    </row>
    <row r="203" spans="30:36">
      <c r="AD203" s="168"/>
      <c r="AG203" s="168"/>
      <c r="AJ203" s="168"/>
    </row>
    <row r="204" spans="30:36">
      <c r="AD204" s="168"/>
      <c r="AG204" s="168"/>
      <c r="AJ204" s="168"/>
    </row>
    <row r="205" spans="30:36">
      <c r="AD205" s="168"/>
      <c r="AG205" s="168"/>
      <c r="AJ205" s="168"/>
    </row>
    <row r="206" spans="30:36">
      <c r="AD206" s="168"/>
      <c r="AG206" s="168"/>
      <c r="AJ206" s="168"/>
    </row>
    <row r="207" spans="30:36">
      <c r="AD207" s="168"/>
      <c r="AG207" s="168"/>
      <c r="AJ207" s="168"/>
    </row>
    <row r="208" spans="30:36">
      <c r="AD208" s="168"/>
      <c r="AG208" s="168"/>
      <c r="AJ208" s="168"/>
    </row>
    <row r="209" spans="30:36">
      <c r="AD209" s="168"/>
      <c r="AG209" s="168"/>
      <c r="AJ209" s="168"/>
    </row>
    <row r="210" spans="30:36">
      <c r="AD210" s="168"/>
      <c r="AG210" s="168"/>
      <c r="AJ210" s="168"/>
    </row>
    <row r="211" spans="30:36">
      <c r="AD211" s="168"/>
      <c r="AG211" s="168"/>
      <c r="AJ211" s="168"/>
    </row>
    <row r="212" spans="30:36">
      <c r="AD212" s="168"/>
      <c r="AG212" s="168"/>
      <c r="AJ212" s="168"/>
    </row>
    <row r="213" spans="30:36">
      <c r="AD213" s="168"/>
      <c r="AG213" s="168"/>
      <c r="AJ213" s="168"/>
    </row>
    <row r="214" spans="30:36">
      <c r="AD214" s="168"/>
      <c r="AG214" s="168"/>
      <c r="AJ214" s="168"/>
    </row>
    <row r="215" spans="30:36">
      <c r="AD215" s="168"/>
      <c r="AG215" s="168"/>
      <c r="AJ215" s="168"/>
    </row>
    <row r="216" spans="30:36">
      <c r="AD216" s="168"/>
      <c r="AG216" s="168"/>
      <c r="AJ216" s="168"/>
    </row>
    <row r="217" spans="30:36">
      <c r="AD217" s="168"/>
      <c r="AG217" s="168"/>
      <c r="AJ217" s="168"/>
    </row>
    <row r="218" spans="30:36">
      <c r="AD218" s="168"/>
      <c r="AG218" s="168"/>
      <c r="AJ218" s="168"/>
    </row>
    <row r="219" spans="30:36">
      <c r="AD219" s="168"/>
      <c r="AG219" s="168"/>
      <c r="AJ219" s="168"/>
    </row>
    <row r="220" spans="30:36">
      <c r="AD220" s="168"/>
      <c r="AG220" s="168"/>
      <c r="AJ220" s="168"/>
    </row>
    <row r="221" spans="30:36">
      <c r="AD221" s="168"/>
      <c r="AG221" s="168"/>
      <c r="AJ221" s="168"/>
    </row>
    <row r="222" spans="30:36">
      <c r="AD222" s="168"/>
      <c r="AG222" s="168"/>
      <c r="AJ222" s="168"/>
    </row>
    <row r="223" spans="30:36">
      <c r="AD223" s="168"/>
      <c r="AG223" s="168"/>
      <c r="AJ223" s="168"/>
    </row>
    <row r="224" spans="30:36">
      <c r="AD224" s="168"/>
      <c r="AG224" s="168"/>
      <c r="AJ224" s="168"/>
    </row>
    <row r="225" spans="30:36">
      <c r="AD225" s="168"/>
      <c r="AG225" s="168"/>
      <c r="AJ225" s="168"/>
    </row>
    <row r="226" spans="30:36">
      <c r="AD226" s="168"/>
      <c r="AG226" s="168"/>
      <c r="AJ226" s="168"/>
    </row>
    <row r="227" spans="30:36">
      <c r="AD227" s="168"/>
      <c r="AG227" s="168"/>
      <c r="AJ227" s="168"/>
    </row>
    <row r="228" spans="30:36">
      <c r="AD228" s="168">
        <f t="shared" ref="AD228:AD257" si="21">I228 + MAX(0, I228 - AA228) + 3500</f>
        <v>3500</v>
      </c>
      <c r="AG228" s="168">
        <f t="shared" ref="AG228:AG257" si="22">I228 + MAX(0, I228 - AD228)</f>
        <v>0</v>
      </c>
      <c r="AJ228" s="168">
        <f t="shared" ref="AJ228:AJ257" si="23">I228 + MAX(0, I228 - AD228)</f>
        <v>0</v>
      </c>
    </row>
    <row r="229" spans="30:36">
      <c r="AD229" s="168">
        <f t="shared" si="21"/>
        <v>3500</v>
      </c>
      <c r="AG229" s="168">
        <f t="shared" si="22"/>
        <v>0</v>
      </c>
      <c r="AJ229" s="168">
        <f t="shared" si="23"/>
        <v>0</v>
      </c>
    </row>
    <row r="230" spans="30:36">
      <c r="AD230" s="168">
        <f t="shared" si="21"/>
        <v>3500</v>
      </c>
      <c r="AG230" s="168">
        <f t="shared" si="22"/>
        <v>0</v>
      </c>
      <c r="AJ230" s="168">
        <f t="shared" si="23"/>
        <v>0</v>
      </c>
    </row>
    <row r="231" spans="30:36">
      <c r="AD231" s="168">
        <f t="shared" si="21"/>
        <v>3500</v>
      </c>
      <c r="AG231" s="168">
        <f t="shared" si="22"/>
        <v>0</v>
      </c>
      <c r="AJ231" s="168">
        <f t="shared" si="23"/>
        <v>0</v>
      </c>
    </row>
    <row r="232" spans="30:36">
      <c r="AD232" s="168">
        <f t="shared" si="21"/>
        <v>3500</v>
      </c>
      <c r="AG232" s="168">
        <f t="shared" si="22"/>
        <v>0</v>
      </c>
      <c r="AJ232" s="168">
        <f t="shared" si="23"/>
        <v>0</v>
      </c>
    </row>
    <row r="233" spans="30:36">
      <c r="AD233" s="168">
        <f t="shared" si="21"/>
        <v>3500</v>
      </c>
      <c r="AG233" s="168">
        <f t="shared" si="22"/>
        <v>0</v>
      </c>
      <c r="AJ233" s="168">
        <f t="shared" si="23"/>
        <v>0</v>
      </c>
    </row>
    <row r="234" spans="30:36">
      <c r="AD234" s="168">
        <f t="shared" si="21"/>
        <v>3500</v>
      </c>
      <c r="AG234" s="168">
        <f t="shared" si="22"/>
        <v>0</v>
      </c>
      <c r="AJ234" s="168">
        <f t="shared" si="23"/>
        <v>0</v>
      </c>
    </row>
    <row r="235" spans="30:36">
      <c r="AD235" s="168">
        <f t="shared" si="21"/>
        <v>3500</v>
      </c>
      <c r="AG235" s="168">
        <f t="shared" si="22"/>
        <v>0</v>
      </c>
      <c r="AJ235" s="168">
        <f t="shared" si="23"/>
        <v>0</v>
      </c>
    </row>
    <row r="236" spans="30:36">
      <c r="AD236" s="168">
        <f t="shared" si="21"/>
        <v>3500</v>
      </c>
      <c r="AG236" s="168">
        <f t="shared" si="22"/>
        <v>0</v>
      </c>
      <c r="AJ236" s="168">
        <f t="shared" si="23"/>
        <v>0</v>
      </c>
    </row>
    <row r="237" spans="30:36">
      <c r="AD237" s="168">
        <f t="shared" si="21"/>
        <v>3500</v>
      </c>
      <c r="AG237" s="168">
        <f t="shared" si="22"/>
        <v>0</v>
      </c>
      <c r="AJ237" s="168">
        <f t="shared" si="23"/>
        <v>0</v>
      </c>
    </row>
    <row r="238" spans="30:36">
      <c r="AD238" s="168">
        <f t="shared" si="21"/>
        <v>3500</v>
      </c>
      <c r="AG238" s="168">
        <f t="shared" si="22"/>
        <v>0</v>
      </c>
      <c r="AJ238" s="168">
        <f t="shared" si="23"/>
        <v>0</v>
      </c>
    </row>
    <row r="239" spans="30:36">
      <c r="AD239" s="168">
        <f t="shared" si="21"/>
        <v>3500</v>
      </c>
      <c r="AG239" s="168">
        <f t="shared" si="22"/>
        <v>0</v>
      </c>
      <c r="AJ239" s="168">
        <f t="shared" si="23"/>
        <v>0</v>
      </c>
    </row>
    <row r="240" spans="30:36">
      <c r="AD240" s="168">
        <f t="shared" si="21"/>
        <v>3500</v>
      </c>
      <c r="AG240" s="168">
        <f t="shared" si="22"/>
        <v>0</v>
      </c>
      <c r="AJ240" s="168">
        <f t="shared" si="23"/>
        <v>0</v>
      </c>
    </row>
    <row r="241" spans="30:36">
      <c r="AD241" s="168">
        <f t="shared" si="21"/>
        <v>3500</v>
      </c>
      <c r="AG241" s="168">
        <f t="shared" si="22"/>
        <v>0</v>
      </c>
      <c r="AJ241" s="168">
        <f t="shared" si="23"/>
        <v>0</v>
      </c>
    </row>
    <row r="242" spans="30:36">
      <c r="AD242" s="168">
        <f t="shared" si="21"/>
        <v>3500</v>
      </c>
      <c r="AG242" s="168">
        <f t="shared" si="22"/>
        <v>0</v>
      </c>
      <c r="AJ242" s="168">
        <f t="shared" si="23"/>
        <v>0</v>
      </c>
    </row>
    <row r="243" spans="30:36">
      <c r="AD243" s="168">
        <f t="shared" si="21"/>
        <v>3500</v>
      </c>
      <c r="AG243" s="168">
        <f t="shared" si="22"/>
        <v>0</v>
      </c>
      <c r="AJ243" s="168">
        <f t="shared" si="23"/>
        <v>0</v>
      </c>
    </row>
    <row r="244" spans="30:36">
      <c r="AD244" s="168">
        <f t="shared" si="21"/>
        <v>3500</v>
      </c>
      <c r="AG244" s="168">
        <f t="shared" si="22"/>
        <v>0</v>
      </c>
      <c r="AJ244" s="168">
        <f t="shared" si="23"/>
        <v>0</v>
      </c>
    </row>
    <row r="245" spans="30:36">
      <c r="AD245" s="168">
        <f t="shared" si="21"/>
        <v>3500</v>
      </c>
      <c r="AG245" s="168">
        <f t="shared" si="22"/>
        <v>0</v>
      </c>
      <c r="AJ245" s="168">
        <f t="shared" si="23"/>
        <v>0</v>
      </c>
    </row>
    <row r="246" spans="30:36">
      <c r="AD246" s="168">
        <f t="shared" si="21"/>
        <v>3500</v>
      </c>
      <c r="AG246" s="168">
        <f t="shared" si="22"/>
        <v>0</v>
      </c>
      <c r="AJ246" s="168">
        <f t="shared" si="23"/>
        <v>0</v>
      </c>
    </row>
    <row r="247" spans="30:36">
      <c r="AD247" s="168">
        <f t="shared" si="21"/>
        <v>3500</v>
      </c>
      <c r="AG247" s="168">
        <f t="shared" si="22"/>
        <v>0</v>
      </c>
      <c r="AJ247" s="168">
        <f t="shared" si="23"/>
        <v>0</v>
      </c>
    </row>
    <row r="248" spans="30:36">
      <c r="AD248" s="168">
        <f t="shared" si="21"/>
        <v>3500</v>
      </c>
      <c r="AG248" s="168">
        <f t="shared" si="22"/>
        <v>0</v>
      </c>
      <c r="AJ248" s="168">
        <f t="shared" si="23"/>
        <v>0</v>
      </c>
    </row>
    <row r="249" spans="30:36">
      <c r="AD249" s="168">
        <f t="shared" si="21"/>
        <v>3500</v>
      </c>
      <c r="AG249" s="168">
        <f t="shared" si="22"/>
        <v>0</v>
      </c>
      <c r="AJ249" s="168">
        <f t="shared" si="23"/>
        <v>0</v>
      </c>
    </row>
    <row r="250" spans="30:36">
      <c r="AD250" s="168">
        <f t="shared" si="21"/>
        <v>3500</v>
      </c>
      <c r="AG250" s="168">
        <f t="shared" si="22"/>
        <v>0</v>
      </c>
      <c r="AJ250" s="168">
        <f t="shared" si="23"/>
        <v>0</v>
      </c>
    </row>
    <row r="251" spans="30:36">
      <c r="AD251" s="168">
        <f t="shared" si="21"/>
        <v>3500</v>
      </c>
      <c r="AG251" s="168">
        <f t="shared" si="22"/>
        <v>0</v>
      </c>
      <c r="AJ251" s="168">
        <f t="shared" si="23"/>
        <v>0</v>
      </c>
    </row>
    <row r="252" spans="30:36">
      <c r="AD252" s="168">
        <f t="shared" si="21"/>
        <v>3500</v>
      </c>
      <c r="AG252" s="168">
        <f t="shared" si="22"/>
        <v>0</v>
      </c>
      <c r="AJ252" s="168">
        <f t="shared" si="23"/>
        <v>0</v>
      </c>
    </row>
    <row r="253" spans="30:36">
      <c r="AD253" s="168">
        <f t="shared" si="21"/>
        <v>3500</v>
      </c>
      <c r="AG253" s="168">
        <f t="shared" si="22"/>
        <v>0</v>
      </c>
      <c r="AJ253" s="168">
        <f t="shared" si="23"/>
        <v>0</v>
      </c>
    </row>
    <row r="254" spans="30:36">
      <c r="AD254" s="168">
        <f t="shared" si="21"/>
        <v>3500</v>
      </c>
      <c r="AG254" s="168">
        <f t="shared" si="22"/>
        <v>0</v>
      </c>
      <c r="AJ254" s="168">
        <f t="shared" si="23"/>
        <v>0</v>
      </c>
    </row>
    <row r="255" spans="30:36">
      <c r="AD255" s="168">
        <f t="shared" si="21"/>
        <v>3500</v>
      </c>
      <c r="AG255" s="168">
        <f t="shared" si="22"/>
        <v>0</v>
      </c>
      <c r="AJ255" s="168">
        <f t="shared" si="23"/>
        <v>0</v>
      </c>
    </row>
    <row r="256" spans="30:36">
      <c r="AD256" s="168">
        <f t="shared" si="21"/>
        <v>3500</v>
      </c>
      <c r="AG256" s="168">
        <f t="shared" si="22"/>
        <v>0</v>
      </c>
      <c r="AJ256" s="168">
        <f t="shared" si="23"/>
        <v>0</v>
      </c>
    </row>
    <row r="257" spans="30:36">
      <c r="AD257" s="168">
        <f t="shared" si="21"/>
        <v>3500</v>
      </c>
      <c r="AG257" s="168">
        <f t="shared" si="22"/>
        <v>0</v>
      </c>
      <c r="AJ257" s="168">
        <f t="shared" si="23"/>
        <v>0</v>
      </c>
    </row>
    <row r="258" spans="30:36">
      <c r="AD258" s="168">
        <f t="shared" ref="AD258:AD321" si="24">I258 + MAX(0, I258 - AA258) + 3500</f>
        <v>3500</v>
      </c>
      <c r="AG258" s="168">
        <f t="shared" ref="AG258:AG321" si="25">I258 + MAX(0, I258 - AD258)</f>
        <v>0</v>
      </c>
      <c r="AJ258" s="168">
        <f t="shared" ref="AJ258:AJ277" si="26">I258 + MAX(0, I258 - AD258)</f>
        <v>0</v>
      </c>
    </row>
    <row r="259" spans="30:36">
      <c r="AD259" s="168">
        <f t="shared" si="24"/>
        <v>3500</v>
      </c>
      <c r="AG259" s="168">
        <f t="shared" si="25"/>
        <v>0</v>
      </c>
      <c r="AJ259" s="168">
        <f t="shared" si="26"/>
        <v>0</v>
      </c>
    </row>
    <row r="260" spans="30:36">
      <c r="AD260" s="168">
        <f t="shared" si="24"/>
        <v>3500</v>
      </c>
      <c r="AG260" s="168">
        <f t="shared" si="25"/>
        <v>0</v>
      </c>
      <c r="AJ260" s="168">
        <f t="shared" si="26"/>
        <v>0</v>
      </c>
    </row>
    <row r="261" spans="30:36">
      <c r="AD261" s="168">
        <f t="shared" si="24"/>
        <v>3500</v>
      </c>
      <c r="AG261" s="168">
        <f t="shared" si="25"/>
        <v>0</v>
      </c>
      <c r="AJ261" s="168">
        <f t="shared" si="26"/>
        <v>0</v>
      </c>
    </row>
    <row r="262" spans="30:36">
      <c r="AD262" s="168">
        <f t="shared" si="24"/>
        <v>3500</v>
      </c>
      <c r="AG262" s="168">
        <f t="shared" si="25"/>
        <v>0</v>
      </c>
      <c r="AJ262" s="168">
        <f t="shared" si="26"/>
        <v>0</v>
      </c>
    </row>
    <row r="263" spans="30:36">
      <c r="AD263" s="168">
        <f t="shared" si="24"/>
        <v>3500</v>
      </c>
      <c r="AG263" s="168">
        <f t="shared" si="25"/>
        <v>0</v>
      </c>
      <c r="AJ263" s="168">
        <f t="shared" si="26"/>
        <v>0</v>
      </c>
    </row>
    <row r="264" spans="30:36">
      <c r="AD264" s="168">
        <f t="shared" si="24"/>
        <v>3500</v>
      </c>
      <c r="AG264" s="168">
        <f t="shared" si="25"/>
        <v>0</v>
      </c>
      <c r="AJ264" s="168">
        <f t="shared" si="26"/>
        <v>0</v>
      </c>
    </row>
    <row r="265" spans="30:36">
      <c r="AD265" s="168">
        <f t="shared" si="24"/>
        <v>3500</v>
      </c>
      <c r="AG265" s="168">
        <f t="shared" si="25"/>
        <v>0</v>
      </c>
      <c r="AJ265" s="168">
        <f t="shared" si="26"/>
        <v>0</v>
      </c>
    </row>
    <row r="266" spans="30:36">
      <c r="AD266" s="168">
        <f t="shared" si="24"/>
        <v>3500</v>
      </c>
      <c r="AG266" s="168">
        <f t="shared" si="25"/>
        <v>0</v>
      </c>
      <c r="AJ266" s="168">
        <f t="shared" si="26"/>
        <v>0</v>
      </c>
    </row>
    <row r="267" spans="30:36">
      <c r="AD267" s="168">
        <f t="shared" si="24"/>
        <v>3500</v>
      </c>
      <c r="AG267" s="168">
        <f t="shared" si="25"/>
        <v>0</v>
      </c>
      <c r="AJ267" s="168">
        <f t="shared" si="26"/>
        <v>0</v>
      </c>
    </row>
    <row r="268" spans="30:36">
      <c r="AD268" s="168">
        <f t="shared" si="24"/>
        <v>3500</v>
      </c>
      <c r="AG268" s="168">
        <f t="shared" si="25"/>
        <v>0</v>
      </c>
      <c r="AJ268" s="168">
        <f t="shared" si="26"/>
        <v>0</v>
      </c>
    </row>
    <row r="269" spans="30:36">
      <c r="AD269" s="168">
        <f t="shared" si="24"/>
        <v>3500</v>
      </c>
      <c r="AG269" s="168">
        <f t="shared" si="25"/>
        <v>0</v>
      </c>
      <c r="AJ269" s="168">
        <f t="shared" si="26"/>
        <v>0</v>
      </c>
    </row>
    <row r="270" spans="30:36">
      <c r="AD270" s="168">
        <f t="shared" si="24"/>
        <v>3500</v>
      </c>
      <c r="AG270" s="168">
        <f t="shared" si="25"/>
        <v>0</v>
      </c>
      <c r="AJ270" s="168">
        <f t="shared" si="26"/>
        <v>0</v>
      </c>
    </row>
    <row r="271" spans="30:36">
      <c r="AD271" s="168">
        <f t="shared" si="24"/>
        <v>3500</v>
      </c>
      <c r="AG271" s="168">
        <f t="shared" si="25"/>
        <v>0</v>
      </c>
      <c r="AJ271" s="168">
        <f t="shared" si="26"/>
        <v>0</v>
      </c>
    </row>
    <row r="272" spans="30:36">
      <c r="AD272" s="168">
        <f t="shared" si="24"/>
        <v>3500</v>
      </c>
      <c r="AG272" s="168">
        <f t="shared" si="25"/>
        <v>0</v>
      </c>
      <c r="AJ272" s="168">
        <f t="shared" si="26"/>
        <v>0</v>
      </c>
    </row>
    <row r="273" spans="30:36">
      <c r="AD273" s="168">
        <f t="shared" si="24"/>
        <v>3500</v>
      </c>
      <c r="AG273" s="168">
        <f t="shared" si="25"/>
        <v>0</v>
      </c>
      <c r="AJ273" s="168">
        <f t="shared" si="26"/>
        <v>0</v>
      </c>
    </row>
    <row r="274" spans="30:36">
      <c r="AD274" s="168">
        <f t="shared" si="24"/>
        <v>3500</v>
      </c>
      <c r="AG274" s="168">
        <f t="shared" si="25"/>
        <v>0</v>
      </c>
      <c r="AJ274" s="168">
        <f t="shared" si="26"/>
        <v>0</v>
      </c>
    </row>
    <row r="275" spans="30:36">
      <c r="AD275" s="168">
        <f t="shared" si="24"/>
        <v>3500</v>
      </c>
      <c r="AG275" s="168">
        <f t="shared" si="25"/>
        <v>0</v>
      </c>
      <c r="AJ275" s="168">
        <f t="shared" si="26"/>
        <v>0</v>
      </c>
    </row>
    <row r="276" spans="30:36">
      <c r="AD276" s="168">
        <f t="shared" si="24"/>
        <v>3500</v>
      </c>
      <c r="AG276" s="168">
        <f t="shared" si="25"/>
        <v>0</v>
      </c>
      <c r="AJ276" s="168">
        <f t="shared" si="26"/>
        <v>0</v>
      </c>
    </row>
    <row r="277" spans="30:36">
      <c r="AD277" s="168">
        <f t="shared" si="24"/>
        <v>3500</v>
      </c>
      <c r="AG277" s="168">
        <f t="shared" si="25"/>
        <v>0</v>
      </c>
      <c r="AJ277" s="168">
        <f t="shared" si="26"/>
        <v>0</v>
      </c>
    </row>
    <row r="278" spans="30:36">
      <c r="AD278" s="168">
        <f t="shared" si="24"/>
        <v>3500</v>
      </c>
      <c r="AG278" s="168">
        <f t="shared" si="25"/>
        <v>0</v>
      </c>
    </row>
    <row r="279" spans="30:36">
      <c r="AD279" s="168">
        <f t="shared" si="24"/>
        <v>3500</v>
      </c>
      <c r="AG279" s="168">
        <f t="shared" si="25"/>
        <v>0</v>
      </c>
    </row>
    <row r="280" spans="30:36">
      <c r="AD280" s="168">
        <f t="shared" si="24"/>
        <v>3500</v>
      </c>
      <c r="AG280" s="168">
        <f t="shared" si="25"/>
        <v>0</v>
      </c>
    </row>
    <row r="281" spans="30:36">
      <c r="AD281" s="168">
        <f t="shared" si="24"/>
        <v>3500</v>
      </c>
      <c r="AG281" s="168">
        <f t="shared" si="25"/>
        <v>0</v>
      </c>
    </row>
    <row r="282" spans="30:36">
      <c r="AD282" s="168">
        <f t="shared" si="24"/>
        <v>3500</v>
      </c>
      <c r="AG282" s="168">
        <f t="shared" si="25"/>
        <v>0</v>
      </c>
    </row>
    <row r="283" spans="30:36">
      <c r="AD283" s="168">
        <f t="shared" si="24"/>
        <v>3500</v>
      </c>
      <c r="AG283" s="168">
        <f t="shared" si="25"/>
        <v>0</v>
      </c>
    </row>
    <row r="284" spans="30:36">
      <c r="AD284" s="168">
        <f t="shared" si="24"/>
        <v>3500</v>
      </c>
      <c r="AG284" s="168">
        <f t="shared" si="25"/>
        <v>0</v>
      </c>
    </row>
    <row r="285" spans="30:36">
      <c r="AD285" s="168">
        <f t="shared" si="24"/>
        <v>3500</v>
      </c>
      <c r="AG285" s="168">
        <f t="shared" si="25"/>
        <v>0</v>
      </c>
    </row>
    <row r="286" spans="30:36">
      <c r="AD286" s="168">
        <f t="shared" si="24"/>
        <v>3500</v>
      </c>
      <c r="AG286" s="168">
        <f t="shared" si="25"/>
        <v>0</v>
      </c>
    </row>
    <row r="287" spans="30:36">
      <c r="AD287" s="168">
        <f t="shared" si="24"/>
        <v>3500</v>
      </c>
      <c r="AG287" s="168">
        <f t="shared" si="25"/>
        <v>0</v>
      </c>
    </row>
    <row r="288" spans="30:36">
      <c r="AD288" s="168">
        <f t="shared" si="24"/>
        <v>3500</v>
      </c>
      <c r="AG288" s="168">
        <f t="shared" si="25"/>
        <v>0</v>
      </c>
    </row>
    <row r="289" spans="30:33">
      <c r="AD289" s="168">
        <f t="shared" si="24"/>
        <v>3500</v>
      </c>
      <c r="AG289" s="168">
        <f t="shared" si="25"/>
        <v>0</v>
      </c>
    </row>
    <row r="290" spans="30:33">
      <c r="AD290" s="168">
        <f t="shared" si="24"/>
        <v>3500</v>
      </c>
      <c r="AG290" s="168">
        <f t="shared" si="25"/>
        <v>0</v>
      </c>
    </row>
    <row r="291" spans="30:33">
      <c r="AD291" s="168">
        <f t="shared" si="24"/>
        <v>3500</v>
      </c>
      <c r="AG291" s="168">
        <f t="shared" si="25"/>
        <v>0</v>
      </c>
    </row>
    <row r="292" spans="30:33">
      <c r="AD292" s="168">
        <f t="shared" si="24"/>
        <v>3500</v>
      </c>
      <c r="AG292" s="168">
        <f t="shared" si="25"/>
        <v>0</v>
      </c>
    </row>
    <row r="293" spans="30:33">
      <c r="AD293" s="168">
        <f t="shared" si="24"/>
        <v>3500</v>
      </c>
      <c r="AG293" s="168">
        <f t="shared" si="25"/>
        <v>0</v>
      </c>
    </row>
    <row r="294" spans="30:33">
      <c r="AD294" s="168">
        <f t="shared" si="24"/>
        <v>3500</v>
      </c>
      <c r="AG294" s="168">
        <f t="shared" si="25"/>
        <v>0</v>
      </c>
    </row>
    <row r="295" spans="30:33">
      <c r="AD295" s="168">
        <f t="shared" si="24"/>
        <v>3500</v>
      </c>
      <c r="AG295" s="168">
        <f t="shared" si="25"/>
        <v>0</v>
      </c>
    </row>
    <row r="296" spans="30:33">
      <c r="AD296" s="168">
        <f t="shared" si="24"/>
        <v>3500</v>
      </c>
      <c r="AG296" s="168">
        <f t="shared" si="25"/>
        <v>0</v>
      </c>
    </row>
    <row r="297" spans="30:33">
      <c r="AD297" s="168">
        <f t="shared" si="24"/>
        <v>3500</v>
      </c>
      <c r="AG297" s="168">
        <f t="shared" si="25"/>
        <v>0</v>
      </c>
    </row>
    <row r="298" spans="30:33">
      <c r="AD298" s="168">
        <f t="shared" si="24"/>
        <v>3500</v>
      </c>
      <c r="AG298" s="168">
        <f t="shared" si="25"/>
        <v>0</v>
      </c>
    </row>
    <row r="299" spans="30:33">
      <c r="AD299" s="168">
        <f t="shared" si="24"/>
        <v>3500</v>
      </c>
      <c r="AG299" s="168">
        <f t="shared" si="25"/>
        <v>0</v>
      </c>
    </row>
    <row r="300" spans="30:33">
      <c r="AD300" s="168">
        <f t="shared" si="24"/>
        <v>3500</v>
      </c>
      <c r="AG300" s="168">
        <f t="shared" si="25"/>
        <v>0</v>
      </c>
    </row>
    <row r="301" spans="30:33">
      <c r="AD301" s="168">
        <f t="shared" si="24"/>
        <v>3500</v>
      </c>
      <c r="AG301" s="168">
        <f t="shared" si="25"/>
        <v>0</v>
      </c>
    </row>
    <row r="302" spans="30:33">
      <c r="AD302" s="168">
        <f t="shared" si="24"/>
        <v>3500</v>
      </c>
      <c r="AG302" s="168">
        <f t="shared" si="25"/>
        <v>0</v>
      </c>
    </row>
    <row r="303" spans="30:33">
      <c r="AD303" s="168">
        <f t="shared" si="24"/>
        <v>3500</v>
      </c>
      <c r="AG303" s="168">
        <f t="shared" si="25"/>
        <v>0</v>
      </c>
    </row>
    <row r="304" spans="30:33">
      <c r="AD304" s="168">
        <f t="shared" si="24"/>
        <v>3500</v>
      </c>
      <c r="AG304" s="168">
        <f t="shared" si="25"/>
        <v>0</v>
      </c>
    </row>
    <row r="305" spans="30:33">
      <c r="AD305" s="168">
        <f t="shared" si="24"/>
        <v>3500</v>
      </c>
      <c r="AG305" s="168">
        <f t="shared" si="25"/>
        <v>0</v>
      </c>
    </row>
    <row r="306" spans="30:33">
      <c r="AD306" s="168">
        <f t="shared" si="24"/>
        <v>3500</v>
      </c>
      <c r="AG306" s="168">
        <f t="shared" si="25"/>
        <v>0</v>
      </c>
    </row>
    <row r="307" spans="30:33">
      <c r="AD307" s="168">
        <f t="shared" si="24"/>
        <v>3500</v>
      </c>
      <c r="AG307" s="168">
        <f t="shared" si="25"/>
        <v>0</v>
      </c>
    </row>
    <row r="308" spans="30:33">
      <c r="AD308" s="168">
        <f t="shared" si="24"/>
        <v>3500</v>
      </c>
      <c r="AG308" s="168">
        <f t="shared" si="25"/>
        <v>0</v>
      </c>
    </row>
    <row r="309" spans="30:33">
      <c r="AD309" s="168">
        <f t="shared" si="24"/>
        <v>3500</v>
      </c>
      <c r="AG309" s="168">
        <f t="shared" si="25"/>
        <v>0</v>
      </c>
    </row>
    <row r="310" spans="30:33">
      <c r="AD310" s="168">
        <f t="shared" si="24"/>
        <v>3500</v>
      </c>
      <c r="AG310" s="168">
        <f t="shared" si="25"/>
        <v>0</v>
      </c>
    </row>
    <row r="311" spans="30:33">
      <c r="AD311" s="168">
        <f t="shared" si="24"/>
        <v>3500</v>
      </c>
      <c r="AG311" s="168">
        <f t="shared" si="25"/>
        <v>0</v>
      </c>
    </row>
    <row r="312" spans="30:33">
      <c r="AD312" s="168">
        <f t="shared" si="24"/>
        <v>3500</v>
      </c>
      <c r="AG312" s="168">
        <f t="shared" si="25"/>
        <v>0</v>
      </c>
    </row>
    <row r="313" spans="30:33">
      <c r="AD313" s="168">
        <f t="shared" si="24"/>
        <v>3500</v>
      </c>
      <c r="AG313" s="168">
        <f t="shared" si="25"/>
        <v>0</v>
      </c>
    </row>
    <row r="314" spans="30:33">
      <c r="AD314" s="168">
        <f t="shared" si="24"/>
        <v>3500</v>
      </c>
      <c r="AG314" s="168">
        <f t="shared" si="25"/>
        <v>0</v>
      </c>
    </row>
    <row r="315" spans="30:33">
      <c r="AD315" s="168">
        <f t="shared" si="24"/>
        <v>3500</v>
      </c>
      <c r="AG315" s="168">
        <f t="shared" si="25"/>
        <v>0</v>
      </c>
    </row>
    <row r="316" spans="30:33">
      <c r="AD316" s="168">
        <f t="shared" si="24"/>
        <v>3500</v>
      </c>
      <c r="AG316" s="168">
        <f t="shared" si="25"/>
        <v>0</v>
      </c>
    </row>
    <row r="317" spans="30:33">
      <c r="AD317" s="168">
        <f t="shared" si="24"/>
        <v>3500</v>
      </c>
      <c r="AG317" s="168">
        <f t="shared" si="25"/>
        <v>0</v>
      </c>
    </row>
    <row r="318" spans="30:33">
      <c r="AD318" s="168">
        <f t="shared" si="24"/>
        <v>3500</v>
      </c>
      <c r="AG318" s="168">
        <f t="shared" si="25"/>
        <v>0</v>
      </c>
    </row>
    <row r="319" spans="30:33">
      <c r="AD319" s="168">
        <f t="shared" si="24"/>
        <v>3500</v>
      </c>
      <c r="AG319" s="168">
        <f t="shared" si="25"/>
        <v>0</v>
      </c>
    </row>
    <row r="320" spans="30:33">
      <c r="AD320" s="168">
        <f t="shared" si="24"/>
        <v>3500</v>
      </c>
      <c r="AG320" s="168">
        <f t="shared" si="25"/>
        <v>0</v>
      </c>
    </row>
    <row r="321" spans="30:33">
      <c r="AD321" s="168">
        <f t="shared" si="24"/>
        <v>3500</v>
      </c>
      <c r="AG321" s="168">
        <f t="shared" si="25"/>
        <v>0</v>
      </c>
    </row>
    <row r="322" spans="30:33">
      <c r="AD322" s="168">
        <f t="shared" ref="AD322:AD385" si="27">I322 + MAX(0, I322 - AA322) + 3500</f>
        <v>3500</v>
      </c>
      <c r="AG322" s="168">
        <f t="shared" ref="AG322:AG368" si="28">I322 + MAX(0, I322 - AD322)</f>
        <v>0</v>
      </c>
    </row>
    <row r="323" spans="30:33">
      <c r="AD323" s="168">
        <f t="shared" si="27"/>
        <v>3500</v>
      </c>
      <c r="AG323" s="168">
        <f t="shared" si="28"/>
        <v>0</v>
      </c>
    </row>
    <row r="324" spans="30:33">
      <c r="AD324" s="168">
        <f t="shared" si="27"/>
        <v>3500</v>
      </c>
      <c r="AG324" s="168">
        <f t="shared" si="28"/>
        <v>0</v>
      </c>
    </row>
    <row r="325" spans="30:33">
      <c r="AD325" s="168">
        <f t="shared" si="27"/>
        <v>3500</v>
      </c>
      <c r="AG325" s="168">
        <f t="shared" si="28"/>
        <v>0</v>
      </c>
    </row>
    <row r="326" spans="30:33">
      <c r="AD326" s="168">
        <f t="shared" si="27"/>
        <v>3500</v>
      </c>
      <c r="AG326" s="168">
        <f t="shared" si="28"/>
        <v>0</v>
      </c>
    </row>
    <row r="327" spans="30:33">
      <c r="AD327" s="168">
        <f t="shared" si="27"/>
        <v>3500</v>
      </c>
      <c r="AG327" s="168">
        <f t="shared" si="28"/>
        <v>0</v>
      </c>
    </row>
    <row r="328" spans="30:33">
      <c r="AD328" s="168">
        <f t="shared" si="27"/>
        <v>3500</v>
      </c>
      <c r="AG328" s="168">
        <f t="shared" si="28"/>
        <v>0</v>
      </c>
    </row>
    <row r="329" spans="30:33">
      <c r="AD329" s="168">
        <f t="shared" si="27"/>
        <v>3500</v>
      </c>
      <c r="AG329" s="168">
        <f t="shared" si="28"/>
        <v>0</v>
      </c>
    </row>
    <row r="330" spans="30:33">
      <c r="AD330" s="168">
        <f t="shared" si="27"/>
        <v>3500</v>
      </c>
      <c r="AG330" s="168">
        <f t="shared" si="28"/>
        <v>0</v>
      </c>
    </row>
    <row r="331" spans="30:33">
      <c r="AD331" s="168">
        <f t="shared" si="27"/>
        <v>3500</v>
      </c>
      <c r="AG331" s="168">
        <f t="shared" si="28"/>
        <v>0</v>
      </c>
    </row>
    <row r="332" spans="30:33">
      <c r="AD332" s="168">
        <f t="shared" si="27"/>
        <v>3500</v>
      </c>
      <c r="AG332" s="168">
        <f t="shared" si="28"/>
        <v>0</v>
      </c>
    </row>
    <row r="333" spans="30:33">
      <c r="AD333" s="168">
        <f t="shared" si="27"/>
        <v>3500</v>
      </c>
      <c r="AG333" s="168">
        <f t="shared" si="28"/>
        <v>0</v>
      </c>
    </row>
    <row r="334" spans="30:33">
      <c r="AD334" s="168">
        <f t="shared" si="27"/>
        <v>3500</v>
      </c>
      <c r="AG334" s="168">
        <f t="shared" si="28"/>
        <v>0</v>
      </c>
    </row>
    <row r="335" spans="30:33">
      <c r="AD335" s="168">
        <f t="shared" si="27"/>
        <v>3500</v>
      </c>
      <c r="AG335" s="168">
        <f t="shared" si="28"/>
        <v>0</v>
      </c>
    </row>
    <row r="336" spans="30:33">
      <c r="AD336" s="168">
        <f t="shared" si="27"/>
        <v>3500</v>
      </c>
      <c r="AG336" s="168">
        <f t="shared" si="28"/>
        <v>0</v>
      </c>
    </row>
    <row r="337" spans="30:33">
      <c r="AD337" s="168">
        <f t="shared" si="27"/>
        <v>3500</v>
      </c>
      <c r="AG337" s="168">
        <f t="shared" si="28"/>
        <v>0</v>
      </c>
    </row>
    <row r="338" spans="30:33">
      <c r="AD338" s="168">
        <f t="shared" si="27"/>
        <v>3500</v>
      </c>
      <c r="AG338" s="168">
        <f t="shared" si="28"/>
        <v>0</v>
      </c>
    </row>
    <row r="339" spans="30:33">
      <c r="AD339" s="168">
        <f t="shared" si="27"/>
        <v>3500</v>
      </c>
      <c r="AG339" s="168">
        <f t="shared" si="28"/>
        <v>0</v>
      </c>
    </row>
    <row r="340" spans="30:33">
      <c r="AD340" s="168">
        <f t="shared" si="27"/>
        <v>3500</v>
      </c>
      <c r="AG340" s="168">
        <f t="shared" si="28"/>
        <v>0</v>
      </c>
    </row>
    <row r="341" spans="30:33">
      <c r="AD341" s="168">
        <f t="shared" si="27"/>
        <v>3500</v>
      </c>
      <c r="AG341" s="168">
        <f t="shared" si="28"/>
        <v>0</v>
      </c>
    </row>
    <row r="342" spans="30:33">
      <c r="AD342" s="168">
        <f t="shared" si="27"/>
        <v>3500</v>
      </c>
      <c r="AG342" s="168">
        <f t="shared" si="28"/>
        <v>0</v>
      </c>
    </row>
    <row r="343" spans="30:33">
      <c r="AD343" s="168">
        <f t="shared" si="27"/>
        <v>3500</v>
      </c>
      <c r="AG343" s="168">
        <f t="shared" si="28"/>
        <v>0</v>
      </c>
    </row>
    <row r="344" spans="30:33">
      <c r="AD344" s="168">
        <f t="shared" si="27"/>
        <v>3500</v>
      </c>
      <c r="AG344" s="168">
        <f t="shared" si="28"/>
        <v>0</v>
      </c>
    </row>
    <row r="345" spans="30:33">
      <c r="AD345" s="168">
        <f t="shared" si="27"/>
        <v>3500</v>
      </c>
      <c r="AG345" s="168">
        <f t="shared" si="28"/>
        <v>0</v>
      </c>
    </row>
    <row r="346" spans="30:33">
      <c r="AD346" s="168">
        <f t="shared" si="27"/>
        <v>3500</v>
      </c>
      <c r="AG346" s="168">
        <f t="shared" si="28"/>
        <v>0</v>
      </c>
    </row>
    <row r="347" spans="30:33">
      <c r="AD347" s="168">
        <f t="shared" si="27"/>
        <v>3500</v>
      </c>
      <c r="AG347" s="168">
        <f t="shared" si="28"/>
        <v>0</v>
      </c>
    </row>
    <row r="348" spans="30:33">
      <c r="AD348" s="168">
        <f t="shared" si="27"/>
        <v>3500</v>
      </c>
      <c r="AG348" s="168">
        <f t="shared" si="28"/>
        <v>0</v>
      </c>
    </row>
    <row r="349" spans="30:33">
      <c r="AD349" s="168">
        <f t="shared" si="27"/>
        <v>3500</v>
      </c>
      <c r="AG349" s="168">
        <f t="shared" si="28"/>
        <v>0</v>
      </c>
    </row>
    <row r="350" spans="30:33">
      <c r="AD350" s="168">
        <f t="shared" si="27"/>
        <v>3500</v>
      </c>
      <c r="AG350" s="168">
        <f t="shared" si="28"/>
        <v>0</v>
      </c>
    </row>
    <row r="351" spans="30:33">
      <c r="AD351" s="168">
        <f t="shared" si="27"/>
        <v>3500</v>
      </c>
      <c r="AG351" s="168">
        <f t="shared" si="28"/>
        <v>0</v>
      </c>
    </row>
    <row r="352" spans="30:33">
      <c r="AD352" s="168">
        <f t="shared" si="27"/>
        <v>3500</v>
      </c>
      <c r="AG352" s="168">
        <f t="shared" si="28"/>
        <v>0</v>
      </c>
    </row>
    <row r="353" spans="30:33">
      <c r="AD353" s="168">
        <f t="shared" si="27"/>
        <v>3500</v>
      </c>
      <c r="AG353" s="168">
        <f t="shared" si="28"/>
        <v>0</v>
      </c>
    </row>
    <row r="354" spans="30:33">
      <c r="AD354" s="168">
        <f t="shared" si="27"/>
        <v>3500</v>
      </c>
      <c r="AG354" s="168">
        <f t="shared" si="28"/>
        <v>0</v>
      </c>
    </row>
    <row r="355" spans="30:33">
      <c r="AD355" s="168">
        <f t="shared" si="27"/>
        <v>3500</v>
      </c>
      <c r="AG355" s="168">
        <f t="shared" si="28"/>
        <v>0</v>
      </c>
    </row>
    <row r="356" spans="30:33">
      <c r="AD356" s="168">
        <f t="shared" si="27"/>
        <v>3500</v>
      </c>
      <c r="AG356" s="168">
        <f t="shared" si="28"/>
        <v>0</v>
      </c>
    </row>
    <row r="357" spans="30:33">
      <c r="AD357" s="168">
        <f t="shared" si="27"/>
        <v>3500</v>
      </c>
      <c r="AG357" s="168">
        <f t="shared" si="28"/>
        <v>0</v>
      </c>
    </row>
    <row r="358" spans="30:33">
      <c r="AD358" s="168">
        <f t="shared" si="27"/>
        <v>3500</v>
      </c>
      <c r="AG358" s="168">
        <f t="shared" si="28"/>
        <v>0</v>
      </c>
    </row>
    <row r="359" spans="30:33">
      <c r="AD359" s="168">
        <f t="shared" si="27"/>
        <v>3500</v>
      </c>
      <c r="AG359" s="168">
        <f t="shared" si="28"/>
        <v>0</v>
      </c>
    </row>
    <row r="360" spans="30:33">
      <c r="AD360" s="168">
        <f t="shared" si="27"/>
        <v>3500</v>
      </c>
      <c r="AG360" s="168">
        <f t="shared" si="28"/>
        <v>0</v>
      </c>
    </row>
    <row r="361" spans="30:33">
      <c r="AD361" s="168">
        <f t="shared" si="27"/>
        <v>3500</v>
      </c>
      <c r="AG361" s="168">
        <f t="shared" si="28"/>
        <v>0</v>
      </c>
    </row>
    <row r="362" spans="30:33">
      <c r="AD362" s="168">
        <f t="shared" si="27"/>
        <v>3500</v>
      </c>
      <c r="AG362" s="168">
        <f t="shared" si="28"/>
        <v>0</v>
      </c>
    </row>
    <row r="363" spans="30:33">
      <c r="AD363" s="168">
        <f t="shared" si="27"/>
        <v>3500</v>
      </c>
      <c r="AG363" s="168">
        <f t="shared" si="28"/>
        <v>0</v>
      </c>
    </row>
    <row r="364" spans="30:33">
      <c r="AD364" s="168">
        <f t="shared" si="27"/>
        <v>3500</v>
      </c>
      <c r="AG364" s="168">
        <f t="shared" si="28"/>
        <v>0</v>
      </c>
    </row>
    <row r="365" spans="30:33">
      <c r="AD365" s="168">
        <f t="shared" si="27"/>
        <v>3500</v>
      </c>
      <c r="AG365" s="168">
        <f t="shared" si="28"/>
        <v>0</v>
      </c>
    </row>
    <row r="366" spans="30:33">
      <c r="AD366" s="168">
        <f t="shared" si="27"/>
        <v>3500</v>
      </c>
      <c r="AG366" s="168">
        <f t="shared" si="28"/>
        <v>0</v>
      </c>
    </row>
    <row r="367" spans="30:33">
      <c r="AD367" s="168">
        <f t="shared" si="27"/>
        <v>3500</v>
      </c>
      <c r="AG367" s="168">
        <f t="shared" si="28"/>
        <v>0</v>
      </c>
    </row>
    <row r="368" spans="30:33">
      <c r="AD368" s="168">
        <f t="shared" si="27"/>
        <v>3500</v>
      </c>
      <c r="AG368" s="168">
        <f t="shared" si="28"/>
        <v>0</v>
      </c>
    </row>
    <row r="369" spans="30:30">
      <c r="AD369" s="168">
        <f t="shared" si="27"/>
        <v>3500</v>
      </c>
    </row>
    <row r="370" spans="30:30">
      <c r="AD370" s="168">
        <f t="shared" si="27"/>
        <v>3500</v>
      </c>
    </row>
    <row r="371" spans="30:30">
      <c r="AD371" s="168">
        <f t="shared" si="27"/>
        <v>3500</v>
      </c>
    </row>
    <row r="372" spans="30:30">
      <c r="AD372" s="168">
        <f t="shared" si="27"/>
        <v>3500</v>
      </c>
    </row>
    <row r="373" spans="30:30">
      <c r="AD373" s="168">
        <f t="shared" si="27"/>
        <v>3500</v>
      </c>
    </row>
    <row r="374" spans="30:30">
      <c r="AD374" s="168">
        <f t="shared" si="27"/>
        <v>3500</v>
      </c>
    </row>
    <row r="375" spans="30:30">
      <c r="AD375" s="168">
        <f t="shared" si="27"/>
        <v>3500</v>
      </c>
    </row>
    <row r="376" spans="30:30">
      <c r="AD376" s="168">
        <f t="shared" si="27"/>
        <v>3500</v>
      </c>
    </row>
    <row r="377" spans="30:30">
      <c r="AD377" s="168">
        <f t="shared" si="27"/>
        <v>3500</v>
      </c>
    </row>
    <row r="378" spans="30:30">
      <c r="AD378" s="168">
        <f t="shared" si="27"/>
        <v>3500</v>
      </c>
    </row>
    <row r="379" spans="30:30">
      <c r="AD379" s="168">
        <f t="shared" si="27"/>
        <v>3500</v>
      </c>
    </row>
    <row r="380" spans="30:30">
      <c r="AD380" s="168">
        <f t="shared" si="27"/>
        <v>3500</v>
      </c>
    </row>
    <row r="381" spans="30:30">
      <c r="AD381" s="168">
        <f t="shared" si="27"/>
        <v>3500</v>
      </c>
    </row>
    <row r="382" spans="30:30">
      <c r="AD382" s="168">
        <f t="shared" si="27"/>
        <v>3500</v>
      </c>
    </row>
    <row r="383" spans="30:30">
      <c r="AD383" s="168">
        <f t="shared" si="27"/>
        <v>3500</v>
      </c>
    </row>
    <row r="384" spans="30:30">
      <c r="AD384" s="168">
        <f t="shared" si="27"/>
        <v>3500</v>
      </c>
    </row>
    <row r="385" spans="30:30">
      <c r="AD385" s="168">
        <f t="shared" si="27"/>
        <v>3500</v>
      </c>
    </row>
    <row r="386" spans="30:30">
      <c r="AD386" s="168">
        <f t="shared" ref="AD386:AD449" si="29">I386 + MAX(0, I386 - AA386) + 3500</f>
        <v>3500</v>
      </c>
    </row>
    <row r="387" spans="30:30">
      <c r="AD387" s="168">
        <f t="shared" si="29"/>
        <v>3500</v>
      </c>
    </row>
    <row r="388" spans="30:30">
      <c r="AD388" s="168">
        <f t="shared" si="29"/>
        <v>3500</v>
      </c>
    </row>
    <row r="389" spans="30:30">
      <c r="AD389" s="168">
        <f t="shared" si="29"/>
        <v>3500</v>
      </c>
    </row>
    <row r="390" spans="30:30">
      <c r="AD390" s="168">
        <f t="shared" si="29"/>
        <v>3500</v>
      </c>
    </row>
    <row r="391" spans="30:30">
      <c r="AD391" s="168">
        <f t="shared" si="29"/>
        <v>3500</v>
      </c>
    </row>
    <row r="392" spans="30:30">
      <c r="AD392" s="168">
        <f t="shared" si="29"/>
        <v>3500</v>
      </c>
    </row>
    <row r="393" spans="30:30">
      <c r="AD393" s="168">
        <f t="shared" si="29"/>
        <v>3500</v>
      </c>
    </row>
    <row r="394" spans="30:30">
      <c r="AD394" s="168">
        <f t="shared" si="29"/>
        <v>3500</v>
      </c>
    </row>
    <row r="395" spans="30:30">
      <c r="AD395" s="168">
        <f t="shared" si="29"/>
        <v>3500</v>
      </c>
    </row>
    <row r="396" spans="30:30">
      <c r="AD396" s="168">
        <f t="shared" si="29"/>
        <v>3500</v>
      </c>
    </row>
    <row r="397" spans="30:30">
      <c r="AD397" s="168">
        <f t="shared" si="29"/>
        <v>3500</v>
      </c>
    </row>
    <row r="398" spans="30:30">
      <c r="AD398" s="168">
        <f t="shared" si="29"/>
        <v>3500</v>
      </c>
    </row>
    <row r="399" spans="30:30">
      <c r="AD399" s="168">
        <f t="shared" si="29"/>
        <v>3500</v>
      </c>
    </row>
    <row r="400" spans="30:30">
      <c r="AD400" s="168">
        <f t="shared" si="29"/>
        <v>3500</v>
      </c>
    </row>
    <row r="401" spans="30:30">
      <c r="AD401" s="168">
        <f t="shared" si="29"/>
        <v>3500</v>
      </c>
    </row>
    <row r="402" spans="30:30">
      <c r="AD402" s="168">
        <f t="shared" si="29"/>
        <v>3500</v>
      </c>
    </row>
    <row r="403" spans="30:30">
      <c r="AD403" s="168">
        <f t="shared" si="29"/>
        <v>3500</v>
      </c>
    </row>
    <row r="404" spans="30:30">
      <c r="AD404" s="168">
        <f t="shared" si="29"/>
        <v>3500</v>
      </c>
    </row>
    <row r="405" spans="30:30">
      <c r="AD405" s="168">
        <f t="shared" si="29"/>
        <v>3500</v>
      </c>
    </row>
    <row r="406" spans="30:30">
      <c r="AD406" s="168">
        <f t="shared" si="29"/>
        <v>3500</v>
      </c>
    </row>
    <row r="407" spans="30:30">
      <c r="AD407" s="168">
        <f t="shared" si="29"/>
        <v>3500</v>
      </c>
    </row>
    <row r="408" spans="30:30">
      <c r="AD408" s="168">
        <f t="shared" si="29"/>
        <v>3500</v>
      </c>
    </row>
    <row r="409" spans="30:30">
      <c r="AD409" s="168">
        <f t="shared" si="29"/>
        <v>3500</v>
      </c>
    </row>
    <row r="410" spans="30:30">
      <c r="AD410" s="168">
        <f t="shared" si="29"/>
        <v>3500</v>
      </c>
    </row>
    <row r="411" spans="30:30">
      <c r="AD411" s="168">
        <f t="shared" si="29"/>
        <v>3500</v>
      </c>
    </row>
    <row r="412" spans="30:30">
      <c r="AD412" s="168">
        <f t="shared" si="29"/>
        <v>3500</v>
      </c>
    </row>
    <row r="413" spans="30:30">
      <c r="AD413" s="168">
        <f t="shared" si="29"/>
        <v>3500</v>
      </c>
    </row>
    <row r="414" spans="30:30">
      <c r="AD414" s="168">
        <f t="shared" si="29"/>
        <v>3500</v>
      </c>
    </row>
    <row r="415" spans="30:30">
      <c r="AD415" s="168">
        <f t="shared" si="29"/>
        <v>3500</v>
      </c>
    </row>
    <row r="416" spans="30:30">
      <c r="AD416" s="168">
        <f t="shared" si="29"/>
        <v>3500</v>
      </c>
    </row>
    <row r="417" spans="30:30">
      <c r="AD417" s="168">
        <f t="shared" si="29"/>
        <v>3500</v>
      </c>
    </row>
    <row r="418" spans="30:30">
      <c r="AD418" s="168">
        <f t="shared" si="29"/>
        <v>3500</v>
      </c>
    </row>
    <row r="419" spans="30:30">
      <c r="AD419" s="168">
        <f t="shared" si="29"/>
        <v>3500</v>
      </c>
    </row>
    <row r="420" spans="30:30">
      <c r="AD420" s="168">
        <f t="shared" si="29"/>
        <v>3500</v>
      </c>
    </row>
    <row r="421" spans="30:30">
      <c r="AD421" s="168">
        <f t="shared" si="29"/>
        <v>3500</v>
      </c>
    </row>
    <row r="422" spans="30:30">
      <c r="AD422" s="168">
        <f t="shared" si="29"/>
        <v>3500</v>
      </c>
    </row>
    <row r="423" spans="30:30">
      <c r="AD423" s="168">
        <f t="shared" si="29"/>
        <v>3500</v>
      </c>
    </row>
    <row r="424" spans="30:30">
      <c r="AD424" s="168">
        <f t="shared" si="29"/>
        <v>3500</v>
      </c>
    </row>
    <row r="425" spans="30:30">
      <c r="AD425" s="168">
        <f t="shared" si="29"/>
        <v>3500</v>
      </c>
    </row>
    <row r="426" spans="30:30">
      <c r="AD426" s="168">
        <f t="shared" si="29"/>
        <v>3500</v>
      </c>
    </row>
    <row r="427" spans="30:30">
      <c r="AD427" s="168">
        <f t="shared" si="29"/>
        <v>3500</v>
      </c>
    </row>
    <row r="428" spans="30:30">
      <c r="AD428" s="168">
        <f t="shared" si="29"/>
        <v>3500</v>
      </c>
    </row>
    <row r="429" spans="30:30">
      <c r="AD429" s="168">
        <f t="shared" si="29"/>
        <v>3500</v>
      </c>
    </row>
    <row r="430" spans="30:30">
      <c r="AD430" s="168">
        <f t="shared" si="29"/>
        <v>3500</v>
      </c>
    </row>
    <row r="431" spans="30:30">
      <c r="AD431" s="168">
        <f t="shared" si="29"/>
        <v>3500</v>
      </c>
    </row>
    <row r="432" spans="30:30">
      <c r="AD432" s="168">
        <f t="shared" si="29"/>
        <v>3500</v>
      </c>
    </row>
    <row r="433" spans="30:30">
      <c r="AD433" s="168">
        <f t="shared" si="29"/>
        <v>3500</v>
      </c>
    </row>
    <row r="434" spans="30:30">
      <c r="AD434" s="168">
        <f t="shared" si="29"/>
        <v>3500</v>
      </c>
    </row>
    <row r="435" spans="30:30">
      <c r="AD435" s="168">
        <f t="shared" si="29"/>
        <v>3500</v>
      </c>
    </row>
    <row r="436" spans="30:30">
      <c r="AD436" s="168">
        <f t="shared" si="29"/>
        <v>3500</v>
      </c>
    </row>
    <row r="437" spans="30:30">
      <c r="AD437" s="168">
        <f t="shared" si="29"/>
        <v>3500</v>
      </c>
    </row>
    <row r="438" spans="30:30">
      <c r="AD438" s="168">
        <f t="shared" si="29"/>
        <v>3500</v>
      </c>
    </row>
    <row r="439" spans="30:30">
      <c r="AD439" s="168">
        <f t="shared" si="29"/>
        <v>3500</v>
      </c>
    </row>
    <row r="440" spans="30:30">
      <c r="AD440" s="168">
        <f t="shared" si="29"/>
        <v>3500</v>
      </c>
    </row>
    <row r="441" spans="30:30">
      <c r="AD441" s="168">
        <f t="shared" si="29"/>
        <v>3500</v>
      </c>
    </row>
    <row r="442" spans="30:30">
      <c r="AD442" s="168">
        <f t="shared" si="29"/>
        <v>3500</v>
      </c>
    </row>
    <row r="443" spans="30:30">
      <c r="AD443" s="168">
        <f t="shared" si="29"/>
        <v>3500</v>
      </c>
    </row>
    <row r="444" spans="30:30">
      <c r="AD444" s="168">
        <f t="shared" si="29"/>
        <v>3500</v>
      </c>
    </row>
    <row r="445" spans="30:30">
      <c r="AD445" s="168">
        <f t="shared" si="29"/>
        <v>3500</v>
      </c>
    </row>
    <row r="446" spans="30:30">
      <c r="AD446" s="168">
        <f t="shared" si="29"/>
        <v>3500</v>
      </c>
    </row>
    <row r="447" spans="30:30">
      <c r="AD447" s="168">
        <f t="shared" si="29"/>
        <v>3500</v>
      </c>
    </row>
    <row r="448" spans="30:30">
      <c r="AD448" s="168">
        <f t="shared" si="29"/>
        <v>3500</v>
      </c>
    </row>
    <row r="449" spans="30:30">
      <c r="AD449" s="168">
        <f t="shared" si="29"/>
        <v>3500</v>
      </c>
    </row>
    <row r="450" spans="30:30">
      <c r="AD450" s="168">
        <f t="shared" ref="AD450:AD513" si="30">I450 + MAX(0, I450 - AA450) + 3500</f>
        <v>3500</v>
      </c>
    </row>
    <row r="451" spans="30:30">
      <c r="AD451" s="168">
        <f t="shared" si="30"/>
        <v>3500</v>
      </c>
    </row>
    <row r="452" spans="30:30">
      <c r="AD452" s="168">
        <f t="shared" si="30"/>
        <v>3500</v>
      </c>
    </row>
    <row r="453" spans="30:30">
      <c r="AD453" s="168">
        <f t="shared" si="30"/>
        <v>3500</v>
      </c>
    </row>
    <row r="454" spans="30:30">
      <c r="AD454" s="168">
        <f t="shared" si="30"/>
        <v>3500</v>
      </c>
    </row>
    <row r="455" spans="30:30">
      <c r="AD455" s="168">
        <f t="shared" si="30"/>
        <v>3500</v>
      </c>
    </row>
    <row r="456" spans="30:30">
      <c r="AD456" s="168">
        <f t="shared" si="30"/>
        <v>3500</v>
      </c>
    </row>
    <row r="457" spans="30:30">
      <c r="AD457" s="168">
        <f t="shared" si="30"/>
        <v>3500</v>
      </c>
    </row>
    <row r="458" spans="30:30">
      <c r="AD458" s="168">
        <f t="shared" si="30"/>
        <v>3500</v>
      </c>
    </row>
    <row r="459" spans="30:30">
      <c r="AD459" s="168">
        <f t="shared" si="30"/>
        <v>3500</v>
      </c>
    </row>
    <row r="460" spans="30:30">
      <c r="AD460" s="168">
        <f t="shared" si="30"/>
        <v>3500</v>
      </c>
    </row>
    <row r="461" spans="30:30">
      <c r="AD461" s="168">
        <f t="shared" si="30"/>
        <v>3500</v>
      </c>
    </row>
    <row r="462" spans="30:30">
      <c r="AD462" s="168">
        <f t="shared" si="30"/>
        <v>3500</v>
      </c>
    </row>
    <row r="463" spans="30:30">
      <c r="AD463" s="168">
        <f t="shared" si="30"/>
        <v>3500</v>
      </c>
    </row>
    <row r="464" spans="30:30">
      <c r="AD464" s="168">
        <f t="shared" si="30"/>
        <v>3500</v>
      </c>
    </row>
    <row r="465" spans="30:30">
      <c r="AD465" s="168">
        <f t="shared" si="30"/>
        <v>3500</v>
      </c>
    </row>
    <row r="466" spans="30:30">
      <c r="AD466" s="168">
        <f t="shared" si="30"/>
        <v>3500</v>
      </c>
    </row>
    <row r="467" spans="30:30">
      <c r="AD467" s="168">
        <f t="shared" si="30"/>
        <v>3500</v>
      </c>
    </row>
    <row r="468" spans="30:30">
      <c r="AD468" s="168">
        <f t="shared" si="30"/>
        <v>3500</v>
      </c>
    </row>
    <row r="469" spans="30:30">
      <c r="AD469" s="168">
        <f t="shared" si="30"/>
        <v>3500</v>
      </c>
    </row>
    <row r="470" spans="30:30">
      <c r="AD470" s="168">
        <f t="shared" si="30"/>
        <v>3500</v>
      </c>
    </row>
    <row r="471" spans="30:30">
      <c r="AD471" s="168">
        <f t="shared" si="30"/>
        <v>3500</v>
      </c>
    </row>
    <row r="472" spans="30:30">
      <c r="AD472" s="168">
        <f t="shared" si="30"/>
        <v>3500</v>
      </c>
    </row>
    <row r="473" spans="30:30">
      <c r="AD473" s="168">
        <f t="shared" si="30"/>
        <v>3500</v>
      </c>
    </row>
    <row r="474" spans="30:30">
      <c r="AD474" s="168">
        <f t="shared" si="30"/>
        <v>3500</v>
      </c>
    </row>
    <row r="475" spans="30:30">
      <c r="AD475" s="168">
        <f t="shared" si="30"/>
        <v>3500</v>
      </c>
    </row>
    <row r="476" spans="30:30">
      <c r="AD476" s="168">
        <f t="shared" si="30"/>
        <v>3500</v>
      </c>
    </row>
    <row r="477" spans="30:30">
      <c r="AD477" s="168">
        <f t="shared" si="30"/>
        <v>3500</v>
      </c>
    </row>
    <row r="478" spans="30:30">
      <c r="AD478" s="168">
        <f t="shared" si="30"/>
        <v>3500</v>
      </c>
    </row>
    <row r="479" spans="30:30">
      <c r="AD479" s="168">
        <f t="shared" si="30"/>
        <v>3500</v>
      </c>
    </row>
    <row r="480" spans="30:30">
      <c r="AD480" s="168">
        <f t="shared" si="30"/>
        <v>3500</v>
      </c>
    </row>
    <row r="481" spans="30:30">
      <c r="AD481" s="168">
        <f t="shared" si="30"/>
        <v>3500</v>
      </c>
    </row>
    <row r="482" spans="30:30">
      <c r="AD482" s="168">
        <f t="shared" si="30"/>
        <v>3500</v>
      </c>
    </row>
    <row r="483" spans="30:30">
      <c r="AD483" s="168">
        <f t="shared" si="30"/>
        <v>3500</v>
      </c>
    </row>
    <row r="484" spans="30:30">
      <c r="AD484" s="168">
        <f t="shared" si="30"/>
        <v>3500</v>
      </c>
    </row>
    <row r="485" spans="30:30">
      <c r="AD485" s="168">
        <f t="shared" si="30"/>
        <v>3500</v>
      </c>
    </row>
    <row r="486" spans="30:30">
      <c r="AD486" s="168">
        <f t="shared" si="30"/>
        <v>3500</v>
      </c>
    </row>
    <row r="487" spans="30:30">
      <c r="AD487" s="168">
        <f t="shared" si="30"/>
        <v>3500</v>
      </c>
    </row>
    <row r="488" spans="30:30">
      <c r="AD488" s="168">
        <f t="shared" si="30"/>
        <v>3500</v>
      </c>
    </row>
    <row r="489" spans="30:30">
      <c r="AD489" s="168">
        <f t="shared" si="30"/>
        <v>3500</v>
      </c>
    </row>
    <row r="490" spans="30:30">
      <c r="AD490" s="168">
        <f t="shared" si="30"/>
        <v>3500</v>
      </c>
    </row>
    <row r="491" spans="30:30">
      <c r="AD491" s="168">
        <f t="shared" si="30"/>
        <v>3500</v>
      </c>
    </row>
    <row r="492" spans="30:30">
      <c r="AD492" s="168">
        <f t="shared" si="30"/>
        <v>3500</v>
      </c>
    </row>
    <row r="493" spans="30:30">
      <c r="AD493" s="168">
        <f t="shared" si="30"/>
        <v>3500</v>
      </c>
    </row>
    <row r="494" spans="30:30">
      <c r="AD494" s="168">
        <f t="shared" si="30"/>
        <v>3500</v>
      </c>
    </row>
    <row r="495" spans="30:30">
      <c r="AD495" s="168">
        <f t="shared" si="30"/>
        <v>3500</v>
      </c>
    </row>
    <row r="496" spans="30:30">
      <c r="AD496" s="168">
        <f t="shared" si="30"/>
        <v>3500</v>
      </c>
    </row>
    <row r="497" spans="30:30">
      <c r="AD497" s="168">
        <f t="shared" si="30"/>
        <v>3500</v>
      </c>
    </row>
    <row r="498" spans="30:30">
      <c r="AD498" s="168">
        <f t="shared" si="30"/>
        <v>3500</v>
      </c>
    </row>
    <row r="499" spans="30:30">
      <c r="AD499" s="168">
        <f t="shared" si="30"/>
        <v>3500</v>
      </c>
    </row>
    <row r="500" spans="30:30">
      <c r="AD500" s="168">
        <f t="shared" si="30"/>
        <v>3500</v>
      </c>
    </row>
    <row r="501" spans="30:30">
      <c r="AD501" s="168">
        <f t="shared" si="30"/>
        <v>3500</v>
      </c>
    </row>
    <row r="502" spans="30:30">
      <c r="AD502" s="168">
        <f t="shared" si="30"/>
        <v>3500</v>
      </c>
    </row>
    <row r="503" spans="30:30">
      <c r="AD503" s="168">
        <f t="shared" si="30"/>
        <v>3500</v>
      </c>
    </row>
    <row r="504" spans="30:30">
      <c r="AD504" s="168">
        <f t="shared" si="30"/>
        <v>3500</v>
      </c>
    </row>
    <row r="505" spans="30:30">
      <c r="AD505" s="168">
        <f t="shared" si="30"/>
        <v>3500</v>
      </c>
    </row>
    <row r="506" spans="30:30">
      <c r="AD506" s="168">
        <f t="shared" si="30"/>
        <v>3500</v>
      </c>
    </row>
    <row r="507" spans="30:30">
      <c r="AD507" s="168">
        <f t="shared" si="30"/>
        <v>3500</v>
      </c>
    </row>
    <row r="508" spans="30:30">
      <c r="AD508" s="168">
        <f t="shared" si="30"/>
        <v>3500</v>
      </c>
    </row>
    <row r="509" spans="30:30">
      <c r="AD509" s="168">
        <f t="shared" si="30"/>
        <v>3500</v>
      </c>
    </row>
    <row r="510" spans="30:30">
      <c r="AD510" s="168">
        <f t="shared" si="30"/>
        <v>3500</v>
      </c>
    </row>
    <row r="511" spans="30:30">
      <c r="AD511" s="168">
        <f t="shared" si="30"/>
        <v>3500</v>
      </c>
    </row>
    <row r="512" spans="30:30">
      <c r="AD512" s="168">
        <f t="shared" si="30"/>
        <v>3500</v>
      </c>
    </row>
    <row r="513" spans="30:30">
      <c r="AD513" s="168">
        <f t="shared" si="30"/>
        <v>3500</v>
      </c>
    </row>
    <row r="514" spans="30:30">
      <c r="AD514" s="168">
        <f t="shared" ref="AD514:AD577" si="31">I514 + MAX(0, I514 - AA514) + 3500</f>
        <v>3500</v>
      </c>
    </row>
    <row r="515" spans="30:30">
      <c r="AD515" s="168">
        <f t="shared" si="31"/>
        <v>3500</v>
      </c>
    </row>
    <row r="516" spans="30:30">
      <c r="AD516" s="168">
        <f t="shared" si="31"/>
        <v>3500</v>
      </c>
    </row>
    <row r="517" spans="30:30">
      <c r="AD517" s="168">
        <f t="shared" si="31"/>
        <v>3500</v>
      </c>
    </row>
    <row r="518" spans="30:30">
      <c r="AD518" s="168">
        <f t="shared" si="31"/>
        <v>3500</v>
      </c>
    </row>
    <row r="519" spans="30:30">
      <c r="AD519" s="168">
        <f t="shared" si="31"/>
        <v>3500</v>
      </c>
    </row>
    <row r="520" spans="30:30">
      <c r="AD520" s="168">
        <f t="shared" si="31"/>
        <v>3500</v>
      </c>
    </row>
    <row r="521" spans="30:30">
      <c r="AD521" s="168">
        <f t="shared" si="31"/>
        <v>3500</v>
      </c>
    </row>
    <row r="522" spans="30:30">
      <c r="AD522" s="168">
        <f t="shared" si="31"/>
        <v>3500</v>
      </c>
    </row>
    <row r="523" spans="30:30">
      <c r="AD523" s="168">
        <f t="shared" si="31"/>
        <v>3500</v>
      </c>
    </row>
    <row r="524" spans="30:30">
      <c r="AD524" s="168">
        <f t="shared" si="31"/>
        <v>3500</v>
      </c>
    </row>
    <row r="525" spans="30:30">
      <c r="AD525" s="168">
        <f t="shared" si="31"/>
        <v>3500</v>
      </c>
    </row>
    <row r="526" spans="30:30">
      <c r="AD526" s="168">
        <f t="shared" si="31"/>
        <v>3500</v>
      </c>
    </row>
    <row r="527" spans="30:30">
      <c r="AD527" s="168">
        <f t="shared" si="31"/>
        <v>3500</v>
      </c>
    </row>
    <row r="528" spans="30:30">
      <c r="AD528" s="168">
        <f t="shared" si="31"/>
        <v>3500</v>
      </c>
    </row>
    <row r="529" spans="30:30">
      <c r="AD529" s="168">
        <f t="shared" si="31"/>
        <v>3500</v>
      </c>
    </row>
    <row r="530" spans="30:30">
      <c r="AD530" s="168">
        <f t="shared" si="31"/>
        <v>3500</v>
      </c>
    </row>
    <row r="531" spans="30:30">
      <c r="AD531" s="168">
        <f t="shared" si="31"/>
        <v>3500</v>
      </c>
    </row>
    <row r="532" spans="30:30">
      <c r="AD532" s="168">
        <f t="shared" si="31"/>
        <v>3500</v>
      </c>
    </row>
    <row r="533" spans="30:30">
      <c r="AD533" s="168">
        <f t="shared" si="31"/>
        <v>3500</v>
      </c>
    </row>
    <row r="534" spans="30:30">
      <c r="AD534" s="168">
        <f t="shared" si="31"/>
        <v>3500</v>
      </c>
    </row>
    <row r="535" spans="30:30">
      <c r="AD535" s="168">
        <f t="shared" si="31"/>
        <v>3500</v>
      </c>
    </row>
    <row r="536" spans="30:30">
      <c r="AD536" s="168">
        <f t="shared" si="31"/>
        <v>3500</v>
      </c>
    </row>
    <row r="537" spans="30:30">
      <c r="AD537" s="168">
        <f t="shared" si="31"/>
        <v>3500</v>
      </c>
    </row>
    <row r="538" spans="30:30">
      <c r="AD538" s="168">
        <f t="shared" si="31"/>
        <v>3500</v>
      </c>
    </row>
    <row r="539" spans="30:30">
      <c r="AD539" s="168">
        <f t="shared" si="31"/>
        <v>3500</v>
      </c>
    </row>
    <row r="540" spans="30:30">
      <c r="AD540" s="168">
        <f t="shared" si="31"/>
        <v>3500</v>
      </c>
    </row>
    <row r="541" spans="30:30">
      <c r="AD541" s="168">
        <f t="shared" si="31"/>
        <v>3500</v>
      </c>
    </row>
    <row r="542" spans="30:30">
      <c r="AD542" s="168">
        <f t="shared" si="31"/>
        <v>3500</v>
      </c>
    </row>
    <row r="543" spans="30:30">
      <c r="AD543" s="168">
        <f t="shared" si="31"/>
        <v>3500</v>
      </c>
    </row>
    <row r="544" spans="30:30">
      <c r="AD544" s="168">
        <f t="shared" si="31"/>
        <v>3500</v>
      </c>
    </row>
    <row r="545" spans="30:30">
      <c r="AD545" s="168">
        <f t="shared" si="31"/>
        <v>3500</v>
      </c>
    </row>
    <row r="546" spans="30:30">
      <c r="AD546" s="168">
        <f t="shared" si="31"/>
        <v>3500</v>
      </c>
    </row>
    <row r="547" spans="30:30">
      <c r="AD547" s="168">
        <f t="shared" si="31"/>
        <v>3500</v>
      </c>
    </row>
    <row r="548" spans="30:30">
      <c r="AD548" s="168">
        <f t="shared" si="31"/>
        <v>3500</v>
      </c>
    </row>
    <row r="549" spans="30:30">
      <c r="AD549" s="168">
        <f t="shared" si="31"/>
        <v>3500</v>
      </c>
    </row>
    <row r="550" spans="30:30">
      <c r="AD550" s="168">
        <f t="shared" si="31"/>
        <v>3500</v>
      </c>
    </row>
    <row r="551" spans="30:30">
      <c r="AD551" s="168">
        <f t="shared" si="31"/>
        <v>3500</v>
      </c>
    </row>
    <row r="552" spans="30:30">
      <c r="AD552" s="168">
        <f t="shared" si="31"/>
        <v>3500</v>
      </c>
    </row>
    <row r="553" spans="30:30">
      <c r="AD553" s="168">
        <f t="shared" si="31"/>
        <v>3500</v>
      </c>
    </row>
    <row r="554" spans="30:30">
      <c r="AD554" s="168">
        <f t="shared" si="31"/>
        <v>3500</v>
      </c>
    </row>
    <row r="555" spans="30:30">
      <c r="AD555" s="168">
        <f t="shared" si="31"/>
        <v>3500</v>
      </c>
    </row>
    <row r="556" spans="30:30">
      <c r="AD556" s="168">
        <f t="shared" si="31"/>
        <v>3500</v>
      </c>
    </row>
    <row r="557" spans="30:30">
      <c r="AD557" s="168">
        <f t="shared" si="31"/>
        <v>3500</v>
      </c>
    </row>
    <row r="558" spans="30:30">
      <c r="AD558" s="168">
        <f t="shared" si="31"/>
        <v>3500</v>
      </c>
    </row>
    <row r="559" spans="30:30">
      <c r="AD559" s="168">
        <f t="shared" si="31"/>
        <v>3500</v>
      </c>
    </row>
    <row r="560" spans="30:30">
      <c r="AD560" s="168">
        <f t="shared" si="31"/>
        <v>3500</v>
      </c>
    </row>
    <row r="561" spans="30:30">
      <c r="AD561" s="168">
        <f t="shared" si="31"/>
        <v>3500</v>
      </c>
    </row>
    <row r="562" spans="30:30">
      <c r="AD562" s="168">
        <f t="shared" si="31"/>
        <v>3500</v>
      </c>
    </row>
    <row r="563" spans="30:30">
      <c r="AD563" s="168">
        <f t="shared" si="31"/>
        <v>3500</v>
      </c>
    </row>
    <row r="564" spans="30:30">
      <c r="AD564" s="168">
        <f t="shared" si="31"/>
        <v>3500</v>
      </c>
    </row>
    <row r="565" spans="30:30">
      <c r="AD565" s="168">
        <f t="shared" si="31"/>
        <v>3500</v>
      </c>
    </row>
    <row r="566" spans="30:30">
      <c r="AD566" s="168">
        <f t="shared" si="31"/>
        <v>3500</v>
      </c>
    </row>
    <row r="567" spans="30:30">
      <c r="AD567" s="168">
        <f t="shared" si="31"/>
        <v>3500</v>
      </c>
    </row>
    <row r="568" spans="30:30">
      <c r="AD568" s="168">
        <f t="shared" si="31"/>
        <v>3500</v>
      </c>
    </row>
    <row r="569" spans="30:30">
      <c r="AD569" s="168">
        <f t="shared" si="31"/>
        <v>3500</v>
      </c>
    </row>
    <row r="570" spans="30:30">
      <c r="AD570" s="168">
        <f t="shared" si="31"/>
        <v>3500</v>
      </c>
    </row>
    <row r="571" spans="30:30">
      <c r="AD571" s="168">
        <f t="shared" si="31"/>
        <v>3500</v>
      </c>
    </row>
    <row r="572" spans="30:30">
      <c r="AD572" s="168">
        <f t="shared" si="31"/>
        <v>3500</v>
      </c>
    </row>
    <row r="573" spans="30:30">
      <c r="AD573" s="168">
        <f t="shared" si="31"/>
        <v>3500</v>
      </c>
    </row>
    <row r="574" spans="30:30">
      <c r="AD574" s="168">
        <f t="shared" si="31"/>
        <v>3500</v>
      </c>
    </row>
    <row r="575" spans="30:30">
      <c r="AD575" s="168">
        <f t="shared" si="31"/>
        <v>3500</v>
      </c>
    </row>
    <row r="576" spans="30:30">
      <c r="AD576" s="168">
        <f t="shared" si="31"/>
        <v>3500</v>
      </c>
    </row>
    <row r="577" spans="30:30">
      <c r="AD577" s="168">
        <f t="shared" si="31"/>
        <v>3500</v>
      </c>
    </row>
    <row r="578" spans="30:30">
      <c r="AD578" s="168">
        <f t="shared" ref="AD578:AD641" si="32">I578 + MAX(0, I578 - AA578) + 3500</f>
        <v>3500</v>
      </c>
    </row>
    <row r="579" spans="30:30">
      <c r="AD579" s="168">
        <f t="shared" si="32"/>
        <v>3500</v>
      </c>
    </row>
    <row r="580" spans="30:30">
      <c r="AD580" s="168">
        <f t="shared" si="32"/>
        <v>3500</v>
      </c>
    </row>
    <row r="581" spans="30:30">
      <c r="AD581" s="168">
        <f t="shared" si="32"/>
        <v>3500</v>
      </c>
    </row>
    <row r="582" spans="30:30">
      <c r="AD582" s="168">
        <f t="shared" si="32"/>
        <v>3500</v>
      </c>
    </row>
    <row r="583" spans="30:30">
      <c r="AD583" s="168">
        <f t="shared" si="32"/>
        <v>3500</v>
      </c>
    </row>
    <row r="584" spans="30:30">
      <c r="AD584" s="168">
        <f t="shared" si="32"/>
        <v>3500</v>
      </c>
    </row>
    <row r="585" spans="30:30">
      <c r="AD585" s="168">
        <f t="shared" si="32"/>
        <v>3500</v>
      </c>
    </row>
    <row r="586" spans="30:30">
      <c r="AD586" s="168">
        <f t="shared" si="32"/>
        <v>3500</v>
      </c>
    </row>
    <row r="587" spans="30:30">
      <c r="AD587" s="168">
        <f t="shared" si="32"/>
        <v>3500</v>
      </c>
    </row>
    <row r="588" spans="30:30">
      <c r="AD588" s="168">
        <f t="shared" si="32"/>
        <v>3500</v>
      </c>
    </row>
    <row r="589" spans="30:30">
      <c r="AD589" s="168">
        <f t="shared" si="32"/>
        <v>3500</v>
      </c>
    </row>
    <row r="590" spans="30:30">
      <c r="AD590" s="168">
        <f t="shared" si="32"/>
        <v>3500</v>
      </c>
    </row>
    <row r="591" spans="30:30">
      <c r="AD591" s="168">
        <f t="shared" si="32"/>
        <v>3500</v>
      </c>
    </row>
    <row r="592" spans="30:30">
      <c r="AD592" s="168">
        <f t="shared" si="32"/>
        <v>3500</v>
      </c>
    </row>
    <row r="593" spans="30:30">
      <c r="AD593" s="168">
        <f t="shared" si="32"/>
        <v>3500</v>
      </c>
    </row>
    <row r="594" spans="30:30">
      <c r="AD594" s="168">
        <f t="shared" si="32"/>
        <v>3500</v>
      </c>
    </row>
    <row r="595" spans="30:30">
      <c r="AD595" s="168">
        <f t="shared" si="32"/>
        <v>3500</v>
      </c>
    </row>
    <row r="596" spans="30:30">
      <c r="AD596" s="168">
        <f t="shared" si="32"/>
        <v>3500</v>
      </c>
    </row>
    <row r="597" spans="30:30">
      <c r="AD597" s="168">
        <f t="shared" si="32"/>
        <v>3500</v>
      </c>
    </row>
    <row r="598" spans="30:30">
      <c r="AD598" s="168">
        <f t="shared" si="32"/>
        <v>3500</v>
      </c>
    </row>
    <row r="599" spans="30:30">
      <c r="AD599" s="168">
        <f t="shared" si="32"/>
        <v>3500</v>
      </c>
    </row>
    <row r="600" spans="30:30">
      <c r="AD600" s="168">
        <f t="shared" si="32"/>
        <v>3500</v>
      </c>
    </row>
    <row r="601" spans="30:30">
      <c r="AD601" s="168">
        <f t="shared" si="32"/>
        <v>3500</v>
      </c>
    </row>
    <row r="602" spans="30:30">
      <c r="AD602" s="168">
        <f t="shared" si="32"/>
        <v>3500</v>
      </c>
    </row>
    <row r="603" spans="30:30">
      <c r="AD603" s="168">
        <f t="shared" si="32"/>
        <v>3500</v>
      </c>
    </row>
    <row r="604" spans="30:30">
      <c r="AD604" s="168">
        <f t="shared" si="32"/>
        <v>3500</v>
      </c>
    </row>
    <row r="605" spans="30:30">
      <c r="AD605" s="168">
        <f t="shared" si="32"/>
        <v>3500</v>
      </c>
    </row>
    <row r="606" spans="30:30">
      <c r="AD606" s="168">
        <f t="shared" si="32"/>
        <v>3500</v>
      </c>
    </row>
    <row r="607" spans="30:30">
      <c r="AD607" s="168">
        <f t="shared" si="32"/>
        <v>3500</v>
      </c>
    </row>
    <row r="608" spans="30:30">
      <c r="AD608" s="168">
        <f t="shared" si="32"/>
        <v>3500</v>
      </c>
    </row>
    <row r="609" spans="30:30">
      <c r="AD609" s="168">
        <f t="shared" si="32"/>
        <v>3500</v>
      </c>
    </row>
    <row r="610" spans="30:30">
      <c r="AD610" s="168">
        <f t="shared" si="32"/>
        <v>3500</v>
      </c>
    </row>
    <row r="611" spans="30:30">
      <c r="AD611" s="168">
        <f t="shared" si="32"/>
        <v>3500</v>
      </c>
    </row>
    <row r="612" spans="30:30">
      <c r="AD612" s="168">
        <f t="shared" si="32"/>
        <v>3500</v>
      </c>
    </row>
    <row r="613" spans="30:30">
      <c r="AD613" s="168">
        <f t="shared" si="32"/>
        <v>3500</v>
      </c>
    </row>
    <row r="614" spans="30:30">
      <c r="AD614" s="168">
        <f t="shared" si="32"/>
        <v>3500</v>
      </c>
    </row>
    <row r="615" spans="30:30">
      <c r="AD615" s="168">
        <f t="shared" si="32"/>
        <v>3500</v>
      </c>
    </row>
    <row r="616" spans="30:30">
      <c r="AD616" s="168">
        <f t="shared" si="32"/>
        <v>3500</v>
      </c>
    </row>
    <row r="617" spans="30:30">
      <c r="AD617" s="168">
        <f t="shared" si="32"/>
        <v>3500</v>
      </c>
    </row>
    <row r="618" spans="30:30">
      <c r="AD618" s="168">
        <f t="shared" si="32"/>
        <v>3500</v>
      </c>
    </row>
    <row r="619" spans="30:30">
      <c r="AD619" s="168">
        <f t="shared" si="32"/>
        <v>3500</v>
      </c>
    </row>
    <row r="620" spans="30:30">
      <c r="AD620" s="168">
        <f t="shared" si="32"/>
        <v>3500</v>
      </c>
    </row>
    <row r="621" spans="30:30">
      <c r="AD621" s="168">
        <f t="shared" si="32"/>
        <v>3500</v>
      </c>
    </row>
    <row r="622" spans="30:30">
      <c r="AD622" s="168">
        <f t="shared" si="32"/>
        <v>3500</v>
      </c>
    </row>
    <row r="623" spans="30:30">
      <c r="AD623" s="168">
        <f t="shared" si="32"/>
        <v>3500</v>
      </c>
    </row>
    <row r="624" spans="30:30">
      <c r="AD624" s="168">
        <f t="shared" si="32"/>
        <v>3500</v>
      </c>
    </row>
    <row r="625" spans="30:30">
      <c r="AD625" s="168">
        <f t="shared" si="32"/>
        <v>3500</v>
      </c>
    </row>
    <row r="626" spans="30:30">
      <c r="AD626" s="168">
        <f t="shared" si="32"/>
        <v>3500</v>
      </c>
    </row>
    <row r="627" spans="30:30">
      <c r="AD627" s="168">
        <f t="shared" si="32"/>
        <v>3500</v>
      </c>
    </row>
    <row r="628" spans="30:30">
      <c r="AD628" s="168">
        <f t="shared" si="32"/>
        <v>3500</v>
      </c>
    </row>
    <row r="629" spans="30:30">
      <c r="AD629" s="168">
        <f t="shared" si="32"/>
        <v>3500</v>
      </c>
    </row>
    <row r="630" spans="30:30">
      <c r="AD630" s="168">
        <f t="shared" si="32"/>
        <v>3500</v>
      </c>
    </row>
    <row r="631" spans="30:30">
      <c r="AD631" s="168">
        <f t="shared" si="32"/>
        <v>3500</v>
      </c>
    </row>
    <row r="632" spans="30:30">
      <c r="AD632" s="168">
        <f t="shared" si="32"/>
        <v>3500</v>
      </c>
    </row>
    <row r="633" spans="30:30">
      <c r="AD633" s="168">
        <f t="shared" si="32"/>
        <v>3500</v>
      </c>
    </row>
    <row r="634" spans="30:30">
      <c r="AD634" s="168">
        <f t="shared" si="32"/>
        <v>3500</v>
      </c>
    </row>
    <row r="635" spans="30:30">
      <c r="AD635" s="168">
        <f t="shared" si="32"/>
        <v>3500</v>
      </c>
    </row>
    <row r="636" spans="30:30">
      <c r="AD636" s="168">
        <f t="shared" si="32"/>
        <v>3500</v>
      </c>
    </row>
    <row r="637" spans="30:30">
      <c r="AD637" s="168">
        <f t="shared" si="32"/>
        <v>3500</v>
      </c>
    </row>
    <row r="638" spans="30:30">
      <c r="AD638" s="168">
        <f t="shared" si="32"/>
        <v>3500</v>
      </c>
    </row>
    <row r="639" spans="30:30">
      <c r="AD639" s="168">
        <f t="shared" si="32"/>
        <v>3500</v>
      </c>
    </row>
    <row r="640" spans="30:30">
      <c r="AD640" s="168">
        <f t="shared" si="32"/>
        <v>3500</v>
      </c>
    </row>
    <row r="641" spans="30:30">
      <c r="AD641" s="168">
        <f t="shared" si="32"/>
        <v>3500</v>
      </c>
    </row>
    <row r="642" spans="30:30">
      <c r="AD642" s="168">
        <f t="shared" ref="AD642:AD705" si="33">I642 + MAX(0, I642 - AA642) + 3500</f>
        <v>3500</v>
      </c>
    </row>
    <row r="643" spans="30:30">
      <c r="AD643" s="168">
        <f t="shared" si="33"/>
        <v>3500</v>
      </c>
    </row>
    <row r="644" spans="30:30">
      <c r="AD644" s="168">
        <f t="shared" si="33"/>
        <v>3500</v>
      </c>
    </row>
    <row r="645" spans="30:30">
      <c r="AD645" s="168">
        <f t="shared" si="33"/>
        <v>3500</v>
      </c>
    </row>
    <row r="646" spans="30:30">
      <c r="AD646" s="168">
        <f t="shared" si="33"/>
        <v>3500</v>
      </c>
    </row>
    <row r="647" spans="30:30">
      <c r="AD647" s="168">
        <f t="shared" si="33"/>
        <v>3500</v>
      </c>
    </row>
    <row r="648" spans="30:30">
      <c r="AD648" s="168">
        <f t="shared" si="33"/>
        <v>3500</v>
      </c>
    </row>
    <row r="649" spans="30:30">
      <c r="AD649" s="168">
        <f t="shared" si="33"/>
        <v>3500</v>
      </c>
    </row>
    <row r="650" spans="30:30">
      <c r="AD650" s="168">
        <f t="shared" si="33"/>
        <v>3500</v>
      </c>
    </row>
    <row r="651" spans="30:30">
      <c r="AD651" s="168">
        <f t="shared" si="33"/>
        <v>3500</v>
      </c>
    </row>
    <row r="652" spans="30:30">
      <c r="AD652" s="168">
        <f t="shared" si="33"/>
        <v>3500</v>
      </c>
    </row>
    <row r="653" spans="30:30">
      <c r="AD653" s="168">
        <f t="shared" si="33"/>
        <v>3500</v>
      </c>
    </row>
    <row r="654" spans="30:30">
      <c r="AD654" s="168">
        <f t="shared" si="33"/>
        <v>3500</v>
      </c>
    </row>
    <row r="655" spans="30:30">
      <c r="AD655" s="168">
        <f t="shared" si="33"/>
        <v>3500</v>
      </c>
    </row>
    <row r="656" spans="30:30">
      <c r="AD656" s="168">
        <f t="shared" si="33"/>
        <v>3500</v>
      </c>
    </row>
    <row r="657" spans="30:30">
      <c r="AD657" s="168">
        <f t="shared" si="33"/>
        <v>3500</v>
      </c>
    </row>
    <row r="658" spans="30:30">
      <c r="AD658" s="168">
        <f t="shared" si="33"/>
        <v>3500</v>
      </c>
    </row>
    <row r="659" spans="30:30">
      <c r="AD659" s="168">
        <f t="shared" si="33"/>
        <v>3500</v>
      </c>
    </row>
    <row r="660" spans="30:30">
      <c r="AD660" s="168">
        <f t="shared" si="33"/>
        <v>3500</v>
      </c>
    </row>
    <row r="661" spans="30:30">
      <c r="AD661" s="168">
        <f t="shared" si="33"/>
        <v>3500</v>
      </c>
    </row>
    <row r="662" spans="30:30">
      <c r="AD662" s="168">
        <f t="shared" si="33"/>
        <v>3500</v>
      </c>
    </row>
    <row r="663" spans="30:30">
      <c r="AD663" s="168">
        <f t="shared" si="33"/>
        <v>3500</v>
      </c>
    </row>
    <row r="664" spans="30:30">
      <c r="AD664" s="168">
        <f t="shared" si="33"/>
        <v>3500</v>
      </c>
    </row>
    <row r="665" spans="30:30">
      <c r="AD665" s="168">
        <f t="shared" si="33"/>
        <v>3500</v>
      </c>
    </row>
    <row r="666" spans="30:30">
      <c r="AD666" s="168">
        <f t="shared" si="33"/>
        <v>3500</v>
      </c>
    </row>
    <row r="667" spans="30:30">
      <c r="AD667" s="168">
        <f t="shared" si="33"/>
        <v>3500</v>
      </c>
    </row>
    <row r="668" spans="30:30">
      <c r="AD668" s="168">
        <f t="shared" si="33"/>
        <v>3500</v>
      </c>
    </row>
    <row r="669" spans="30:30">
      <c r="AD669" s="168">
        <f t="shared" si="33"/>
        <v>3500</v>
      </c>
    </row>
    <row r="670" spans="30:30">
      <c r="AD670" s="168">
        <f t="shared" si="33"/>
        <v>3500</v>
      </c>
    </row>
    <row r="671" spans="30:30">
      <c r="AD671" s="168">
        <f t="shared" si="33"/>
        <v>3500</v>
      </c>
    </row>
    <row r="672" spans="30:30">
      <c r="AD672" s="168">
        <f t="shared" si="33"/>
        <v>3500</v>
      </c>
    </row>
    <row r="673" spans="30:30">
      <c r="AD673" s="168">
        <f t="shared" si="33"/>
        <v>3500</v>
      </c>
    </row>
    <row r="674" spans="30:30">
      <c r="AD674" s="168">
        <f t="shared" si="33"/>
        <v>3500</v>
      </c>
    </row>
    <row r="675" spans="30:30">
      <c r="AD675" s="168">
        <f t="shared" si="33"/>
        <v>3500</v>
      </c>
    </row>
    <row r="676" spans="30:30">
      <c r="AD676" s="168">
        <f t="shared" si="33"/>
        <v>3500</v>
      </c>
    </row>
    <row r="677" spans="30:30">
      <c r="AD677" s="168">
        <f t="shared" si="33"/>
        <v>3500</v>
      </c>
    </row>
    <row r="678" spans="30:30">
      <c r="AD678" s="168">
        <f t="shared" si="33"/>
        <v>3500</v>
      </c>
    </row>
    <row r="679" spans="30:30">
      <c r="AD679" s="168">
        <f t="shared" si="33"/>
        <v>3500</v>
      </c>
    </row>
    <row r="680" spans="30:30">
      <c r="AD680" s="168">
        <f t="shared" si="33"/>
        <v>3500</v>
      </c>
    </row>
    <row r="681" spans="30:30">
      <c r="AD681" s="168">
        <f t="shared" si="33"/>
        <v>3500</v>
      </c>
    </row>
    <row r="682" spans="30:30">
      <c r="AD682" s="168">
        <f t="shared" si="33"/>
        <v>3500</v>
      </c>
    </row>
    <row r="683" spans="30:30">
      <c r="AD683" s="168">
        <f t="shared" si="33"/>
        <v>3500</v>
      </c>
    </row>
    <row r="684" spans="30:30">
      <c r="AD684" s="168">
        <f t="shared" si="33"/>
        <v>3500</v>
      </c>
    </row>
    <row r="685" spans="30:30">
      <c r="AD685" s="168">
        <f t="shared" si="33"/>
        <v>3500</v>
      </c>
    </row>
    <row r="686" spans="30:30">
      <c r="AD686" s="168">
        <f t="shared" si="33"/>
        <v>3500</v>
      </c>
    </row>
    <row r="687" spans="30:30">
      <c r="AD687" s="168">
        <f t="shared" si="33"/>
        <v>3500</v>
      </c>
    </row>
    <row r="688" spans="30:30">
      <c r="AD688" s="168">
        <f t="shared" si="33"/>
        <v>3500</v>
      </c>
    </row>
    <row r="689" spans="30:30">
      <c r="AD689" s="168">
        <f t="shared" si="33"/>
        <v>3500</v>
      </c>
    </row>
    <row r="690" spans="30:30">
      <c r="AD690" s="168">
        <f t="shared" si="33"/>
        <v>3500</v>
      </c>
    </row>
    <row r="691" spans="30:30">
      <c r="AD691" s="168">
        <f t="shared" si="33"/>
        <v>3500</v>
      </c>
    </row>
    <row r="692" spans="30:30">
      <c r="AD692" s="168">
        <f t="shared" si="33"/>
        <v>3500</v>
      </c>
    </row>
    <row r="693" spans="30:30">
      <c r="AD693" s="168">
        <f t="shared" si="33"/>
        <v>3500</v>
      </c>
    </row>
    <row r="694" spans="30:30">
      <c r="AD694" s="168">
        <f t="shared" si="33"/>
        <v>3500</v>
      </c>
    </row>
    <row r="695" spans="30:30">
      <c r="AD695" s="168">
        <f t="shared" si="33"/>
        <v>3500</v>
      </c>
    </row>
    <row r="696" spans="30:30">
      <c r="AD696" s="168">
        <f t="shared" si="33"/>
        <v>3500</v>
      </c>
    </row>
    <row r="697" spans="30:30">
      <c r="AD697" s="168">
        <f t="shared" si="33"/>
        <v>3500</v>
      </c>
    </row>
    <row r="698" spans="30:30">
      <c r="AD698" s="168">
        <f t="shared" si="33"/>
        <v>3500</v>
      </c>
    </row>
    <row r="699" spans="30:30">
      <c r="AD699" s="168">
        <f t="shared" si="33"/>
        <v>3500</v>
      </c>
    </row>
    <row r="700" spans="30:30">
      <c r="AD700" s="168">
        <f t="shared" si="33"/>
        <v>3500</v>
      </c>
    </row>
    <row r="701" spans="30:30">
      <c r="AD701" s="168">
        <f t="shared" si="33"/>
        <v>3500</v>
      </c>
    </row>
    <row r="702" spans="30:30">
      <c r="AD702" s="168">
        <f t="shared" si="33"/>
        <v>3500</v>
      </c>
    </row>
    <row r="703" spans="30:30">
      <c r="AD703" s="168">
        <f t="shared" si="33"/>
        <v>3500</v>
      </c>
    </row>
    <row r="704" spans="30:30">
      <c r="AD704" s="168">
        <f t="shared" si="33"/>
        <v>3500</v>
      </c>
    </row>
    <row r="705" spans="30:30">
      <c r="AD705" s="168">
        <f t="shared" si="33"/>
        <v>3500</v>
      </c>
    </row>
    <row r="706" spans="30:30">
      <c r="AD706" s="168">
        <f t="shared" ref="AD706:AD769" si="34">I706 + MAX(0, I706 - AA706) + 3500</f>
        <v>3500</v>
      </c>
    </row>
    <row r="707" spans="30:30">
      <c r="AD707" s="168">
        <f t="shared" si="34"/>
        <v>3500</v>
      </c>
    </row>
    <row r="708" spans="30:30">
      <c r="AD708" s="168">
        <f t="shared" si="34"/>
        <v>3500</v>
      </c>
    </row>
    <row r="709" spans="30:30">
      <c r="AD709" s="168">
        <f t="shared" si="34"/>
        <v>3500</v>
      </c>
    </row>
    <row r="710" spans="30:30">
      <c r="AD710" s="168">
        <f t="shared" si="34"/>
        <v>3500</v>
      </c>
    </row>
    <row r="711" spans="30:30">
      <c r="AD711" s="168">
        <f t="shared" si="34"/>
        <v>3500</v>
      </c>
    </row>
    <row r="712" spans="30:30">
      <c r="AD712" s="168">
        <f t="shared" si="34"/>
        <v>3500</v>
      </c>
    </row>
    <row r="713" spans="30:30">
      <c r="AD713" s="168">
        <f t="shared" si="34"/>
        <v>3500</v>
      </c>
    </row>
    <row r="714" spans="30:30">
      <c r="AD714" s="168">
        <f t="shared" si="34"/>
        <v>3500</v>
      </c>
    </row>
    <row r="715" spans="30:30">
      <c r="AD715" s="168">
        <f t="shared" si="34"/>
        <v>3500</v>
      </c>
    </row>
    <row r="716" spans="30:30">
      <c r="AD716" s="168">
        <f t="shared" si="34"/>
        <v>3500</v>
      </c>
    </row>
    <row r="717" spans="30:30">
      <c r="AD717" s="168">
        <f t="shared" si="34"/>
        <v>3500</v>
      </c>
    </row>
    <row r="718" spans="30:30">
      <c r="AD718" s="168">
        <f t="shared" si="34"/>
        <v>3500</v>
      </c>
    </row>
    <row r="719" spans="30:30">
      <c r="AD719" s="168">
        <f t="shared" si="34"/>
        <v>3500</v>
      </c>
    </row>
    <row r="720" spans="30:30">
      <c r="AD720" s="168">
        <f t="shared" si="34"/>
        <v>3500</v>
      </c>
    </row>
    <row r="721" spans="30:30">
      <c r="AD721" s="168">
        <f t="shared" si="34"/>
        <v>3500</v>
      </c>
    </row>
    <row r="722" spans="30:30">
      <c r="AD722" s="168">
        <f t="shared" si="34"/>
        <v>3500</v>
      </c>
    </row>
    <row r="723" spans="30:30">
      <c r="AD723" s="168">
        <f t="shared" si="34"/>
        <v>3500</v>
      </c>
    </row>
    <row r="724" spans="30:30">
      <c r="AD724" s="168">
        <f t="shared" si="34"/>
        <v>3500</v>
      </c>
    </row>
    <row r="725" spans="30:30">
      <c r="AD725" s="168">
        <f t="shared" si="34"/>
        <v>3500</v>
      </c>
    </row>
    <row r="726" spans="30:30">
      <c r="AD726" s="168">
        <f t="shared" si="34"/>
        <v>3500</v>
      </c>
    </row>
    <row r="727" spans="30:30">
      <c r="AD727" s="168">
        <f t="shared" si="34"/>
        <v>3500</v>
      </c>
    </row>
    <row r="728" spans="30:30">
      <c r="AD728" s="168">
        <f t="shared" si="34"/>
        <v>3500</v>
      </c>
    </row>
    <row r="729" spans="30:30">
      <c r="AD729" s="168">
        <f t="shared" si="34"/>
        <v>3500</v>
      </c>
    </row>
    <row r="730" spans="30:30">
      <c r="AD730" s="168">
        <f t="shared" si="34"/>
        <v>3500</v>
      </c>
    </row>
    <row r="731" spans="30:30">
      <c r="AD731" s="168">
        <f t="shared" si="34"/>
        <v>3500</v>
      </c>
    </row>
    <row r="732" spans="30:30">
      <c r="AD732" s="168">
        <f t="shared" si="34"/>
        <v>3500</v>
      </c>
    </row>
    <row r="733" spans="30:30">
      <c r="AD733" s="168">
        <f t="shared" si="34"/>
        <v>3500</v>
      </c>
    </row>
    <row r="734" spans="30:30">
      <c r="AD734" s="168">
        <f t="shared" si="34"/>
        <v>3500</v>
      </c>
    </row>
    <row r="735" spans="30:30">
      <c r="AD735" s="168">
        <f t="shared" si="34"/>
        <v>3500</v>
      </c>
    </row>
    <row r="736" spans="30:30">
      <c r="AD736" s="168">
        <f t="shared" si="34"/>
        <v>3500</v>
      </c>
    </row>
    <row r="737" spans="30:30">
      <c r="AD737" s="168">
        <f t="shared" si="34"/>
        <v>3500</v>
      </c>
    </row>
    <row r="738" spans="30:30">
      <c r="AD738" s="168">
        <f t="shared" si="34"/>
        <v>3500</v>
      </c>
    </row>
    <row r="739" spans="30:30">
      <c r="AD739" s="168">
        <f t="shared" si="34"/>
        <v>3500</v>
      </c>
    </row>
    <row r="740" spans="30:30">
      <c r="AD740" s="168">
        <f t="shared" si="34"/>
        <v>3500</v>
      </c>
    </row>
    <row r="741" spans="30:30">
      <c r="AD741" s="168">
        <f t="shared" si="34"/>
        <v>3500</v>
      </c>
    </row>
    <row r="742" spans="30:30">
      <c r="AD742" s="168">
        <f t="shared" si="34"/>
        <v>3500</v>
      </c>
    </row>
    <row r="743" spans="30:30">
      <c r="AD743" s="168">
        <f t="shared" si="34"/>
        <v>3500</v>
      </c>
    </row>
    <row r="744" spans="30:30">
      <c r="AD744" s="168">
        <f t="shared" si="34"/>
        <v>3500</v>
      </c>
    </row>
    <row r="745" spans="30:30">
      <c r="AD745" s="168">
        <f t="shared" si="34"/>
        <v>3500</v>
      </c>
    </row>
    <row r="746" spans="30:30">
      <c r="AD746" s="168">
        <f t="shared" si="34"/>
        <v>3500</v>
      </c>
    </row>
    <row r="747" spans="30:30">
      <c r="AD747" s="168">
        <f t="shared" si="34"/>
        <v>3500</v>
      </c>
    </row>
    <row r="748" spans="30:30">
      <c r="AD748" s="168">
        <f t="shared" si="34"/>
        <v>3500</v>
      </c>
    </row>
    <row r="749" spans="30:30">
      <c r="AD749" s="168">
        <f t="shared" si="34"/>
        <v>3500</v>
      </c>
    </row>
    <row r="750" spans="30:30">
      <c r="AD750" s="168">
        <f t="shared" si="34"/>
        <v>3500</v>
      </c>
    </row>
    <row r="751" spans="30:30">
      <c r="AD751" s="168">
        <f t="shared" si="34"/>
        <v>3500</v>
      </c>
    </row>
    <row r="752" spans="30:30">
      <c r="AD752" s="168">
        <f t="shared" si="34"/>
        <v>3500</v>
      </c>
    </row>
    <row r="753" spans="30:30">
      <c r="AD753" s="168">
        <f t="shared" si="34"/>
        <v>3500</v>
      </c>
    </row>
    <row r="754" spans="30:30">
      <c r="AD754" s="168">
        <f t="shared" si="34"/>
        <v>3500</v>
      </c>
    </row>
    <row r="755" spans="30:30">
      <c r="AD755" s="168">
        <f t="shared" si="34"/>
        <v>3500</v>
      </c>
    </row>
    <row r="756" spans="30:30">
      <c r="AD756" s="168">
        <f t="shared" si="34"/>
        <v>3500</v>
      </c>
    </row>
    <row r="757" spans="30:30">
      <c r="AD757" s="168">
        <f t="shared" si="34"/>
        <v>3500</v>
      </c>
    </row>
    <row r="758" spans="30:30">
      <c r="AD758" s="168">
        <f t="shared" si="34"/>
        <v>3500</v>
      </c>
    </row>
    <row r="759" spans="30:30">
      <c r="AD759" s="168">
        <f t="shared" si="34"/>
        <v>3500</v>
      </c>
    </row>
    <row r="760" spans="30:30">
      <c r="AD760" s="168">
        <f t="shared" si="34"/>
        <v>3500</v>
      </c>
    </row>
    <row r="761" spans="30:30">
      <c r="AD761" s="168">
        <f t="shared" si="34"/>
        <v>3500</v>
      </c>
    </row>
    <row r="762" spans="30:30">
      <c r="AD762" s="168">
        <f t="shared" si="34"/>
        <v>3500</v>
      </c>
    </row>
    <row r="763" spans="30:30">
      <c r="AD763" s="168">
        <f t="shared" si="34"/>
        <v>3500</v>
      </c>
    </row>
    <row r="764" spans="30:30">
      <c r="AD764" s="168">
        <f t="shared" si="34"/>
        <v>3500</v>
      </c>
    </row>
    <row r="765" spans="30:30">
      <c r="AD765" s="168">
        <f t="shared" si="34"/>
        <v>3500</v>
      </c>
    </row>
    <row r="766" spans="30:30">
      <c r="AD766" s="168">
        <f t="shared" si="34"/>
        <v>3500</v>
      </c>
    </row>
    <row r="767" spans="30:30">
      <c r="AD767" s="168">
        <f t="shared" si="34"/>
        <v>3500</v>
      </c>
    </row>
    <row r="768" spans="30:30">
      <c r="AD768" s="168">
        <f t="shared" si="34"/>
        <v>3500</v>
      </c>
    </row>
    <row r="769" spans="30:30">
      <c r="AD769" s="168">
        <f t="shared" si="34"/>
        <v>3500</v>
      </c>
    </row>
    <row r="770" spans="30:30">
      <c r="AD770" s="168">
        <f t="shared" ref="AD770:AD833" si="35">I770 + MAX(0, I770 - AA770) + 3500</f>
        <v>3500</v>
      </c>
    </row>
    <row r="771" spans="30:30">
      <c r="AD771" s="168">
        <f t="shared" si="35"/>
        <v>3500</v>
      </c>
    </row>
    <row r="772" spans="30:30">
      <c r="AD772" s="168">
        <f t="shared" si="35"/>
        <v>3500</v>
      </c>
    </row>
    <row r="773" spans="30:30">
      <c r="AD773" s="168">
        <f t="shared" si="35"/>
        <v>3500</v>
      </c>
    </row>
    <row r="774" spans="30:30">
      <c r="AD774" s="168">
        <f t="shared" si="35"/>
        <v>3500</v>
      </c>
    </row>
    <row r="775" spans="30:30">
      <c r="AD775" s="168">
        <f t="shared" si="35"/>
        <v>3500</v>
      </c>
    </row>
    <row r="776" spans="30:30">
      <c r="AD776" s="168">
        <f t="shared" si="35"/>
        <v>3500</v>
      </c>
    </row>
    <row r="777" spans="30:30">
      <c r="AD777" s="168">
        <f t="shared" si="35"/>
        <v>3500</v>
      </c>
    </row>
    <row r="778" spans="30:30">
      <c r="AD778" s="168">
        <f t="shared" si="35"/>
        <v>3500</v>
      </c>
    </row>
    <row r="779" spans="30:30">
      <c r="AD779" s="168">
        <f t="shared" si="35"/>
        <v>3500</v>
      </c>
    </row>
    <row r="780" spans="30:30">
      <c r="AD780" s="168">
        <f t="shared" si="35"/>
        <v>3500</v>
      </c>
    </row>
    <row r="781" spans="30:30">
      <c r="AD781" s="168">
        <f t="shared" si="35"/>
        <v>3500</v>
      </c>
    </row>
    <row r="782" spans="30:30">
      <c r="AD782" s="168">
        <f t="shared" si="35"/>
        <v>3500</v>
      </c>
    </row>
    <row r="783" spans="30:30">
      <c r="AD783" s="168">
        <f t="shared" si="35"/>
        <v>3500</v>
      </c>
    </row>
    <row r="784" spans="30:30">
      <c r="AD784" s="168">
        <f t="shared" si="35"/>
        <v>3500</v>
      </c>
    </row>
    <row r="785" spans="30:30">
      <c r="AD785" s="168">
        <f t="shared" si="35"/>
        <v>3500</v>
      </c>
    </row>
    <row r="786" spans="30:30">
      <c r="AD786" s="168">
        <f t="shared" si="35"/>
        <v>3500</v>
      </c>
    </row>
    <row r="787" spans="30:30">
      <c r="AD787" s="168">
        <f t="shared" si="35"/>
        <v>3500</v>
      </c>
    </row>
    <row r="788" spans="30:30">
      <c r="AD788" s="168">
        <f t="shared" si="35"/>
        <v>3500</v>
      </c>
    </row>
    <row r="789" spans="30:30">
      <c r="AD789" s="168">
        <f t="shared" si="35"/>
        <v>3500</v>
      </c>
    </row>
    <row r="790" spans="30:30">
      <c r="AD790" s="168">
        <f t="shared" si="35"/>
        <v>3500</v>
      </c>
    </row>
    <row r="791" spans="30:30">
      <c r="AD791" s="168">
        <f t="shared" si="35"/>
        <v>3500</v>
      </c>
    </row>
    <row r="792" spans="30:30">
      <c r="AD792" s="168">
        <f t="shared" si="35"/>
        <v>3500</v>
      </c>
    </row>
    <row r="793" spans="30:30">
      <c r="AD793" s="168">
        <f t="shared" si="35"/>
        <v>3500</v>
      </c>
    </row>
    <row r="794" spans="30:30">
      <c r="AD794" s="168">
        <f t="shared" si="35"/>
        <v>3500</v>
      </c>
    </row>
    <row r="795" spans="30:30">
      <c r="AD795" s="168">
        <f t="shared" si="35"/>
        <v>3500</v>
      </c>
    </row>
    <row r="796" spans="30:30">
      <c r="AD796" s="168">
        <f t="shared" si="35"/>
        <v>3500</v>
      </c>
    </row>
    <row r="797" spans="30:30">
      <c r="AD797" s="168">
        <f t="shared" si="35"/>
        <v>3500</v>
      </c>
    </row>
    <row r="798" spans="30:30">
      <c r="AD798" s="168">
        <f t="shared" si="35"/>
        <v>3500</v>
      </c>
    </row>
    <row r="799" spans="30:30">
      <c r="AD799" s="168">
        <f t="shared" si="35"/>
        <v>3500</v>
      </c>
    </row>
    <row r="800" spans="30:30">
      <c r="AD800" s="168">
        <f t="shared" si="35"/>
        <v>3500</v>
      </c>
    </row>
    <row r="801" spans="30:30">
      <c r="AD801" s="168">
        <f t="shared" si="35"/>
        <v>3500</v>
      </c>
    </row>
    <row r="802" spans="30:30">
      <c r="AD802" s="168">
        <f t="shared" si="35"/>
        <v>3500</v>
      </c>
    </row>
    <row r="803" spans="30:30">
      <c r="AD803" s="168">
        <f t="shared" si="35"/>
        <v>3500</v>
      </c>
    </row>
    <row r="804" spans="30:30">
      <c r="AD804" s="168">
        <f t="shared" si="35"/>
        <v>3500</v>
      </c>
    </row>
    <row r="805" spans="30:30">
      <c r="AD805" s="168">
        <f t="shared" si="35"/>
        <v>3500</v>
      </c>
    </row>
    <row r="806" spans="30:30">
      <c r="AD806" s="168">
        <f t="shared" si="35"/>
        <v>3500</v>
      </c>
    </row>
    <row r="807" spans="30:30">
      <c r="AD807" s="168">
        <f t="shared" si="35"/>
        <v>3500</v>
      </c>
    </row>
    <row r="808" spans="30:30">
      <c r="AD808" s="168">
        <f t="shared" si="35"/>
        <v>3500</v>
      </c>
    </row>
    <row r="809" spans="30:30">
      <c r="AD809" s="168">
        <f t="shared" si="35"/>
        <v>3500</v>
      </c>
    </row>
    <row r="810" spans="30:30">
      <c r="AD810" s="168">
        <f t="shared" si="35"/>
        <v>3500</v>
      </c>
    </row>
    <row r="811" spans="30:30">
      <c r="AD811" s="168">
        <f t="shared" si="35"/>
        <v>3500</v>
      </c>
    </row>
    <row r="812" spans="30:30">
      <c r="AD812" s="168">
        <f t="shared" si="35"/>
        <v>3500</v>
      </c>
    </row>
    <row r="813" spans="30:30">
      <c r="AD813" s="168">
        <f t="shared" si="35"/>
        <v>3500</v>
      </c>
    </row>
    <row r="814" spans="30:30">
      <c r="AD814" s="168">
        <f t="shared" si="35"/>
        <v>3500</v>
      </c>
    </row>
    <row r="815" spans="30:30">
      <c r="AD815" s="168">
        <f t="shared" si="35"/>
        <v>3500</v>
      </c>
    </row>
    <row r="816" spans="30:30">
      <c r="AD816" s="168">
        <f t="shared" si="35"/>
        <v>3500</v>
      </c>
    </row>
    <row r="817" spans="30:30">
      <c r="AD817" s="168">
        <f t="shared" si="35"/>
        <v>3500</v>
      </c>
    </row>
    <row r="818" spans="30:30">
      <c r="AD818" s="168">
        <f t="shared" si="35"/>
        <v>3500</v>
      </c>
    </row>
    <row r="819" spans="30:30">
      <c r="AD819" s="168">
        <f t="shared" si="35"/>
        <v>3500</v>
      </c>
    </row>
    <row r="820" spans="30:30">
      <c r="AD820" s="168">
        <f t="shared" si="35"/>
        <v>3500</v>
      </c>
    </row>
    <row r="821" spans="30:30">
      <c r="AD821" s="168">
        <f t="shared" si="35"/>
        <v>3500</v>
      </c>
    </row>
    <row r="822" spans="30:30">
      <c r="AD822" s="168">
        <f t="shared" si="35"/>
        <v>3500</v>
      </c>
    </row>
    <row r="823" spans="30:30">
      <c r="AD823" s="168">
        <f t="shared" si="35"/>
        <v>3500</v>
      </c>
    </row>
    <row r="824" spans="30:30">
      <c r="AD824" s="168">
        <f t="shared" si="35"/>
        <v>3500</v>
      </c>
    </row>
    <row r="825" spans="30:30">
      <c r="AD825" s="168">
        <f t="shared" si="35"/>
        <v>3500</v>
      </c>
    </row>
    <row r="826" spans="30:30">
      <c r="AD826" s="168">
        <f t="shared" si="35"/>
        <v>3500</v>
      </c>
    </row>
    <row r="827" spans="30:30">
      <c r="AD827" s="168">
        <f t="shared" si="35"/>
        <v>3500</v>
      </c>
    </row>
    <row r="828" spans="30:30">
      <c r="AD828" s="168">
        <f t="shared" si="35"/>
        <v>3500</v>
      </c>
    </row>
    <row r="829" spans="30:30">
      <c r="AD829" s="168">
        <f t="shared" si="35"/>
        <v>3500</v>
      </c>
    </row>
    <row r="830" spans="30:30">
      <c r="AD830" s="168">
        <f t="shared" si="35"/>
        <v>3500</v>
      </c>
    </row>
    <row r="831" spans="30:30">
      <c r="AD831" s="168">
        <f t="shared" si="35"/>
        <v>3500</v>
      </c>
    </row>
    <row r="832" spans="30:30">
      <c r="AD832" s="168">
        <f t="shared" si="35"/>
        <v>3500</v>
      </c>
    </row>
    <row r="833" spans="30:30">
      <c r="AD833" s="168">
        <f t="shared" si="35"/>
        <v>3500</v>
      </c>
    </row>
    <row r="834" spans="30:30">
      <c r="AD834" s="168">
        <f t="shared" ref="AD834:AD897" si="36">I834 + MAX(0, I834 - AA834) + 3500</f>
        <v>3500</v>
      </c>
    </row>
    <row r="835" spans="30:30">
      <c r="AD835" s="168">
        <f t="shared" si="36"/>
        <v>3500</v>
      </c>
    </row>
    <row r="836" spans="30:30">
      <c r="AD836" s="168">
        <f t="shared" si="36"/>
        <v>3500</v>
      </c>
    </row>
    <row r="837" spans="30:30">
      <c r="AD837" s="168">
        <f t="shared" si="36"/>
        <v>3500</v>
      </c>
    </row>
    <row r="838" spans="30:30">
      <c r="AD838" s="168">
        <f t="shared" si="36"/>
        <v>3500</v>
      </c>
    </row>
    <row r="839" spans="30:30">
      <c r="AD839" s="168">
        <f t="shared" si="36"/>
        <v>3500</v>
      </c>
    </row>
    <row r="840" spans="30:30">
      <c r="AD840" s="168">
        <f t="shared" si="36"/>
        <v>3500</v>
      </c>
    </row>
    <row r="841" spans="30:30">
      <c r="AD841" s="168">
        <f t="shared" si="36"/>
        <v>3500</v>
      </c>
    </row>
    <row r="842" spans="30:30">
      <c r="AD842" s="168">
        <f t="shared" si="36"/>
        <v>3500</v>
      </c>
    </row>
    <row r="843" spans="30:30">
      <c r="AD843" s="168">
        <f t="shared" si="36"/>
        <v>3500</v>
      </c>
    </row>
    <row r="844" spans="30:30">
      <c r="AD844" s="168">
        <f t="shared" si="36"/>
        <v>3500</v>
      </c>
    </row>
    <row r="845" spans="30:30">
      <c r="AD845" s="168">
        <f t="shared" si="36"/>
        <v>3500</v>
      </c>
    </row>
    <row r="846" spans="30:30">
      <c r="AD846" s="168">
        <f t="shared" si="36"/>
        <v>3500</v>
      </c>
    </row>
    <row r="847" spans="30:30">
      <c r="AD847" s="168">
        <f t="shared" si="36"/>
        <v>3500</v>
      </c>
    </row>
    <row r="848" spans="30:30">
      <c r="AD848" s="168">
        <f t="shared" si="36"/>
        <v>3500</v>
      </c>
    </row>
    <row r="849" spans="30:30">
      <c r="AD849" s="168">
        <f t="shared" si="36"/>
        <v>3500</v>
      </c>
    </row>
    <row r="850" spans="30:30">
      <c r="AD850" s="168">
        <f t="shared" si="36"/>
        <v>3500</v>
      </c>
    </row>
    <row r="851" spans="30:30">
      <c r="AD851" s="168">
        <f t="shared" si="36"/>
        <v>3500</v>
      </c>
    </row>
    <row r="852" spans="30:30">
      <c r="AD852" s="168">
        <f t="shared" si="36"/>
        <v>3500</v>
      </c>
    </row>
    <row r="853" spans="30:30">
      <c r="AD853" s="168">
        <f t="shared" si="36"/>
        <v>3500</v>
      </c>
    </row>
    <row r="854" spans="30:30">
      <c r="AD854" s="168">
        <f t="shared" si="36"/>
        <v>3500</v>
      </c>
    </row>
    <row r="855" spans="30:30">
      <c r="AD855" s="168">
        <f t="shared" si="36"/>
        <v>3500</v>
      </c>
    </row>
    <row r="856" spans="30:30">
      <c r="AD856" s="168">
        <f t="shared" si="36"/>
        <v>3500</v>
      </c>
    </row>
    <row r="857" spans="30:30">
      <c r="AD857" s="168">
        <f t="shared" si="36"/>
        <v>3500</v>
      </c>
    </row>
    <row r="858" spans="30:30">
      <c r="AD858" s="168">
        <f t="shared" si="36"/>
        <v>3500</v>
      </c>
    </row>
    <row r="859" spans="30:30">
      <c r="AD859" s="168">
        <f t="shared" si="36"/>
        <v>3500</v>
      </c>
    </row>
    <row r="860" spans="30:30">
      <c r="AD860" s="168">
        <f t="shared" si="36"/>
        <v>3500</v>
      </c>
    </row>
    <row r="861" spans="30:30">
      <c r="AD861" s="168">
        <f t="shared" si="36"/>
        <v>3500</v>
      </c>
    </row>
    <row r="862" spans="30:30">
      <c r="AD862" s="168">
        <f t="shared" si="36"/>
        <v>3500</v>
      </c>
    </row>
    <row r="863" spans="30:30">
      <c r="AD863" s="168">
        <f t="shared" si="36"/>
        <v>3500</v>
      </c>
    </row>
    <row r="864" spans="30:30">
      <c r="AD864" s="168">
        <f t="shared" si="36"/>
        <v>3500</v>
      </c>
    </row>
    <row r="865" spans="30:30">
      <c r="AD865" s="168">
        <f t="shared" si="36"/>
        <v>3500</v>
      </c>
    </row>
    <row r="866" spans="30:30">
      <c r="AD866" s="168">
        <f t="shared" si="36"/>
        <v>3500</v>
      </c>
    </row>
    <row r="867" spans="30:30">
      <c r="AD867" s="168">
        <f t="shared" si="36"/>
        <v>3500</v>
      </c>
    </row>
    <row r="868" spans="30:30">
      <c r="AD868" s="168">
        <f t="shared" si="36"/>
        <v>3500</v>
      </c>
    </row>
    <row r="869" spans="30:30">
      <c r="AD869" s="168">
        <f t="shared" si="36"/>
        <v>3500</v>
      </c>
    </row>
    <row r="870" spans="30:30">
      <c r="AD870" s="168">
        <f t="shared" si="36"/>
        <v>3500</v>
      </c>
    </row>
    <row r="871" spans="30:30">
      <c r="AD871" s="168">
        <f t="shared" si="36"/>
        <v>3500</v>
      </c>
    </row>
    <row r="872" spans="30:30">
      <c r="AD872" s="168">
        <f t="shared" si="36"/>
        <v>3500</v>
      </c>
    </row>
    <row r="873" spans="30:30">
      <c r="AD873" s="168">
        <f t="shared" si="36"/>
        <v>3500</v>
      </c>
    </row>
    <row r="874" spans="30:30">
      <c r="AD874" s="168">
        <f t="shared" si="36"/>
        <v>3500</v>
      </c>
    </row>
    <row r="875" spans="30:30">
      <c r="AD875" s="168">
        <f t="shared" si="36"/>
        <v>3500</v>
      </c>
    </row>
    <row r="876" spans="30:30">
      <c r="AD876" s="168">
        <f t="shared" si="36"/>
        <v>3500</v>
      </c>
    </row>
    <row r="877" spans="30:30">
      <c r="AD877" s="168">
        <f t="shared" si="36"/>
        <v>3500</v>
      </c>
    </row>
    <row r="878" spans="30:30">
      <c r="AD878" s="168">
        <f t="shared" si="36"/>
        <v>3500</v>
      </c>
    </row>
    <row r="879" spans="30:30">
      <c r="AD879" s="168">
        <f t="shared" si="36"/>
        <v>3500</v>
      </c>
    </row>
    <row r="880" spans="30:30">
      <c r="AD880" s="168">
        <f t="shared" si="36"/>
        <v>3500</v>
      </c>
    </row>
    <row r="881" spans="30:30">
      <c r="AD881" s="168">
        <f t="shared" si="36"/>
        <v>3500</v>
      </c>
    </row>
    <row r="882" spans="30:30">
      <c r="AD882" s="168">
        <f t="shared" si="36"/>
        <v>3500</v>
      </c>
    </row>
    <row r="883" spans="30:30">
      <c r="AD883" s="168">
        <f t="shared" si="36"/>
        <v>3500</v>
      </c>
    </row>
    <row r="884" spans="30:30">
      <c r="AD884" s="168">
        <f t="shared" si="36"/>
        <v>3500</v>
      </c>
    </row>
    <row r="885" spans="30:30">
      <c r="AD885" s="168">
        <f t="shared" si="36"/>
        <v>3500</v>
      </c>
    </row>
    <row r="886" spans="30:30">
      <c r="AD886" s="168">
        <f t="shared" si="36"/>
        <v>3500</v>
      </c>
    </row>
    <row r="887" spans="30:30">
      <c r="AD887" s="168">
        <f t="shared" si="36"/>
        <v>3500</v>
      </c>
    </row>
    <row r="888" spans="30:30">
      <c r="AD888" s="168">
        <f t="shared" si="36"/>
        <v>3500</v>
      </c>
    </row>
    <row r="889" spans="30:30">
      <c r="AD889" s="168">
        <f t="shared" si="36"/>
        <v>3500</v>
      </c>
    </row>
    <row r="890" spans="30:30">
      <c r="AD890" s="168">
        <f t="shared" si="36"/>
        <v>3500</v>
      </c>
    </row>
    <row r="891" spans="30:30">
      <c r="AD891" s="168">
        <f t="shared" si="36"/>
        <v>3500</v>
      </c>
    </row>
    <row r="892" spans="30:30">
      <c r="AD892" s="168">
        <f t="shared" si="36"/>
        <v>3500</v>
      </c>
    </row>
    <row r="893" spans="30:30">
      <c r="AD893" s="168">
        <f t="shared" si="36"/>
        <v>3500</v>
      </c>
    </row>
    <row r="894" spans="30:30">
      <c r="AD894" s="168">
        <f t="shared" si="36"/>
        <v>3500</v>
      </c>
    </row>
    <row r="895" spans="30:30">
      <c r="AD895" s="168">
        <f t="shared" si="36"/>
        <v>3500</v>
      </c>
    </row>
    <row r="896" spans="30:30">
      <c r="AD896" s="168">
        <f t="shared" si="36"/>
        <v>3500</v>
      </c>
    </row>
    <row r="897" spans="30:30">
      <c r="AD897" s="168">
        <f t="shared" si="36"/>
        <v>3500</v>
      </c>
    </row>
    <row r="898" spans="30:30">
      <c r="AD898" s="168">
        <f t="shared" ref="AD898:AD908" si="37">I898 + MAX(0, I898 - AA898) + 3500</f>
        <v>3500</v>
      </c>
    </row>
    <row r="899" spans="30:30">
      <c r="AD899" s="168">
        <f t="shared" si="37"/>
        <v>3500</v>
      </c>
    </row>
    <row r="900" spans="30:30">
      <c r="AD900" s="168">
        <f t="shared" si="37"/>
        <v>3500</v>
      </c>
    </row>
    <row r="901" spans="30:30">
      <c r="AD901" s="168">
        <f t="shared" si="37"/>
        <v>3500</v>
      </c>
    </row>
    <row r="902" spans="30:30">
      <c r="AD902" s="168">
        <f t="shared" si="37"/>
        <v>3500</v>
      </c>
    </row>
    <row r="903" spans="30:30">
      <c r="AD903" s="168">
        <f t="shared" si="37"/>
        <v>3500</v>
      </c>
    </row>
    <row r="904" spans="30:30">
      <c r="AD904" s="168">
        <f t="shared" si="37"/>
        <v>3500</v>
      </c>
    </row>
    <row r="905" spans="30:30">
      <c r="AD905" s="168">
        <f t="shared" si="37"/>
        <v>3500</v>
      </c>
    </row>
    <row r="906" spans="30:30">
      <c r="AD906" s="168">
        <f t="shared" si="37"/>
        <v>3500</v>
      </c>
    </row>
    <row r="907" spans="30:30">
      <c r="AD907" s="168">
        <f t="shared" si="37"/>
        <v>3500</v>
      </c>
    </row>
    <row r="908" spans="30:30">
      <c r="AD908" s="168">
        <f t="shared" si="37"/>
        <v>3500</v>
      </c>
    </row>
  </sheetData>
  <autoFilter ref="A1:AS147" xr:uid="{00000000-0009-0000-0000-000001000000}">
    <filterColumn colId="1">
      <filters>
        <filter val="y"/>
      </filters>
    </filterColumn>
  </autoFilter>
  <phoneticPr fontId="43"/>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GoToCurrentMonthForSelectedStudent">
                <anchor moveWithCells="1" sizeWithCells="1">
                  <from>
                    <xdr:col>0</xdr:col>
                    <xdr:colOff>85725</xdr:colOff>
                    <xdr:row>0</xdr:row>
                    <xdr:rowOff>66675</xdr:rowOff>
                  </from>
                  <to>
                    <xdr:col>0</xdr:col>
                    <xdr:colOff>714375</xdr:colOff>
                    <xdr:row>0</xdr:row>
                    <xdr:rowOff>228600</xdr:rowOff>
                  </to>
                </anchor>
              </controlPr>
            </control>
          </mc:Choice>
        </mc:AlternateContent>
        <mc:AlternateContent xmlns:mc="http://schemas.openxmlformats.org/markup-compatibility/2006">
          <mc:Choice Requires="x14">
            <control shapeId="5127" r:id="rId4" name="Button 7">
              <controlPr defaultSize="0" print="0" autoFill="0" autoPict="0" macro="[0]!Button7_Click">
                <anchor moveWithCells="1" sizeWithCells="1">
                  <from>
                    <xdr:col>10</xdr:col>
                    <xdr:colOff>47625</xdr:colOff>
                    <xdr:row>0</xdr:row>
                    <xdr:rowOff>9525</xdr:rowOff>
                  </from>
                  <to>
                    <xdr:col>10</xdr:col>
                    <xdr:colOff>942975</xdr:colOff>
                    <xdr:row>0</xdr:row>
                    <xdr:rowOff>371475</xdr:rowOff>
                  </to>
                </anchor>
              </controlPr>
            </control>
          </mc:Choice>
        </mc:AlternateContent>
        <mc:AlternateContent xmlns:mc="http://schemas.openxmlformats.org/markup-compatibility/2006">
          <mc:Choice Requires="x14">
            <control shapeId="5130" r:id="rId5" name="Button 10">
              <controlPr defaultSize="0" print="0" autoFill="0" autoPict="0" macro="[0]!Button10_Click">
                <anchor moveWithCells="1" sizeWithCells="1">
                  <from>
                    <xdr:col>10</xdr:col>
                    <xdr:colOff>66675</xdr:colOff>
                    <xdr:row>1</xdr:row>
                    <xdr:rowOff>47625</xdr:rowOff>
                  </from>
                  <to>
                    <xdr:col>10</xdr:col>
                    <xdr:colOff>962025</xdr:colOff>
                    <xdr:row>1</xdr:row>
                    <xdr:rowOff>352425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P208"/>
  <sheetViews>
    <sheetView zoomScaleNormal="100" workbookViewId="0">
      <pane ySplit="2" topLeftCell="A10" activePane="bottomLeft" state="frozen"/>
      <selection pane="bottomLeft" activeCell="B12" sqref="B12"/>
    </sheetView>
  </sheetViews>
  <sheetFormatPr defaultRowHeight="12.75"/>
  <cols>
    <col min="1" max="1" width="9.1328125" style="146" customWidth="1"/>
    <col min="3" max="3" width="30" customWidth="1"/>
    <col min="7" max="7" width="20.86328125" customWidth="1"/>
    <col min="8" max="8" width="18.59765625" customWidth="1"/>
    <col min="9" max="9" width="17.265625" customWidth="1"/>
    <col min="10" max="10" width="21" customWidth="1"/>
    <col min="11" max="11" width="22.3984375" style="156" customWidth="1"/>
    <col min="12" max="12" width="21.1328125" customWidth="1"/>
    <col min="13" max="13" width="15.59765625" style="156" customWidth="1"/>
    <col min="14" max="14" width="17.265625" customWidth="1"/>
    <col min="15" max="15" width="9.86328125" bestFit="1" customWidth="1"/>
  </cols>
  <sheetData>
    <row r="1" spans="1:16" ht="57.75" customHeight="1">
      <c r="A1" s="296"/>
      <c r="B1" s="297"/>
      <c r="C1" s="297"/>
      <c r="D1" s="297"/>
      <c r="E1" s="297"/>
      <c r="G1" s="298"/>
      <c r="H1" s="298"/>
      <c r="J1" s="298"/>
      <c r="K1" s="299"/>
      <c r="L1" s="297"/>
    </row>
    <row r="2" spans="1:16" ht="15.75" customHeight="1">
      <c r="A2" s="152" t="s">
        <v>0</v>
      </c>
      <c r="B2" s="152" t="s">
        <v>1</v>
      </c>
      <c r="C2" s="152" t="s">
        <v>6</v>
      </c>
      <c r="D2" s="153" t="s">
        <v>1589</v>
      </c>
      <c r="E2" s="92" t="s">
        <v>1590</v>
      </c>
      <c r="F2" t="s">
        <v>1591</v>
      </c>
      <c r="G2" s="92" t="s">
        <v>1592</v>
      </c>
      <c r="H2" s="92" t="s">
        <v>1593</v>
      </c>
      <c r="I2" s="92" t="s">
        <v>1594</v>
      </c>
      <c r="J2" s="92" t="s">
        <v>1595</v>
      </c>
      <c r="K2" s="92" t="s">
        <v>1596</v>
      </c>
      <c r="L2" s="154" t="s">
        <v>1597</v>
      </c>
      <c r="M2" t="s">
        <v>1598</v>
      </c>
      <c r="N2" s="92" t="s">
        <v>14</v>
      </c>
      <c r="O2" s="92" t="s">
        <v>1599</v>
      </c>
      <c r="P2" s="157" t="s">
        <v>1600</v>
      </c>
    </row>
    <row r="3" spans="1:16" ht="15.75" customHeight="1" thickBot="1">
      <c r="A3" s="219">
        <v>166</v>
      </c>
      <c r="B3" s="219"/>
      <c r="C3" t="s">
        <v>1913</v>
      </c>
      <c r="D3" t="s">
        <v>1914</v>
      </c>
      <c r="E3" t="s">
        <v>1505</v>
      </c>
      <c r="F3" s="168" t="s">
        <v>1506</v>
      </c>
      <c r="G3" t="s">
        <v>1619</v>
      </c>
      <c r="H3" s="92" t="s">
        <v>253</v>
      </c>
      <c r="I3" s="92" t="s">
        <v>250</v>
      </c>
      <c r="J3" t="s">
        <v>1607</v>
      </c>
      <c r="K3" s="92">
        <v>2139857</v>
      </c>
      <c r="L3" s="154" t="s">
        <v>1622</v>
      </c>
      <c r="M3">
        <v>200</v>
      </c>
      <c r="N3" s="92">
        <v>7000</v>
      </c>
      <c r="O3" s="92">
        <v>202507</v>
      </c>
    </row>
    <row r="4" spans="1:16" ht="31.5" customHeight="1" thickBot="1">
      <c r="A4" s="146">
        <v>164</v>
      </c>
      <c r="B4" t="s">
        <v>103</v>
      </c>
      <c r="C4" s="35" t="s">
        <v>1601</v>
      </c>
      <c r="D4" t="s">
        <v>1602</v>
      </c>
      <c r="E4" t="s">
        <v>1492</v>
      </c>
      <c r="F4" t="s">
        <v>1603</v>
      </c>
      <c r="G4" t="s">
        <v>1604</v>
      </c>
      <c r="H4" t="s">
        <v>1605</v>
      </c>
      <c r="I4" t="s">
        <v>1606</v>
      </c>
      <c r="J4" t="s">
        <v>1607</v>
      </c>
      <c r="K4" s="156" t="s">
        <v>1608</v>
      </c>
      <c r="L4" s="155" t="s">
        <v>1609</v>
      </c>
      <c r="M4" s="156">
        <v>262</v>
      </c>
      <c r="N4">
        <v>19800</v>
      </c>
      <c r="O4">
        <v>202506</v>
      </c>
    </row>
    <row r="5" spans="1:16" ht="15.75" customHeight="1">
      <c r="A5" s="146">
        <v>168</v>
      </c>
      <c r="B5" t="s">
        <v>103</v>
      </c>
      <c r="C5" t="s">
        <v>1610</v>
      </c>
      <c r="D5" t="s">
        <v>1611</v>
      </c>
      <c r="E5" t="s">
        <v>1612</v>
      </c>
      <c r="F5" t="s">
        <v>1613</v>
      </c>
      <c r="G5" t="s">
        <v>1604</v>
      </c>
      <c r="H5" t="s">
        <v>1614</v>
      </c>
      <c r="I5" t="s">
        <v>1615</v>
      </c>
      <c r="J5" t="s">
        <v>1607</v>
      </c>
      <c r="K5" s="156">
        <v>2742320</v>
      </c>
      <c r="L5" s="155" t="s">
        <v>1609</v>
      </c>
      <c r="M5" s="156">
        <v>273</v>
      </c>
      <c r="N5">
        <v>7000</v>
      </c>
      <c r="O5">
        <v>202508</v>
      </c>
    </row>
    <row r="6" spans="1:16">
      <c r="A6" s="146">
        <v>169</v>
      </c>
      <c r="B6" t="s">
        <v>103</v>
      </c>
      <c r="C6" t="s">
        <v>1616</v>
      </c>
      <c r="D6" t="s">
        <v>1617</v>
      </c>
      <c r="E6" t="s">
        <v>1530</v>
      </c>
      <c r="F6" t="s">
        <v>1618</v>
      </c>
      <c r="G6" t="s">
        <v>1619</v>
      </c>
      <c r="H6" t="s">
        <v>1620</v>
      </c>
      <c r="I6" t="s">
        <v>1621</v>
      </c>
      <c r="J6" t="s">
        <v>1607</v>
      </c>
      <c r="K6" s="156">
        <v>1356924</v>
      </c>
      <c r="L6" s="156" t="s">
        <v>1622</v>
      </c>
      <c r="M6" s="156" t="s">
        <v>1623</v>
      </c>
      <c r="N6">
        <v>7000</v>
      </c>
      <c r="O6">
        <v>202508</v>
      </c>
    </row>
    <row r="7" spans="1:16">
      <c r="A7" s="146">
        <v>170</v>
      </c>
      <c r="B7" t="s">
        <v>103</v>
      </c>
      <c r="C7" t="s">
        <v>1624</v>
      </c>
      <c r="D7" t="s">
        <v>1625</v>
      </c>
      <c r="E7" t="s">
        <v>1626</v>
      </c>
      <c r="F7" t="s">
        <v>1627</v>
      </c>
      <c r="G7" t="s">
        <v>1619</v>
      </c>
      <c r="H7" t="s">
        <v>1628</v>
      </c>
      <c r="I7" t="s">
        <v>1629</v>
      </c>
      <c r="J7" t="s">
        <v>1607</v>
      </c>
      <c r="K7">
        <v>3011808</v>
      </c>
      <c r="L7" s="156" t="s">
        <v>1622</v>
      </c>
      <c r="M7" s="156" t="s">
        <v>1630</v>
      </c>
      <c r="N7">
        <v>7000</v>
      </c>
      <c r="O7">
        <v>202506</v>
      </c>
    </row>
    <row r="8" spans="1:16">
      <c r="A8" s="146">
        <v>171</v>
      </c>
      <c r="B8" t="s">
        <v>103</v>
      </c>
      <c r="C8" t="s">
        <v>1631</v>
      </c>
      <c r="D8" t="s">
        <v>1632</v>
      </c>
      <c r="E8" t="s">
        <v>1633</v>
      </c>
      <c r="F8" t="s">
        <v>1634</v>
      </c>
      <c r="G8" t="s">
        <v>1619</v>
      </c>
      <c r="H8" t="s">
        <v>1635</v>
      </c>
      <c r="I8" t="s">
        <v>1636</v>
      </c>
      <c r="J8" t="s">
        <v>1607</v>
      </c>
      <c r="K8" s="156" t="s">
        <v>1637</v>
      </c>
      <c r="L8" s="156" t="s">
        <v>1622</v>
      </c>
      <c r="M8" s="156" t="s">
        <v>1638</v>
      </c>
      <c r="N8">
        <v>7000</v>
      </c>
      <c r="O8">
        <v>202506</v>
      </c>
    </row>
    <row r="9" spans="1:16" ht="63.75">
      <c r="A9" s="146">
        <v>172</v>
      </c>
      <c r="B9" t="s">
        <v>103</v>
      </c>
      <c r="C9" t="s">
        <v>1944</v>
      </c>
      <c r="D9" t="s">
        <v>1945</v>
      </c>
      <c r="E9" s="168" t="s">
        <v>1548</v>
      </c>
      <c r="F9" s="228" t="s">
        <v>1549</v>
      </c>
      <c r="G9" t="s">
        <v>1604</v>
      </c>
      <c r="H9" t="s">
        <v>1946</v>
      </c>
      <c r="I9" t="s">
        <v>1947</v>
      </c>
      <c r="J9" t="s">
        <v>1607</v>
      </c>
      <c r="K9" s="156" t="s">
        <v>1948</v>
      </c>
      <c r="L9" s="156" t="s">
        <v>1609</v>
      </c>
      <c r="M9" s="156" t="s">
        <v>1949</v>
      </c>
      <c r="N9">
        <v>12100</v>
      </c>
      <c r="O9">
        <v>202508</v>
      </c>
    </row>
    <row r="10" spans="1:16" ht="102">
      <c r="A10" s="146">
        <v>173</v>
      </c>
      <c r="C10" t="s">
        <v>1959</v>
      </c>
      <c r="D10" t="s">
        <v>1960</v>
      </c>
      <c r="F10" s="40" t="s">
        <v>1958</v>
      </c>
      <c r="G10" t="s">
        <v>1619</v>
      </c>
      <c r="H10" t="s">
        <v>1961</v>
      </c>
      <c r="I10" t="s">
        <v>1962</v>
      </c>
      <c r="J10" t="s">
        <v>1607</v>
      </c>
      <c r="K10">
        <v>790871</v>
      </c>
      <c r="L10" s="156" t="s">
        <v>1622</v>
      </c>
      <c r="M10" s="156" t="s">
        <v>1963</v>
      </c>
      <c r="N10">
        <v>9500</v>
      </c>
      <c r="O10">
        <v>202508</v>
      </c>
    </row>
    <row r="11" spans="1:16">
      <c r="A11">
        <v>174</v>
      </c>
      <c r="B11" t="s">
        <v>103</v>
      </c>
      <c r="C11" t="s">
        <v>1992</v>
      </c>
      <c r="D11" t="s">
        <v>1994</v>
      </c>
      <c r="F11" t="s">
        <v>1986</v>
      </c>
      <c r="G11" t="s">
        <v>1604</v>
      </c>
      <c r="H11" t="s">
        <v>1987</v>
      </c>
      <c r="I11" t="s">
        <v>1988</v>
      </c>
      <c r="J11" t="s">
        <v>1607</v>
      </c>
      <c r="K11" s="156" t="s">
        <v>1989</v>
      </c>
      <c r="L11" s="154" t="s">
        <v>1609</v>
      </c>
      <c r="M11" s="156" t="s">
        <v>1990</v>
      </c>
      <c r="N11">
        <v>7000</v>
      </c>
      <c r="O11">
        <v>202509</v>
      </c>
    </row>
    <row r="12" spans="1:16" ht="13.9">
      <c r="A12" s="227">
        <v>175</v>
      </c>
      <c r="B12" t="s">
        <v>103</v>
      </c>
      <c r="C12" t="s">
        <v>2000</v>
      </c>
      <c r="D12" s="232" t="s">
        <v>1993</v>
      </c>
      <c r="F12" t="s">
        <v>1941</v>
      </c>
      <c r="G12" t="s">
        <v>1604</v>
      </c>
      <c r="H12" t="s">
        <v>1966</v>
      </c>
      <c r="I12" t="s">
        <v>1967</v>
      </c>
      <c r="J12" t="s">
        <v>1607</v>
      </c>
      <c r="K12">
        <v>1399543</v>
      </c>
      <c r="L12" s="156">
        <v>177</v>
      </c>
      <c r="M12" s="156" t="s">
        <v>1965</v>
      </c>
      <c r="N12">
        <v>6600</v>
      </c>
      <c r="O12">
        <v>202509</v>
      </c>
    </row>
    <row r="13" spans="1:16">
      <c r="A13" s="146">
        <v>176</v>
      </c>
      <c r="C13" t="s">
        <v>1999</v>
      </c>
      <c r="D13" t="s">
        <v>1998</v>
      </c>
      <c r="F13" s="233" t="s">
        <v>1984</v>
      </c>
      <c r="G13" t="s">
        <v>2001</v>
      </c>
      <c r="H13" t="s">
        <v>2002</v>
      </c>
      <c r="I13" t="s">
        <v>2003</v>
      </c>
      <c r="J13" t="s">
        <v>1607</v>
      </c>
      <c r="K13">
        <v>3106320</v>
      </c>
      <c r="L13" s="156" t="s">
        <v>2004</v>
      </c>
      <c r="M13" s="156" t="s">
        <v>2005</v>
      </c>
      <c r="N13">
        <v>3106320</v>
      </c>
      <c r="O13">
        <v>3106320</v>
      </c>
    </row>
    <row r="14" spans="1:16">
      <c r="A14" s="146">
        <v>177</v>
      </c>
      <c r="C14" t="s">
        <v>2042</v>
      </c>
      <c r="D14" t="s">
        <v>2046</v>
      </c>
      <c r="F14" s="233" t="s">
        <v>2012</v>
      </c>
      <c r="G14" t="s">
        <v>2043</v>
      </c>
      <c r="I14" t="s">
        <v>2045</v>
      </c>
      <c r="J14" t="s">
        <v>1607</v>
      </c>
      <c r="K14">
        <v>2065177</v>
      </c>
      <c r="L14" s="156" t="s">
        <v>1622</v>
      </c>
      <c r="M14" s="156" t="s">
        <v>2044</v>
      </c>
      <c r="N14">
        <v>7000</v>
      </c>
      <c r="O14">
        <v>202509</v>
      </c>
    </row>
    <row r="15" spans="1:16">
      <c r="A15" s="146">
        <v>178</v>
      </c>
      <c r="C15" t="s">
        <v>2030</v>
      </c>
      <c r="D15" t="s">
        <v>2031</v>
      </c>
      <c r="F15" t="s">
        <v>594</v>
      </c>
      <c r="G15" t="s">
        <v>2032</v>
      </c>
      <c r="K15" s="240">
        <v>-16630117450</v>
      </c>
      <c r="L15" s="156">
        <v>-16465811</v>
      </c>
    </row>
    <row r="16" spans="1:16">
      <c r="A16" s="146">
        <v>179</v>
      </c>
      <c r="C16" t="s">
        <v>2102</v>
      </c>
      <c r="D16" t="s">
        <v>2103</v>
      </c>
      <c r="F16" s="227" t="s">
        <v>2037</v>
      </c>
      <c r="G16" t="s">
        <v>1604</v>
      </c>
      <c r="H16" t="s">
        <v>2104</v>
      </c>
      <c r="J16" t="s">
        <v>1607</v>
      </c>
      <c r="K16" s="156" t="s">
        <v>2106</v>
      </c>
      <c r="L16" s="155" t="s">
        <v>1609</v>
      </c>
      <c r="M16" s="156" t="s">
        <v>2105</v>
      </c>
      <c r="N16">
        <v>6600</v>
      </c>
      <c r="O16">
        <v>202511</v>
      </c>
    </row>
    <row r="17" spans="1:15" ht="76.5">
      <c r="A17">
        <v>181</v>
      </c>
      <c r="B17" t="s">
        <v>103</v>
      </c>
      <c r="C17" t="s">
        <v>2131</v>
      </c>
      <c r="D17" t="s">
        <v>2329</v>
      </c>
      <c r="F17" s="40" t="s">
        <v>2096</v>
      </c>
      <c r="G17" t="s">
        <v>1604</v>
      </c>
      <c r="H17" t="s">
        <v>2134</v>
      </c>
      <c r="I17" t="s">
        <v>2136</v>
      </c>
      <c r="J17" t="s">
        <v>1607</v>
      </c>
      <c r="K17">
        <v>1322105</v>
      </c>
      <c r="L17" s="155" t="s">
        <v>1609</v>
      </c>
      <c r="M17" s="156" t="s">
        <v>2135</v>
      </c>
      <c r="N17">
        <v>9500</v>
      </c>
      <c r="O17">
        <v>202512</v>
      </c>
    </row>
    <row r="18" spans="1:15">
      <c r="A18" s="146">
        <v>182</v>
      </c>
      <c r="B18" t="s">
        <v>103</v>
      </c>
      <c r="C18" t="s">
        <v>2173</v>
      </c>
      <c r="D18" t="s">
        <v>2186</v>
      </c>
      <c r="F18" t="s">
        <v>2174</v>
      </c>
      <c r="G18" t="s">
        <v>1604</v>
      </c>
      <c r="J18" t="s">
        <v>1607</v>
      </c>
      <c r="K18" s="156" t="s">
        <v>2176</v>
      </c>
      <c r="L18" s="156">
        <v>177</v>
      </c>
      <c r="M18" s="156" t="s">
        <v>2175</v>
      </c>
      <c r="N18">
        <v>7000</v>
      </c>
      <c r="O18">
        <v>202511</v>
      </c>
    </row>
    <row r="19" spans="1:15">
      <c r="A19" s="146">
        <v>183</v>
      </c>
      <c r="B19" t="s">
        <v>103</v>
      </c>
      <c r="C19" t="s">
        <v>2178</v>
      </c>
      <c r="D19" t="s">
        <v>2187</v>
      </c>
      <c r="F19" t="s">
        <v>2177</v>
      </c>
      <c r="G19" t="s">
        <v>2179</v>
      </c>
      <c r="H19" t="s">
        <v>2182</v>
      </c>
      <c r="J19" t="s">
        <v>1607</v>
      </c>
      <c r="K19" s="156" t="s">
        <v>2183</v>
      </c>
      <c r="L19" s="156" t="s">
        <v>2181</v>
      </c>
      <c r="M19" s="156" t="s">
        <v>2180</v>
      </c>
      <c r="N19">
        <v>7000</v>
      </c>
      <c r="O19">
        <v>202511</v>
      </c>
    </row>
    <row r="20" spans="1:15">
      <c r="A20" s="146">
        <v>184</v>
      </c>
      <c r="B20" t="s">
        <v>103</v>
      </c>
      <c r="C20" t="s">
        <v>2159</v>
      </c>
      <c r="D20" t="s">
        <v>2184</v>
      </c>
      <c r="F20" t="s">
        <v>2160</v>
      </c>
      <c r="G20" t="s">
        <v>2032</v>
      </c>
      <c r="J20" t="s">
        <v>1607</v>
      </c>
      <c r="K20">
        <v>17128731</v>
      </c>
      <c r="L20" s="156"/>
      <c r="M20" s="156" t="s">
        <v>2161</v>
      </c>
      <c r="N20">
        <v>7000</v>
      </c>
      <c r="O20">
        <v>202511</v>
      </c>
    </row>
    <row r="21" spans="1:15">
      <c r="A21" s="146">
        <v>185</v>
      </c>
      <c r="B21" t="s">
        <v>103</v>
      </c>
      <c r="C21" s="256" t="s">
        <v>2188</v>
      </c>
      <c r="D21" t="s">
        <v>2185</v>
      </c>
      <c r="F21" t="s">
        <v>2162</v>
      </c>
      <c r="G21" t="s">
        <v>2043</v>
      </c>
      <c r="H21" t="s">
        <v>2163</v>
      </c>
      <c r="J21" t="s">
        <v>1607</v>
      </c>
      <c r="K21">
        <v>2050286</v>
      </c>
      <c r="L21" s="155" t="s">
        <v>1622</v>
      </c>
      <c r="M21" s="156" t="s">
        <v>2164</v>
      </c>
      <c r="N21">
        <v>7000</v>
      </c>
      <c r="O21">
        <v>202511</v>
      </c>
    </row>
    <row r="22" spans="1:15">
      <c r="L22" s="156"/>
    </row>
    <row r="23" spans="1:15">
      <c r="A23" s="146">
        <v>187</v>
      </c>
      <c r="B23" t="s">
        <v>66</v>
      </c>
      <c r="C23" t="s">
        <v>2215</v>
      </c>
      <c r="D23" t="s">
        <v>2216</v>
      </c>
      <c r="F23" t="s">
        <v>2217</v>
      </c>
      <c r="G23" t="s">
        <v>2043</v>
      </c>
      <c r="H23" t="s">
        <v>2218</v>
      </c>
      <c r="I23" t="s">
        <v>2220</v>
      </c>
      <c r="J23" t="s">
        <v>1607</v>
      </c>
      <c r="K23">
        <v>3059843</v>
      </c>
      <c r="L23" s="155" t="s">
        <v>1622</v>
      </c>
      <c r="M23" s="156" t="s">
        <v>2219</v>
      </c>
      <c r="N23">
        <v>7000</v>
      </c>
      <c r="O23">
        <v>202511</v>
      </c>
    </row>
    <row r="24" spans="1:15">
      <c r="A24" s="146">
        <v>188</v>
      </c>
      <c r="B24" t="s">
        <v>103</v>
      </c>
      <c r="C24" t="s">
        <v>2370</v>
      </c>
      <c r="D24" t="s">
        <v>2364</v>
      </c>
      <c r="G24" t="s">
        <v>2365</v>
      </c>
      <c r="H24" t="s">
        <v>2366</v>
      </c>
      <c r="K24" s="156" t="s">
        <v>2369</v>
      </c>
      <c r="L24" t="s">
        <v>2367</v>
      </c>
      <c r="M24" s="156" t="s">
        <v>2368</v>
      </c>
      <c r="N24">
        <v>9500</v>
      </c>
      <c r="O24" s="38">
        <v>46085</v>
      </c>
    </row>
    <row r="25" spans="1:15">
      <c r="A25" s="146">
        <v>189</v>
      </c>
      <c r="C25" t="s">
        <v>2291</v>
      </c>
      <c r="D25" t="s">
        <v>2292</v>
      </c>
      <c r="E25" t="s">
        <v>2231</v>
      </c>
      <c r="G25" t="s">
        <v>1604</v>
      </c>
      <c r="H25" t="s">
        <v>1620</v>
      </c>
      <c r="I25" s="92" t="s">
        <v>2293</v>
      </c>
      <c r="J25" t="s">
        <v>1607</v>
      </c>
      <c r="K25">
        <v>989243</v>
      </c>
      <c r="L25" s="156" t="s">
        <v>1609</v>
      </c>
      <c r="M25" s="156" t="s">
        <v>2294</v>
      </c>
      <c r="N25">
        <v>7600</v>
      </c>
      <c r="O25">
        <v>202503</v>
      </c>
    </row>
    <row r="26" spans="1:15">
      <c r="A26" s="146">
        <v>191</v>
      </c>
      <c r="B26" t="s">
        <v>103</v>
      </c>
      <c r="C26" t="s">
        <v>2354</v>
      </c>
      <c r="D26" t="s">
        <v>2355</v>
      </c>
      <c r="E26" t="s">
        <v>2266</v>
      </c>
      <c r="G26" t="s">
        <v>1604</v>
      </c>
      <c r="H26" t="s">
        <v>2350</v>
      </c>
      <c r="I26" t="s">
        <v>2351</v>
      </c>
      <c r="J26" t="s">
        <v>1607</v>
      </c>
      <c r="K26" s="156" t="s">
        <v>2348</v>
      </c>
      <c r="L26" s="156" t="s">
        <v>1609</v>
      </c>
      <c r="M26" s="156" t="s">
        <v>2349</v>
      </c>
      <c r="N26">
        <v>24200</v>
      </c>
      <c r="O26">
        <v>202503</v>
      </c>
    </row>
    <row r="27" spans="1:15">
      <c r="L27" s="156"/>
    </row>
    <row r="28" spans="1:15">
      <c r="A28">
        <v>193</v>
      </c>
      <c r="B28" t="s">
        <v>103</v>
      </c>
      <c r="C28" t="s">
        <v>2353</v>
      </c>
      <c r="D28" t="s">
        <v>2352</v>
      </c>
      <c r="E28" t="s">
        <v>2344</v>
      </c>
      <c r="G28" t="s">
        <v>1604</v>
      </c>
      <c r="H28" t="s">
        <v>2345</v>
      </c>
      <c r="J28" t="s">
        <v>1607</v>
      </c>
      <c r="K28" s="156" t="s">
        <v>2346</v>
      </c>
      <c r="L28" s="156" t="s">
        <v>1609</v>
      </c>
      <c r="M28" s="156" t="s">
        <v>2175</v>
      </c>
      <c r="N28">
        <v>7000</v>
      </c>
      <c r="O28">
        <v>202503</v>
      </c>
    </row>
    <row r="29" spans="1:15">
      <c r="L29" s="156"/>
    </row>
    <row r="30" spans="1:15">
      <c r="L30" s="156"/>
    </row>
    <row r="31" spans="1:15" ht="14.25">
      <c r="A31" s="146">
        <v>196</v>
      </c>
      <c r="B31" t="s">
        <v>103</v>
      </c>
      <c r="C31" s="56" t="s">
        <v>2357</v>
      </c>
      <c r="D31" t="s">
        <v>2359</v>
      </c>
      <c r="E31" t="s">
        <v>2301</v>
      </c>
      <c r="G31" t="s">
        <v>1604</v>
      </c>
      <c r="H31" t="s">
        <v>2358</v>
      </c>
      <c r="I31" t="s">
        <v>2362</v>
      </c>
      <c r="J31" t="s">
        <v>1607</v>
      </c>
      <c r="K31" s="156" t="s">
        <v>2361</v>
      </c>
      <c r="L31" s="156" t="s">
        <v>1609</v>
      </c>
      <c r="M31" s="156" t="s">
        <v>2360</v>
      </c>
      <c r="N31">
        <v>20500</v>
      </c>
      <c r="O31" s="38">
        <v>46101</v>
      </c>
    </row>
    <row r="32" spans="1:15">
      <c r="L32" s="156"/>
    </row>
    <row r="33" spans="12:12">
      <c r="L33" s="156"/>
    </row>
    <row r="34" spans="12:12">
      <c r="L34" s="156"/>
    </row>
    <row r="35" spans="12:12">
      <c r="L35" s="156"/>
    </row>
    <row r="36" spans="12:12">
      <c r="L36" s="156"/>
    </row>
    <row r="37" spans="12:12">
      <c r="L37" s="156"/>
    </row>
    <row r="38" spans="12:12">
      <c r="L38" s="156"/>
    </row>
    <row r="39" spans="12:12">
      <c r="L39" s="156"/>
    </row>
    <row r="40" spans="12:12">
      <c r="L40" s="156"/>
    </row>
    <row r="41" spans="12:12">
      <c r="L41" s="156"/>
    </row>
    <row r="42" spans="12:12">
      <c r="L42" s="156"/>
    </row>
    <row r="43" spans="12:12">
      <c r="L43" s="156"/>
    </row>
    <row r="44" spans="12:12">
      <c r="L44" s="156"/>
    </row>
    <row r="45" spans="12:12">
      <c r="L45" s="156"/>
    </row>
    <row r="46" spans="12:12">
      <c r="L46" s="156"/>
    </row>
    <row r="47" spans="12:12">
      <c r="L47" s="156"/>
    </row>
    <row r="48" spans="12:12">
      <c r="L48" s="156"/>
    </row>
    <row r="49" spans="12:12">
      <c r="L49" s="156"/>
    </row>
    <row r="50" spans="12:12">
      <c r="L50" s="156"/>
    </row>
    <row r="51" spans="12:12">
      <c r="L51" s="156"/>
    </row>
    <row r="52" spans="12:12">
      <c r="L52" s="156"/>
    </row>
    <row r="53" spans="12:12">
      <c r="L53" s="156"/>
    </row>
    <row r="54" spans="12:12">
      <c r="L54" s="156"/>
    </row>
    <row r="55" spans="12:12">
      <c r="L55" s="156"/>
    </row>
    <row r="56" spans="12:12">
      <c r="L56" s="156"/>
    </row>
    <row r="57" spans="12:12">
      <c r="L57" s="156"/>
    </row>
    <row r="58" spans="12:12">
      <c r="L58" s="156"/>
    </row>
    <row r="59" spans="12:12">
      <c r="L59" s="156"/>
    </row>
    <row r="60" spans="12:12">
      <c r="L60" s="156"/>
    </row>
    <row r="61" spans="12:12">
      <c r="L61" s="156"/>
    </row>
    <row r="62" spans="12:12">
      <c r="L62" s="156"/>
    </row>
    <row r="63" spans="12:12">
      <c r="L63" s="156"/>
    </row>
    <row r="64" spans="12:12">
      <c r="L64" s="156"/>
    </row>
    <row r="65" spans="12:12">
      <c r="L65" s="156"/>
    </row>
    <row r="66" spans="12:12">
      <c r="L66" s="156"/>
    </row>
    <row r="67" spans="12:12">
      <c r="L67" s="156"/>
    </row>
    <row r="68" spans="12:12">
      <c r="L68" s="156"/>
    </row>
    <row r="69" spans="12:12">
      <c r="L69" s="156"/>
    </row>
    <row r="70" spans="12:12">
      <c r="L70" s="156"/>
    </row>
    <row r="71" spans="12:12">
      <c r="L71" s="156"/>
    </row>
    <row r="72" spans="12:12">
      <c r="L72" s="156"/>
    </row>
    <row r="73" spans="12:12">
      <c r="L73" s="156"/>
    </row>
    <row r="74" spans="12:12">
      <c r="L74" s="156"/>
    </row>
    <row r="75" spans="12:12">
      <c r="L75" s="156"/>
    </row>
    <row r="76" spans="12:12">
      <c r="L76" s="156"/>
    </row>
    <row r="77" spans="12:12">
      <c r="L77" s="156"/>
    </row>
    <row r="78" spans="12:12">
      <c r="L78" s="156"/>
    </row>
    <row r="79" spans="12:12">
      <c r="L79" s="156"/>
    </row>
    <row r="80" spans="12:12">
      <c r="L80" s="156"/>
    </row>
    <row r="81" spans="12:12">
      <c r="L81" s="156"/>
    </row>
    <row r="82" spans="12:12">
      <c r="L82" s="156"/>
    </row>
    <row r="83" spans="12:12">
      <c r="L83" s="156"/>
    </row>
    <row r="84" spans="12:12">
      <c r="L84" s="156"/>
    </row>
    <row r="85" spans="12:12">
      <c r="L85" s="156"/>
    </row>
    <row r="86" spans="12:12">
      <c r="L86" s="156"/>
    </row>
    <row r="87" spans="12:12">
      <c r="L87" s="156"/>
    </row>
    <row r="88" spans="12:12">
      <c r="L88" s="156"/>
    </row>
    <row r="89" spans="12:12">
      <c r="L89" s="156"/>
    </row>
    <row r="90" spans="12:12">
      <c r="L90" s="156"/>
    </row>
    <row r="91" spans="12:12">
      <c r="L91" s="156"/>
    </row>
    <row r="92" spans="12:12">
      <c r="L92" s="156"/>
    </row>
    <row r="93" spans="12:12">
      <c r="L93" s="156"/>
    </row>
    <row r="94" spans="12:12">
      <c r="L94" s="156"/>
    </row>
    <row r="95" spans="12:12">
      <c r="L95" s="156"/>
    </row>
    <row r="96" spans="12:12">
      <c r="L96" s="156"/>
    </row>
    <row r="97" spans="12:12">
      <c r="L97" s="156"/>
    </row>
    <row r="98" spans="12:12">
      <c r="L98" s="156"/>
    </row>
    <row r="99" spans="12:12">
      <c r="L99" s="156"/>
    </row>
    <row r="100" spans="12:12">
      <c r="L100" s="156"/>
    </row>
    <row r="101" spans="12:12">
      <c r="L101" s="156"/>
    </row>
    <row r="102" spans="12:12">
      <c r="L102" s="156"/>
    </row>
    <row r="103" spans="12:12">
      <c r="L103" s="156"/>
    </row>
    <row r="104" spans="12:12">
      <c r="L104" s="156"/>
    </row>
    <row r="105" spans="12:12">
      <c r="L105" s="156"/>
    </row>
    <row r="106" spans="12:12">
      <c r="L106" s="156"/>
    </row>
    <row r="107" spans="12:12">
      <c r="L107" s="156"/>
    </row>
    <row r="108" spans="12:12">
      <c r="L108" s="156"/>
    </row>
    <row r="109" spans="12:12">
      <c r="L109" s="156"/>
    </row>
    <row r="110" spans="12:12">
      <c r="L110" s="156"/>
    </row>
    <row r="111" spans="12:12">
      <c r="L111" s="156"/>
    </row>
    <row r="112" spans="12:12">
      <c r="L112" s="156"/>
    </row>
    <row r="113" spans="12:12">
      <c r="L113" s="156"/>
    </row>
    <row r="114" spans="12:12">
      <c r="L114" s="156"/>
    </row>
    <row r="115" spans="12:12">
      <c r="L115" s="156"/>
    </row>
    <row r="116" spans="12:12">
      <c r="L116" s="156"/>
    </row>
    <row r="117" spans="12:12">
      <c r="L117" s="156"/>
    </row>
    <row r="118" spans="12:12">
      <c r="L118" s="156"/>
    </row>
    <row r="119" spans="12:12">
      <c r="L119" s="156"/>
    </row>
    <row r="120" spans="12:12">
      <c r="L120" s="156"/>
    </row>
    <row r="121" spans="12:12">
      <c r="L121" s="156"/>
    </row>
    <row r="122" spans="12:12">
      <c r="L122" s="156"/>
    </row>
    <row r="123" spans="12:12">
      <c r="L123" s="156"/>
    </row>
    <row r="124" spans="12:12">
      <c r="L124" s="156"/>
    </row>
    <row r="125" spans="12:12">
      <c r="L125" s="156"/>
    </row>
    <row r="126" spans="12:12">
      <c r="L126" s="156"/>
    </row>
    <row r="127" spans="12:12">
      <c r="L127" s="156"/>
    </row>
    <row r="128" spans="12:12">
      <c r="L128" s="156"/>
    </row>
    <row r="129" spans="12:12">
      <c r="L129" s="156"/>
    </row>
    <row r="130" spans="12:12">
      <c r="L130" s="156"/>
    </row>
    <row r="131" spans="12:12">
      <c r="L131" s="156"/>
    </row>
    <row r="132" spans="12:12">
      <c r="L132" s="156"/>
    </row>
    <row r="133" spans="12:12">
      <c r="L133" s="156"/>
    </row>
    <row r="134" spans="12:12">
      <c r="L134" s="156"/>
    </row>
    <row r="135" spans="12:12">
      <c r="L135" s="156"/>
    </row>
    <row r="136" spans="12:12">
      <c r="L136" s="156"/>
    </row>
    <row r="137" spans="12:12">
      <c r="L137" s="156"/>
    </row>
    <row r="138" spans="12:12">
      <c r="L138" s="156"/>
    </row>
    <row r="139" spans="12:12">
      <c r="L139" s="156"/>
    </row>
    <row r="140" spans="12:12">
      <c r="L140" s="156"/>
    </row>
    <row r="141" spans="12:12">
      <c r="L141" s="156"/>
    </row>
    <row r="142" spans="12:12">
      <c r="L142" s="156"/>
    </row>
    <row r="143" spans="12:12">
      <c r="L143" s="156"/>
    </row>
    <row r="144" spans="12:12">
      <c r="L144" s="156"/>
    </row>
    <row r="145" spans="12:12">
      <c r="L145" s="156"/>
    </row>
    <row r="146" spans="12:12">
      <c r="L146" s="156"/>
    </row>
    <row r="147" spans="12:12">
      <c r="L147" s="156"/>
    </row>
    <row r="148" spans="12:12">
      <c r="L148" s="156"/>
    </row>
    <row r="149" spans="12:12">
      <c r="L149" s="156"/>
    </row>
    <row r="150" spans="12:12">
      <c r="L150" s="156"/>
    </row>
    <row r="151" spans="12:12">
      <c r="L151" s="156"/>
    </row>
    <row r="152" spans="12:12">
      <c r="L152" s="156"/>
    </row>
    <row r="153" spans="12:12">
      <c r="L153" s="156"/>
    </row>
    <row r="154" spans="12:12">
      <c r="L154" s="156"/>
    </row>
    <row r="155" spans="12:12">
      <c r="L155" s="156"/>
    </row>
    <row r="156" spans="12:12">
      <c r="L156" s="156"/>
    </row>
    <row r="157" spans="12:12">
      <c r="L157" s="156"/>
    </row>
    <row r="158" spans="12:12">
      <c r="L158" s="156"/>
    </row>
    <row r="159" spans="12:12">
      <c r="L159" s="156"/>
    </row>
    <row r="160" spans="12:12">
      <c r="L160" s="156"/>
    </row>
    <row r="161" spans="12:12">
      <c r="L161" s="156"/>
    </row>
    <row r="162" spans="12:12">
      <c r="L162" s="156"/>
    </row>
    <row r="163" spans="12:12">
      <c r="L163" s="156"/>
    </row>
    <row r="164" spans="12:12">
      <c r="L164" s="156"/>
    </row>
    <row r="165" spans="12:12">
      <c r="L165" s="156"/>
    </row>
    <row r="166" spans="12:12">
      <c r="L166" s="156"/>
    </row>
    <row r="167" spans="12:12">
      <c r="L167" s="156"/>
    </row>
    <row r="168" spans="12:12">
      <c r="L168" s="156"/>
    </row>
    <row r="169" spans="12:12">
      <c r="L169" s="156"/>
    </row>
    <row r="170" spans="12:12">
      <c r="L170" s="156"/>
    </row>
    <row r="171" spans="12:12">
      <c r="L171" s="156"/>
    </row>
    <row r="172" spans="12:12">
      <c r="L172" s="156"/>
    </row>
    <row r="173" spans="12:12">
      <c r="L173" s="156"/>
    </row>
    <row r="174" spans="12:12">
      <c r="L174" s="156"/>
    </row>
    <row r="175" spans="12:12">
      <c r="L175" s="156"/>
    </row>
    <row r="176" spans="12:12">
      <c r="L176" s="156"/>
    </row>
    <row r="177" spans="12:12">
      <c r="L177" s="156"/>
    </row>
    <row r="178" spans="12:12">
      <c r="L178" s="156"/>
    </row>
    <row r="179" spans="12:12">
      <c r="L179" s="156"/>
    </row>
    <row r="180" spans="12:12">
      <c r="L180" s="156"/>
    </row>
    <row r="181" spans="12:12">
      <c r="L181" s="156"/>
    </row>
    <row r="182" spans="12:12">
      <c r="L182" s="156"/>
    </row>
    <row r="183" spans="12:12">
      <c r="L183" s="156"/>
    </row>
    <row r="184" spans="12:12">
      <c r="L184" s="156"/>
    </row>
    <row r="185" spans="12:12">
      <c r="L185" s="156"/>
    </row>
    <row r="186" spans="12:12">
      <c r="L186" s="156"/>
    </row>
    <row r="187" spans="12:12">
      <c r="L187" s="156"/>
    </row>
    <row r="188" spans="12:12">
      <c r="L188" s="156"/>
    </row>
    <row r="189" spans="12:12">
      <c r="L189" s="156"/>
    </row>
    <row r="190" spans="12:12">
      <c r="L190" s="156"/>
    </row>
    <row r="191" spans="12:12">
      <c r="L191" s="156"/>
    </row>
    <row r="192" spans="12:12">
      <c r="L192" s="156"/>
    </row>
    <row r="193" spans="12:12">
      <c r="L193" s="156"/>
    </row>
    <row r="194" spans="12:12">
      <c r="L194" s="156"/>
    </row>
    <row r="195" spans="12:12">
      <c r="L195" s="156"/>
    </row>
    <row r="196" spans="12:12">
      <c r="L196" s="156"/>
    </row>
    <row r="197" spans="12:12">
      <c r="L197" s="156"/>
    </row>
    <row r="198" spans="12:12">
      <c r="L198" s="156"/>
    </row>
    <row r="199" spans="12:12">
      <c r="L199" s="156"/>
    </row>
    <row r="200" spans="12:12">
      <c r="L200" s="156"/>
    </row>
    <row r="201" spans="12:12">
      <c r="L201" s="156"/>
    </row>
    <row r="202" spans="12:12">
      <c r="L202" s="156"/>
    </row>
    <row r="203" spans="12:12">
      <c r="L203" s="156"/>
    </row>
    <row r="204" spans="12:12">
      <c r="L204" s="156"/>
    </row>
    <row r="205" spans="12:12">
      <c r="L205" s="156"/>
    </row>
    <row r="206" spans="12:12">
      <c r="L206" s="156"/>
    </row>
    <row r="207" spans="12:12">
      <c r="L207" s="156"/>
    </row>
    <row r="208" spans="12:12">
      <c r="L208" s="156"/>
    </row>
  </sheetData>
  <mergeCells count="3">
    <mergeCell ref="A1:E1"/>
    <mergeCell ref="J1:L1"/>
    <mergeCell ref="G1:H1"/>
  </mergeCells>
  <phoneticPr fontId="43"/>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RunRicoScrape">
                <anchor moveWithCells="1" sizeWithCells="1">
                  <from>
                    <xdr:col>0</xdr:col>
                    <xdr:colOff>400050</xdr:colOff>
                    <xdr:row>0</xdr:row>
                    <xdr:rowOff>85725</xdr:rowOff>
                  </from>
                  <to>
                    <xdr:col>4</xdr:col>
                    <xdr:colOff>466725</xdr:colOff>
                    <xdr:row>0</xdr:row>
                    <xdr:rowOff>590550</xdr:rowOff>
                  </to>
                </anchor>
              </controlPr>
            </control>
          </mc:Choice>
        </mc:AlternateContent>
        <mc:AlternateContent xmlns:mc="http://schemas.openxmlformats.org/markup-compatibility/2006">
          <mc:Choice Requires="x14">
            <control shapeId="2051" r:id="rId4" name="Button 3">
              <controlPr defaultSize="0" print="0" autoFill="0" autoPict="0" macro="[0]!RunSendEmailScript">
                <anchor moveWithCells="1" sizeWithCells="1">
                  <from>
                    <xdr:col>9</xdr:col>
                    <xdr:colOff>76200</xdr:colOff>
                    <xdr:row>0</xdr:row>
                    <xdr:rowOff>114300</xdr:rowOff>
                  </from>
                  <to>
                    <xdr:col>11</xdr:col>
                    <xdr:colOff>542925</xdr:colOff>
                    <xdr:row>0</xdr:row>
                    <xdr:rowOff>638175</xdr:rowOff>
                  </to>
                </anchor>
              </controlPr>
            </control>
          </mc:Choice>
        </mc:AlternateContent>
        <mc:AlternateContent xmlns:mc="http://schemas.openxmlformats.org/markup-compatibility/2006">
          <mc:Choice Requires="x14">
            <control shapeId="2052" r:id="rId5" name="Button 4">
              <controlPr defaultSize="0" print="0" autoFill="0" autoPict="0" macro="[0]!SendRowToRICO">
                <anchor moveWithCells="1" sizeWithCells="1">
                  <from>
                    <xdr:col>15</xdr:col>
                    <xdr:colOff>123825</xdr:colOff>
                    <xdr:row>10</xdr:row>
                    <xdr:rowOff>47625</xdr:rowOff>
                  </from>
                  <to>
                    <xdr:col>15</xdr:col>
                    <xdr:colOff>495300</xdr:colOff>
                    <xdr:row>10</xdr:row>
                    <xdr:rowOff>152400</xdr:rowOff>
                  </to>
                </anchor>
              </controlPr>
            </control>
          </mc:Choice>
        </mc:AlternateContent>
        <mc:AlternateContent xmlns:mc="http://schemas.openxmlformats.org/markup-compatibility/2006">
          <mc:Choice Requires="x14">
            <control shapeId="2054" r:id="rId6" name="Button 6">
              <controlPr defaultSize="0" print="0" autoFill="0" autoPict="0" macro="[0]!SendRowToRICO">
                <anchor moveWithCells="1" sizeWithCells="1">
                  <from>
                    <xdr:col>15</xdr:col>
                    <xdr:colOff>95250</xdr:colOff>
                    <xdr:row>11</xdr:row>
                    <xdr:rowOff>0</xdr:rowOff>
                  </from>
                  <to>
                    <xdr:col>15</xdr:col>
                    <xdr:colOff>495300</xdr:colOff>
                    <xdr:row>11</xdr:row>
                    <xdr:rowOff>152400</xdr:rowOff>
                  </to>
                </anchor>
              </controlPr>
            </control>
          </mc:Choice>
        </mc:AlternateContent>
        <mc:AlternateContent xmlns:mc="http://schemas.openxmlformats.org/markup-compatibility/2006">
          <mc:Choice Requires="x14">
            <control shapeId="2055" r:id="rId7" name="Button 7">
              <controlPr defaultSize="0" print="0" autoFill="0" autoPict="0" macro="[0]!SendRowToRICO">
                <anchor moveWithCells="1" sizeWithCells="1">
                  <from>
                    <xdr:col>15</xdr:col>
                    <xdr:colOff>104775</xdr:colOff>
                    <xdr:row>12</xdr:row>
                    <xdr:rowOff>28575</xdr:rowOff>
                  </from>
                  <to>
                    <xdr:col>15</xdr:col>
                    <xdr:colOff>523875</xdr:colOff>
                    <xdr:row>12</xdr:row>
                    <xdr:rowOff>142875</xdr:rowOff>
                  </to>
                </anchor>
              </controlPr>
            </control>
          </mc:Choice>
        </mc:AlternateContent>
        <mc:AlternateContent xmlns:mc="http://schemas.openxmlformats.org/markup-compatibility/2006">
          <mc:Choice Requires="x14">
            <control shapeId="2056" r:id="rId8" name="Button 8">
              <controlPr defaultSize="0" print="0" autoFill="0" autoPict="0" macro="[0]!SendRowToRICO">
                <anchor moveWithCells="1" sizeWithCells="1">
                  <from>
                    <xdr:col>15</xdr:col>
                    <xdr:colOff>142875</xdr:colOff>
                    <xdr:row>13</xdr:row>
                    <xdr:rowOff>47625</xdr:rowOff>
                  </from>
                  <to>
                    <xdr:col>15</xdr:col>
                    <xdr:colOff>514350</xdr:colOff>
                    <xdr:row>13</xdr:row>
                    <xdr:rowOff>152400</xdr:rowOff>
                  </to>
                </anchor>
              </controlPr>
            </control>
          </mc:Choice>
        </mc:AlternateContent>
        <mc:AlternateContent xmlns:mc="http://schemas.openxmlformats.org/markup-compatibility/2006">
          <mc:Choice Requires="x14">
            <control shapeId="2057" r:id="rId9" name="Button 9">
              <controlPr defaultSize="0" print="0" autoFill="0" autoPict="0" macro="[0]!SendRowToRICO">
                <anchor moveWithCells="1" sizeWithCells="1">
                  <from>
                    <xdr:col>15</xdr:col>
                    <xdr:colOff>57150</xdr:colOff>
                    <xdr:row>15</xdr:row>
                    <xdr:rowOff>0</xdr:rowOff>
                  </from>
                  <to>
                    <xdr:col>15</xdr:col>
                    <xdr:colOff>533400</xdr:colOff>
                    <xdr:row>15</xdr:row>
                    <xdr:rowOff>123825</xdr:rowOff>
                  </to>
                </anchor>
              </controlPr>
            </control>
          </mc:Choice>
        </mc:AlternateContent>
        <mc:AlternateContent xmlns:mc="http://schemas.openxmlformats.org/markup-compatibility/2006">
          <mc:Choice Requires="x14">
            <control shapeId="2058" r:id="rId10" name="Button 10">
              <controlPr defaultSize="0" print="0" autoFill="0" autoPict="0" macro="[0]!SendRowToRICO">
                <anchor moveWithCells="1" sizeWithCells="1">
                  <from>
                    <xdr:col>15</xdr:col>
                    <xdr:colOff>123825</xdr:colOff>
                    <xdr:row>16</xdr:row>
                    <xdr:rowOff>171450</xdr:rowOff>
                  </from>
                  <to>
                    <xdr:col>15</xdr:col>
                    <xdr:colOff>581025</xdr:colOff>
                    <xdr:row>16</xdr:row>
                    <xdr:rowOff>847725</xdr:rowOff>
                  </to>
                </anchor>
              </controlPr>
            </control>
          </mc:Choice>
        </mc:AlternateContent>
        <mc:AlternateContent xmlns:mc="http://schemas.openxmlformats.org/markup-compatibility/2006">
          <mc:Choice Requires="x14">
            <control shapeId="2059" r:id="rId11" name="Button 11">
              <controlPr defaultSize="0" print="0" autoFill="0" autoPict="0" macro="[0]!SendRowToRICO">
                <anchor moveWithCells="1" sizeWithCells="1">
                  <from>
                    <xdr:col>15</xdr:col>
                    <xdr:colOff>85725</xdr:colOff>
                    <xdr:row>19</xdr:row>
                    <xdr:rowOff>76200</xdr:rowOff>
                  </from>
                  <to>
                    <xdr:col>15</xdr:col>
                    <xdr:colOff>561975</xdr:colOff>
                    <xdr:row>19</xdr:row>
                    <xdr:rowOff>152400</xdr:rowOff>
                  </to>
                </anchor>
              </controlPr>
            </control>
          </mc:Choice>
        </mc:AlternateContent>
        <mc:AlternateContent xmlns:mc="http://schemas.openxmlformats.org/markup-compatibility/2006">
          <mc:Choice Requires="x14">
            <control shapeId="2060" r:id="rId12" name="Button 12">
              <controlPr defaultSize="0" print="0" autoFill="0" autoPict="0" macro="[0]!SendRowToRICO">
                <anchor moveWithCells="1" sizeWithCells="1">
                  <from>
                    <xdr:col>15</xdr:col>
                    <xdr:colOff>76200</xdr:colOff>
                    <xdr:row>20</xdr:row>
                    <xdr:rowOff>28575</xdr:rowOff>
                  </from>
                  <to>
                    <xdr:col>15</xdr:col>
                    <xdr:colOff>561975</xdr:colOff>
                    <xdr:row>20</xdr:row>
                    <xdr:rowOff>142875</xdr:rowOff>
                  </to>
                </anchor>
              </controlPr>
            </control>
          </mc:Choice>
        </mc:AlternateContent>
        <mc:AlternateContent xmlns:mc="http://schemas.openxmlformats.org/markup-compatibility/2006">
          <mc:Choice Requires="x14">
            <control shapeId="2063" r:id="rId13" name="Button 15">
              <controlPr defaultSize="0" print="0" autoFill="0" autoPict="0">
                <anchor moveWithCells="1" sizeWithCells="1">
                  <from>
                    <xdr:col>15</xdr:col>
                    <xdr:colOff>95250</xdr:colOff>
                    <xdr:row>17</xdr:row>
                    <xdr:rowOff>38100</xdr:rowOff>
                  </from>
                  <to>
                    <xdr:col>15</xdr:col>
                    <xdr:colOff>571500</xdr:colOff>
                    <xdr:row>17</xdr:row>
                    <xdr:rowOff>114300</xdr:rowOff>
                  </to>
                </anchor>
              </controlPr>
            </control>
          </mc:Choice>
        </mc:AlternateContent>
        <mc:AlternateContent xmlns:mc="http://schemas.openxmlformats.org/markup-compatibility/2006">
          <mc:Choice Requires="x14">
            <control shapeId="2064" r:id="rId14" name="Button 16">
              <controlPr defaultSize="0" print="0" autoFill="0" autoPict="0" macro="[0]!SendRowToRICO">
                <anchor moveWithCells="1" sizeWithCells="1">
                  <from>
                    <xdr:col>15</xdr:col>
                    <xdr:colOff>104775</xdr:colOff>
                    <xdr:row>18</xdr:row>
                    <xdr:rowOff>47625</xdr:rowOff>
                  </from>
                  <to>
                    <xdr:col>15</xdr:col>
                    <xdr:colOff>523875</xdr:colOff>
                    <xdr:row>18</xdr:row>
                    <xdr:rowOff>133350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E9211B-11D7-4ED7-A5A1-92028F0B7BB5}">
  <sheetPr codeName="Sheet11"/>
  <dimension ref="A1:B3"/>
  <sheetViews>
    <sheetView workbookViewId="0">
      <selection activeCell="B3" sqref="B3"/>
    </sheetView>
  </sheetViews>
  <sheetFormatPr defaultRowHeight="12.75"/>
  <sheetData>
    <row r="1" spans="1:2" ht="29.65">
      <c r="A1" s="261" t="s">
        <v>2155</v>
      </c>
      <c r="B1" s="262" t="s">
        <v>2156</v>
      </c>
    </row>
    <row r="2" spans="1:2" ht="29.65">
      <c r="A2" s="265" t="s">
        <v>2194</v>
      </c>
    </row>
    <row r="3" spans="1:2" ht="16.5">
      <c r="A3" s="267" t="s">
        <v>2195</v>
      </c>
      <c r="B3" t="s">
        <v>1100</v>
      </c>
    </row>
  </sheetData>
  <phoneticPr fontId="43"/>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S101"/>
  <sheetViews>
    <sheetView zoomScale="85" zoomScaleNormal="85" workbookViewId="0">
      <pane ySplit="1" topLeftCell="A91" activePane="bottomLeft" state="frozen"/>
      <selection pane="bottomLeft" activeCell="C100" sqref="C100"/>
    </sheetView>
  </sheetViews>
  <sheetFormatPr defaultColWidth="7.1328125" defaultRowHeight="12.75"/>
  <cols>
    <col min="1" max="1" width="12" customWidth="1"/>
    <col min="2" max="2" width="26.59765625" bestFit="1" customWidth="1"/>
    <col min="3" max="5" width="26.59765625" customWidth="1"/>
    <col min="6" max="6" width="27.59765625" bestFit="1" customWidth="1"/>
    <col min="7" max="7" width="13.73046875" bestFit="1" customWidth="1"/>
    <col min="8" max="8" width="25.73046875" bestFit="1" customWidth="1"/>
    <col min="9" max="9" width="14.73046875" style="78" bestFit="1" customWidth="1"/>
    <col min="10" max="10" width="16.265625" bestFit="1" customWidth="1"/>
    <col min="11" max="12" width="19.265625" bestFit="1" customWidth="1"/>
    <col min="13" max="13" width="29" bestFit="1" customWidth="1"/>
    <col min="14" max="14" width="10.59765625" bestFit="1" customWidth="1"/>
    <col min="15" max="15" width="10.59765625" customWidth="1"/>
    <col min="16" max="16" width="10.3984375" bestFit="1" customWidth="1"/>
    <col min="17" max="17" width="6.86328125" customWidth="1"/>
    <col min="18" max="18" width="23.265625" bestFit="1" customWidth="1"/>
    <col min="19" max="19" width="16" bestFit="1" customWidth="1"/>
    <col min="20" max="20" width="16.86328125" customWidth="1"/>
    <col min="21" max="21" width="10.3984375" bestFit="1" customWidth="1"/>
    <col min="22" max="22" width="9.265625" bestFit="1" customWidth="1"/>
    <col min="23" max="23" width="9.265625" customWidth="1"/>
    <col min="24" max="24" width="30.73046875" bestFit="1" customWidth="1"/>
    <col min="25" max="25" width="18" customWidth="1"/>
    <col min="26" max="26" width="15.86328125" bestFit="1" customWidth="1"/>
  </cols>
  <sheetData>
    <row r="1" spans="1:26" ht="29.45" customHeight="1" thickBot="1">
      <c r="A1" s="121" t="s">
        <v>37</v>
      </c>
      <c r="B1" s="122" t="s">
        <v>38</v>
      </c>
      <c r="C1" s="122" t="s">
        <v>2050</v>
      </c>
      <c r="D1" s="122" t="s">
        <v>2314</v>
      </c>
      <c r="E1" s="122" t="s">
        <v>1654</v>
      </c>
      <c r="F1" s="122" t="s">
        <v>1639</v>
      </c>
      <c r="G1" s="122" t="s">
        <v>1640</v>
      </c>
      <c r="H1" s="122" t="s">
        <v>1641</v>
      </c>
      <c r="I1" s="123" t="s">
        <v>1642</v>
      </c>
      <c r="J1" s="122" t="s">
        <v>1643</v>
      </c>
      <c r="K1" s="122" t="s">
        <v>1644</v>
      </c>
      <c r="L1" s="122" t="s">
        <v>1645</v>
      </c>
      <c r="M1" s="122" t="s">
        <v>1646</v>
      </c>
      <c r="N1" s="122" t="s">
        <v>1647</v>
      </c>
      <c r="O1" s="122" t="s">
        <v>1648</v>
      </c>
      <c r="P1" s="122" t="s">
        <v>1649</v>
      </c>
      <c r="Q1" s="122" t="s">
        <v>1650</v>
      </c>
      <c r="R1" s="122" t="s">
        <v>1651</v>
      </c>
      <c r="S1" s="122" t="s">
        <v>1652</v>
      </c>
      <c r="T1" s="122" t="s">
        <v>1653</v>
      </c>
      <c r="U1" s="122" t="s">
        <v>9</v>
      </c>
      <c r="V1" s="122" t="s">
        <v>1935</v>
      </c>
      <c r="W1" s="122" t="s">
        <v>1655</v>
      </c>
      <c r="X1" s="122" t="s">
        <v>1656</v>
      </c>
      <c r="Y1" s="124" t="s">
        <v>1657</v>
      </c>
      <c r="Z1" s="125" t="s">
        <v>1658</v>
      </c>
    </row>
    <row r="2" spans="1:26" ht="44.1" customHeight="1" thickBot="1">
      <c r="A2" s="2" t="s">
        <v>1659</v>
      </c>
      <c r="B2" s="3" t="s">
        <v>1534</v>
      </c>
      <c r="C2" s="3"/>
      <c r="D2" s="3"/>
      <c r="E2" s="2" t="s">
        <v>1663</v>
      </c>
      <c r="F2" s="4" t="s">
        <v>1536</v>
      </c>
      <c r="G2" s="5">
        <v>8052745552</v>
      </c>
      <c r="H2" s="2" t="s">
        <v>1639</v>
      </c>
      <c r="I2" s="69">
        <v>45666</v>
      </c>
      <c r="J2" s="6"/>
      <c r="K2" s="6"/>
      <c r="L2" s="6"/>
      <c r="M2" s="7" t="s">
        <v>1660</v>
      </c>
      <c r="N2" s="7"/>
      <c r="O2" s="7"/>
      <c r="P2" s="6"/>
      <c r="Q2" s="6"/>
      <c r="R2" s="8" t="s">
        <v>1661</v>
      </c>
      <c r="S2" s="6"/>
      <c r="T2" s="2" t="s">
        <v>1662</v>
      </c>
      <c r="U2" s="2" t="s">
        <v>109</v>
      </c>
      <c r="V2" s="2" t="s">
        <v>1663</v>
      </c>
      <c r="W2" s="2"/>
      <c r="X2" s="6"/>
      <c r="Y2" s="1"/>
    </row>
    <row r="3" spans="1:26" ht="15.95" customHeight="1" thickBot="1">
      <c r="A3" s="2" t="s">
        <v>1659</v>
      </c>
      <c r="B3" s="3" t="s">
        <v>1538</v>
      </c>
      <c r="C3" s="3"/>
      <c r="D3" s="3"/>
      <c r="E3" s="2" t="s">
        <v>1663</v>
      </c>
      <c r="F3" s="4" t="s">
        <v>1539</v>
      </c>
      <c r="G3" s="5">
        <v>9059486299</v>
      </c>
      <c r="H3" s="2" t="s">
        <v>1639</v>
      </c>
      <c r="I3" s="69">
        <v>45666</v>
      </c>
      <c r="J3" s="6"/>
      <c r="K3" s="6"/>
      <c r="L3" s="6"/>
      <c r="M3" s="7" t="s">
        <v>102</v>
      </c>
      <c r="N3" s="7"/>
      <c r="O3" s="7"/>
      <c r="P3" s="6"/>
      <c r="Q3" s="6"/>
      <c r="R3" s="109" t="s">
        <v>1661</v>
      </c>
      <c r="S3" s="110"/>
      <c r="T3" s="111"/>
      <c r="U3" s="2" t="s">
        <v>109</v>
      </c>
      <c r="V3" s="2" t="s">
        <v>1663</v>
      </c>
      <c r="W3" s="2"/>
      <c r="X3" s="6"/>
      <c r="Y3" s="1"/>
    </row>
    <row r="4" spans="1:26" ht="174.6" customHeight="1" thickBot="1">
      <c r="A4" s="1"/>
      <c r="B4" s="1"/>
      <c r="C4" s="1"/>
      <c r="D4" s="1"/>
      <c r="E4" s="1"/>
      <c r="F4" s="4" t="s">
        <v>1664</v>
      </c>
      <c r="G4" s="9">
        <v>9074671607</v>
      </c>
      <c r="H4" s="10" t="s">
        <v>1665</v>
      </c>
      <c r="I4" s="70">
        <v>45664</v>
      </c>
      <c r="J4" s="1"/>
      <c r="K4" s="10" t="s">
        <v>196</v>
      </c>
      <c r="L4" s="1"/>
      <c r="M4" s="10" t="s">
        <v>1666</v>
      </c>
      <c r="N4" s="10"/>
      <c r="O4" s="10"/>
      <c r="P4" s="1"/>
      <c r="Q4" s="1"/>
      <c r="R4" s="10" t="s">
        <v>1667</v>
      </c>
      <c r="S4" s="1"/>
      <c r="T4" s="10" t="s">
        <v>1668</v>
      </c>
      <c r="U4" s="10" t="s">
        <v>196</v>
      </c>
      <c r="V4" s="1"/>
      <c r="W4" s="1"/>
      <c r="X4" s="1"/>
      <c r="Y4" s="1"/>
    </row>
    <row r="5" spans="1:26" ht="15" customHeight="1" thickBot="1">
      <c r="A5" s="2" t="s">
        <v>1669</v>
      </c>
      <c r="B5" s="2" t="s">
        <v>115</v>
      </c>
      <c r="C5" s="2"/>
      <c r="D5" s="2"/>
      <c r="E5" s="6"/>
      <c r="F5" s="11" t="s">
        <v>1670</v>
      </c>
      <c r="G5" s="5">
        <v>9064205927</v>
      </c>
      <c r="H5" s="2" t="s">
        <v>1665</v>
      </c>
      <c r="I5" s="71">
        <v>45673</v>
      </c>
      <c r="J5" s="6"/>
      <c r="K5" s="2" t="s">
        <v>104</v>
      </c>
      <c r="L5" s="6"/>
      <c r="M5" s="2" t="s">
        <v>72</v>
      </c>
      <c r="N5" s="2"/>
      <c r="O5" s="2"/>
      <c r="P5" s="6"/>
      <c r="Q5" s="6"/>
      <c r="R5" s="2" t="s">
        <v>1667</v>
      </c>
      <c r="S5" s="6"/>
      <c r="T5" s="6"/>
      <c r="U5" s="2" t="s">
        <v>109</v>
      </c>
      <c r="V5" s="6"/>
      <c r="W5" s="6"/>
      <c r="X5" s="5">
        <v>36980</v>
      </c>
      <c r="Y5" s="6"/>
    </row>
    <row r="6" spans="1:26" ht="276" customHeight="1" thickBot="1">
      <c r="B6" s="12" t="s">
        <v>1671</v>
      </c>
      <c r="C6" s="12"/>
      <c r="D6" s="12"/>
      <c r="E6" s="16"/>
      <c r="F6" s="13" t="s">
        <v>1672</v>
      </c>
      <c r="G6" s="14"/>
      <c r="H6" s="12" t="s">
        <v>1639</v>
      </c>
      <c r="I6" s="72">
        <v>45689</v>
      </c>
      <c r="J6" s="15">
        <v>0.58333333333333337</v>
      </c>
      <c r="K6" s="16"/>
      <c r="L6" s="16"/>
      <c r="M6" s="17" t="s">
        <v>1673</v>
      </c>
      <c r="N6" s="17"/>
      <c r="O6" s="17"/>
      <c r="P6" s="16"/>
      <c r="Q6" s="16"/>
      <c r="R6" s="18" t="s">
        <v>1674</v>
      </c>
      <c r="S6" s="16"/>
      <c r="T6" s="12" t="s">
        <v>1675</v>
      </c>
      <c r="U6" s="12" t="s">
        <v>109</v>
      </c>
      <c r="V6" s="16"/>
      <c r="W6" s="16"/>
      <c r="X6" s="12" t="s">
        <v>1676</v>
      </c>
    </row>
    <row r="7" spans="1:26" ht="15.95" customHeight="1" thickBot="1">
      <c r="B7" s="19" t="s">
        <v>1677</v>
      </c>
      <c r="C7" s="19"/>
      <c r="D7" s="19"/>
      <c r="E7" s="1"/>
      <c r="F7" t="s">
        <v>1678</v>
      </c>
      <c r="G7" s="9"/>
      <c r="H7" s="10" t="s">
        <v>1639</v>
      </c>
      <c r="I7" s="70">
        <v>45675</v>
      </c>
      <c r="J7" s="1"/>
      <c r="K7" s="1"/>
      <c r="L7" s="1"/>
      <c r="M7" s="112" t="s">
        <v>1679</v>
      </c>
      <c r="N7" s="113"/>
      <c r="O7" s="113"/>
      <c r="P7" s="114"/>
      <c r="Q7" s="1"/>
      <c r="R7" s="20" t="s">
        <v>1674</v>
      </c>
      <c r="S7" s="1"/>
      <c r="T7" s="20" t="s">
        <v>1680</v>
      </c>
      <c r="U7" s="1"/>
      <c r="V7" s="1"/>
      <c r="W7" s="1"/>
      <c r="X7" s="21" t="s">
        <v>1681</v>
      </c>
    </row>
    <row r="8" spans="1:26" ht="350.45" customHeight="1" thickBot="1">
      <c r="B8" s="22" t="s">
        <v>1682</v>
      </c>
      <c r="C8" s="22"/>
      <c r="D8" s="22"/>
      <c r="E8" s="1"/>
      <c r="F8" s="13" t="s">
        <v>1683</v>
      </c>
      <c r="G8" s="1"/>
      <c r="H8" s="10" t="s">
        <v>1639</v>
      </c>
      <c r="I8" s="70">
        <v>45687</v>
      </c>
      <c r="J8" s="23">
        <v>0.70833333333333337</v>
      </c>
      <c r="K8" s="1"/>
      <c r="L8" s="1"/>
      <c r="M8" s="21" t="s">
        <v>1684</v>
      </c>
      <c r="N8" s="21"/>
      <c r="O8" s="21"/>
      <c r="P8" s="1"/>
      <c r="Q8" s="1"/>
      <c r="R8" s="20" t="s">
        <v>1674</v>
      </c>
      <c r="S8" s="1"/>
      <c r="T8" s="10" t="s">
        <v>1685</v>
      </c>
      <c r="U8" s="10" t="s">
        <v>109</v>
      </c>
      <c r="V8" s="1"/>
      <c r="W8" s="1"/>
      <c r="X8" s="1"/>
    </row>
    <row r="9" spans="1:26" ht="116.45" customHeight="1" thickBot="1">
      <c r="B9" s="12" t="s">
        <v>1686</v>
      </c>
      <c r="C9" s="117"/>
      <c r="D9" s="117"/>
      <c r="E9" s="117"/>
      <c r="F9" s="67" t="s">
        <v>1561</v>
      </c>
      <c r="G9" s="12" t="s">
        <v>1687</v>
      </c>
      <c r="H9" s="12" t="s">
        <v>1665</v>
      </c>
      <c r="I9" s="72">
        <v>45689</v>
      </c>
      <c r="J9" s="15">
        <v>0.45833333333333331</v>
      </c>
      <c r="K9" s="16"/>
      <c r="L9" s="16"/>
      <c r="M9" s="16"/>
      <c r="N9" s="16"/>
      <c r="O9" s="16"/>
      <c r="P9" s="16"/>
      <c r="Q9" s="115" t="s">
        <v>1688</v>
      </c>
      <c r="R9" s="116"/>
      <c r="S9" s="16"/>
      <c r="T9" s="115" t="s">
        <v>1689</v>
      </c>
      <c r="U9" s="117"/>
      <c r="V9" s="117"/>
      <c r="W9" s="117"/>
      <c r="X9" s="116"/>
    </row>
    <row r="10" spans="1:26" s="49" customFormat="1" ht="15" customHeight="1" thickBot="1">
      <c r="B10" s="2" t="s">
        <v>749</v>
      </c>
      <c r="C10" s="2"/>
      <c r="D10" s="2"/>
      <c r="E10" s="206">
        <v>45843</v>
      </c>
      <c r="F10" s="67"/>
      <c r="G10" s="2" t="s">
        <v>1562</v>
      </c>
      <c r="H10" s="2" t="s">
        <v>1665</v>
      </c>
      <c r="I10" s="69">
        <v>45696</v>
      </c>
      <c r="J10" s="25">
        <v>0.45833333333333331</v>
      </c>
      <c r="K10" s="2" t="s">
        <v>149</v>
      </c>
      <c r="L10" s="6"/>
      <c r="M10" s="2" t="s">
        <v>1690</v>
      </c>
      <c r="N10" s="2"/>
      <c r="O10" s="2"/>
      <c r="P10" s="6"/>
      <c r="Q10" s="6"/>
      <c r="R10" s="7" t="s">
        <v>1674</v>
      </c>
      <c r="S10" s="6"/>
      <c r="T10" s="2" t="s">
        <v>1691</v>
      </c>
      <c r="U10" s="6"/>
      <c r="V10" s="206">
        <v>45843</v>
      </c>
      <c r="W10" s="6"/>
      <c r="X10" s="6"/>
    </row>
    <row r="11" spans="1:26" ht="189" customHeight="1" thickBot="1">
      <c r="B11" s="10" t="s">
        <v>1692</v>
      </c>
      <c r="C11" s="107"/>
      <c r="D11" s="107"/>
      <c r="E11" s="107"/>
      <c r="F11" s="24" t="s">
        <v>1504</v>
      </c>
      <c r="G11" s="1"/>
      <c r="H11" s="10" t="s">
        <v>1665</v>
      </c>
      <c r="I11" s="70">
        <v>45700</v>
      </c>
      <c r="J11" s="23">
        <v>0.5625</v>
      </c>
      <c r="K11" s="21" t="s">
        <v>1693</v>
      </c>
      <c r="L11" s="1"/>
      <c r="M11" s="21" t="s">
        <v>1694</v>
      </c>
      <c r="N11" s="21"/>
      <c r="O11" s="21"/>
      <c r="P11" s="1"/>
      <c r="Q11" s="1"/>
      <c r="R11" s="20" t="s">
        <v>1695</v>
      </c>
      <c r="S11" s="1"/>
      <c r="T11" s="106" t="s">
        <v>1696</v>
      </c>
      <c r="U11" s="107"/>
      <c r="V11" s="107"/>
      <c r="W11" s="107"/>
      <c r="X11" s="108"/>
    </row>
    <row r="12" spans="1:26" ht="15" customHeight="1" thickBot="1">
      <c r="B12" s="2" t="s">
        <v>1457</v>
      </c>
      <c r="C12" s="2"/>
      <c r="D12" s="2"/>
      <c r="E12" s="2" t="s">
        <v>1697</v>
      </c>
      <c r="F12" s="6"/>
      <c r="G12" s="6"/>
      <c r="H12" s="2" t="s">
        <v>1639</v>
      </c>
      <c r="I12" s="69">
        <v>45705</v>
      </c>
      <c r="J12" s="25">
        <v>0.70833333333333337</v>
      </c>
      <c r="K12" s="6"/>
      <c r="L12" s="6"/>
      <c r="M12" s="6"/>
      <c r="N12" s="6"/>
      <c r="O12" s="6"/>
      <c r="P12" s="6"/>
      <c r="Q12" s="6"/>
      <c r="R12" s="6"/>
      <c r="S12" s="6"/>
      <c r="T12" s="6"/>
      <c r="U12" s="2" t="s">
        <v>494</v>
      </c>
      <c r="V12" s="2" t="s">
        <v>1697</v>
      </c>
      <c r="W12" s="2"/>
      <c r="X12" s="6"/>
    </row>
    <row r="13" spans="1:26" ht="29.45" customHeight="1" thickBot="1">
      <c r="B13" s="12" t="s">
        <v>1698</v>
      </c>
      <c r="C13" s="12"/>
      <c r="D13" s="12"/>
      <c r="E13" s="16"/>
      <c r="F13" s="104" t="s">
        <v>1699</v>
      </c>
      <c r="G13" s="105"/>
      <c r="H13" s="16"/>
      <c r="I13" s="73"/>
      <c r="J13" s="16"/>
      <c r="K13" s="16"/>
      <c r="L13" s="16"/>
      <c r="M13" s="12" t="s">
        <v>1700</v>
      </c>
      <c r="N13" s="12"/>
      <c r="O13" s="12"/>
      <c r="P13" s="16"/>
      <c r="Q13" s="16"/>
      <c r="R13" s="16"/>
      <c r="S13" s="16"/>
      <c r="T13" s="115" t="s">
        <v>1701</v>
      </c>
      <c r="U13" s="116"/>
      <c r="V13" s="16"/>
      <c r="W13" s="16"/>
      <c r="X13" s="16"/>
    </row>
    <row r="14" spans="1:26" ht="58.5" customHeight="1" thickBot="1">
      <c r="B14" s="10" t="s">
        <v>1702</v>
      </c>
      <c r="C14" s="108"/>
      <c r="D14" s="108"/>
      <c r="E14" s="108"/>
      <c r="F14" s="104" t="s">
        <v>1703</v>
      </c>
      <c r="G14" s="105"/>
      <c r="H14" s="10" t="s">
        <v>1665</v>
      </c>
      <c r="I14" s="70">
        <v>45709</v>
      </c>
      <c r="J14" s="23">
        <v>0.70833333333333337</v>
      </c>
      <c r="K14" s="1"/>
      <c r="L14" s="1"/>
      <c r="M14" s="10" t="s">
        <v>1690</v>
      </c>
      <c r="N14" s="10"/>
      <c r="O14" s="10"/>
      <c r="P14" s="1"/>
      <c r="Q14" s="1"/>
      <c r="R14" s="1"/>
      <c r="S14" s="1"/>
      <c r="T14" s="106" t="s">
        <v>1704</v>
      </c>
      <c r="U14" s="107"/>
      <c r="V14" s="108"/>
      <c r="W14" s="108"/>
      <c r="X14" s="1"/>
    </row>
    <row r="15" spans="1:26" ht="116.45" customHeight="1" thickBot="1">
      <c r="B15" s="1"/>
      <c r="C15" s="230"/>
      <c r="D15" s="230"/>
      <c r="E15" s="107"/>
      <c r="F15" s="1"/>
      <c r="G15" s="1"/>
      <c r="H15" s="10" t="s">
        <v>1665</v>
      </c>
      <c r="I15" s="70">
        <v>45710</v>
      </c>
      <c r="J15" s="23">
        <v>0.54166666666666663</v>
      </c>
      <c r="K15" s="21" t="s">
        <v>1705</v>
      </c>
      <c r="L15" s="1"/>
      <c r="M15" s="1"/>
      <c r="N15" s="1"/>
      <c r="O15" s="1"/>
      <c r="P15" s="1"/>
      <c r="Q15" s="1"/>
      <c r="R15" s="1"/>
      <c r="S15" s="1"/>
      <c r="T15" s="106" t="s">
        <v>1706</v>
      </c>
      <c r="U15" s="107"/>
      <c r="V15" s="107"/>
      <c r="W15" s="107"/>
      <c r="X15" s="108"/>
    </row>
    <row r="16" spans="1:26" ht="15" customHeight="1" thickBot="1">
      <c r="B16" s="26" t="s">
        <v>1707</v>
      </c>
      <c r="C16" s="26"/>
      <c r="D16" s="26"/>
      <c r="E16" s="27"/>
      <c r="F16" s="27"/>
      <c r="G16" s="27"/>
      <c r="H16" s="26" t="s">
        <v>1665</v>
      </c>
      <c r="I16" s="74">
        <v>45717</v>
      </c>
      <c r="J16" s="28">
        <v>0.41666666666666669</v>
      </c>
      <c r="K16" s="27"/>
      <c r="L16" s="27"/>
      <c r="M16" s="26" t="s">
        <v>1708</v>
      </c>
      <c r="N16" s="26"/>
      <c r="O16" s="26"/>
      <c r="P16" s="27"/>
      <c r="Q16" s="27"/>
      <c r="R16" s="27"/>
      <c r="S16" s="27"/>
      <c r="T16" s="29" t="s">
        <v>1709</v>
      </c>
      <c r="U16" s="27"/>
      <c r="V16" s="27"/>
      <c r="W16" s="27"/>
      <c r="X16" s="27"/>
    </row>
    <row r="17" spans="2:26" s="49" customFormat="1" ht="16.5" customHeight="1" thickBot="1">
      <c r="B17" s="56" t="s">
        <v>1480</v>
      </c>
      <c r="C17" s="56"/>
      <c r="D17" s="56"/>
      <c r="E17" s="6"/>
      <c r="F17" s="47" t="s">
        <v>1483</v>
      </c>
      <c r="G17" s="6"/>
      <c r="H17" s="2" t="s">
        <v>1639</v>
      </c>
      <c r="I17" s="69">
        <v>45719</v>
      </c>
      <c r="J17" s="25">
        <v>0.66666666666666663</v>
      </c>
      <c r="K17" s="6"/>
      <c r="L17" s="6"/>
      <c r="M17" s="8" t="s">
        <v>72</v>
      </c>
      <c r="N17" s="6"/>
      <c r="O17" s="6"/>
      <c r="P17" s="6"/>
      <c r="Q17" s="6"/>
      <c r="R17" s="7" t="s">
        <v>1674</v>
      </c>
      <c r="S17" s="6"/>
      <c r="T17" s="8" t="s">
        <v>1710</v>
      </c>
      <c r="U17" s="6"/>
      <c r="V17" s="6"/>
      <c r="W17" s="6"/>
      <c r="X17" s="6"/>
    </row>
    <row r="18" spans="2:26" s="49" customFormat="1" ht="16.5" customHeight="1" thickBot="1">
      <c r="B18" s="46" t="s">
        <v>1711</v>
      </c>
      <c r="C18" s="46"/>
      <c r="D18" s="46"/>
      <c r="E18" s="6"/>
      <c r="F18" s="47" t="s">
        <v>1473</v>
      </c>
      <c r="G18" s="48" t="s">
        <v>1474</v>
      </c>
      <c r="H18" s="2" t="s">
        <v>1639</v>
      </c>
      <c r="I18" s="69">
        <v>45728</v>
      </c>
      <c r="J18" s="25">
        <v>0.66666666666666663</v>
      </c>
      <c r="K18" s="6"/>
      <c r="L18" s="6"/>
      <c r="M18" s="8" t="s">
        <v>72</v>
      </c>
      <c r="N18" s="2"/>
      <c r="O18" s="2"/>
      <c r="P18" s="6"/>
      <c r="Q18" s="6"/>
      <c r="R18" s="7" t="s">
        <v>1674</v>
      </c>
      <c r="S18" s="2" t="s">
        <v>1553</v>
      </c>
      <c r="T18" s="6" t="s">
        <v>1712</v>
      </c>
      <c r="U18" s="6"/>
      <c r="V18" s="6"/>
      <c r="W18" s="6"/>
      <c r="X18" s="6"/>
    </row>
    <row r="19" spans="2:26" s="31" customFormat="1" ht="39" customHeight="1" thickBot="1">
      <c r="B19" s="33" t="s">
        <v>1713</v>
      </c>
      <c r="C19" s="33"/>
      <c r="D19" s="33"/>
      <c r="E19" s="16"/>
      <c r="F19" s="30" t="s">
        <v>1714</v>
      </c>
      <c r="G19" s="32" t="s">
        <v>1715</v>
      </c>
      <c r="H19" s="12" t="s">
        <v>1639</v>
      </c>
      <c r="I19" s="75">
        <v>45735</v>
      </c>
      <c r="J19" s="34">
        <v>0.83333333333333337</v>
      </c>
      <c r="K19" s="16"/>
      <c r="L19" s="16"/>
      <c r="M19" s="16" t="s">
        <v>495</v>
      </c>
      <c r="N19" s="16"/>
      <c r="O19" s="16"/>
      <c r="P19" s="16"/>
      <c r="Q19" s="16"/>
      <c r="R19" s="18" t="s">
        <v>1674</v>
      </c>
      <c r="S19" s="16" t="s">
        <v>1716</v>
      </c>
      <c r="T19" s="16" t="s">
        <v>1717</v>
      </c>
      <c r="U19" s="16"/>
      <c r="V19" s="16"/>
      <c r="W19" s="16"/>
      <c r="X19" s="16"/>
    </row>
    <row r="20" spans="2:26" s="49" customFormat="1" ht="409.6" customHeight="1" thickBot="1">
      <c r="B20" s="50" t="s">
        <v>1489</v>
      </c>
      <c r="C20" s="50"/>
      <c r="D20" s="50"/>
      <c r="E20" s="6"/>
      <c r="F20" s="47" t="s">
        <v>1491</v>
      </c>
      <c r="G20" s="6"/>
      <c r="H20" s="47" t="s">
        <v>1491</v>
      </c>
      <c r="I20" s="76">
        <v>45749</v>
      </c>
      <c r="J20" s="51">
        <v>0.625</v>
      </c>
      <c r="K20" s="6"/>
      <c r="L20" s="6"/>
      <c r="M20" s="6"/>
      <c r="N20" s="6"/>
      <c r="O20" s="6"/>
      <c r="P20" s="6"/>
      <c r="Q20" s="7" t="s">
        <v>1718</v>
      </c>
      <c r="R20" s="7" t="s">
        <v>1674</v>
      </c>
      <c r="S20" s="6" t="s">
        <v>1719</v>
      </c>
      <c r="T20" s="6"/>
      <c r="U20" s="6"/>
      <c r="V20" s="6"/>
      <c r="W20" s="6"/>
      <c r="X20" s="6"/>
    </row>
    <row r="21" spans="2:26" ht="320.10000000000002" customHeight="1" thickBot="1">
      <c r="B21" s="36" t="s">
        <v>1720</v>
      </c>
      <c r="C21" s="36"/>
      <c r="D21" s="36"/>
      <c r="F21" s="13" t="s">
        <v>1513</v>
      </c>
      <c r="G21" s="37" t="s">
        <v>1514</v>
      </c>
      <c r="I21" s="77">
        <v>45741</v>
      </c>
      <c r="J21">
        <v>1100</v>
      </c>
      <c r="M21" s="39" t="s">
        <v>102</v>
      </c>
      <c r="N21" s="39"/>
      <c r="O21" s="39"/>
      <c r="Q21" s="40" t="s">
        <v>1721</v>
      </c>
      <c r="R21" s="20" t="s">
        <v>1674</v>
      </c>
      <c r="S21" s="41" t="s">
        <v>1722</v>
      </c>
    </row>
    <row r="22" spans="2:26" ht="16.5" customHeight="1" thickBot="1">
      <c r="B22" s="36" t="s">
        <v>1723</v>
      </c>
      <c r="C22" s="36"/>
      <c r="D22" s="36"/>
      <c r="F22" s="13" t="s">
        <v>1724</v>
      </c>
      <c r="G22" s="37">
        <v>8043637252</v>
      </c>
      <c r="H22" s="12" t="s">
        <v>1639</v>
      </c>
      <c r="I22" s="77">
        <v>45740</v>
      </c>
      <c r="J22">
        <v>1400</v>
      </c>
      <c r="M22" s="39" t="s">
        <v>102</v>
      </c>
      <c r="N22" s="39"/>
      <c r="O22" s="39"/>
      <c r="R22" s="20" t="s">
        <v>1674</v>
      </c>
      <c r="S22" s="41" t="s">
        <v>117</v>
      </c>
      <c r="U22" t="s">
        <v>109</v>
      </c>
    </row>
    <row r="23" spans="2:26" ht="15" customHeight="1" thickBot="1">
      <c r="B23" t="s">
        <v>1725</v>
      </c>
      <c r="G23">
        <v>9043444492</v>
      </c>
      <c r="H23" s="42" t="s">
        <v>1665</v>
      </c>
      <c r="I23" s="77">
        <v>45738</v>
      </c>
      <c r="J23">
        <v>1730</v>
      </c>
      <c r="M23" s="1" t="s">
        <v>495</v>
      </c>
      <c r="N23" s="43"/>
      <c r="O23" s="43"/>
      <c r="R23" s="44" t="s">
        <v>1726</v>
      </c>
      <c r="U23" t="s">
        <v>494</v>
      </c>
    </row>
    <row r="24" spans="2:26" ht="14.25">
      <c r="B24" t="s">
        <v>1727</v>
      </c>
      <c r="G24" t="s">
        <v>1728</v>
      </c>
      <c r="H24" s="42" t="s">
        <v>1640</v>
      </c>
      <c r="Q24" t="s">
        <v>1729</v>
      </c>
    </row>
    <row r="25" spans="2:26" ht="145.5" customHeight="1">
      <c r="B25" s="36" t="s">
        <v>1730</v>
      </c>
      <c r="C25" s="36"/>
      <c r="D25" s="36"/>
      <c r="F25" t="s">
        <v>1731</v>
      </c>
      <c r="G25" s="32" t="s">
        <v>1732</v>
      </c>
      <c r="H25" s="42" t="s">
        <v>1639</v>
      </c>
      <c r="I25" s="77">
        <v>45747</v>
      </c>
      <c r="J25" s="45">
        <v>0.70833333333333337</v>
      </c>
      <c r="Q25" s="40" t="s">
        <v>1733</v>
      </c>
      <c r="R25" s="39" t="s">
        <v>1674</v>
      </c>
      <c r="S25" s="41" t="s">
        <v>117</v>
      </c>
      <c r="T25" s="40" t="s">
        <v>1734</v>
      </c>
      <c r="U25" t="s">
        <v>109</v>
      </c>
    </row>
    <row r="26" spans="2:26" s="59" customFormat="1" ht="218.1" customHeight="1" thickBot="1">
      <c r="B26" s="57" t="s">
        <v>1495</v>
      </c>
      <c r="C26" s="57"/>
      <c r="D26" s="57"/>
      <c r="F26" s="58" t="s">
        <v>1497</v>
      </c>
      <c r="H26" s="60" t="s">
        <v>1639</v>
      </c>
      <c r="I26" s="79">
        <v>45749</v>
      </c>
      <c r="J26" s="61">
        <v>0.70833333333333337</v>
      </c>
      <c r="M26" s="59" t="s">
        <v>661</v>
      </c>
      <c r="N26" s="59" t="s">
        <v>1735</v>
      </c>
      <c r="P26" s="62"/>
      <c r="Q26" s="63" t="s">
        <v>1736</v>
      </c>
      <c r="R26" s="62" t="s">
        <v>1737</v>
      </c>
      <c r="S26" s="64" t="s">
        <v>1738</v>
      </c>
      <c r="T26" s="63"/>
    </row>
    <row r="27" spans="2:26" s="49" customFormat="1" ht="44.45" customHeight="1" thickBot="1">
      <c r="B27" s="83" t="s">
        <v>1739</v>
      </c>
      <c r="C27" s="83"/>
      <c r="D27" s="83"/>
      <c r="E27" s="49" t="s">
        <v>1663</v>
      </c>
      <c r="F27" s="67" t="s">
        <v>1740</v>
      </c>
      <c r="G27" s="83">
        <v>9074606571</v>
      </c>
      <c r="H27" s="84" t="s">
        <v>1639</v>
      </c>
      <c r="I27" s="80">
        <v>45759</v>
      </c>
      <c r="J27" s="85">
        <v>0.45833333333333331</v>
      </c>
      <c r="M27" s="7" t="s">
        <v>102</v>
      </c>
      <c r="N27" s="66" t="s">
        <v>1741</v>
      </c>
      <c r="O27" s="66"/>
      <c r="Q27" s="86" t="s">
        <v>1742</v>
      </c>
      <c r="R27" s="7" t="s">
        <v>1674</v>
      </c>
      <c r="S27" s="66" t="s">
        <v>1476</v>
      </c>
      <c r="T27" s="49" t="s">
        <v>1712</v>
      </c>
      <c r="U27" s="49" t="s">
        <v>1743</v>
      </c>
      <c r="Z27" s="87" t="s">
        <v>1531</v>
      </c>
    </row>
    <row r="28" spans="2:26" s="49" customFormat="1" ht="44.1" customHeight="1" thickBot="1">
      <c r="B28" s="49" t="s">
        <v>1744</v>
      </c>
      <c r="E28" s="49" t="s">
        <v>1663</v>
      </c>
      <c r="F28" s="67" t="s">
        <v>1521</v>
      </c>
      <c r="G28" s="49" t="s">
        <v>1745</v>
      </c>
      <c r="H28" s="49" t="s">
        <v>1746</v>
      </c>
      <c r="I28" s="80">
        <v>45755</v>
      </c>
      <c r="J28" s="65">
        <v>0.75</v>
      </c>
      <c r="N28" s="66" t="s">
        <v>1741</v>
      </c>
      <c r="O28" s="66"/>
      <c r="R28" s="7" t="s">
        <v>1674</v>
      </c>
      <c r="S28" s="66" t="s">
        <v>1476</v>
      </c>
      <c r="T28" s="49" t="s">
        <v>1747</v>
      </c>
      <c r="U28" s="49" t="s">
        <v>1743</v>
      </c>
      <c r="Z28" s="87" t="s">
        <v>1523</v>
      </c>
    </row>
    <row r="29" spans="2:26" s="31" customFormat="1" ht="14.25">
      <c r="B29" s="31" t="s">
        <v>1748</v>
      </c>
      <c r="G29" s="31" t="s">
        <v>1749</v>
      </c>
      <c r="H29" s="42" t="s">
        <v>1665</v>
      </c>
      <c r="I29" s="81"/>
      <c r="N29" s="39" t="s">
        <v>1741</v>
      </c>
      <c r="O29" s="39"/>
      <c r="T29" s="31" t="s">
        <v>1750</v>
      </c>
    </row>
    <row r="30" spans="2:26" s="197" customFormat="1" ht="15.95" customHeight="1">
      <c r="B30" s="191" t="s">
        <v>1751</v>
      </c>
      <c r="C30" s="191"/>
      <c r="D30" s="191"/>
      <c r="E30" s="197" t="s">
        <v>66</v>
      </c>
      <c r="F30" s="192" t="s">
        <v>1752</v>
      </c>
      <c r="G30" s="193" t="s">
        <v>1522</v>
      </c>
      <c r="H30" s="194" t="s">
        <v>1639</v>
      </c>
      <c r="I30" s="195">
        <v>45763</v>
      </c>
      <c r="J30" s="196">
        <v>0.70833333333333337</v>
      </c>
      <c r="M30" s="198" t="s">
        <v>102</v>
      </c>
      <c r="N30" s="198" t="s">
        <v>1741</v>
      </c>
      <c r="O30" s="198"/>
      <c r="R30" s="198" t="s">
        <v>1674</v>
      </c>
      <c r="S30" s="198" t="s">
        <v>1476</v>
      </c>
      <c r="T30" s="197" t="s">
        <v>1753</v>
      </c>
      <c r="V30" s="197" t="s">
        <v>66</v>
      </c>
      <c r="W30" s="199">
        <v>45811</v>
      </c>
    </row>
    <row r="31" spans="2:26" ht="131.44999999999999" customHeight="1" thickBot="1">
      <c r="B31" s="36" t="s">
        <v>1754</v>
      </c>
      <c r="C31" s="36"/>
      <c r="D31" s="36"/>
      <c r="F31" s="13" t="s">
        <v>1755</v>
      </c>
      <c r="G31" s="37">
        <v>9094829486</v>
      </c>
      <c r="H31" s="42" t="s">
        <v>1639</v>
      </c>
      <c r="I31" s="77">
        <v>45764</v>
      </c>
      <c r="J31" s="45">
        <v>0.66666666666666663</v>
      </c>
      <c r="M31" s="39" t="s">
        <v>102</v>
      </c>
      <c r="N31" s="39" t="s">
        <v>1741</v>
      </c>
      <c r="O31" s="39"/>
      <c r="R31" s="39" t="s">
        <v>1674</v>
      </c>
      <c r="S31" s="36" t="s">
        <v>1680</v>
      </c>
      <c r="T31" s="40" t="s">
        <v>1756</v>
      </c>
    </row>
    <row r="32" spans="2:26" s="49" customFormat="1" ht="20.45" customHeight="1" thickBot="1">
      <c r="B32" s="177" t="s">
        <v>1757</v>
      </c>
      <c r="C32" s="177"/>
      <c r="D32" s="177"/>
      <c r="E32" s="49" t="s">
        <v>1663</v>
      </c>
      <c r="F32" s="67" t="s">
        <v>1546</v>
      </c>
      <c r="G32" s="86" t="s">
        <v>1758</v>
      </c>
      <c r="H32" s="84" t="s">
        <v>1639</v>
      </c>
      <c r="I32" s="178" t="s">
        <v>1759</v>
      </c>
      <c r="J32" s="85">
        <v>0.66666666666666663</v>
      </c>
      <c r="K32" s="49" t="s">
        <v>1540</v>
      </c>
      <c r="M32" s="8" t="s">
        <v>72</v>
      </c>
      <c r="R32" s="66" t="s">
        <v>1674</v>
      </c>
      <c r="U32" s="49" t="s">
        <v>109</v>
      </c>
      <c r="V32" s="49" t="s">
        <v>1663</v>
      </c>
    </row>
    <row r="33" spans="2:26" s="49" customFormat="1" ht="20.45" customHeight="1" thickBot="1">
      <c r="B33" s="56" t="s">
        <v>1760</v>
      </c>
      <c r="C33" s="56"/>
      <c r="D33" s="56"/>
      <c r="E33" s="49" t="s">
        <v>1663</v>
      </c>
      <c r="F33" s="67" t="s">
        <v>1761</v>
      </c>
      <c r="G33" s="86" t="s">
        <v>1762</v>
      </c>
      <c r="H33" s="84" t="s">
        <v>1639</v>
      </c>
      <c r="I33" s="178" t="s">
        <v>1763</v>
      </c>
      <c r="J33" s="85">
        <v>0.6875</v>
      </c>
      <c r="M33" s="8" t="s">
        <v>72</v>
      </c>
      <c r="R33" s="49" t="s">
        <v>1768</v>
      </c>
      <c r="T33" s="49" t="s">
        <v>1764</v>
      </c>
      <c r="V33" s="49" t="s">
        <v>66</v>
      </c>
      <c r="W33" s="226">
        <v>45811</v>
      </c>
    </row>
    <row r="34" spans="2:26" ht="14.25">
      <c r="B34" t="s">
        <v>1765</v>
      </c>
      <c r="F34" s="13" t="s">
        <v>1766</v>
      </c>
      <c r="G34" t="s">
        <v>1767</v>
      </c>
      <c r="H34" s="68" t="s">
        <v>1665</v>
      </c>
      <c r="I34" s="77">
        <v>45773</v>
      </c>
      <c r="J34" s="45">
        <v>0.45833333333333331</v>
      </c>
      <c r="M34" s="39" t="s">
        <v>102</v>
      </c>
      <c r="N34" s="39" t="s">
        <v>1741</v>
      </c>
      <c r="O34" s="39"/>
      <c r="R34" t="s">
        <v>1768</v>
      </c>
      <c r="S34" s="39" t="s">
        <v>1476</v>
      </c>
      <c r="U34" t="s">
        <v>109</v>
      </c>
    </row>
    <row r="35" spans="2:26" ht="20.45" customHeight="1" thickBot="1">
      <c r="B35" t="s">
        <v>1769</v>
      </c>
      <c r="F35" t="s">
        <v>1770</v>
      </c>
      <c r="G35" s="37" t="s">
        <v>1771</v>
      </c>
      <c r="H35" s="42" t="s">
        <v>1639</v>
      </c>
      <c r="I35" s="82" t="s">
        <v>1772</v>
      </c>
      <c r="J35" s="45">
        <v>0.66666666666666663</v>
      </c>
      <c r="M35" s="39" t="s">
        <v>102</v>
      </c>
      <c r="N35" s="39" t="s">
        <v>1741</v>
      </c>
      <c r="O35" s="39"/>
      <c r="R35" s="39" t="s">
        <v>1674</v>
      </c>
    </row>
    <row r="36" spans="2:26" s="160" customFormat="1" ht="20.45" customHeight="1" thickBot="1">
      <c r="B36" s="160" t="s">
        <v>1773</v>
      </c>
      <c r="F36" s="161" t="s">
        <v>1774</v>
      </c>
      <c r="G36" s="162" t="s">
        <v>1775</v>
      </c>
      <c r="H36" s="163" t="s">
        <v>1639</v>
      </c>
      <c r="I36" s="164" t="s">
        <v>1776</v>
      </c>
      <c r="J36" s="165">
        <v>0.5</v>
      </c>
      <c r="M36" s="166" t="s">
        <v>197</v>
      </c>
      <c r="R36" s="167" t="s">
        <v>1674</v>
      </c>
    </row>
    <row r="37" spans="2:26" s="197" customFormat="1" ht="15" customHeight="1" thickBot="1">
      <c r="B37" s="197" t="s">
        <v>1777</v>
      </c>
      <c r="E37" s="197" t="s">
        <v>66</v>
      </c>
      <c r="F37" s="192"/>
      <c r="G37" s="197" t="s">
        <v>1778</v>
      </c>
      <c r="H37" s="201" t="s">
        <v>1665</v>
      </c>
      <c r="I37" s="195">
        <v>45791</v>
      </c>
      <c r="J37" s="196">
        <v>0.6875</v>
      </c>
      <c r="M37" s="202" t="s">
        <v>197</v>
      </c>
      <c r="N37" s="198"/>
      <c r="O37" s="198"/>
      <c r="S37" s="198"/>
      <c r="V37" s="197" t="s">
        <v>66</v>
      </c>
    </row>
    <row r="38" spans="2:26" ht="15" customHeight="1" thickBot="1">
      <c r="B38" t="s">
        <v>1779</v>
      </c>
      <c r="F38" t="s">
        <v>1780</v>
      </c>
      <c r="G38" s="37" t="s">
        <v>1781</v>
      </c>
      <c r="H38" s="42" t="s">
        <v>1639</v>
      </c>
      <c r="I38" s="77">
        <v>45801</v>
      </c>
      <c r="J38" s="45">
        <v>0.5</v>
      </c>
      <c r="M38" s="8" t="s">
        <v>72</v>
      </c>
      <c r="R38" t="s">
        <v>1768</v>
      </c>
      <c r="S38" s="39" t="s">
        <v>1476</v>
      </c>
      <c r="T38" t="s">
        <v>1782</v>
      </c>
    </row>
    <row r="39" spans="2:26" ht="14.25">
      <c r="B39" t="s">
        <v>1783</v>
      </c>
      <c r="F39" t="s">
        <v>1784</v>
      </c>
      <c r="G39" s="37">
        <v>9057434397</v>
      </c>
      <c r="H39" s="42" t="s">
        <v>1639</v>
      </c>
      <c r="I39" s="158">
        <v>45808</v>
      </c>
      <c r="J39" s="159">
        <v>0.66666666666666663</v>
      </c>
      <c r="N39" s="39" t="s">
        <v>1741</v>
      </c>
      <c r="O39" t="s">
        <v>1785</v>
      </c>
      <c r="U39" t="s">
        <v>109</v>
      </c>
    </row>
    <row r="40" spans="2:26" s="160" customFormat="1" ht="101.25" customHeight="1">
      <c r="B40" s="160" t="s">
        <v>1786</v>
      </c>
      <c r="C40" s="160" t="s">
        <v>2101</v>
      </c>
      <c r="F40" s="161" t="s">
        <v>1787</v>
      </c>
      <c r="G40" s="162" t="s">
        <v>1788</v>
      </c>
      <c r="H40" s="163" t="s">
        <v>1639</v>
      </c>
      <c r="I40" s="251">
        <v>45815</v>
      </c>
      <c r="J40" s="165">
        <v>0.45833333333333331</v>
      </c>
      <c r="M40" s="167" t="s">
        <v>102</v>
      </c>
      <c r="N40" s="167" t="s">
        <v>1741</v>
      </c>
      <c r="O40" s="167" t="s">
        <v>1476</v>
      </c>
      <c r="Q40" s="255" t="s">
        <v>1789</v>
      </c>
      <c r="R40" s="160" t="s">
        <v>1674</v>
      </c>
      <c r="S40" s="167" t="s">
        <v>1476</v>
      </c>
      <c r="T40" s="160" t="s">
        <v>1691</v>
      </c>
      <c r="U40" s="160" t="s">
        <v>109</v>
      </c>
      <c r="Z40" s="160" t="s">
        <v>1790</v>
      </c>
    </row>
    <row r="41" spans="2:26" ht="14.25">
      <c r="B41" t="s">
        <v>1791</v>
      </c>
      <c r="F41" t="s">
        <v>1792</v>
      </c>
      <c r="G41" s="203" t="s">
        <v>1793</v>
      </c>
      <c r="H41" s="42" t="s">
        <v>1746</v>
      </c>
      <c r="I41" t="s">
        <v>1794</v>
      </c>
      <c r="J41">
        <v>18</v>
      </c>
      <c r="M41" t="s">
        <v>1795</v>
      </c>
      <c r="O41" s="54" t="s">
        <v>1476</v>
      </c>
      <c r="R41" s="31" t="s">
        <v>1674</v>
      </c>
      <c r="S41" s="54" t="s">
        <v>1476</v>
      </c>
      <c r="U41" t="s">
        <v>494</v>
      </c>
      <c r="Z41" t="s">
        <v>1796</v>
      </c>
    </row>
    <row r="42" spans="2:26" s="160" customFormat="1" ht="16.5" customHeight="1">
      <c r="B42" s="160" t="s">
        <v>2019</v>
      </c>
      <c r="F42" s="160" t="s">
        <v>1797</v>
      </c>
      <c r="G42" s="250" t="s">
        <v>1798</v>
      </c>
      <c r="H42" s="163" t="s">
        <v>1639</v>
      </c>
      <c r="I42" s="251">
        <v>45850</v>
      </c>
      <c r="J42" s="165">
        <v>0.45833333333333331</v>
      </c>
      <c r="M42" s="160" t="s">
        <v>102</v>
      </c>
      <c r="O42" s="160" t="s">
        <v>1476</v>
      </c>
      <c r="R42" s="160" t="s">
        <v>1674</v>
      </c>
      <c r="S42" s="167" t="s">
        <v>1476</v>
      </c>
      <c r="T42" s="160" t="s">
        <v>1956</v>
      </c>
      <c r="U42" s="160" t="s">
        <v>109</v>
      </c>
      <c r="Z42" s="252" t="s">
        <v>1954</v>
      </c>
    </row>
    <row r="43" spans="2:26" s="49" customFormat="1" ht="14.25">
      <c r="B43" s="49" t="s">
        <v>1799</v>
      </c>
      <c r="F43" s="13" t="s">
        <v>2007</v>
      </c>
      <c r="G43" s="49" t="s">
        <v>1800</v>
      </c>
      <c r="H43" s="84" t="s">
        <v>1639</v>
      </c>
      <c r="I43" s="237">
        <v>45822</v>
      </c>
      <c r="J43" s="85">
        <v>0.75</v>
      </c>
      <c r="M43" s="49" t="s">
        <v>102</v>
      </c>
      <c r="O43" s="49" t="s">
        <v>1476</v>
      </c>
      <c r="R43" s="49" t="s">
        <v>1674</v>
      </c>
      <c r="S43" s="49" t="s">
        <v>1476</v>
      </c>
      <c r="U43" s="49" t="s">
        <v>109</v>
      </c>
    </row>
    <row r="44" spans="2:26" s="31" customFormat="1" ht="41.1" customHeight="1">
      <c r="B44" s="31" t="s">
        <v>1917</v>
      </c>
      <c r="C44" t="s">
        <v>1973</v>
      </c>
      <c r="D44"/>
      <c r="F44" s="31" t="s">
        <v>1918</v>
      </c>
      <c r="G44" s="31" t="s">
        <v>1919</v>
      </c>
      <c r="H44" s="68" t="s">
        <v>1665</v>
      </c>
      <c r="I44" s="200">
        <v>45857</v>
      </c>
      <c r="J44" s="53">
        <v>0.54166666666666663</v>
      </c>
      <c r="R44" s="31" t="s">
        <v>1674</v>
      </c>
      <c r="T44" s="220" t="s">
        <v>1971</v>
      </c>
      <c r="Z44" t="s">
        <v>1972</v>
      </c>
    </row>
    <row r="45" spans="2:26" s="160" customFormat="1">
      <c r="B45" s="160" t="s">
        <v>1920</v>
      </c>
      <c r="F45" s="160" t="s">
        <v>1921</v>
      </c>
      <c r="G45" s="160" t="s">
        <v>1922</v>
      </c>
      <c r="H45" s="252" t="s">
        <v>1639</v>
      </c>
      <c r="I45" s="253">
        <v>45850</v>
      </c>
      <c r="J45" s="165">
        <v>0.45833333333333331</v>
      </c>
      <c r="M45" s="160" t="s">
        <v>1741</v>
      </c>
      <c r="O45" s="160" t="s">
        <v>1476</v>
      </c>
      <c r="R45" s="160" t="s">
        <v>1768</v>
      </c>
      <c r="S45" s="160" t="s">
        <v>1476</v>
      </c>
      <c r="T45" s="160" t="s">
        <v>1956</v>
      </c>
      <c r="U45" s="160" t="s">
        <v>1955</v>
      </c>
      <c r="Z45" s="160" t="s">
        <v>1953</v>
      </c>
    </row>
    <row r="46" spans="2:26" s="31" customFormat="1" ht="14.25">
      <c r="B46" s="31" t="s">
        <v>1923</v>
      </c>
      <c r="F46" s="52"/>
      <c r="G46" s="37" t="s">
        <v>1934</v>
      </c>
      <c r="H46" s="68" t="s">
        <v>1665</v>
      </c>
      <c r="I46" s="81"/>
      <c r="J46" s="53"/>
      <c r="T46" s="31" t="s">
        <v>1924</v>
      </c>
    </row>
    <row r="47" spans="2:26">
      <c r="B47" t="s">
        <v>951</v>
      </c>
      <c r="F47" t="s">
        <v>1925</v>
      </c>
      <c r="G47" t="s">
        <v>1926</v>
      </c>
      <c r="H47" s="220" t="s">
        <v>1639</v>
      </c>
      <c r="J47" s="45"/>
      <c r="T47" t="s">
        <v>1933</v>
      </c>
    </row>
    <row r="48" spans="2:26" s="222" customFormat="1">
      <c r="B48" s="31" t="s">
        <v>1974</v>
      </c>
      <c r="C48" s="31" t="s">
        <v>1975</v>
      </c>
      <c r="D48" s="31"/>
      <c r="E48" s="222" t="s">
        <v>66</v>
      </c>
      <c r="F48" s="223" t="s">
        <v>1928</v>
      </c>
      <c r="G48" s="224" t="s">
        <v>1927</v>
      </c>
      <c r="H48" s="221" t="s">
        <v>1665</v>
      </c>
      <c r="I48" s="229">
        <v>45855</v>
      </c>
      <c r="J48" s="225">
        <v>0.75</v>
      </c>
      <c r="T48" s="222" t="s">
        <v>1929</v>
      </c>
      <c r="Z48" s="31" t="s">
        <v>1976</v>
      </c>
    </row>
    <row r="49" spans="2:45" s="49" customFormat="1" ht="90.4" thickBot="1">
      <c r="B49" s="49" t="s">
        <v>1930</v>
      </c>
      <c r="E49" s="49" t="s">
        <v>1663</v>
      </c>
      <c r="F49" s="49" t="s">
        <v>1931</v>
      </c>
      <c r="G49" s="49" t="s">
        <v>1932</v>
      </c>
      <c r="H49" s="87" t="s">
        <v>1639</v>
      </c>
      <c r="I49" s="80">
        <v>45857</v>
      </c>
      <c r="J49" s="85">
        <v>0.41666666666666669</v>
      </c>
      <c r="M49" s="231" t="s">
        <v>72</v>
      </c>
      <c r="O49" s="49" t="s">
        <v>1476</v>
      </c>
      <c r="R49" s="49" t="s">
        <v>1674</v>
      </c>
      <c r="T49" s="87" t="s">
        <v>1977</v>
      </c>
      <c r="U49" s="49" t="s">
        <v>109</v>
      </c>
      <c r="Z49" t="s">
        <v>1984</v>
      </c>
    </row>
    <row r="50" spans="2:45" s="197" customFormat="1" ht="13.15" thickBot="1">
      <c r="B50" s="197" t="s">
        <v>1996</v>
      </c>
      <c r="F50" s="192" t="s">
        <v>1997</v>
      </c>
      <c r="G50" s="193" t="s">
        <v>1951</v>
      </c>
      <c r="H50" s="248" t="s">
        <v>1640</v>
      </c>
      <c r="I50" s="195">
        <v>45855</v>
      </c>
      <c r="J50" s="196">
        <v>0.70833333333333337</v>
      </c>
      <c r="M50" s="197" t="s">
        <v>102</v>
      </c>
      <c r="O50" s="197" t="s">
        <v>1476</v>
      </c>
      <c r="R50" s="254" t="s">
        <v>1674</v>
      </c>
      <c r="T50" s="197" t="s">
        <v>1952</v>
      </c>
      <c r="U50" s="197" t="s">
        <v>109</v>
      </c>
      <c r="Z50" s="197" t="s">
        <v>1970</v>
      </c>
    </row>
    <row r="51" spans="2:45" s="31" customFormat="1">
      <c r="B51" s="31" t="s">
        <v>930</v>
      </c>
      <c r="F51" s="13" t="s">
        <v>2020</v>
      </c>
      <c r="G51" s="55" t="s">
        <v>2014</v>
      </c>
      <c r="H51" s="220" t="s">
        <v>1640</v>
      </c>
      <c r="I51" s="229">
        <v>45871</v>
      </c>
      <c r="J51" s="53">
        <v>0.41666666666666669</v>
      </c>
      <c r="O51" s="31" t="s">
        <v>1476</v>
      </c>
      <c r="R51" s="31" t="s">
        <v>1220</v>
      </c>
      <c r="T51" s="31" t="s">
        <v>2017</v>
      </c>
      <c r="U51" s="31" t="s">
        <v>109</v>
      </c>
      <c r="Z51" t="s">
        <v>2021</v>
      </c>
    </row>
    <row r="52" spans="2:45" s="31" customFormat="1" ht="15.75">
      <c r="B52" s="238" t="s">
        <v>2026</v>
      </c>
      <c r="F52" s="239" t="s">
        <v>2016</v>
      </c>
      <c r="G52" s="55" t="s">
        <v>2025</v>
      </c>
      <c r="H52" s="220"/>
      <c r="I52" s="229">
        <v>45873</v>
      </c>
      <c r="J52" s="53"/>
      <c r="M52" t="s">
        <v>1795</v>
      </c>
      <c r="T52" s="31" t="s">
        <v>2018</v>
      </c>
    </row>
    <row r="53" spans="2:45">
      <c r="B53" s="59" t="s">
        <v>2022</v>
      </c>
      <c r="E53" s="59" t="s">
        <v>1663</v>
      </c>
      <c r="F53" s="58"/>
      <c r="G53" s="242" t="s">
        <v>2024</v>
      </c>
      <c r="H53" s="63" t="s">
        <v>1640</v>
      </c>
      <c r="I53" s="79">
        <v>45878</v>
      </c>
      <c r="J53" s="53">
        <v>0.625</v>
      </c>
      <c r="K53" s="59"/>
      <c r="L53" s="59"/>
      <c r="M53" s="59"/>
      <c r="N53" s="59"/>
      <c r="O53" s="59" t="s">
        <v>1476</v>
      </c>
      <c r="P53" s="59"/>
      <c r="Q53" s="59"/>
      <c r="R53" s="59" t="s">
        <v>1220</v>
      </c>
      <c r="S53" s="59"/>
      <c r="T53" s="59" t="s">
        <v>2023</v>
      </c>
      <c r="U53" s="59"/>
      <c r="V53" s="59"/>
      <c r="W53" s="59"/>
      <c r="X53" s="59"/>
      <c r="Y53" s="59"/>
      <c r="Z53" s="59"/>
      <c r="AA53" s="59"/>
      <c r="AB53" s="59"/>
      <c r="AC53" s="59"/>
      <c r="AD53" s="59"/>
      <c r="AE53" s="59"/>
      <c r="AF53" s="59"/>
      <c r="AG53" s="59"/>
      <c r="AH53" s="59"/>
      <c r="AI53" s="59"/>
      <c r="AJ53" s="59"/>
      <c r="AK53" s="59"/>
      <c r="AL53" s="59"/>
      <c r="AM53" s="59"/>
      <c r="AN53" s="59"/>
      <c r="AO53" s="59"/>
      <c r="AP53" s="59"/>
      <c r="AQ53" s="59"/>
      <c r="AR53" s="59"/>
      <c r="AS53" s="59"/>
    </row>
    <row r="54" spans="2:45" s="197" customFormat="1">
      <c r="B54" s="197" t="s">
        <v>2049</v>
      </c>
      <c r="C54" s="197" t="s">
        <v>2051</v>
      </c>
      <c r="E54" s="197" t="s">
        <v>2133</v>
      </c>
      <c r="F54" s="192" t="s">
        <v>2052</v>
      </c>
      <c r="G54" s="193" t="s">
        <v>2053</v>
      </c>
      <c r="H54" s="248"/>
      <c r="I54" s="195">
        <v>45881</v>
      </c>
      <c r="J54" s="196">
        <v>0.47916666666666669</v>
      </c>
      <c r="Z54" s="197" t="s">
        <v>2054</v>
      </c>
    </row>
    <row r="55" spans="2:45" ht="13.5">
      <c r="B55" t="s">
        <v>2059</v>
      </c>
      <c r="F55" s="244" t="s">
        <v>2060</v>
      </c>
      <c r="G55" t="s">
        <v>2061</v>
      </c>
      <c r="H55" s="220" t="s">
        <v>1639</v>
      </c>
      <c r="I55" s="77">
        <v>45892</v>
      </c>
      <c r="J55" s="45">
        <v>0.5625</v>
      </c>
    </row>
    <row r="56" spans="2:45" s="49" customFormat="1">
      <c r="B56" s="49" t="s">
        <v>2108</v>
      </c>
      <c r="C56" s="49" t="s">
        <v>2063</v>
      </c>
      <c r="E56" s="226">
        <v>45934</v>
      </c>
      <c r="F56" s="13" t="s">
        <v>2110</v>
      </c>
      <c r="G56" s="86" t="s">
        <v>2109</v>
      </c>
      <c r="H56" s="87"/>
      <c r="I56" s="260"/>
      <c r="J56" s="85"/>
    </row>
    <row r="57" spans="2:45" s="49" customFormat="1" ht="38.25">
      <c r="B57" s="49" t="s">
        <v>2066</v>
      </c>
      <c r="C57" s="49" t="s">
        <v>2067</v>
      </c>
      <c r="E57" s="49" t="s">
        <v>1663</v>
      </c>
      <c r="F57" s="67" t="s">
        <v>2107</v>
      </c>
      <c r="G57" s="86" t="s">
        <v>2065</v>
      </c>
      <c r="H57" s="87" t="s">
        <v>1665</v>
      </c>
      <c r="I57" s="80">
        <v>45902</v>
      </c>
      <c r="J57" s="85">
        <v>0.6875</v>
      </c>
      <c r="K57" s="49" t="s">
        <v>67</v>
      </c>
      <c r="M57" s="49" t="s">
        <v>102</v>
      </c>
      <c r="O57" s="49" t="s">
        <v>1476</v>
      </c>
      <c r="R57" s="49" t="s">
        <v>2069</v>
      </c>
      <c r="U57" s="49" t="s">
        <v>109</v>
      </c>
      <c r="Z57" s="87" t="s">
        <v>2068</v>
      </c>
    </row>
    <row r="58" spans="2:45" s="49" customFormat="1" ht="38.25">
      <c r="B58" s="49" t="s">
        <v>2070</v>
      </c>
      <c r="C58" s="49" t="s">
        <v>2071</v>
      </c>
      <c r="E58" s="49" t="s">
        <v>1663</v>
      </c>
      <c r="F58" s="13" t="s">
        <v>2111</v>
      </c>
      <c r="G58" s="49" t="s">
        <v>2072</v>
      </c>
      <c r="H58" s="87" t="s">
        <v>1640</v>
      </c>
      <c r="I58" s="80">
        <v>45902</v>
      </c>
      <c r="J58" s="85">
        <v>0.6875</v>
      </c>
      <c r="K58" s="49" t="s">
        <v>1272</v>
      </c>
      <c r="M58" s="49" t="s">
        <v>102</v>
      </c>
      <c r="O58" s="49" t="s">
        <v>1476</v>
      </c>
      <c r="R58" s="49" t="s">
        <v>2069</v>
      </c>
      <c r="U58" s="49" t="s">
        <v>109</v>
      </c>
      <c r="Z58" s="87" t="s">
        <v>2073</v>
      </c>
    </row>
    <row r="59" spans="2:45" s="49" customFormat="1" ht="38.25">
      <c r="B59" s="49" t="s">
        <v>2094</v>
      </c>
      <c r="C59" s="49" t="s">
        <v>2095</v>
      </c>
      <c r="E59" s="49" t="s">
        <v>1663</v>
      </c>
      <c r="F59" t="s">
        <v>2097</v>
      </c>
      <c r="G59" s="86" t="s">
        <v>2098</v>
      </c>
      <c r="H59" s="87" t="s">
        <v>1665</v>
      </c>
      <c r="I59" s="80">
        <v>45906</v>
      </c>
      <c r="J59" s="85">
        <v>0.52083333333333337</v>
      </c>
      <c r="T59" s="49" t="s">
        <v>2078</v>
      </c>
      <c r="U59" s="49" t="s">
        <v>109</v>
      </c>
      <c r="Z59" s="87" t="s">
        <v>2096</v>
      </c>
    </row>
    <row r="60" spans="2:45" s="49" customFormat="1" ht="38.25">
      <c r="B60" s="49" t="s">
        <v>2079</v>
      </c>
      <c r="C60" s="49" t="s">
        <v>2080</v>
      </c>
      <c r="E60" s="49" t="s">
        <v>1663</v>
      </c>
      <c r="F60" s="67" t="s">
        <v>2083</v>
      </c>
      <c r="G60" s="49" t="s">
        <v>2082</v>
      </c>
      <c r="H60" s="87" t="s">
        <v>1665</v>
      </c>
      <c r="I60" s="80">
        <v>45903</v>
      </c>
      <c r="J60" s="85"/>
      <c r="R60" s="49" t="s">
        <v>1768</v>
      </c>
      <c r="T60" s="49" t="s">
        <v>2088</v>
      </c>
      <c r="Z60" s="87" t="s">
        <v>2081</v>
      </c>
    </row>
    <row r="61" spans="2:45" ht="38.25">
      <c r="B61" s="49" t="s">
        <v>2084</v>
      </c>
      <c r="C61" s="49" t="s">
        <v>2085</v>
      </c>
      <c r="D61" s="49"/>
      <c r="E61" s="49" t="s">
        <v>1663</v>
      </c>
      <c r="F61" s="49" t="s">
        <v>2086</v>
      </c>
      <c r="G61" t="s">
        <v>2089</v>
      </c>
      <c r="H61" s="220" t="s">
        <v>1665</v>
      </c>
      <c r="I61" s="77">
        <v>45903</v>
      </c>
      <c r="J61" s="45"/>
      <c r="R61" s="31" t="s">
        <v>1768</v>
      </c>
      <c r="T61" t="s">
        <v>2088</v>
      </c>
      <c r="Z61" s="40" t="s">
        <v>2087</v>
      </c>
    </row>
    <row r="62" spans="2:45" s="197" customFormat="1" ht="13.9" thickBot="1">
      <c r="F62" s="192" t="s">
        <v>2091</v>
      </c>
      <c r="G62" s="193" t="s">
        <v>2093</v>
      </c>
      <c r="H62" s="248" t="s">
        <v>1639</v>
      </c>
      <c r="I62" s="195">
        <v>45906</v>
      </c>
      <c r="J62" s="196">
        <v>0.41666666666666669</v>
      </c>
      <c r="M62" s="249" t="s">
        <v>72</v>
      </c>
      <c r="R62" s="197" t="s">
        <v>2069</v>
      </c>
      <c r="T62" s="197" t="s">
        <v>2092</v>
      </c>
    </row>
    <row r="63" spans="2:45" ht="14.65" thickBot="1">
      <c r="B63" t="s">
        <v>2112</v>
      </c>
      <c r="F63" s="13"/>
      <c r="G63" s="37" t="s">
        <v>2113</v>
      </c>
      <c r="H63" s="220" t="s">
        <v>1640</v>
      </c>
      <c r="I63" s="77">
        <v>45917</v>
      </c>
      <c r="J63" s="45">
        <v>0.54166666666666663</v>
      </c>
      <c r="M63" s="166" t="s">
        <v>197</v>
      </c>
    </row>
    <row r="64" spans="2:45" ht="38.25">
      <c r="B64" t="s">
        <v>2121</v>
      </c>
      <c r="F64" t="s">
        <v>2122</v>
      </c>
      <c r="G64" s="37" t="s">
        <v>2120</v>
      </c>
      <c r="H64" s="220" t="s">
        <v>1639</v>
      </c>
      <c r="I64" s="77">
        <v>45924</v>
      </c>
      <c r="J64" s="45">
        <v>0.70833333333333337</v>
      </c>
      <c r="K64" t="s">
        <v>2150</v>
      </c>
      <c r="M64" t="s">
        <v>72</v>
      </c>
      <c r="R64" s="197" t="s">
        <v>2069</v>
      </c>
      <c r="T64" t="s">
        <v>1691</v>
      </c>
      <c r="Z64" s="40" t="s">
        <v>2151</v>
      </c>
    </row>
    <row r="65" spans="2:26">
      <c r="B65" t="s">
        <v>2139</v>
      </c>
      <c r="F65" s="13" t="s">
        <v>2140</v>
      </c>
      <c r="G65" s="37" t="s">
        <v>2141</v>
      </c>
      <c r="H65" s="220" t="s">
        <v>1639</v>
      </c>
      <c r="I65" s="77">
        <v>45927</v>
      </c>
      <c r="J65" s="45">
        <v>0.66666666666666663</v>
      </c>
      <c r="K65" t="s">
        <v>2152</v>
      </c>
      <c r="M65" t="s">
        <v>1795</v>
      </c>
      <c r="R65" s="197" t="s">
        <v>2069</v>
      </c>
      <c r="T65" t="s">
        <v>2153</v>
      </c>
    </row>
    <row r="66" spans="2:26" ht="38.25">
      <c r="B66" t="s">
        <v>2144</v>
      </c>
      <c r="F66" t="s">
        <v>2145</v>
      </c>
      <c r="G66" s="37" t="s">
        <v>2143</v>
      </c>
      <c r="H66" s="220" t="s">
        <v>1639</v>
      </c>
      <c r="I66" s="77">
        <v>45925</v>
      </c>
      <c r="J66" s="85">
        <v>0.6875</v>
      </c>
      <c r="K66" t="s">
        <v>2142</v>
      </c>
      <c r="R66" s="197" t="s">
        <v>2069</v>
      </c>
      <c r="Z66" s="40" t="s">
        <v>2154</v>
      </c>
    </row>
    <row r="67" spans="2:26" s="49" customFormat="1">
      <c r="B67" s="49" t="s">
        <v>2147</v>
      </c>
      <c r="F67" s="49" t="s">
        <v>2148</v>
      </c>
      <c r="G67" s="49" t="s">
        <v>2149</v>
      </c>
      <c r="H67" s="87" t="s">
        <v>1639</v>
      </c>
      <c r="I67" s="80">
        <v>45929</v>
      </c>
      <c r="J67" s="85">
        <v>0.70833333333333337</v>
      </c>
      <c r="M67" s="49" t="s">
        <v>102</v>
      </c>
      <c r="T67" s="49" t="s">
        <v>2158</v>
      </c>
    </row>
    <row r="68" spans="2:26" ht="38.25">
      <c r="B68" t="s">
        <v>2206</v>
      </c>
      <c r="C68" t="s">
        <v>2205</v>
      </c>
      <c r="F68" t="s">
        <v>2203</v>
      </c>
      <c r="G68" s="37" t="s">
        <v>2165</v>
      </c>
      <c r="H68" s="220" t="s">
        <v>1665</v>
      </c>
      <c r="I68" s="77">
        <v>45962</v>
      </c>
      <c r="J68" s="45">
        <v>0.45833333333333331</v>
      </c>
      <c r="M68" s="49" t="s">
        <v>102</v>
      </c>
      <c r="R68" s="31" t="s">
        <v>1768</v>
      </c>
      <c r="T68" t="s">
        <v>2204</v>
      </c>
      <c r="Z68" s="40" t="s">
        <v>2202</v>
      </c>
    </row>
    <row r="69" spans="2:26" ht="17.649999999999999">
      <c r="B69" s="263" t="s">
        <v>2170</v>
      </c>
      <c r="F69" t="s">
        <v>2169</v>
      </c>
      <c r="G69" s="37" t="s">
        <v>2168</v>
      </c>
      <c r="H69" s="220" t="s">
        <v>1639</v>
      </c>
      <c r="I69" s="77">
        <v>45969</v>
      </c>
      <c r="J69" s="45">
        <v>0.45833333333333331</v>
      </c>
      <c r="M69" s="49" t="s">
        <v>102</v>
      </c>
      <c r="R69" s="197" t="s">
        <v>2069</v>
      </c>
    </row>
    <row r="70" spans="2:26" ht="38.25">
      <c r="B70" t="s">
        <v>2197</v>
      </c>
      <c r="C70" t="s">
        <v>2198</v>
      </c>
      <c r="F70" t="s">
        <v>2201</v>
      </c>
      <c r="G70" t="s">
        <v>2200</v>
      </c>
      <c r="H70" s="220" t="s">
        <v>1665</v>
      </c>
      <c r="I70" s="77">
        <v>45972</v>
      </c>
      <c r="J70" s="45">
        <v>0.75</v>
      </c>
      <c r="K70" t="s">
        <v>866</v>
      </c>
      <c r="M70" t="s">
        <v>495</v>
      </c>
      <c r="R70" s="197" t="s">
        <v>2069</v>
      </c>
      <c r="Z70" s="40" t="s">
        <v>2199</v>
      </c>
    </row>
    <row r="71" spans="2:26" s="59" customFormat="1">
      <c r="B71" s="59" t="s">
        <v>2225</v>
      </c>
      <c r="C71" s="59" t="s">
        <v>2232</v>
      </c>
      <c r="F71" s="59" t="s">
        <v>2226</v>
      </c>
      <c r="G71" s="59" t="s">
        <v>2227</v>
      </c>
      <c r="H71" s="63"/>
      <c r="I71" s="79">
        <v>46001</v>
      </c>
      <c r="J71" s="61">
        <v>0.79166666666666663</v>
      </c>
      <c r="M71" s="59" t="s">
        <v>132</v>
      </c>
      <c r="O71" s="59" t="s">
        <v>2228</v>
      </c>
      <c r="T71" s="59" t="s">
        <v>2248</v>
      </c>
    </row>
    <row r="72" spans="2:26" s="59" customFormat="1" ht="38.25">
      <c r="B72" s="59" t="s">
        <v>2229</v>
      </c>
      <c r="C72" s="59" t="s">
        <v>2229</v>
      </c>
      <c r="F72" s="59" t="s">
        <v>2230</v>
      </c>
      <c r="G72" s="59" t="s">
        <v>2231</v>
      </c>
      <c r="H72" s="63"/>
      <c r="I72" s="79">
        <v>45992</v>
      </c>
      <c r="J72" s="61">
        <v>0.79166666666666663</v>
      </c>
      <c r="M72" s="59" t="s">
        <v>661</v>
      </c>
      <c r="O72" s="49" t="s">
        <v>102</v>
      </c>
      <c r="R72" s="59" t="s">
        <v>2069</v>
      </c>
      <c r="T72" s="59" t="s">
        <v>2238</v>
      </c>
      <c r="Z72" s="63" t="s">
        <v>2247</v>
      </c>
    </row>
    <row r="73" spans="2:26" s="197" customFormat="1" ht="16.5">
      <c r="B73" s="197" t="s">
        <v>2233</v>
      </c>
      <c r="C73" s="197" t="s">
        <v>2278</v>
      </c>
      <c r="F73" s="192" t="s">
        <v>2234</v>
      </c>
      <c r="G73" s="197" t="s">
        <v>2235</v>
      </c>
      <c r="H73" s="248"/>
      <c r="I73" s="268"/>
      <c r="J73" s="196"/>
      <c r="M73" s="197" t="s">
        <v>2236</v>
      </c>
      <c r="O73" s="197" t="s">
        <v>1476</v>
      </c>
      <c r="T73" s="269" t="s">
        <v>2237</v>
      </c>
    </row>
    <row r="74" spans="2:26" s="271" customFormat="1" ht="15.75">
      <c r="B74" s="270" t="s">
        <v>2240</v>
      </c>
      <c r="C74" s="271" t="s">
        <v>2242</v>
      </c>
      <c r="F74" s="271" t="s">
        <v>2241</v>
      </c>
      <c r="G74" s="271">
        <v>9050837827</v>
      </c>
      <c r="H74" s="272"/>
      <c r="I74" s="273">
        <v>45997</v>
      </c>
      <c r="J74" s="274">
        <v>0.45833333333333331</v>
      </c>
    </row>
    <row r="75" spans="2:26" ht="38.25">
      <c r="B75" t="s">
        <v>2249</v>
      </c>
      <c r="F75" t="s">
        <v>2251</v>
      </c>
      <c r="G75" t="s">
        <v>2250</v>
      </c>
      <c r="H75" s="220"/>
      <c r="I75" s="77">
        <v>46004</v>
      </c>
      <c r="J75" s="45">
        <v>0.54166666666666663</v>
      </c>
      <c r="M75" t="s">
        <v>90</v>
      </c>
      <c r="O75" t="s">
        <v>1680</v>
      </c>
      <c r="R75" t="s">
        <v>2069</v>
      </c>
      <c r="T75" t="s">
        <v>2252</v>
      </c>
      <c r="Z75" s="40" t="s">
        <v>2253</v>
      </c>
    </row>
    <row r="76" spans="2:26" s="49" customFormat="1" ht="38.25">
      <c r="B76" s="49" t="s">
        <v>2274</v>
      </c>
      <c r="F76" s="13" t="s">
        <v>2268</v>
      </c>
      <c r="G76" s="86" t="s">
        <v>2265</v>
      </c>
      <c r="H76" s="87" t="s">
        <v>1665</v>
      </c>
      <c r="I76" s="80">
        <v>46030</v>
      </c>
      <c r="J76" s="85">
        <v>0.70833333333333337</v>
      </c>
      <c r="M76" s="49" t="s">
        <v>102</v>
      </c>
      <c r="O76" s="49" t="s">
        <v>102</v>
      </c>
      <c r="R76" s="49" t="s">
        <v>2069</v>
      </c>
      <c r="T76" s="49" t="s">
        <v>2272</v>
      </c>
      <c r="Z76" s="87" t="s">
        <v>2271</v>
      </c>
    </row>
    <row r="77" spans="2:26" s="49" customFormat="1">
      <c r="B77" s="49" t="s">
        <v>2269</v>
      </c>
      <c r="F77" s="49" t="s">
        <v>2267</v>
      </c>
      <c r="G77" s="49" t="s">
        <v>2266</v>
      </c>
      <c r="H77" s="87" t="s">
        <v>1639</v>
      </c>
      <c r="I77" s="80">
        <v>46030</v>
      </c>
      <c r="J77" s="85">
        <v>0.70833333333333337</v>
      </c>
      <c r="M77" s="49" t="s">
        <v>661</v>
      </c>
      <c r="O77" s="49" t="s">
        <v>2228</v>
      </c>
      <c r="R77" s="49" t="s">
        <v>2069</v>
      </c>
      <c r="T77" s="49" t="s">
        <v>2273</v>
      </c>
      <c r="Z77" s="49" t="s">
        <v>2270</v>
      </c>
    </row>
    <row r="78" spans="2:26" ht="16.5">
      <c r="B78" s="277" t="s">
        <v>2277</v>
      </c>
      <c r="F78" s="276" t="s">
        <v>2276</v>
      </c>
      <c r="G78" s="37" t="s">
        <v>2275</v>
      </c>
      <c r="H78" s="87" t="s">
        <v>1639</v>
      </c>
      <c r="I78" s="77">
        <v>46039</v>
      </c>
      <c r="J78" s="45">
        <v>0.54166666666666663</v>
      </c>
      <c r="M78" t="s">
        <v>90</v>
      </c>
    </row>
    <row r="79" spans="2:26" s="49" customFormat="1" ht="25.5">
      <c r="B79" s="49" t="s">
        <v>2311</v>
      </c>
      <c r="F79" s="67"/>
      <c r="G79" s="86" t="s">
        <v>2296</v>
      </c>
      <c r="H79" s="87" t="s">
        <v>1665</v>
      </c>
      <c r="I79" s="80">
        <v>46051</v>
      </c>
      <c r="J79" s="85">
        <v>0.52083333333333337</v>
      </c>
      <c r="M79" s="49" t="s">
        <v>90</v>
      </c>
      <c r="O79" s="49" t="s">
        <v>2228</v>
      </c>
      <c r="T79" s="49" t="s">
        <v>2295</v>
      </c>
      <c r="Z79" s="87" t="s">
        <v>2312</v>
      </c>
    </row>
    <row r="80" spans="2:26" s="49" customFormat="1" ht="25.5">
      <c r="B80" s="49" t="s">
        <v>2316</v>
      </c>
      <c r="D80" s="49" t="s">
        <v>1663</v>
      </c>
      <c r="F80" s="49" t="s">
        <v>2306</v>
      </c>
      <c r="G80" s="86" t="s">
        <v>2297</v>
      </c>
      <c r="H80" s="87" t="s">
        <v>1665</v>
      </c>
      <c r="I80" s="80">
        <v>46049</v>
      </c>
      <c r="J80" s="85">
        <v>0.58333333333333337</v>
      </c>
      <c r="M80" s="49" t="s">
        <v>90</v>
      </c>
      <c r="Z80" s="87" t="s">
        <v>2305</v>
      </c>
    </row>
    <row r="81" spans="2:26" ht="14.25">
      <c r="B81" s="36" t="s">
        <v>2298</v>
      </c>
      <c r="D81" t="s">
        <v>1663</v>
      </c>
      <c r="F81" s="13" t="s">
        <v>2304</v>
      </c>
      <c r="G81" s="37" t="s">
        <v>2299</v>
      </c>
      <c r="H81" s="220" t="s">
        <v>19</v>
      </c>
      <c r="I81" s="279">
        <v>46051</v>
      </c>
      <c r="J81" s="45">
        <v>0.66666666666666663</v>
      </c>
      <c r="M81" s="39" t="s">
        <v>90</v>
      </c>
      <c r="O81" s="39" t="s">
        <v>1785</v>
      </c>
      <c r="Z81" t="s">
        <v>2313</v>
      </c>
    </row>
    <row r="82" spans="2:26" s="49" customFormat="1" ht="15.75">
      <c r="B82" s="56" t="s">
        <v>2330</v>
      </c>
      <c r="F82" s="67" t="s">
        <v>2300</v>
      </c>
      <c r="G82" s="86" t="s">
        <v>2301</v>
      </c>
      <c r="H82" s="87" t="s">
        <v>19</v>
      </c>
      <c r="I82" s="80">
        <v>46053</v>
      </c>
      <c r="J82" s="85">
        <v>0.625</v>
      </c>
      <c r="M82" s="49" t="s">
        <v>90</v>
      </c>
      <c r="O82" s="49" t="s">
        <v>1680</v>
      </c>
      <c r="T82" s="49" t="s">
        <v>2331</v>
      </c>
      <c r="Z82" t="s">
        <v>2335</v>
      </c>
    </row>
    <row r="83" spans="2:26" ht="40.15">
      <c r="B83" s="36" t="s">
        <v>2327</v>
      </c>
      <c r="F83" s="13" t="s">
        <v>2302</v>
      </c>
      <c r="G83" t="s">
        <v>2303</v>
      </c>
      <c r="H83" s="220" t="s">
        <v>19</v>
      </c>
      <c r="I83" s="77">
        <v>46053</v>
      </c>
      <c r="J83" s="45">
        <v>0.58333333333333337</v>
      </c>
      <c r="M83" t="s">
        <v>72</v>
      </c>
      <c r="O83" t="s">
        <v>1476</v>
      </c>
      <c r="T83" t="s">
        <v>1691</v>
      </c>
      <c r="Z83" s="40" t="s">
        <v>2328</v>
      </c>
    </row>
    <row r="84" spans="2:26" s="31" customFormat="1">
      <c r="B84" s="31" t="s">
        <v>2308</v>
      </c>
      <c r="F84" s="52"/>
      <c r="G84" s="55" t="s">
        <v>2307</v>
      </c>
      <c r="H84" s="220"/>
      <c r="I84" s="81"/>
      <c r="J84" s="53"/>
    </row>
    <row r="85" spans="2:26" ht="38.25">
      <c r="B85" t="s">
        <v>2325</v>
      </c>
      <c r="F85" s="13" t="s">
        <v>2323</v>
      </c>
      <c r="G85" s="37" t="s">
        <v>2324</v>
      </c>
      <c r="H85" s="220"/>
      <c r="I85" s="77">
        <v>46053</v>
      </c>
      <c r="J85" s="45">
        <v>0.41666666666666669</v>
      </c>
      <c r="M85" t="s">
        <v>72</v>
      </c>
      <c r="O85" t="s">
        <v>1476</v>
      </c>
      <c r="Z85" s="40" t="s">
        <v>2326</v>
      </c>
    </row>
    <row r="86" spans="2:26" s="31" customFormat="1">
      <c r="B86" s="31" t="s">
        <v>2373</v>
      </c>
      <c r="F86" t="s">
        <v>2375</v>
      </c>
      <c r="G86" s="55"/>
      <c r="H86" s="220"/>
      <c r="I86" s="81"/>
      <c r="J86" s="53"/>
      <c r="O86" s="49" t="s">
        <v>1680</v>
      </c>
      <c r="T86" s="31" t="s">
        <v>2374</v>
      </c>
    </row>
    <row r="87" spans="2:26" s="59" customFormat="1">
      <c r="B87" t="s">
        <v>2431</v>
      </c>
      <c r="E87" s="59" t="s">
        <v>1663</v>
      </c>
      <c r="F87" s="13" t="s">
        <v>2429</v>
      </c>
      <c r="G87" s="242" t="s">
        <v>2376</v>
      </c>
      <c r="H87" s="63" t="s">
        <v>1640</v>
      </c>
      <c r="I87" s="79">
        <v>46083</v>
      </c>
      <c r="J87" s="61">
        <v>0.8125</v>
      </c>
      <c r="K87" s="59" t="s">
        <v>196</v>
      </c>
      <c r="M87" s="59" t="s">
        <v>132</v>
      </c>
      <c r="O87" s="59" t="s">
        <v>1680</v>
      </c>
      <c r="T87" s="59" t="s">
        <v>2377</v>
      </c>
      <c r="Z87" s="59" t="s">
        <v>2432</v>
      </c>
    </row>
    <row r="88" spans="2:26">
      <c r="F88" s="13"/>
      <c r="G88" s="37" t="s">
        <v>2378</v>
      </c>
      <c r="H88" s="220" t="s">
        <v>1640</v>
      </c>
      <c r="J88" s="45"/>
      <c r="M88" s="59" t="s">
        <v>132</v>
      </c>
      <c r="O88" t="s">
        <v>1476</v>
      </c>
      <c r="T88" t="s">
        <v>2379</v>
      </c>
    </row>
    <row r="89" spans="2:26" s="31" customFormat="1">
      <c r="F89" s="52"/>
      <c r="G89" s="55" t="s">
        <v>2382</v>
      </c>
      <c r="H89" s="220" t="s">
        <v>1640</v>
      </c>
      <c r="I89" s="81"/>
      <c r="J89" s="53"/>
      <c r="T89" t="s">
        <v>2383</v>
      </c>
    </row>
    <row r="90" spans="2:26" s="31" customFormat="1" ht="142.15">
      <c r="B90" s="283" t="s">
        <v>2386</v>
      </c>
      <c r="F90" s="52" t="s">
        <v>2387</v>
      </c>
      <c r="G90" s="55" t="s">
        <v>2384</v>
      </c>
      <c r="H90" s="220" t="s">
        <v>19</v>
      </c>
      <c r="I90" s="31" t="s">
        <v>2430</v>
      </c>
      <c r="J90" s="53"/>
      <c r="M90" s="31" t="s">
        <v>90</v>
      </c>
      <c r="O90" s="31" t="s">
        <v>1476</v>
      </c>
      <c r="R90" s="54" t="s">
        <v>1737</v>
      </c>
      <c r="T90" s="220" t="s">
        <v>2385</v>
      </c>
    </row>
    <row r="91" spans="2:26" s="31" customFormat="1" ht="204.4">
      <c r="B91" s="284" t="s">
        <v>2392</v>
      </c>
      <c r="F91" s="52" t="s">
        <v>2391</v>
      </c>
      <c r="G91" s="55"/>
      <c r="H91" s="220" t="s">
        <v>19</v>
      </c>
      <c r="I91" s="81"/>
      <c r="J91" s="53"/>
      <c r="M91" s="31" t="s">
        <v>72</v>
      </c>
      <c r="O91" s="31" t="s">
        <v>1476</v>
      </c>
      <c r="T91" s="220" t="s">
        <v>2393</v>
      </c>
    </row>
    <row r="92" spans="2:26" s="285" customFormat="1">
      <c r="F92" s="286" t="s">
        <v>2394</v>
      </c>
      <c r="G92" s="287"/>
      <c r="H92" s="288"/>
      <c r="I92" s="289"/>
      <c r="J92" s="290"/>
      <c r="T92" s="285" t="s">
        <v>2395</v>
      </c>
    </row>
    <row r="93" spans="2:26" s="31" customFormat="1" ht="38.25">
      <c r="B93" s="31" t="s">
        <v>2403</v>
      </c>
      <c r="F93" s="52" t="s">
        <v>2402</v>
      </c>
      <c r="G93" s="55" t="s">
        <v>2400</v>
      </c>
      <c r="H93" s="220"/>
      <c r="I93" s="31" t="s">
        <v>2407</v>
      </c>
      <c r="J93" s="53">
        <v>0.41666666666666669</v>
      </c>
      <c r="M93" s="31" t="s">
        <v>72</v>
      </c>
      <c r="O93" s="31" t="s">
        <v>1476</v>
      </c>
      <c r="R93" s="31" t="s">
        <v>1674</v>
      </c>
      <c r="T93" s="31" t="s">
        <v>2404</v>
      </c>
      <c r="U93" s="31" t="s">
        <v>109</v>
      </c>
      <c r="Z93" s="220" t="s">
        <v>2401</v>
      </c>
    </row>
    <row r="94" spans="2:26" s="59" customFormat="1" ht="51">
      <c r="B94" s="59" t="s">
        <v>2405</v>
      </c>
      <c r="E94" s="59" t="s">
        <v>1663</v>
      </c>
      <c r="F94" s="58" t="s">
        <v>2389</v>
      </c>
      <c r="G94" s="59" t="s">
        <v>2388</v>
      </c>
      <c r="H94" s="63" t="s">
        <v>19</v>
      </c>
      <c r="I94" s="59" t="s">
        <v>2407</v>
      </c>
      <c r="J94" s="61">
        <v>0.45833333333333331</v>
      </c>
      <c r="M94" s="59" t="s">
        <v>102</v>
      </c>
      <c r="O94" s="59" t="s">
        <v>1476</v>
      </c>
      <c r="R94" s="59" t="s">
        <v>1674</v>
      </c>
      <c r="U94" s="59" t="s">
        <v>109</v>
      </c>
      <c r="Z94" s="63" t="s">
        <v>2406</v>
      </c>
    </row>
    <row r="95" spans="2:26" ht="15.75">
      <c r="B95" s="36" t="s">
        <v>2409</v>
      </c>
      <c r="F95" s="13" t="s">
        <v>2410</v>
      </c>
      <c r="G95" s="37" t="s">
        <v>2408</v>
      </c>
      <c r="H95" s="220"/>
      <c r="I95" s="77">
        <v>46120</v>
      </c>
      <c r="J95" s="45">
        <v>0.54166666666666663</v>
      </c>
      <c r="M95" s="39" t="s">
        <v>661</v>
      </c>
      <c r="O95" t="s">
        <v>1476</v>
      </c>
      <c r="R95" t="s">
        <v>1674</v>
      </c>
      <c r="U95" s="31" t="s">
        <v>109</v>
      </c>
    </row>
    <row r="96" spans="2:26">
      <c r="F96" s="13" t="s">
        <v>2414</v>
      </c>
      <c r="G96" t="s">
        <v>2415</v>
      </c>
      <c r="H96" s="220" t="s">
        <v>19</v>
      </c>
      <c r="I96" t="s">
        <v>2419</v>
      </c>
      <c r="J96" s="45">
        <v>0.45833333333333331</v>
      </c>
      <c r="M96" t="s">
        <v>102</v>
      </c>
      <c r="O96" t="s">
        <v>1476</v>
      </c>
      <c r="R96" t="s">
        <v>1674</v>
      </c>
      <c r="U96" t="s">
        <v>109</v>
      </c>
    </row>
    <row r="97" spans="2:21" ht="15.75">
      <c r="B97" s="291" t="s">
        <v>2418</v>
      </c>
      <c r="F97" s="13" t="s">
        <v>2417</v>
      </c>
      <c r="G97" s="37" t="s">
        <v>2416</v>
      </c>
      <c r="H97" s="220" t="s">
        <v>19</v>
      </c>
      <c r="I97" t="s">
        <v>2422</v>
      </c>
      <c r="J97" s="45">
        <v>0.66666666666666663</v>
      </c>
      <c r="M97" t="s">
        <v>102</v>
      </c>
      <c r="O97" t="s">
        <v>1476</v>
      </c>
      <c r="R97" t="s">
        <v>1674</v>
      </c>
      <c r="U97" t="s">
        <v>109</v>
      </c>
    </row>
    <row r="98" spans="2:21">
      <c r="B98" t="s">
        <v>2425</v>
      </c>
      <c r="F98" s="13" t="s">
        <v>2421</v>
      </c>
      <c r="G98" s="37" t="s">
        <v>2420</v>
      </c>
      <c r="H98" s="220" t="s">
        <v>19</v>
      </c>
      <c r="I98" s="279">
        <v>46134</v>
      </c>
      <c r="J98" s="45">
        <v>0.66666666666666663</v>
      </c>
      <c r="M98" s="39" t="s">
        <v>72</v>
      </c>
      <c r="O98" t="s">
        <v>1476</v>
      </c>
      <c r="R98" t="s">
        <v>1674</v>
      </c>
      <c r="U98" t="s">
        <v>109</v>
      </c>
    </row>
    <row r="99" spans="2:21" ht="15.75">
      <c r="B99" s="36" t="s">
        <v>2426</v>
      </c>
      <c r="F99" s="13" t="s">
        <v>2427</v>
      </c>
      <c r="G99" s="37" t="s">
        <v>2428</v>
      </c>
      <c r="H99" s="220" t="s">
        <v>19</v>
      </c>
      <c r="I99" s="279">
        <v>46140</v>
      </c>
      <c r="J99" s="45">
        <v>0.45833333333333331</v>
      </c>
      <c r="M99" s="39" t="s">
        <v>661</v>
      </c>
      <c r="O99" s="39" t="s">
        <v>1680</v>
      </c>
      <c r="R99" t="s">
        <v>1674</v>
      </c>
      <c r="U99" t="s">
        <v>1955</v>
      </c>
    </row>
    <row r="100" spans="2:21" ht="14.25">
      <c r="B100" s="36" t="s">
        <v>2443</v>
      </c>
      <c r="C100" t="s">
        <v>2454</v>
      </c>
      <c r="F100" s="13" t="s">
        <v>2444</v>
      </c>
      <c r="G100" s="37" t="s">
        <v>2445</v>
      </c>
      <c r="H100" s="220" t="s">
        <v>19</v>
      </c>
      <c r="I100" s="77">
        <v>46154</v>
      </c>
      <c r="J100" s="45">
        <v>0.625</v>
      </c>
      <c r="M100" s="39" t="s">
        <v>72</v>
      </c>
      <c r="O100" t="s">
        <v>1476</v>
      </c>
      <c r="R100" t="s">
        <v>1674</v>
      </c>
      <c r="U100" t="s">
        <v>109</v>
      </c>
    </row>
    <row r="101" spans="2:21" ht="15.75">
      <c r="B101" s="36" t="s">
        <v>2449</v>
      </c>
      <c r="C101" t="s">
        <v>2450</v>
      </c>
      <c r="F101" s="13" t="s">
        <v>2452</v>
      </c>
      <c r="G101" s="37" t="s">
        <v>2451</v>
      </c>
      <c r="H101" s="220"/>
      <c r="I101" s="279">
        <v>46165</v>
      </c>
      <c r="J101" s="45">
        <v>0.45833333333333331</v>
      </c>
      <c r="M101" t="s">
        <v>102</v>
      </c>
      <c r="O101" t="s">
        <v>1476</v>
      </c>
    </row>
  </sheetData>
  <phoneticPr fontId="43"/>
  <hyperlinks>
    <hyperlink ref="F2" r:id="rId1" display="mailto:cakwtnb31@gmail.com" xr:uid="{00000000-0004-0000-0300-000000000000}"/>
    <hyperlink ref="F3" r:id="rId2" display="mailto:halka0130@yahoo.co.jp" xr:uid="{00000000-0004-0000-0300-000001000000}"/>
    <hyperlink ref="F4" r:id="rId3" display="mailto:yukino.540lll@gmail.com" xr:uid="{00000000-0004-0000-0300-000002000000}"/>
    <hyperlink ref="F5" r:id="rId4" display="mailto:hatsumi0911.la@gmail.com" xr:uid="{00000000-0004-0000-0300-000003000000}"/>
    <hyperlink ref="F6" r:id="rId5" xr:uid="{00000000-0004-0000-0300-000004000000}"/>
    <hyperlink ref="F8" r:id="rId6" xr:uid="{00000000-0004-0000-0300-000005000000}"/>
    <hyperlink ref="F9" r:id="rId7" xr:uid="{00000000-0004-0000-0300-000006000000}"/>
    <hyperlink ref="F11" r:id="rId8" display="mailto:machabebe@yahoo" xr:uid="{00000000-0004-0000-0300-000007000000}"/>
    <hyperlink ref="F13" r:id="rId9" display="mailto:yorozoyurika@gmail.com" xr:uid="{00000000-0004-0000-0300-000008000000}"/>
    <hyperlink ref="F14" r:id="rId10" display="mailto:atonemasami@gmail.com" xr:uid="{00000000-0004-0000-0300-000009000000}"/>
    <hyperlink ref="F17" r:id="rId11" display="mailto:prunus_mume2@yahoo.co.jp" xr:uid="{00000000-0004-0000-0300-00000A000000}"/>
    <hyperlink ref="F18" r:id="rId12" display="mailto:yama-izumi@ymail.ne.jp" xr:uid="{00000000-0004-0000-0300-00000B000000}"/>
    <hyperlink ref="F19" r:id="rId13" display="mailto:shimamoko178@yahoo.co.jp" xr:uid="{00000000-0004-0000-0300-00000C000000}"/>
    <hyperlink ref="F20" r:id="rId14" display="mailto:riekorange1123@icloud.com" xr:uid="{00000000-0004-0000-0300-00000D000000}"/>
    <hyperlink ref="H20" r:id="rId15" display="mailto:riekorange1123@icloud.com" xr:uid="{00000000-0004-0000-0300-00000E000000}"/>
    <hyperlink ref="F21" r:id="rId16" display="mailto:sawa.looksupto.u@icloud.com" xr:uid="{00000000-0004-0000-0300-00000F000000}"/>
    <hyperlink ref="F22" r:id="rId17" xr:uid="{00000000-0004-0000-0300-000010000000}"/>
    <hyperlink ref="F26" r:id="rId18" display="mailto:mako543366@gmail.com" xr:uid="{00000000-0004-0000-0300-000011000000}"/>
    <hyperlink ref="F27" r:id="rId19" xr:uid="{00000000-0004-0000-0300-000012000000}"/>
    <hyperlink ref="F28" r:id="rId20" xr:uid="{00000000-0004-0000-0300-000013000000}"/>
    <hyperlink ref="F30" r:id="rId21" display="mailto:mu25fukuhime@gmail.com" xr:uid="{00000000-0004-0000-0300-000014000000}"/>
    <hyperlink ref="F31" r:id="rId22" display="mailto:monamame@outlook.jp" xr:uid="{00000000-0004-0000-0300-000015000000}"/>
    <hyperlink ref="F32" r:id="rId23" display="mailto:yasunorinozomi@yahoo.co.jp" xr:uid="{00000000-0004-0000-0300-000016000000}"/>
    <hyperlink ref="F33" r:id="rId24" display="mailto:t0nn0e_0905@yahoo.co.jp" xr:uid="{00000000-0004-0000-0300-000017000000}"/>
    <hyperlink ref="F34" r:id="rId25" xr:uid="{00000000-0004-0000-0300-000018000000}"/>
    <hyperlink ref="F36" r:id="rId26" display="mailto:meguya_h@yahoo.co.jp" xr:uid="{00000000-0004-0000-0300-000019000000}"/>
    <hyperlink ref="F50" r:id="rId27" xr:uid="{EE0A2749-4A16-4941-9CB1-4FCA1EA6F99A}"/>
    <hyperlink ref="F43" r:id="rId28" xr:uid="{D724F713-AE19-4ED8-A63D-463537712797}"/>
    <hyperlink ref="F51" r:id="rId29" xr:uid="{41D42DC0-8B87-423A-8121-0D3C3D42B1DF}"/>
    <hyperlink ref="F54" r:id="rId30" xr:uid="{20C92D6A-A11F-41EB-B752-69A2ACA95792}"/>
    <hyperlink ref="F60" r:id="rId31" xr:uid="{86D59859-3936-4AB7-B1B5-C222FB988C2F}"/>
    <hyperlink ref="F57" r:id="rId32" xr:uid="{87BA0CA7-5E7B-41E4-97FA-B34BF50934D7}"/>
    <hyperlink ref="F58" r:id="rId33" xr:uid="{DA3B9C68-39FE-422D-9FA9-76E4AE8470C6}"/>
    <hyperlink ref="F65" r:id="rId34" xr:uid="{AA21993C-B603-4A81-BDF4-23FEA68FE4F0}"/>
    <hyperlink ref="F56" r:id="rId35" xr:uid="{6B9C7106-4976-4BEC-8A59-28C524869CDF}"/>
    <hyperlink ref="F73" r:id="rId36" xr:uid="{8F75D639-D4D8-468E-A5C7-18025E7C9E9A}"/>
    <hyperlink ref="F76" r:id="rId37" xr:uid="{F689C850-19E4-4F73-96A2-CC605589D3B4}"/>
    <hyperlink ref="F83" r:id="rId38" display="mailto:tncoco33@gmail.com" xr:uid="{D41A050E-8F7A-4161-A342-44C27643CD15}"/>
    <hyperlink ref="F81" r:id="rId39" display="mailto:kanyacoo@gmail.com" xr:uid="{A3436D1C-4243-4C48-97E1-BAD77CCF2D15}"/>
    <hyperlink ref="F85" r:id="rId40" xr:uid="{42811F57-D277-45C3-96D8-E8E71660F940}"/>
    <hyperlink ref="F90" r:id="rId41" xr:uid="{67036293-AB86-4DC8-A2CC-2720E90F1C17}"/>
    <hyperlink ref="F91" r:id="rId42" display="mailto:chry0607@yahoo.co.jp" xr:uid="{609FE2B5-FC39-4901-A52D-033439980DF5}"/>
    <hyperlink ref="F92" r:id="rId43" display="mailto:ayanone203@gmail.com" xr:uid="{ABE07B14-008C-4551-84E9-D281BE0DCF70}"/>
    <hyperlink ref="F93" r:id="rId44" xr:uid="{FD73C819-E9E6-46AF-8C06-DF620D1F4D7E}"/>
    <hyperlink ref="F95" r:id="rId45" xr:uid="{FE94F247-7EA0-4A79-A35C-D79593348C54}"/>
    <hyperlink ref="F97" r:id="rId46" display="mailto:sayo320193@gmail.com" xr:uid="{B7252110-042B-4A54-AC23-C441911C2F3A}"/>
    <hyperlink ref="F98" r:id="rId47" display="mailto:yuinakae0113@gmail.com" xr:uid="{E2E75786-527A-47AC-8978-2167832F914E}"/>
    <hyperlink ref="F99" r:id="rId48" display="mailto:omarupio3104@gmail.com" xr:uid="{913BCCB3-D725-4291-969D-E3BA3C9F0D6C}"/>
    <hyperlink ref="F87" r:id="rId49" xr:uid="{17D11C6C-8F39-4140-9323-60C8C3DB41ED}"/>
    <hyperlink ref="F94" r:id="rId50" display="mailto:natsuki9244@yahoo.co.jp" xr:uid="{35235A54-4CF2-4E44-BE89-85B1AF6A928C}"/>
    <hyperlink ref="F100" r:id="rId51" display="mailto:kiwajj0814@icloud.com" xr:uid="{B006BD0D-F078-4841-84EC-E442D02AC002}"/>
    <hyperlink ref="F101" r:id="rId52" display="mailto:tomtomary@yahoo.co.jp" xr:uid="{F53D03B5-FED7-474D-9133-09FB3A89A847}"/>
  </hyperlinks>
  <pageMargins left="0.7" right="0.7" top="0.75" bottom="0.75" header="0.3" footer="0.3"/>
  <pageSetup paperSize="9" orientation="portrait" horizontalDpi="0" verticalDpi="0"/>
  <drawing r:id="rId53"/>
  <tableParts count="1">
    <tablePart r:id="rId5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
  <dimension ref="A1:B10"/>
  <sheetViews>
    <sheetView workbookViewId="0">
      <selection activeCell="B10" sqref="B10"/>
    </sheetView>
  </sheetViews>
  <sheetFormatPr defaultRowHeight="12.75"/>
  <cols>
    <col min="1" max="1" width="32" customWidth="1"/>
    <col min="2" max="2" width="38.86328125" customWidth="1"/>
  </cols>
  <sheetData>
    <row r="1" spans="1:2">
      <c r="A1" s="172" t="s">
        <v>1801</v>
      </c>
      <c r="B1" s="172" t="s">
        <v>1802</v>
      </c>
    </row>
    <row r="2" spans="1:2">
      <c r="A2" s="173" t="s">
        <v>1586</v>
      </c>
      <c r="B2" s="173" t="s">
        <v>1803</v>
      </c>
    </row>
    <row r="3" spans="1:2">
      <c r="A3" s="173" t="s">
        <v>1587</v>
      </c>
      <c r="B3" s="173" t="s">
        <v>1804</v>
      </c>
    </row>
    <row r="4" spans="1:2">
      <c r="A4" s="173" t="s">
        <v>1805</v>
      </c>
      <c r="B4" s="173" t="s">
        <v>1806</v>
      </c>
    </row>
    <row r="5" spans="1:2">
      <c r="A5" s="173" t="s">
        <v>1807</v>
      </c>
      <c r="B5" s="173" t="s">
        <v>1808</v>
      </c>
    </row>
    <row r="6" spans="1:2">
      <c r="A6" s="173" t="s">
        <v>1809</v>
      </c>
      <c r="B6" s="173" t="s">
        <v>1810</v>
      </c>
    </row>
    <row r="7" spans="1:2">
      <c r="A7" s="173" t="s">
        <v>1811</v>
      </c>
      <c r="B7" s="173" t="s">
        <v>1812</v>
      </c>
    </row>
    <row r="8" spans="1:2">
      <c r="A8" t="s">
        <v>1813</v>
      </c>
      <c r="B8" t="s">
        <v>1814</v>
      </c>
    </row>
    <row r="9" spans="1:2">
      <c r="A9" t="s">
        <v>1815</v>
      </c>
      <c r="B9" t="s">
        <v>1816</v>
      </c>
    </row>
    <row r="10" spans="1:2" ht="13.5">
      <c r="A10" s="174" t="s">
        <v>1817</v>
      </c>
      <c r="B10" t="s">
        <v>1818</v>
      </c>
    </row>
  </sheetData>
  <phoneticPr fontId="43"/>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B1:GS67"/>
  <sheetViews>
    <sheetView topLeftCell="AB1" workbookViewId="0">
      <selection activeCell="AZ12" sqref="AZ12"/>
    </sheetView>
  </sheetViews>
  <sheetFormatPr defaultRowHeight="12.75"/>
  <cols>
    <col min="1" max="1" width="4.86328125" customWidth="1"/>
    <col min="2" max="2" width="14.73046875" bestFit="1" customWidth="1"/>
    <col min="3" max="3" width="16.265625" bestFit="1" customWidth="1"/>
    <col min="4" max="4" width="5.59765625" bestFit="1" customWidth="1"/>
    <col min="5" max="6" width="7.265625" bestFit="1" customWidth="1"/>
    <col min="7" max="7" width="10.86328125" bestFit="1" customWidth="1"/>
    <col min="8" max="8" width="9" hidden="1" customWidth="1"/>
    <col min="9" max="9" width="11.86328125" hidden="1" customWidth="1"/>
    <col min="10" max="10" width="8.86328125" hidden="1" customWidth="1"/>
    <col min="11" max="11" width="11.86328125" hidden="1" customWidth="1"/>
    <col min="12" max="12" width="12.3984375" hidden="1" customWidth="1"/>
    <col min="13" max="13" width="0" hidden="1"/>
    <col min="14" max="14" width="13.1328125" bestFit="1" customWidth="1"/>
    <col min="15" max="15" width="16.265625" bestFit="1" customWidth="1"/>
    <col min="16" max="16" width="6.1328125" bestFit="1" customWidth="1"/>
    <col min="17" max="17" width="7.265625" bestFit="1" customWidth="1"/>
    <col min="18" max="18" width="10.86328125" bestFit="1" customWidth="1"/>
    <col min="22" max="22" width="18" customWidth="1"/>
    <col min="23" max="24" width="0" hidden="1"/>
    <col min="25" max="25" width="19.86328125" hidden="1" customWidth="1"/>
    <col min="26" max="26" width="24" hidden="1" customWidth="1"/>
    <col min="27" max="27" width="22" hidden="1" customWidth="1"/>
    <col min="29" max="29" width="10.265625" bestFit="1" customWidth="1"/>
    <col min="30" max="30" width="16.265625" bestFit="1" customWidth="1"/>
    <col min="31" max="31" width="18.265625" bestFit="1" customWidth="1"/>
    <col min="34" max="34" width="12.265625" customWidth="1"/>
    <col min="40" max="40" width="12.1328125" bestFit="1" customWidth="1"/>
    <col min="42" max="42" width="14" bestFit="1" customWidth="1"/>
    <col min="43" max="43" width="18.265625" bestFit="1" customWidth="1"/>
    <col min="44" max="44" width="25.1328125" bestFit="1" customWidth="1"/>
    <col min="45" max="45" width="5.1328125" bestFit="1" customWidth="1"/>
    <col min="46" max="46" width="12.1328125" customWidth="1"/>
    <col min="47" max="47" width="16.86328125" customWidth="1"/>
    <col min="48" max="48" width="11.1328125" customWidth="1"/>
    <col min="51" max="51" width="17.86328125" bestFit="1" customWidth="1"/>
    <col min="52" max="52" width="16.265625" bestFit="1" customWidth="1"/>
    <col min="53" max="53" width="5.59765625" bestFit="1" customWidth="1"/>
    <col min="54" max="55" width="7.265625" bestFit="1" customWidth="1"/>
    <col min="56" max="56" width="10.86328125" bestFit="1" customWidth="1"/>
    <col min="57" max="57" width="9.265625" bestFit="1" customWidth="1"/>
    <col min="58" max="58" width="8.59765625" bestFit="1" customWidth="1"/>
    <col min="76" max="76" width="22.73046875" bestFit="1" customWidth="1"/>
    <col min="77" max="77" width="6.265625" bestFit="1" customWidth="1"/>
    <col min="78" max="78" width="5.59765625" bestFit="1" customWidth="1"/>
    <col min="79" max="79" width="6.1328125" bestFit="1" customWidth="1"/>
    <col min="80" max="81" width="17.3984375" customWidth="1"/>
    <col min="82" max="82" width="11" bestFit="1" customWidth="1"/>
    <col min="84" max="84" width="18" bestFit="1" customWidth="1"/>
    <col min="85" max="85" width="20.3984375" bestFit="1" customWidth="1"/>
    <col min="87" max="87" width="17.86328125" customWidth="1"/>
    <col min="88" max="88" width="21.73046875" customWidth="1"/>
    <col min="91" max="91" width="29" customWidth="1"/>
    <col min="92" max="92" width="9.1328125" bestFit="1" customWidth="1"/>
    <col min="94" max="94" width="24.1328125" bestFit="1" customWidth="1"/>
    <col min="99" max="99" width="12.59765625" bestFit="1" customWidth="1"/>
    <col min="100" max="100" width="14" bestFit="1" customWidth="1"/>
    <col min="101" max="101" width="5.59765625" bestFit="1" customWidth="1"/>
    <col min="102" max="102" width="6.265625" bestFit="1" customWidth="1"/>
    <col min="103" max="103" width="4" bestFit="1" customWidth="1"/>
    <col min="104" max="104" width="4.86328125" bestFit="1" customWidth="1"/>
    <col min="105" max="105" width="8.73046875" customWidth="1"/>
    <col min="106" max="106" width="6" bestFit="1" customWidth="1"/>
    <col min="107" max="107" width="6.3984375" customWidth="1"/>
    <col min="108" max="108" width="6.86328125" customWidth="1"/>
    <col min="109" max="109" width="7" bestFit="1" customWidth="1"/>
    <col min="110" max="110" width="10.86328125" bestFit="1" customWidth="1"/>
    <col min="111" max="111" width="9.73046875" bestFit="1" customWidth="1"/>
    <col min="112" max="114" width="7" bestFit="1" customWidth="1"/>
    <col min="115" max="115" width="9.73046875" bestFit="1" customWidth="1"/>
    <col min="116" max="118" width="7" bestFit="1" customWidth="1"/>
    <col min="119" max="119" width="9.73046875" bestFit="1" customWidth="1"/>
    <col min="120" max="126" width="7" bestFit="1" customWidth="1"/>
    <col min="127" max="127" width="9.73046875" bestFit="1" customWidth="1"/>
    <col min="128" max="136" width="7" bestFit="1" customWidth="1"/>
    <col min="137" max="137" width="9.73046875" bestFit="1" customWidth="1"/>
    <col min="138" max="142" width="7" bestFit="1" customWidth="1"/>
    <col min="143" max="143" width="9.73046875" bestFit="1" customWidth="1"/>
    <col min="144" max="144" width="8.59765625" bestFit="1" customWidth="1"/>
    <col min="145" max="145" width="5.73046875" bestFit="1" customWidth="1"/>
    <col min="146" max="147" width="10.86328125" bestFit="1" customWidth="1"/>
  </cols>
  <sheetData>
    <row r="1" spans="2:201" s="97" customFormat="1" ht="14.45" customHeight="1">
      <c r="B1" s="300" t="s">
        <v>1819</v>
      </c>
      <c r="C1" s="301"/>
      <c r="D1" s="301"/>
      <c r="E1" s="118"/>
      <c r="F1" s="118"/>
      <c r="H1" s="302" t="s">
        <v>1820</v>
      </c>
      <c r="I1" s="301"/>
      <c r="J1" s="301"/>
      <c r="K1" s="301"/>
      <c r="L1" s="301"/>
      <c r="M1" s="98"/>
      <c r="N1" s="302" t="s">
        <v>1821</v>
      </c>
      <c r="O1" s="301"/>
      <c r="P1" s="301"/>
      <c r="Q1" s="301"/>
      <c r="R1" s="301"/>
      <c r="S1" s="301"/>
      <c r="T1" s="301"/>
      <c r="U1" s="301"/>
      <c r="V1" s="301"/>
      <c r="X1" s="302" t="s">
        <v>1822</v>
      </c>
      <c r="Y1" s="301"/>
      <c r="Z1" s="301"/>
      <c r="AA1" s="301"/>
      <c r="AC1" s="300" t="s">
        <v>1823</v>
      </c>
      <c r="AD1" s="301"/>
      <c r="AE1" s="301"/>
      <c r="AF1" s="301"/>
      <c r="AG1" s="301"/>
      <c r="AH1" s="301"/>
      <c r="AI1" s="301"/>
      <c r="AJ1" s="301"/>
      <c r="AK1" s="301"/>
      <c r="AL1" s="100"/>
      <c r="AM1" s="100"/>
      <c r="AN1" s="100"/>
      <c r="AP1" s="300" t="s">
        <v>1824</v>
      </c>
      <c r="AQ1" s="301"/>
      <c r="AR1" s="301"/>
      <c r="AS1" s="301"/>
      <c r="AT1" s="301"/>
      <c r="AU1" s="301"/>
      <c r="AV1" s="301"/>
      <c r="AW1" s="301"/>
      <c r="AY1" s="300" t="s">
        <v>1825</v>
      </c>
      <c r="AZ1" s="301"/>
      <c r="BA1" s="301"/>
      <c r="BB1" s="301"/>
      <c r="BC1" s="301"/>
      <c r="BD1" s="94"/>
      <c r="BE1" s="300" t="s">
        <v>1826</v>
      </c>
      <c r="BF1" s="301"/>
      <c r="BG1" s="301"/>
      <c r="BJ1" s="300" t="s">
        <v>1827</v>
      </c>
      <c r="BK1" s="301"/>
      <c r="BL1" s="301"/>
      <c r="BM1" s="301"/>
      <c r="BN1" s="301"/>
      <c r="BO1" s="301"/>
      <c r="BP1" s="301"/>
      <c r="BQ1" s="301"/>
      <c r="BR1" s="301"/>
      <c r="BS1" s="301"/>
      <c r="BT1" s="301"/>
      <c r="BU1" s="301"/>
      <c r="BV1" s="301"/>
      <c r="BX1" s="303" t="s">
        <v>1828</v>
      </c>
      <c r="BY1" s="301"/>
      <c r="BZ1" s="301"/>
      <c r="CA1" s="301"/>
      <c r="CB1" s="301"/>
      <c r="CC1" s="301"/>
      <c r="CD1" s="301"/>
      <c r="CE1" s="94"/>
      <c r="CF1" s="88" t="s">
        <v>1</v>
      </c>
      <c r="CG1" t="s">
        <v>103</v>
      </c>
      <c r="CI1" s="300" t="s">
        <v>1829</v>
      </c>
      <c r="CJ1" s="301"/>
      <c r="CM1" s="136" t="s">
        <v>1830</v>
      </c>
      <c r="CN1" s="136" t="s">
        <v>43</v>
      </c>
      <c r="CP1" s="137" t="e">
        <f>INDEX(CP2:CP13, MATCH(TRUE, INDEX(CP2:CP13&lt;&gt;"", 0), 0))</f>
        <v>#N/A</v>
      </c>
    </row>
    <row r="2" spans="2:201" ht="14.45" customHeight="1">
      <c r="CI2" t="s">
        <v>1831</v>
      </c>
      <c r="CM2" s="135">
        <v>45688</v>
      </c>
      <c r="CN2" s="90" t="s">
        <v>1832</v>
      </c>
      <c r="CO2" t="str">
        <f t="shared" ref="CO2:CO13" si="0">IFERROR(INDEX(H:H,MATCH(CN2,H:H,0)),"")</f>
        <v/>
      </c>
      <c r="CP2" t="str">
        <f t="shared" ref="CP2:CP13" si="1">IF(CO2="","",CM2)</f>
        <v/>
      </c>
      <c r="CU2" s="88" t="s">
        <v>44</v>
      </c>
      <c r="CV2" s="88" t="s">
        <v>43</v>
      </c>
      <c r="CW2" t="s">
        <v>1833</v>
      </c>
      <c r="CX2" t="s">
        <v>1834</v>
      </c>
      <c r="DB2">
        <v>2018</v>
      </c>
      <c r="DC2">
        <v>2018</v>
      </c>
      <c r="DD2">
        <v>2018</v>
      </c>
      <c r="DE2">
        <v>2018</v>
      </c>
      <c r="DF2">
        <v>2018</v>
      </c>
      <c r="DG2">
        <v>2018</v>
      </c>
      <c r="DH2">
        <v>2018</v>
      </c>
      <c r="DI2">
        <v>2018</v>
      </c>
      <c r="DJ2">
        <v>2018</v>
      </c>
      <c r="DK2">
        <v>2018</v>
      </c>
      <c r="DL2">
        <v>2018</v>
      </c>
      <c r="DM2">
        <v>2018</v>
      </c>
      <c r="DN2">
        <v>2019</v>
      </c>
      <c r="DO2">
        <v>2019</v>
      </c>
      <c r="DP2">
        <v>2019</v>
      </c>
      <c r="DQ2">
        <v>2019</v>
      </c>
      <c r="DR2">
        <v>2019</v>
      </c>
      <c r="DS2">
        <v>2019</v>
      </c>
      <c r="DT2">
        <v>2019</v>
      </c>
      <c r="DU2">
        <v>2019</v>
      </c>
      <c r="DV2">
        <v>2019</v>
      </c>
      <c r="DW2">
        <v>2019</v>
      </c>
      <c r="DX2">
        <v>2019</v>
      </c>
      <c r="DY2">
        <v>2019</v>
      </c>
      <c r="DZ2">
        <v>2020</v>
      </c>
      <c r="EA2">
        <v>2020</v>
      </c>
      <c r="EB2">
        <v>2020</v>
      </c>
      <c r="EC2">
        <v>2020</v>
      </c>
      <c r="ED2">
        <v>2020</v>
      </c>
      <c r="EE2">
        <v>2020</v>
      </c>
      <c r="EF2">
        <v>2020</v>
      </c>
      <c r="EG2">
        <v>2020</v>
      </c>
      <c r="EH2">
        <v>2020</v>
      </c>
      <c r="EI2">
        <v>2020</v>
      </c>
      <c r="EJ2">
        <v>2020</v>
      </c>
      <c r="EK2">
        <v>2020</v>
      </c>
      <c r="EL2">
        <v>2021</v>
      </c>
      <c r="EM2">
        <v>2021</v>
      </c>
      <c r="EN2">
        <v>2021</v>
      </c>
      <c r="EO2">
        <v>2021</v>
      </c>
      <c r="EP2">
        <v>2021</v>
      </c>
      <c r="EQ2">
        <v>2021</v>
      </c>
      <c r="ER2">
        <v>2021</v>
      </c>
      <c r="ES2">
        <v>2021</v>
      </c>
      <c r="ET2">
        <v>2021</v>
      </c>
      <c r="EU2">
        <v>2021</v>
      </c>
      <c r="EV2">
        <v>2021</v>
      </c>
      <c r="EW2">
        <v>2021</v>
      </c>
      <c r="EX2">
        <v>2022</v>
      </c>
      <c r="EY2">
        <v>2022</v>
      </c>
      <c r="EZ2">
        <v>2022</v>
      </c>
      <c r="FA2">
        <v>2022</v>
      </c>
      <c r="FB2">
        <v>2022</v>
      </c>
      <c r="FC2">
        <v>2022</v>
      </c>
      <c r="FD2">
        <v>2022</v>
      </c>
      <c r="FE2">
        <v>2022</v>
      </c>
      <c r="FF2">
        <v>2022</v>
      </c>
      <c r="FG2">
        <v>2022</v>
      </c>
      <c r="FH2">
        <v>2022</v>
      </c>
      <c r="FI2">
        <v>2022</v>
      </c>
      <c r="FJ2">
        <v>2023</v>
      </c>
      <c r="FK2">
        <v>2023</v>
      </c>
      <c r="FL2">
        <v>2023</v>
      </c>
      <c r="FM2">
        <v>2023</v>
      </c>
      <c r="FN2">
        <v>2023</v>
      </c>
      <c r="FO2">
        <v>2023</v>
      </c>
      <c r="FP2">
        <v>2023</v>
      </c>
      <c r="FQ2">
        <v>2023</v>
      </c>
      <c r="FR2">
        <v>2023</v>
      </c>
      <c r="FS2">
        <v>2023</v>
      </c>
      <c r="FT2">
        <v>2023</v>
      </c>
      <c r="FU2">
        <v>2023</v>
      </c>
      <c r="FV2">
        <v>2024</v>
      </c>
      <c r="FW2">
        <v>2024</v>
      </c>
      <c r="FX2">
        <v>2024</v>
      </c>
      <c r="FY2">
        <v>2024</v>
      </c>
      <c r="FZ2">
        <v>2024</v>
      </c>
      <c r="GA2">
        <v>2024</v>
      </c>
      <c r="GB2">
        <v>2024</v>
      </c>
      <c r="GC2">
        <v>2024</v>
      </c>
      <c r="GD2">
        <v>2024</v>
      </c>
      <c r="GE2">
        <v>2024</v>
      </c>
      <c r="GF2">
        <v>2024</v>
      </c>
      <c r="GG2">
        <v>2024</v>
      </c>
      <c r="GH2">
        <v>2025</v>
      </c>
      <c r="GI2">
        <v>2025</v>
      </c>
      <c r="GJ2">
        <v>2025</v>
      </c>
      <c r="GK2">
        <v>2025</v>
      </c>
      <c r="GL2">
        <v>2025</v>
      </c>
      <c r="GM2">
        <v>2025</v>
      </c>
      <c r="GN2">
        <v>2025</v>
      </c>
      <c r="GO2">
        <v>2025</v>
      </c>
      <c r="GP2">
        <v>2025</v>
      </c>
      <c r="GQ2">
        <v>2025</v>
      </c>
      <c r="GR2">
        <v>2025</v>
      </c>
      <c r="GS2">
        <v>2025</v>
      </c>
    </row>
    <row r="3" spans="2:201">
      <c r="BX3" s="88" t="s">
        <v>1835</v>
      </c>
      <c r="BY3" t="s">
        <v>1834</v>
      </c>
      <c r="BZ3" t="s">
        <v>1833</v>
      </c>
      <c r="CB3" s="127" t="str">
        <f t="shared" ref="CB3:CC8" si="2">BX3</f>
        <v>Student Classification</v>
      </c>
      <c r="CC3" s="127" t="str">
        <f t="shared" si="2"/>
        <v>Salary</v>
      </c>
      <c r="CD3" s="127" t="s">
        <v>60</v>
      </c>
      <c r="CF3" s="88" t="s">
        <v>1836</v>
      </c>
      <c r="CG3" t="s">
        <v>1837</v>
      </c>
      <c r="CI3" s="99" t="str">
        <f t="shared" ref="CI3:CI13" si="3">CF3</f>
        <v>Student</v>
      </c>
      <c r="CJ3" s="99" t="str">
        <f t="shared" ref="CJ3:CJ13" si="4">CG3</f>
        <v>Sum of For Frequency</v>
      </c>
      <c r="CM3" s="135">
        <f t="shared" ref="CM3:CM13" si="5">EOMONTH(CM2,1)</f>
        <v>45716</v>
      </c>
      <c r="CN3" s="90" t="s">
        <v>1838</v>
      </c>
      <c r="CO3" t="str">
        <f t="shared" si="0"/>
        <v/>
      </c>
      <c r="CP3" t="str">
        <f t="shared" si="1"/>
        <v/>
      </c>
      <c r="CU3">
        <v>2018</v>
      </c>
      <c r="CV3" t="s">
        <v>1832</v>
      </c>
      <c r="CW3" t="e">
        <v>#N/A</v>
      </c>
      <c r="CX3" t="e">
        <v>#N/A</v>
      </c>
      <c r="DB3" t="s">
        <v>1832</v>
      </c>
      <c r="DC3" t="s">
        <v>1838</v>
      </c>
      <c r="DD3" t="s">
        <v>1210</v>
      </c>
      <c r="DE3" t="s">
        <v>1839</v>
      </c>
      <c r="DF3" t="s">
        <v>1840</v>
      </c>
      <c r="DG3" t="s">
        <v>1841</v>
      </c>
      <c r="DH3" t="s">
        <v>1842</v>
      </c>
      <c r="DI3" t="s">
        <v>1843</v>
      </c>
      <c r="DJ3" t="s">
        <v>1844</v>
      </c>
      <c r="DK3" t="s">
        <v>1845</v>
      </c>
      <c r="DL3" t="s">
        <v>1846</v>
      </c>
      <c r="DM3" t="s">
        <v>1847</v>
      </c>
      <c r="DN3" t="s">
        <v>1832</v>
      </c>
      <c r="DO3" t="s">
        <v>1838</v>
      </c>
      <c r="DP3" t="s">
        <v>1210</v>
      </c>
      <c r="DQ3" t="s">
        <v>1839</v>
      </c>
      <c r="DR3" t="s">
        <v>1840</v>
      </c>
      <c r="DS3" t="s">
        <v>1841</v>
      </c>
      <c r="DT3" t="s">
        <v>1842</v>
      </c>
      <c r="DU3" t="s">
        <v>1843</v>
      </c>
      <c r="DV3" t="s">
        <v>1844</v>
      </c>
      <c r="DW3" t="s">
        <v>1845</v>
      </c>
      <c r="DX3" t="s">
        <v>1846</v>
      </c>
      <c r="DY3" t="s">
        <v>1847</v>
      </c>
      <c r="DZ3" t="s">
        <v>1832</v>
      </c>
      <c r="EA3" t="s">
        <v>1838</v>
      </c>
      <c r="EB3" t="s">
        <v>1210</v>
      </c>
      <c r="EC3" t="s">
        <v>1839</v>
      </c>
      <c r="ED3" t="s">
        <v>1840</v>
      </c>
      <c r="EE3" t="s">
        <v>1841</v>
      </c>
      <c r="EF3" t="s">
        <v>1842</v>
      </c>
      <c r="EG3" t="s">
        <v>1843</v>
      </c>
      <c r="EH3" t="s">
        <v>1844</v>
      </c>
      <c r="EI3" t="s">
        <v>1845</v>
      </c>
      <c r="EJ3" t="s">
        <v>1846</v>
      </c>
      <c r="EK3" t="s">
        <v>1847</v>
      </c>
      <c r="EL3" t="s">
        <v>1832</v>
      </c>
      <c r="EM3" t="s">
        <v>1838</v>
      </c>
      <c r="EN3" t="s">
        <v>1210</v>
      </c>
      <c r="EO3" t="s">
        <v>1839</v>
      </c>
      <c r="EP3" t="s">
        <v>1840</v>
      </c>
      <c r="EQ3" t="s">
        <v>1841</v>
      </c>
      <c r="ER3" t="s">
        <v>1842</v>
      </c>
      <c r="ES3" t="s">
        <v>1843</v>
      </c>
      <c r="ET3" t="s">
        <v>1844</v>
      </c>
      <c r="EU3" t="s">
        <v>1845</v>
      </c>
      <c r="EV3" t="s">
        <v>1846</v>
      </c>
      <c r="EW3" t="s">
        <v>1847</v>
      </c>
      <c r="EX3" t="s">
        <v>1832</v>
      </c>
      <c r="EY3" t="s">
        <v>1838</v>
      </c>
      <c r="EZ3" t="s">
        <v>1210</v>
      </c>
      <c r="FA3" t="s">
        <v>1839</v>
      </c>
      <c r="FB3" t="s">
        <v>1840</v>
      </c>
      <c r="FC3" t="s">
        <v>1841</v>
      </c>
      <c r="FD3" t="s">
        <v>1842</v>
      </c>
      <c r="FE3" t="s">
        <v>1843</v>
      </c>
      <c r="FF3" t="s">
        <v>1844</v>
      </c>
      <c r="FG3" t="s">
        <v>1845</v>
      </c>
      <c r="FH3" t="s">
        <v>1846</v>
      </c>
      <c r="FI3" t="s">
        <v>1847</v>
      </c>
      <c r="FJ3" t="s">
        <v>1832</v>
      </c>
      <c r="FK3" t="s">
        <v>1838</v>
      </c>
      <c r="FL3" t="s">
        <v>1210</v>
      </c>
      <c r="FM3" t="s">
        <v>1839</v>
      </c>
      <c r="FN3" t="s">
        <v>1840</v>
      </c>
      <c r="FO3" t="s">
        <v>1841</v>
      </c>
      <c r="FP3" t="s">
        <v>1842</v>
      </c>
      <c r="FQ3" t="s">
        <v>1843</v>
      </c>
      <c r="FR3" t="s">
        <v>1844</v>
      </c>
      <c r="FS3" t="s">
        <v>1845</v>
      </c>
      <c r="FT3" t="s">
        <v>1846</v>
      </c>
      <c r="FU3" t="s">
        <v>1847</v>
      </c>
      <c r="FV3" t="s">
        <v>1832</v>
      </c>
      <c r="FW3" t="s">
        <v>1838</v>
      </c>
      <c r="FX3" t="s">
        <v>1210</v>
      </c>
      <c r="FY3" t="s">
        <v>1839</v>
      </c>
      <c r="FZ3" t="s">
        <v>1840</v>
      </c>
      <c r="GA3" t="s">
        <v>1841</v>
      </c>
      <c r="GB3" t="s">
        <v>1842</v>
      </c>
      <c r="GC3" t="s">
        <v>1843</v>
      </c>
      <c r="GD3" t="s">
        <v>1844</v>
      </c>
      <c r="GE3" t="s">
        <v>1845</v>
      </c>
      <c r="GF3" t="s">
        <v>1846</v>
      </c>
      <c r="GG3" t="s">
        <v>1847</v>
      </c>
      <c r="GH3" t="s">
        <v>1832</v>
      </c>
      <c r="GI3" t="s">
        <v>1838</v>
      </c>
      <c r="GJ3" t="s">
        <v>1210</v>
      </c>
      <c r="GK3" t="s">
        <v>1839</v>
      </c>
      <c r="GL3" t="s">
        <v>1840</v>
      </c>
      <c r="GM3" t="s">
        <v>1841</v>
      </c>
      <c r="GN3" t="s">
        <v>1842</v>
      </c>
      <c r="GO3" t="s">
        <v>1843</v>
      </c>
      <c r="GP3" t="s">
        <v>1844</v>
      </c>
      <c r="GQ3" t="s">
        <v>1845</v>
      </c>
      <c r="GR3" t="s">
        <v>1846</v>
      </c>
      <c r="GS3" t="s">
        <v>1847</v>
      </c>
    </row>
    <row r="4" spans="2:201">
      <c r="B4" s="88" t="s">
        <v>1848</v>
      </c>
      <c r="C4" s="88" t="s">
        <v>1849</v>
      </c>
      <c r="H4" s="207"/>
      <c r="I4" s="208"/>
      <c r="J4" s="209"/>
      <c r="K4" s="90" t="str">
        <f t="shared" ref="K4:K16" si="6">IF(H4="","",H4)</f>
        <v/>
      </c>
      <c r="L4" s="90" t="str">
        <f t="shared" ref="L4:L16" si="7">IF(I4="","",I4)</f>
        <v/>
      </c>
      <c r="O4" s="88" t="s">
        <v>1849</v>
      </c>
      <c r="T4" s="90" t="str">
        <f t="shared" ref="T4:T16" si="8">IF(N5="","",N5)</f>
        <v/>
      </c>
      <c r="U4" s="90" t="s">
        <v>110</v>
      </c>
      <c r="V4" s="90" t="s">
        <v>117</v>
      </c>
      <c r="X4" s="90" t="s">
        <v>43</v>
      </c>
      <c r="Y4" s="90" t="s">
        <v>1850</v>
      </c>
      <c r="Z4" s="90" t="s">
        <v>1851</v>
      </c>
      <c r="AA4" s="90" t="s">
        <v>1852</v>
      </c>
      <c r="AC4" s="88" t="s">
        <v>9</v>
      </c>
      <c r="AD4" t="s">
        <v>1853</v>
      </c>
      <c r="AE4" t="s">
        <v>1854</v>
      </c>
      <c r="AG4" t="s">
        <v>9</v>
      </c>
      <c r="AH4" t="s">
        <v>58</v>
      </c>
      <c r="AI4" t="s">
        <v>1833</v>
      </c>
      <c r="AJ4" t="s">
        <v>60</v>
      </c>
      <c r="AK4" t="s">
        <v>1855</v>
      </c>
      <c r="AM4" s="99" t="s">
        <v>1833</v>
      </c>
      <c r="AN4" s="99">
        <f>SUM(AI5:AI28)</f>
        <v>0</v>
      </c>
      <c r="AP4" s="88" t="s">
        <v>1856</v>
      </c>
      <c r="AQ4" t="s">
        <v>1854</v>
      </c>
      <c r="AR4" t="s">
        <v>1857</v>
      </c>
      <c r="AT4" s="99" t="str">
        <f>IF(AP4="","",AP4)</f>
        <v>Lesson Type</v>
      </c>
      <c r="AU4" s="99" t="s">
        <v>1858</v>
      </c>
      <c r="AV4" s="151" t="s">
        <v>58</v>
      </c>
      <c r="AW4" s="99" t="s">
        <v>60</v>
      </c>
      <c r="AY4" s="88" t="s">
        <v>1859</v>
      </c>
      <c r="AZ4" s="88" t="s">
        <v>1849</v>
      </c>
      <c r="BE4" s="88" t="s">
        <v>43</v>
      </c>
      <c r="BF4" t="s">
        <v>1860</v>
      </c>
      <c r="BJ4" s="127"/>
      <c r="BK4" s="127" t="s">
        <v>1832</v>
      </c>
      <c r="BL4" s="127" t="s">
        <v>1838</v>
      </c>
      <c r="BM4" s="127" t="s">
        <v>1210</v>
      </c>
      <c r="BN4" s="127" t="s">
        <v>1839</v>
      </c>
      <c r="BO4" s="127" t="s">
        <v>1840</v>
      </c>
      <c r="BP4" s="127" t="s">
        <v>1841</v>
      </c>
      <c r="BQ4" s="127" t="s">
        <v>1842</v>
      </c>
      <c r="BR4" s="127" t="s">
        <v>1843</v>
      </c>
      <c r="BS4" s="127" t="s">
        <v>1844</v>
      </c>
      <c r="BT4" s="127" t="s">
        <v>1845</v>
      </c>
      <c r="BU4" s="127" t="s">
        <v>1846</v>
      </c>
      <c r="BV4" s="127" t="s">
        <v>1847</v>
      </c>
      <c r="BX4" s="78" t="s">
        <v>197</v>
      </c>
      <c r="BY4">
        <v>0</v>
      </c>
      <c r="BZ4">
        <v>0</v>
      </c>
      <c r="CB4" s="127" t="str">
        <f t="shared" si="2"/>
        <v>Adult</v>
      </c>
      <c r="CC4" s="127">
        <f t="shared" si="2"/>
        <v>0</v>
      </c>
      <c r="CD4" s="127">
        <f>BZ4-BY4</f>
        <v>0</v>
      </c>
      <c r="CF4" s="78" t="s">
        <v>1861</v>
      </c>
      <c r="CG4">
        <v>0</v>
      </c>
      <c r="CH4">
        <v>1</v>
      </c>
      <c r="CI4" s="99" t="str">
        <f t="shared" si="3"/>
        <v>Kaede Watanabe</v>
      </c>
      <c r="CJ4" s="99">
        <f t="shared" si="4"/>
        <v>0</v>
      </c>
      <c r="CM4" s="135">
        <f t="shared" si="5"/>
        <v>45747</v>
      </c>
      <c r="CN4" s="90" t="s">
        <v>1210</v>
      </c>
      <c r="CO4" t="str">
        <f t="shared" si="0"/>
        <v/>
      </c>
      <c r="CP4" t="str">
        <f t="shared" si="1"/>
        <v/>
      </c>
      <c r="CU4">
        <v>2023</v>
      </c>
      <c r="CV4" t="s">
        <v>1839</v>
      </c>
      <c r="CW4" t="e">
        <v>#N/A</v>
      </c>
      <c r="CX4" t="e">
        <v>#N/A</v>
      </c>
      <c r="DA4" t="s">
        <v>1833</v>
      </c>
      <c r="DB4" t="e">
        <f t="shared" ref="DB4:EG4" si="9">SUMIFS($CW:$CW,$CV:$CV,DB3,$CU:$CU,DB2)</f>
        <v>#N/A</v>
      </c>
      <c r="DC4">
        <f t="shared" si="9"/>
        <v>0</v>
      </c>
      <c r="DD4">
        <f t="shared" si="9"/>
        <v>0</v>
      </c>
      <c r="DE4">
        <f t="shared" si="9"/>
        <v>0</v>
      </c>
      <c r="DF4">
        <f t="shared" si="9"/>
        <v>0</v>
      </c>
      <c r="DG4">
        <f t="shared" si="9"/>
        <v>0</v>
      </c>
      <c r="DH4">
        <f t="shared" si="9"/>
        <v>0</v>
      </c>
      <c r="DI4">
        <f t="shared" si="9"/>
        <v>0</v>
      </c>
      <c r="DJ4">
        <f t="shared" si="9"/>
        <v>0</v>
      </c>
      <c r="DK4">
        <f t="shared" si="9"/>
        <v>0</v>
      </c>
      <c r="DL4">
        <f t="shared" si="9"/>
        <v>0</v>
      </c>
      <c r="DM4">
        <f t="shared" si="9"/>
        <v>0</v>
      </c>
      <c r="DN4">
        <f t="shared" si="9"/>
        <v>0</v>
      </c>
      <c r="DO4">
        <f t="shared" si="9"/>
        <v>0</v>
      </c>
      <c r="DP4">
        <f t="shared" si="9"/>
        <v>0</v>
      </c>
      <c r="DQ4">
        <f t="shared" si="9"/>
        <v>0</v>
      </c>
      <c r="DR4">
        <f t="shared" si="9"/>
        <v>0</v>
      </c>
      <c r="DS4">
        <f t="shared" si="9"/>
        <v>0</v>
      </c>
      <c r="DT4">
        <f t="shared" si="9"/>
        <v>0</v>
      </c>
      <c r="DU4">
        <f t="shared" si="9"/>
        <v>0</v>
      </c>
      <c r="DV4">
        <f t="shared" si="9"/>
        <v>0</v>
      </c>
      <c r="DW4">
        <f t="shared" si="9"/>
        <v>0</v>
      </c>
      <c r="DX4">
        <f t="shared" si="9"/>
        <v>0</v>
      </c>
      <c r="DY4">
        <f t="shared" si="9"/>
        <v>0</v>
      </c>
      <c r="DZ4">
        <f t="shared" si="9"/>
        <v>0</v>
      </c>
      <c r="EA4">
        <f t="shared" si="9"/>
        <v>0</v>
      </c>
      <c r="EB4">
        <f t="shared" si="9"/>
        <v>0</v>
      </c>
      <c r="EC4">
        <f t="shared" si="9"/>
        <v>0</v>
      </c>
      <c r="ED4">
        <f t="shared" si="9"/>
        <v>0</v>
      </c>
      <c r="EE4">
        <f t="shared" si="9"/>
        <v>0</v>
      </c>
      <c r="EF4">
        <f t="shared" si="9"/>
        <v>0</v>
      </c>
      <c r="EG4">
        <f t="shared" si="9"/>
        <v>0</v>
      </c>
      <c r="EH4">
        <f t="shared" ref="EH4:FM4" si="10">SUMIFS($CW:$CW,$CV:$CV,EH3,$CU:$CU,EH2)</f>
        <v>0</v>
      </c>
      <c r="EI4">
        <f t="shared" si="10"/>
        <v>0</v>
      </c>
      <c r="EJ4">
        <f t="shared" si="10"/>
        <v>0</v>
      </c>
      <c r="EK4">
        <f t="shared" si="10"/>
        <v>0</v>
      </c>
      <c r="EL4">
        <f t="shared" si="10"/>
        <v>0</v>
      </c>
      <c r="EM4">
        <f t="shared" si="10"/>
        <v>0</v>
      </c>
      <c r="EN4">
        <f t="shared" si="10"/>
        <v>0</v>
      </c>
      <c r="EO4">
        <f t="shared" si="10"/>
        <v>0</v>
      </c>
      <c r="EP4">
        <f t="shared" si="10"/>
        <v>0</v>
      </c>
      <c r="EQ4">
        <f t="shared" si="10"/>
        <v>0</v>
      </c>
      <c r="ER4">
        <f t="shared" si="10"/>
        <v>0</v>
      </c>
      <c r="ES4">
        <f t="shared" si="10"/>
        <v>0</v>
      </c>
      <c r="ET4">
        <f t="shared" si="10"/>
        <v>0</v>
      </c>
      <c r="EU4">
        <f t="shared" si="10"/>
        <v>0</v>
      </c>
      <c r="EV4">
        <f t="shared" si="10"/>
        <v>0</v>
      </c>
      <c r="EW4">
        <f t="shared" si="10"/>
        <v>0</v>
      </c>
      <c r="EX4">
        <f t="shared" si="10"/>
        <v>0</v>
      </c>
      <c r="EY4">
        <f t="shared" si="10"/>
        <v>0</v>
      </c>
      <c r="EZ4">
        <f t="shared" si="10"/>
        <v>0</v>
      </c>
      <c r="FA4">
        <f t="shared" si="10"/>
        <v>0</v>
      </c>
      <c r="FB4">
        <f t="shared" si="10"/>
        <v>0</v>
      </c>
      <c r="FC4">
        <f t="shared" si="10"/>
        <v>0</v>
      </c>
      <c r="FD4">
        <f t="shared" si="10"/>
        <v>0</v>
      </c>
      <c r="FE4">
        <f t="shared" si="10"/>
        <v>0</v>
      </c>
      <c r="FF4">
        <f t="shared" si="10"/>
        <v>0</v>
      </c>
      <c r="FG4">
        <f t="shared" si="10"/>
        <v>0</v>
      </c>
      <c r="FH4">
        <f t="shared" si="10"/>
        <v>0</v>
      </c>
      <c r="FI4">
        <f t="shared" si="10"/>
        <v>0</v>
      </c>
      <c r="FJ4">
        <f t="shared" si="10"/>
        <v>0</v>
      </c>
      <c r="FK4">
        <f t="shared" si="10"/>
        <v>0</v>
      </c>
      <c r="FL4">
        <f t="shared" si="10"/>
        <v>0</v>
      </c>
      <c r="FM4" t="e">
        <f t="shared" si="10"/>
        <v>#N/A</v>
      </c>
      <c r="FN4">
        <f t="shared" ref="FN4:GS4" si="11">SUMIFS($CW:$CW,$CV:$CV,FN3,$CU:$CU,FN2)</f>
        <v>0</v>
      </c>
      <c r="FO4">
        <f t="shared" si="11"/>
        <v>0</v>
      </c>
      <c r="FP4">
        <f t="shared" si="11"/>
        <v>0</v>
      </c>
      <c r="FQ4">
        <f t="shared" si="11"/>
        <v>0</v>
      </c>
      <c r="FR4">
        <f t="shared" si="11"/>
        <v>0</v>
      </c>
      <c r="FS4">
        <f t="shared" si="11"/>
        <v>0</v>
      </c>
      <c r="FT4">
        <f t="shared" si="11"/>
        <v>0</v>
      </c>
      <c r="FU4">
        <f t="shared" si="11"/>
        <v>0</v>
      </c>
      <c r="FV4" t="e">
        <f t="shared" si="11"/>
        <v>#N/A</v>
      </c>
      <c r="FW4">
        <f t="shared" si="11"/>
        <v>0</v>
      </c>
      <c r="FX4">
        <f t="shared" si="11"/>
        <v>0</v>
      </c>
      <c r="FY4" t="e">
        <f t="shared" si="11"/>
        <v>#N/A</v>
      </c>
      <c r="FZ4">
        <f t="shared" si="11"/>
        <v>0</v>
      </c>
      <c r="GA4" t="e">
        <f t="shared" si="11"/>
        <v>#N/A</v>
      </c>
      <c r="GB4" t="e">
        <f t="shared" si="11"/>
        <v>#N/A</v>
      </c>
      <c r="GC4">
        <f t="shared" si="11"/>
        <v>0</v>
      </c>
      <c r="GD4" t="e">
        <f t="shared" si="11"/>
        <v>#N/A</v>
      </c>
      <c r="GE4" t="e">
        <f t="shared" si="11"/>
        <v>#N/A</v>
      </c>
      <c r="GF4">
        <f t="shared" si="11"/>
        <v>0</v>
      </c>
      <c r="GG4">
        <f t="shared" si="11"/>
        <v>0</v>
      </c>
      <c r="GH4" t="e">
        <f t="shared" si="11"/>
        <v>#N/A</v>
      </c>
      <c r="GI4" t="e">
        <f t="shared" si="11"/>
        <v>#N/A</v>
      </c>
      <c r="GJ4">
        <f t="shared" si="11"/>
        <v>0</v>
      </c>
      <c r="GK4" t="e">
        <f t="shared" si="11"/>
        <v>#N/A</v>
      </c>
      <c r="GL4" t="e">
        <f t="shared" si="11"/>
        <v>#N/A</v>
      </c>
      <c r="GM4">
        <f t="shared" si="11"/>
        <v>0</v>
      </c>
      <c r="GN4">
        <f t="shared" si="11"/>
        <v>0</v>
      </c>
      <c r="GO4">
        <f t="shared" si="11"/>
        <v>0</v>
      </c>
      <c r="GP4">
        <f t="shared" si="11"/>
        <v>0</v>
      </c>
      <c r="GQ4">
        <f t="shared" si="11"/>
        <v>0</v>
      </c>
      <c r="GR4">
        <f t="shared" si="11"/>
        <v>0</v>
      </c>
      <c r="GS4">
        <f t="shared" si="11"/>
        <v>0</v>
      </c>
    </row>
    <row r="5" spans="2:201">
      <c r="B5" s="88" t="s">
        <v>1862</v>
      </c>
      <c r="D5" t="s">
        <v>1863</v>
      </c>
      <c r="E5" t="s">
        <v>1864</v>
      </c>
      <c r="H5" s="210"/>
      <c r="I5" s="211"/>
      <c r="J5" s="212"/>
      <c r="K5" s="90" t="str">
        <f t="shared" si="6"/>
        <v/>
      </c>
      <c r="L5" s="90" t="str">
        <f t="shared" si="7"/>
        <v/>
      </c>
      <c r="P5" t="s">
        <v>117</v>
      </c>
      <c r="Q5" t="s">
        <v>110</v>
      </c>
      <c r="S5" t="str">
        <f t="shared" ref="S5:S16" si="12">CO2</f>
        <v/>
      </c>
      <c r="T5" s="90" t="str">
        <f t="shared" si="8"/>
        <v>Count of Stop</v>
      </c>
      <c r="U5" s="90">
        <f t="shared" ref="U5:U16" si="13">IFERROR(SUMIFS(INDEX($O$6:$Q$16,0,MATCH($U$4,$O$5:$Q$5,0)),$N$6:$N$16,T5),0)</f>
        <v>1</v>
      </c>
      <c r="V5" s="90">
        <f t="shared" ref="V5:V16" si="14">IFERROR(SUMIFS(INDEX($O$6:$Q$16,0,MATCH($V$4,$O$5:$Q$5,0)),$N$6:$N$16,T5),0)</f>
        <v>1</v>
      </c>
      <c r="X5" s="90" t="s">
        <v>1832</v>
      </c>
      <c r="Y5" s="90" t="str">
        <f t="shared" ref="Y5:Y16" si="15">IFERROR(VLOOKUP(X5,$K$4:$L$16,2,FALSE),"")</f>
        <v/>
      </c>
      <c r="Z5" s="90" t="str">
        <f t="shared" ref="Z5:Z16" si="16">IFERROR(VLOOKUP(X5,$T$4:$V$16,2,FALSE),"")</f>
        <v/>
      </c>
      <c r="AA5" s="90" t="str">
        <f t="shared" ref="AA5:AA16" si="17">IF(AND(Y5="", Z5&lt;&gt;""), -Z5, IF(Y5="", "", Y5 - IF(Z5="", 0, Z5)))</f>
        <v/>
      </c>
      <c r="AC5" s="78" t="s">
        <v>109</v>
      </c>
      <c r="AD5" t="e">
        <v>#N/A</v>
      </c>
      <c r="AE5" t="e">
        <v>#N/A</v>
      </c>
      <c r="AG5" t="s">
        <v>109</v>
      </c>
      <c r="AH5">
        <f>IF(AC5:AC10=AG5,210000,0)</f>
        <v>210000</v>
      </c>
      <c r="AI5">
        <f>IFERROR(VLOOKUP(AG5,$AC$4:$AE$8,3,FALSE),0)</f>
        <v>0</v>
      </c>
      <c r="AJ5">
        <f>IFERROR(AI5-AH5,"")</f>
        <v>-210000</v>
      </c>
      <c r="AK5" s="89">
        <f>IFERROR(AJ5/AH5,"")</f>
        <v>-1</v>
      </c>
      <c r="AL5" s="89"/>
      <c r="AM5" s="102" t="s">
        <v>60</v>
      </c>
      <c r="AN5" s="103">
        <f>AN4-AN7</f>
        <v>-210000</v>
      </c>
      <c r="AP5" s="78"/>
      <c r="AR5">
        <v>0</v>
      </c>
      <c r="AT5" s="99" t="s">
        <v>110</v>
      </c>
      <c r="AU5" s="99">
        <f>IFERROR(VLOOKUP(AT5,$AP$4:$AR$29,2,FALSE),0)</f>
        <v>0</v>
      </c>
      <c r="AV5" s="99">
        <f>IFERROR(VLOOKUP(AT5,$AP$4:$AR$29,3,FALSE),0)</f>
        <v>0</v>
      </c>
      <c r="AW5" s="99" t="str">
        <f>IF(AV5=0,"",AU5-AV5)</f>
        <v/>
      </c>
      <c r="AY5" s="88" t="s">
        <v>1856</v>
      </c>
      <c r="BA5" t="s">
        <v>1863</v>
      </c>
      <c r="BB5" t="s">
        <v>1864</v>
      </c>
      <c r="BE5" s="78" t="s">
        <v>1840</v>
      </c>
      <c r="BF5">
        <v>1</v>
      </c>
      <c r="BH5" s="95" t="s">
        <v>1865</v>
      </c>
      <c r="BJ5" s="127" t="s">
        <v>1833</v>
      </c>
      <c r="BK5" s="127" t="e">
        <f t="shared" ref="BK5:BV5" si="18">DB9</f>
        <v>#N/A</v>
      </c>
      <c r="BL5" s="127" t="e">
        <f t="shared" si="18"/>
        <v>#N/A</v>
      </c>
      <c r="BM5" s="127">
        <f t="shared" si="18"/>
        <v>0</v>
      </c>
      <c r="BN5" s="127" t="e">
        <f t="shared" si="18"/>
        <v>#N/A</v>
      </c>
      <c r="BO5" s="127" t="e">
        <f t="shared" si="18"/>
        <v>#N/A</v>
      </c>
      <c r="BP5" s="127" t="e">
        <f t="shared" si="18"/>
        <v>#N/A</v>
      </c>
      <c r="BQ5" s="127" t="e">
        <f t="shared" si="18"/>
        <v>#N/A</v>
      </c>
      <c r="BR5" s="127">
        <f t="shared" si="18"/>
        <v>0</v>
      </c>
      <c r="BS5" s="127" t="e">
        <f t="shared" si="18"/>
        <v>#N/A</v>
      </c>
      <c r="BT5" s="127" t="e">
        <f t="shared" si="18"/>
        <v>#N/A</v>
      </c>
      <c r="BU5" s="127">
        <f t="shared" si="18"/>
        <v>0</v>
      </c>
      <c r="BV5" s="127">
        <f t="shared" si="18"/>
        <v>0</v>
      </c>
      <c r="BX5" s="78" t="s">
        <v>111</v>
      </c>
      <c r="BY5">
        <v>0</v>
      </c>
      <c r="BZ5">
        <v>0</v>
      </c>
      <c r="CB5" s="127" t="str">
        <f t="shared" si="2"/>
        <v>Baby</v>
      </c>
      <c r="CC5" s="127">
        <f t="shared" si="2"/>
        <v>0</v>
      </c>
      <c r="CD5" s="127">
        <f>BZ5-BY5</f>
        <v>0</v>
      </c>
      <c r="CF5" s="78"/>
      <c r="CH5">
        <f t="shared" ref="CH5:CH13" si="19">CH4+1</f>
        <v>2</v>
      </c>
      <c r="CI5" s="99">
        <f t="shared" si="3"/>
        <v>0</v>
      </c>
      <c r="CJ5" s="99">
        <f t="shared" si="4"/>
        <v>0</v>
      </c>
      <c r="CM5" s="135">
        <f t="shared" si="5"/>
        <v>45777</v>
      </c>
      <c r="CN5" s="90" t="s">
        <v>1839</v>
      </c>
      <c r="CO5" t="str">
        <f t="shared" si="0"/>
        <v/>
      </c>
      <c r="CP5" t="str">
        <f t="shared" si="1"/>
        <v/>
      </c>
      <c r="CU5">
        <v>2024</v>
      </c>
      <c r="CV5" t="s">
        <v>1832</v>
      </c>
      <c r="CW5" t="e">
        <v>#N/A</v>
      </c>
      <c r="CX5" t="e">
        <v>#N/A</v>
      </c>
      <c r="DA5" t="s">
        <v>1834</v>
      </c>
      <c r="DB5" t="e">
        <f t="shared" ref="DB5:EG5" si="20">SUMIFS($CX:$CX,$CV:$CV,DB3,$CU:$CU,DB2)</f>
        <v>#N/A</v>
      </c>
      <c r="DC5">
        <f t="shared" si="20"/>
        <v>0</v>
      </c>
      <c r="DD5">
        <f t="shared" si="20"/>
        <v>0</v>
      </c>
      <c r="DE5">
        <f t="shared" si="20"/>
        <v>0</v>
      </c>
      <c r="DF5">
        <f t="shared" si="20"/>
        <v>0</v>
      </c>
      <c r="DG5">
        <f t="shared" si="20"/>
        <v>0</v>
      </c>
      <c r="DH5">
        <f t="shared" si="20"/>
        <v>0</v>
      </c>
      <c r="DI5">
        <f t="shared" si="20"/>
        <v>0</v>
      </c>
      <c r="DJ5">
        <f t="shared" si="20"/>
        <v>0</v>
      </c>
      <c r="DK5">
        <f t="shared" si="20"/>
        <v>0</v>
      </c>
      <c r="DL5">
        <f t="shared" si="20"/>
        <v>0</v>
      </c>
      <c r="DM5">
        <f t="shared" si="20"/>
        <v>0</v>
      </c>
      <c r="DN5">
        <f t="shared" si="20"/>
        <v>0</v>
      </c>
      <c r="DO5">
        <f t="shared" si="20"/>
        <v>0</v>
      </c>
      <c r="DP5">
        <f t="shared" si="20"/>
        <v>0</v>
      </c>
      <c r="DQ5">
        <f t="shared" si="20"/>
        <v>0</v>
      </c>
      <c r="DR5">
        <f t="shared" si="20"/>
        <v>0</v>
      </c>
      <c r="DS5">
        <f t="shared" si="20"/>
        <v>0</v>
      </c>
      <c r="DT5">
        <f t="shared" si="20"/>
        <v>0</v>
      </c>
      <c r="DU5">
        <f t="shared" si="20"/>
        <v>0</v>
      </c>
      <c r="DV5">
        <f t="shared" si="20"/>
        <v>0</v>
      </c>
      <c r="DW5">
        <f t="shared" si="20"/>
        <v>0</v>
      </c>
      <c r="DX5">
        <f t="shared" si="20"/>
        <v>0</v>
      </c>
      <c r="DY5">
        <f t="shared" si="20"/>
        <v>0</v>
      </c>
      <c r="DZ5">
        <f t="shared" si="20"/>
        <v>0</v>
      </c>
      <c r="EA5">
        <f t="shared" si="20"/>
        <v>0</v>
      </c>
      <c r="EB5">
        <f t="shared" si="20"/>
        <v>0</v>
      </c>
      <c r="EC5">
        <f t="shared" si="20"/>
        <v>0</v>
      </c>
      <c r="ED5">
        <f t="shared" si="20"/>
        <v>0</v>
      </c>
      <c r="EE5">
        <f t="shared" si="20"/>
        <v>0</v>
      </c>
      <c r="EF5">
        <f t="shared" si="20"/>
        <v>0</v>
      </c>
      <c r="EG5">
        <f t="shared" si="20"/>
        <v>0</v>
      </c>
      <c r="EH5">
        <f t="shared" ref="EH5:FM5" si="21">SUMIFS($CX:$CX,$CV:$CV,EH3,$CU:$CU,EH2)</f>
        <v>0</v>
      </c>
      <c r="EI5">
        <f t="shared" si="21"/>
        <v>0</v>
      </c>
      <c r="EJ5">
        <f t="shared" si="21"/>
        <v>0</v>
      </c>
      <c r="EK5">
        <f t="shared" si="21"/>
        <v>0</v>
      </c>
      <c r="EL5">
        <f t="shared" si="21"/>
        <v>0</v>
      </c>
      <c r="EM5">
        <f t="shared" si="21"/>
        <v>0</v>
      </c>
      <c r="EN5">
        <f t="shared" si="21"/>
        <v>0</v>
      </c>
      <c r="EO5">
        <f t="shared" si="21"/>
        <v>0</v>
      </c>
      <c r="EP5">
        <f t="shared" si="21"/>
        <v>0</v>
      </c>
      <c r="EQ5">
        <f t="shared" si="21"/>
        <v>0</v>
      </c>
      <c r="ER5">
        <f t="shared" si="21"/>
        <v>0</v>
      </c>
      <c r="ES5">
        <f t="shared" si="21"/>
        <v>0</v>
      </c>
      <c r="ET5">
        <f t="shared" si="21"/>
        <v>0</v>
      </c>
      <c r="EU5">
        <f t="shared" si="21"/>
        <v>0</v>
      </c>
      <c r="EV5">
        <f t="shared" si="21"/>
        <v>0</v>
      </c>
      <c r="EW5">
        <f t="shared" si="21"/>
        <v>0</v>
      </c>
      <c r="EX5">
        <f t="shared" si="21"/>
        <v>0</v>
      </c>
      <c r="EY5">
        <f t="shared" si="21"/>
        <v>0</v>
      </c>
      <c r="EZ5">
        <f t="shared" si="21"/>
        <v>0</v>
      </c>
      <c r="FA5">
        <f t="shared" si="21"/>
        <v>0</v>
      </c>
      <c r="FB5">
        <f t="shared" si="21"/>
        <v>0</v>
      </c>
      <c r="FC5">
        <f t="shared" si="21"/>
        <v>0</v>
      </c>
      <c r="FD5">
        <f t="shared" si="21"/>
        <v>0</v>
      </c>
      <c r="FE5">
        <f t="shared" si="21"/>
        <v>0</v>
      </c>
      <c r="FF5">
        <f t="shared" si="21"/>
        <v>0</v>
      </c>
      <c r="FG5">
        <f t="shared" si="21"/>
        <v>0</v>
      </c>
      <c r="FH5">
        <f t="shared" si="21"/>
        <v>0</v>
      </c>
      <c r="FI5">
        <f t="shared" si="21"/>
        <v>0</v>
      </c>
      <c r="FJ5">
        <f t="shared" si="21"/>
        <v>0</v>
      </c>
      <c r="FK5">
        <f t="shared" si="21"/>
        <v>0</v>
      </c>
      <c r="FL5">
        <f t="shared" si="21"/>
        <v>0</v>
      </c>
      <c r="FM5" t="e">
        <f t="shared" si="21"/>
        <v>#N/A</v>
      </c>
      <c r="FN5">
        <f t="shared" ref="FN5:GS5" si="22">SUMIFS($CX:$CX,$CV:$CV,FN3,$CU:$CU,FN2)</f>
        <v>0</v>
      </c>
      <c r="FO5">
        <f t="shared" si="22"/>
        <v>0</v>
      </c>
      <c r="FP5">
        <f t="shared" si="22"/>
        <v>0</v>
      </c>
      <c r="FQ5">
        <f t="shared" si="22"/>
        <v>0</v>
      </c>
      <c r="FR5">
        <f t="shared" si="22"/>
        <v>0</v>
      </c>
      <c r="FS5">
        <f t="shared" si="22"/>
        <v>0</v>
      </c>
      <c r="FT5">
        <f t="shared" si="22"/>
        <v>0</v>
      </c>
      <c r="FU5">
        <f t="shared" si="22"/>
        <v>0</v>
      </c>
      <c r="FV5" t="e">
        <f t="shared" si="22"/>
        <v>#N/A</v>
      </c>
      <c r="FW5">
        <f t="shared" si="22"/>
        <v>0</v>
      </c>
      <c r="FX5">
        <f t="shared" si="22"/>
        <v>0</v>
      </c>
      <c r="FY5" t="e">
        <f t="shared" si="22"/>
        <v>#N/A</v>
      </c>
      <c r="FZ5">
        <f t="shared" si="22"/>
        <v>0</v>
      </c>
      <c r="GA5" t="e">
        <f t="shared" si="22"/>
        <v>#N/A</v>
      </c>
      <c r="GB5" t="e">
        <f t="shared" si="22"/>
        <v>#N/A</v>
      </c>
      <c r="GC5">
        <f t="shared" si="22"/>
        <v>0</v>
      </c>
      <c r="GD5" t="e">
        <f t="shared" si="22"/>
        <v>#N/A</v>
      </c>
      <c r="GE5" t="e">
        <f t="shared" si="22"/>
        <v>#N/A</v>
      </c>
      <c r="GF5">
        <f t="shared" si="22"/>
        <v>0</v>
      </c>
      <c r="GG5">
        <f t="shared" si="22"/>
        <v>0</v>
      </c>
      <c r="GH5" t="e">
        <f t="shared" si="22"/>
        <v>#N/A</v>
      </c>
      <c r="GI5" t="e">
        <f t="shared" si="22"/>
        <v>#N/A</v>
      </c>
      <c r="GJ5">
        <f t="shared" si="22"/>
        <v>0</v>
      </c>
      <c r="GK5" t="e">
        <f t="shared" si="22"/>
        <v>#N/A</v>
      </c>
      <c r="GL5" t="e">
        <f t="shared" si="22"/>
        <v>#N/A</v>
      </c>
      <c r="GM5">
        <f t="shared" si="22"/>
        <v>0</v>
      </c>
      <c r="GN5">
        <f t="shared" si="22"/>
        <v>0</v>
      </c>
      <c r="GO5">
        <f t="shared" si="22"/>
        <v>0</v>
      </c>
      <c r="GP5">
        <f t="shared" si="22"/>
        <v>0</v>
      </c>
      <c r="GQ5">
        <f t="shared" si="22"/>
        <v>0</v>
      </c>
      <c r="GR5">
        <f t="shared" si="22"/>
        <v>0</v>
      </c>
      <c r="GS5">
        <f t="shared" si="22"/>
        <v>0</v>
      </c>
    </row>
    <row r="6" spans="2:201">
      <c r="B6" s="78" t="s">
        <v>103</v>
      </c>
      <c r="C6">
        <v>2</v>
      </c>
      <c r="D6">
        <v>31</v>
      </c>
      <c r="E6">
        <v>1</v>
      </c>
      <c r="H6" s="210"/>
      <c r="I6" s="211"/>
      <c r="J6" s="212"/>
      <c r="K6" s="90" t="str">
        <f t="shared" si="6"/>
        <v/>
      </c>
      <c r="L6" s="90" t="str">
        <f t="shared" si="7"/>
        <v/>
      </c>
      <c r="N6" t="s">
        <v>1866</v>
      </c>
      <c r="O6">
        <v>1</v>
      </c>
      <c r="P6">
        <v>1</v>
      </c>
      <c r="Q6">
        <v>1</v>
      </c>
      <c r="S6" t="str">
        <f t="shared" si="12"/>
        <v/>
      </c>
      <c r="T6" s="90" t="str">
        <f t="shared" si="8"/>
        <v/>
      </c>
      <c r="U6" s="90">
        <f t="shared" si="13"/>
        <v>0</v>
      </c>
      <c r="V6" s="90">
        <f t="shared" si="14"/>
        <v>0</v>
      </c>
      <c r="X6" s="90" t="s">
        <v>1838</v>
      </c>
      <c r="Y6" s="90" t="str">
        <f t="shared" si="15"/>
        <v/>
      </c>
      <c r="Z6" s="90" t="str">
        <f t="shared" si="16"/>
        <v/>
      </c>
      <c r="AA6" s="90" t="str">
        <f t="shared" si="17"/>
        <v/>
      </c>
      <c r="AG6" t="s">
        <v>553</v>
      </c>
      <c r="AH6">
        <f>IFERROR(VLOOKUP(AG6,$AC$4:$AE$8,2,FALSE),0)</f>
        <v>0</v>
      </c>
      <c r="AI6">
        <f>IFERROR(VLOOKUP(AG6,$AC$4:$AE$8,3,FALSE),0)</f>
        <v>0</v>
      </c>
      <c r="AJ6">
        <f>IFERROR(AI6-AH6,"")</f>
        <v>0</v>
      </c>
      <c r="AK6" s="89" t="str">
        <f>IFERROR(AJ6/AH6,"")</f>
        <v/>
      </c>
      <c r="AL6" s="89"/>
      <c r="AM6" s="102" t="s">
        <v>1855</v>
      </c>
      <c r="AN6" s="102">
        <f>AN5/SUM(AH5:AH23)</f>
        <v>-1</v>
      </c>
      <c r="AP6" s="78" t="s">
        <v>117</v>
      </c>
      <c r="AQ6" t="e">
        <v>#N/A</v>
      </c>
      <c r="AR6">
        <v>0</v>
      </c>
      <c r="AT6" s="99" t="s">
        <v>117</v>
      </c>
      <c r="AU6" s="99">
        <f>IFERROR(VLOOKUP(AT6,$AP$4:$AR$29,2,FALSE),0)</f>
        <v>0</v>
      </c>
      <c r="AV6" s="99">
        <f>IFERROR(VLOOKUP(AT6,$AP$4:$AR$29,3,FALSE),0)</f>
        <v>0</v>
      </c>
      <c r="AW6" s="99" t="str">
        <f>IF(AV6=0,"",AU6-AV6)</f>
        <v/>
      </c>
      <c r="AY6" s="78"/>
      <c r="BH6" s="95">
        <f>SUM(BF5:BF54)</f>
        <v>1</v>
      </c>
      <c r="BJ6" s="127" t="s">
        <v>60</v>
      </c>
      <c r="BK6" s="127" t="e">
        <f t="shared" ref="BK6:BV6" si="23">BK5-BK7</f>
        <v>#N/A</v>
      </c>
      <c r="BL6" s="127" t="e">
        <f t="shared" si="23"/>
        <v>#N/A</v>
      </c>
      <c r="BM6" s="127">
        <f t="shared" si="23"/>
        <v>0</v>
      </c>
      <c r="BN6" s="127" t="e">
        <f t="shared" si="23"/>
        <v>#N/A</v>
      </c>
      <c r="BO6" s="127" t="e">
        <f t="shared" si="23"/>
        <v>#N/A</v>
      </c>
      <c r="BP6" s="127" t="e">
        <f t="shared" si="23"/>
        <v>#N/A</v>
      </c>
      <c r="BQ6" s="127" t="e">
        <f t="shared" si="23"/>
        <v>#N/A</v>
      </c>
      <c r="BR6" s="127">
        <f t="shared" si="23"/>
        <v>0</v>
      </c>
      <c r="BS6" s="127" t="e">
        <f t="shared" si="23"/>
        <v>#N/A</v>
      </c>
      <c r="BT6" s="127" t="e">
        <f t="shared" si="23"/>
        <v>#N/A</v>
      </c>
      <c r="BU6" s="127">
        <f t="shared" si="23"/>
        <v>0</v>
      </c>
      <c r="BV6" s="127">
        <f t="shared" si="23"/>
        <v>0</v>
      </c>
      <c r="BX6" s="78" t="s">
        <v>238</v>
      </c>
      <c r="BY6">
        <v>0</v>
      </c>
      <c r="BZ6">
        <v>7000</v>
      </c>
      <c r="CB6" s="127" t="str">
        <f t="shared" si="2"/>
        <v>Elementary</v>
      </c>
      <c r="CC6" s="127">
        <f t="shared" si="2"/>
        <v>0</v>
      </c>
      <c r="CD6" s="127">
        <f>BZ6-BY6</f>
        <v>7000</v>
      </c>
      <c r="CF6" s="78" t="s">
        <v>1867</v>
      </c>
      <c r="CG6">
        <v>0</v>
      </c>
      <c r="CH6">
        <f t="shared" si="19"/>
        <v>3</v>
      </c>
      <c r="CI6" s="99" t="str">
        <f t="shared" si="3"/>
        <v>Yuna Inoue</v>
      </c>
      <c r="CJ6" s="99">
        <f t="shared" si="4"/>
        <v>0</v>
      </c>
      <c r="CM6" s="135">
        <f t="shared" si="5"/>
        <v>45808</v>
      </c>
      <c r="CN6" s="90" t="s">
        <v>1840</v>
      </c>
      <c r="CO6" t="str">
        <f t="shared" si="0"/>
        <v/>
      </c>
      <c r="CP6" t="str">
        <f t="shared" si="1"/>
        <v/>
      </c>
      <c r="CU6">
        <v>2024</v>
      </c>
      <c r="CV6" t="s">
        <v>1839</v>
      </c>
      <c r="CW6" t="e">
        <v>#N/A</v>
      </c>
      <c r="CX6" t="e">
        <v>#N/A</v>
      </c>
    </row>
    <row r="7" spans="2:201">
      <c r="H7" s="210"/>
      <c r="I7" s="211"/>
      <c r="J7" s="212"/>
      <c r="K7" s="90" t="str">
        <f t="shared" si="6"/>
        <v/>
      </c>
      <c r="L7" s="90" t="str">
        <f t="shared" si="7"/>
        <v/>
      </c>
      <c r="S7" t="str">
        <f t="shared" si="12"/>
        <v/>
      </c>
      <c r="T7" s="90" t="str">
        <f t="shared" si="8"/>
        <v/>
      </c>
      <c r="U7" s="90">
        <f t="shared" si="13"/>
        <v>0</v>
      </c>
      <c r="V7" s="90">
        <f t="shared" si="14"/>
        <v>0</v>
      </c>
      <c r="X7" s="90" t="s">
        <v>1210</v>
      </c>
      <c r="Y7" s="90" t="str">
        <f t="shared" si="15"/>
        <v/>
      </c>
      <c r="Z7" s="90" t="str">
        <f t="shared" si="16"/>
        <v/>
      </c>
      <c r="AA7" s="90" t="str">
        <f t="shared" si="17"/>
        <v/>
      </c>
      <c r="AG7" t="s">
        <v>196</v>
      </c>
      <c r="AH7">
        <f>IFERROR(VLOOKUP(AG7,$AC$4:$AE$8,2,FALSE),0)</f>
        <v>0</v>
      </c>
      <c r="AI7">
        <f>IFERROR(VLOOKUP(AG7,$AC$4:$AE$8,3,FALSE),0)</f>
        <v>0</v>
      </c>
      <c r="AJ7">
        <f>IFERROR(AI7-AH7,"")</f>
        <v>0</v>
      </c>
      <c r="AK7" s="89" t="str">
        <f>IFERROR(AJ7/AH7,"")</f>
        <v/>
      </c>
      <c r="AL7" s="89"/>
      <c r="AM7" s="89" t="s">
        <v>1834</v>
      </c>
      <c r="AN7" s="101">
        <f>SUM(AH5:AH34)</f>
        <v>210000</v>
      </c>
      <c r="AP7" s="78" t="s">
        <v>110</v>
      </c>
      <c r="AQ7" t="e">
        <v>#N/A</v>
      </c>
      <c r="AR7">
        <v>0</v>
      </c>
      <c r="AY7" s="78" t="s">
        <v>117</v>
      </c>
      <c r="AZ7">
        <v>2</v>
      </c>
      <c r="BA7">
        <v>21</v>
      </c>
      <c r="BJ7" s="127" t="s">
        <v>1868</v>
      </c>
      <c r="BK7" s="127" t="e">
        <f t="shared" ref="BK7:BV7" si="24">DB10</f>
        <v>#N/A</v>
      </c>
      <c r="BL7" s="127" t="e">
        <f t="shared" si="24"/>
        <v>#N/A</v>
      </c>
      <c r="BM7" s="127">
        <f t="shared" si="24"/>
        <v>0</v>
      </c>
      <c r="BN7" s="127" t="e">
        <f t="shared" si="24"/>
        <v>#N/A</v>
      </c>
      <c r="BO7" s="127" t="e">
        <f t="shared" si="24"/>
        <v>#N/A</v>
      </c>
      <c r="BP7" s="127" t="e">
        <f t="shared" si="24"/>
        <v>#N/A</v>
      </c>
      <c r="BQ7" s="127" t="e">
        <f t="shared" si="24"/>
        <v>#N/A</v>
      </c>
      <c r="BR7" s="127">
        <f t="shared" si="24"/>
        <v>0</v>
      </c>
      <c r="BS7" s="127" t="e">
        <f t="shared" si="24"/>
        <v>#N/A</v>
      </c>
      <c r="BT7" s="127" t="e">
        <f t="shared" si="24"/>
        <v>#N/A</v>
      </c>
      <c r="BU7" s="127">
        <f t="shared" si="24"/>
        <v>0</v>
      </c>
      <c r="BV7" s="127">
        <f t="shared" si="24"/>
        <v>0</v>
      </c>
      <c r="BX7" s="78" t="s">
        <v>507</v>
      </c>
      <c r="BY7">
        <v>0</v>
      </c>
      <c r="BZ7">
        <v>0</v>
      </c>
      <c r="CB7" s="127" t="str">
        <f t="shared" si="2"/>
        <v>junior high</v>
      </c>
      <c r="CC7" s="127">
        <f t="shared" si="2"/>
        <v>0</v>
      </c>
      <c r="CD7" s="127">
        <f>BZ7-BY7</f>
        <v>0</v>
      </c>
      <c r="CF7" s="78" t="s">
        <v>1869</v>
      </c>
      <c r="CG7" t="e">
        <v>#N/A</v>
      </c>
      <c r="CH7">
        <f t="shared" si="19"/>
        <v>4</v>
      </c>
      <c r="CI7" s="99" t="str">
        <f t="shared" si="3"/>
        <v>Sara Shiraishi</v>
      </c>
      <c r="CJ7" s="99" t="e">
        <f t="shared" si="4"/>
        <v>#N/A</v>
      </c>
      <c r="CM7" s="135">
        <f t="shared" si="5"/>
        <v>45838</v>
      </c>
      <c r="CN7" s="90" t="s">
        <v>1841</v>
      </c>
      <c r="CO7" t="str">
        <f t="shared" si="0"/>
        <v/>
      </c>
      <c r="CP7" t="str">
        <f t="shared" si="1"/>
        <v/>
      </c>
      <c r="CU7">
        <v>2024</v>
      </c>
      <c r="CV7" t="s">
        <v>1841</v>
      </c>
      <c r="CW7" t="e">
        <v>#N/A</v>
      </c>
      <c r="CX7" t="e">
        <v>#N/A</v>
      </c>
    </row>
    <row r="8" spans="2:201">
      <c r="H8" s="210"/>
      <c r="I8" s="211"/>
      <c r="J8" s="212"/>
      <c r="K8" s="90" t="str">
        <f t="shared" si="6"/>
        <v/>
      </c>
      <c r="L8" s="90" t="str">
        <f t="shared" si="7"/>
        <v/>
      </c>
      <c r="S8" t="str">
        <f t="shared" si="12"/>
        <v/>
      </c>
      <c r="T8" s="90" t="str">
        <f t="shared" si="8"/>
        <v/>
      </c>
      <c r="U8" s="90">
        <f t="shared" si="13"/>
        <v>0</v>
      </c>
      <c r="V8" s="90">
        <f t="shared" si="14"/>
        <v>0</v>
      </c>
      <c r="X8" s="90" t="s">
        <v>1839</v>
      </c>
      <c r="Y8" s="90" t="str">
        <f t="shared" si="15"/>
        <v/>
      </c>
      <c r="Z8" s="90" t="str">
        <f t="shared" si="16"/>
        <v/>
      </c>
      <c r="AA8" s="90" t="str">
        <f t="shared" si="17"/>
        <v/>
      </c>
      <c r="AG8" t="s">
        <v>494</v>
      </c>
      <c r="AH8">
        <f>IFERROR(VLOOKUP(AG8,$AC$4:$AE$8,2,FALSE),0)</f>
        <v>0</v>
      </c>
      <c r="AI8">
        <f>IFERROR(VLOOKUP(AG8,$AC$4:$AE$8,3,FALSE),0)</f>
        <v>0</v>
      </c>
      <c r="AJ8">
        <f>IFERROR(AI8-AH8,"")</f>
        <v>0</v>
      </c>
      <c r="AK8" s="89" t="str">
        <f>IFERROR(AJ8/AH8,"")</f>
        <v/>
      </c>
      <c r="AL8" s="89"/>
      <c r="AM8" s="89"/>
      <c r="AN8" s="89"/>
      <c r="AY8" s="78" t="s">
        <v>110</v>
      </c>
      <c r="BA8">
        <v>10</v>
      </c>
      <c r="CB8" s="127">
        <f t="shared" si="2"/>
        <v>0</v>
      </c>
      <c r="CC8" s="127">
        <f t="shared" si="2"/>
        <v>0</v>
      </c>
      <c r="CD8" s="127">
        <f>BZ8-BY8</f>
        <v>0</v>
      </c>
      <c r="CF8" s="78" t="s">
        <v>1870</v>
      </c>
      <c r="CG8" t="e">
        <v>#N/A</v>
      </c>
      <c r="CH8">
        <f t="shared" si="19"/>
        <v>5</v>
      </c>
      <c r="CI8" s="99" t="str">
        <f t="shared" si="3"/>
        <v>Yasuko Matono</v>
      </c>
      <c r="CJ8" s="99" t="e">
        <f t="shared" si="4"/>
        <v>#N/A</v>
      </c>
      <c r="CM8" s="135">
        <f t="shared" si="5"/>
        <v>45869</v>
      </c>
      <c r="CN8" s="90" t="s">
        <v>1842</v>
      </c>
      <c r="CO8" t="str">
        <f t="shared" si="0"/>
        <v/>
      </c>
      <c r="CP8" t="str">
        <f t="shared" si="1"/>
        <v/>
      </c>
      <c r="CU8">
        <v>2024</v>
      </c>
      <c r="CV8" t="s">
        <v>1842</v>
      </c>
      <c r="CW8" t="e">
        <v>#N/A</v>
      </c>
      <c r="CX8" t="e">
        <v>#N/A</v>
      </c>
      <c r="DB8" t="s">
        <v>1832</v>
      </c>
      <c r="DC8" t="s">
        <v>1838</v>
      </c>
      <c r="DD8" t="s">
        <v>1210</v>
      </c>
      <c r="DE8" t="s">
        <v>1839</v>
      </c>
      <c r="DF8" t="s">
        <v>1840</v>
      </c>
      <c r="DG8" t="s">
        <v>1841</v>
      </c>
      <c r="DH8" t="s">
        <v>1842</v>
      </c>
      <c r="DI8" t="s">
        <v>1843</v>
      </c>
      <c r="DJ8" t="s">
        <v>1844</v>
      </c>
      <c r="DK8" t="s">
        <v>1845</v>
      </c>
      <c r="DL8" t="s">
        <v>1846</v>
      </c>
      <c r="DM8" t="s">
        <v>1847</v>
      </c>
    </row>
    <row r="9" spans="2:201" ht="15" customHeight="1" thickBot="1">
      <c r="H9" s="210"/>
      <c r="I9" s="211"/>
      <c r="J9" s="212"/>
      <c r="K9" s="90" t="str">
        <f t="shared" si="6"/>
        <v/>
      </c>
      <c r="L9" s="90" t="str">
        <f t="shared" si="7"/>
        <v/>
      </c>
      <c r="S9" t="str">
        <f t="shared" si="12"/>
        <v/>
      </c>
      <c r="T9" s="90" t="str">
        <f t="shared" si="8"/>
        <v/>
      </c>
      <c r="U9" s="90">
        <f t="shared" si="13"/>
        <v>0</v>
      </c>
      <c r="V9" s="90">
        <f t="shared" si="14"/>
        <v>0</v>
      </c>
      <c r="X9" s="90" t="s">
        <v>1840</v>
      </c>
      <c r="Y9" s="90" t="str">
        <f t="shared" si="15"/>
        <v/>
      </c>
      <c r="Z9" s="90" t="str">
        <f t="shared" si="16"/>
        <v/>
      </c>
      <c r="AA9" s="90" t="str">
        <f t="shared" si="17"/>
        <v/>
      </c>
      <c r="AK9" s="89"/>
      <c r="AL9" s="89"/>
      <c r="AM9" s="89"/>
      <c r="AN9" s="89"/>
      <c r="CF9" s="78" t="s">
        <v>1871</v>
      </c>
      <c r="CG9" t="e">
        <v>#N/A</v>
      </c>
      <c r="CH9">
        <f t="shared" si="19"/>
        <v>6</v>
      </c>
      <c r="CI9" s="99" t="str">
        <f t="shared" si="3"/>
        <v>Taisuke Nonaka</v>
      </c>
      <c r="CJ9" s="99" t="e">
        <f t="shared" si="4"/>
        <v>#N/A</v>
      </c>
      <c r="CM9" s="135">
        <f t="shared" si="5"/>
        <v>45900</v>
      </c>
      <c r="CN9" s="90" t="s">
        <v>1843</v>
      </c>
      <c r="CO9" t="str">
        <f t="shared" si="0"/>
        <v/>
      </c>
      <c r="CP9" t="str">
        <f t="shared" si="1"/>
        <v/>
      </c>
      <c r="CU9">
        <v>2024</v>
      </c>
      <c r="CV9" t="s">
        <v>1844</v>
      </c>
      <c r="CW9" t="e">
        <v>#N/A</v>
      </c>
      <c r="CX9" t="e">
        <v>#N/A</v>
      </c>
      <c r="DA9" t="s">
        <v>1833</v>
      </c>
      <c r="DB9" t="e">
        <f t="shared" ref="DB9:DM9" si="25">SUMIFS($DB$4:$GS$4,$DB$3:$GS$3,DB8)</f>
        <v>#N/A</v>
      </c>
      <c r="DC9" t="e">
        <f t="shared" si="25"/>
        <v>#N/A</v>
      </c>
      <c r="DD9">
        <f t="shared" si="25"/>
        <v>0</v>
      </c>
      <c r="DE9" t="e">
        <f t="shared" si="25"/>
        <v>#N/A</v>
      </c>
      <c r="DF9" t="e">
        <f t="shared" si="25"/>
        <v>#N/A</v>
      </c>
      <c r="DG9" t="e">
        <f t="shared" si="25"/>
        <v>#N/A</v>
      </c>
      <c r="DH9" t="e">
        <f t="shared" si="25"/>
        <v>#N/A</v>
      </c>
      <c r="DI9">
        <f t="shared" si="25"/>
        <v>0</v>
      </c>
      <c r="DJ9" t="e">
        <f t="shared" si="25"/>
        <v>#N/A</v>
      </c>
      <c r="DK9" t="e">
        <f t="shared" si="25"/>
        <v>#N/A</v>
      </c>
      <c r="DL9">
        <f t="shared" si="25"/>
        <v>0</v>
      </c>
      <c r="DM9">
        <f t="shared" si="25"/>
        <v>0</v>
      </c>
    </row>
    <row r="10" spans="2:201">
      <c r="B10" s="139" t="s">
        <v>1872</v>
      </c>
      <c r="C10" s="140">
        <f>IFERROR(INDEX(C7:F7, MATCH("y", B7, 0), MATCH("Old", C5:F5, 0)),0)+IFERROR(INDEX(C6:F6, MATCH("y", B6, 0), MATCH("Old", C5:F5, 0)),0)+IFERROR(INDEX(C8:F8, MATCH("y", B8, 0), MATCH("Old", C5:F5, 0)),0)</f>
        <v>0</v>
      </c>
      <c r="H10" s="210"/>
      <c r="I10" s="211"/>
      <c r="J10" s="212"/>
      <c r="K10" s="90" t="str">
        <f t="shared" si="6"/>
        <v/>
      </c>
      <c r="L10" s="90" t="str">
        <f t="shared" si="7"/>
        <v/>
      </c>
      <c r="S10" t="str">
        <f t="shared" si="12"/>
        <v/>
      </c>
      <c r="T10" s="90" t="str">
        <f t="shared" si="8"/>
        <v/>
      </c>
      <c r="U10" s="90">
        <f t="shared" si="13"/>
        <v>0</v>
      </c>
      <c r="V10" s="90">
        <f t="shared" si="14"/>
        <v>0</v>
      </c>
      <c r="X10" s="90" t="s">
        <v>1841</v>
      </c>
      <c r="Y10" s="90" t="str">
        <f t="shared" si="15"/>
        <v/>
      </c>
      <c r="Z10" s="90" t="str">
        <f t="shared" si="16"/>
        <v/>
      </c>
      <c r="AA10" s="90" t="str">
        <f t="shared" si="17"/>
        <v/>
      </c>
      <c r="AK10" s="89"/>
      <c r="AL10" s="89"/>
      <c r="AM10" s="89"/>
      <c r="AN10" s="89"/>
      <c r="AY10" s="148" t="s">
        <v>1553</v>
      </c>
      <c r="AZ10" s="147">
        <f>(IFERROR(INDEX(AZ7:BC7, MATCH("group", AY7, 0), MATCH("Old", AZ5:BC5, 0)),0)+IFERROR(INDEX(AZ6:BC6, MATCH("group", AY6, 0), MATCH("Old", AZ5:BC5, 0)),0)+IFERROR(INDEX(AZ8:BC8, MATCH("group", AY8, 0), MATCH("Old", AZ5:BC5, 0)),0)+IFERROR(INDEX(AZ7:BC7, MATCH("group", AY7, 0), MATCH("New", AZ5:BC5, 0)),0)+IFERROR(INDEX(AZ6:BC6, MATCH("group", AY6, 0), MATCH("New", AZ5:BC5, 0)),0)+IFERROR(INDEX(AZ8:BC8, MATCH("group", AY8, 0), MATCH("New", AZ5:BC5, 0)),0))-V17</f>
        <v>-1</v>
      </c>
      <c r="CF10" s="78" t="s">
        <v>1873</v>
      </c>
      <c r="CG10" t="e">
        <v>#N/A</v>
      </c>
      <c r="CH10">
        <f t="shared" si="19"/>
        <v>7</v>
      </c>
      <c r="CI10" s="99" t="str">
        <f t="shared" si="3"/>
        <v>Eito Suzuki</v>
      </c>
      <c r="CJ10" s="99" t="e">
        <f t="shared" si="4"/>
        <v>#N/A</v>
      </c>
      <c r="CM10" s="135">
        <f t="shared" si="5"/>
        <v>45930</v>
      </c>
      <c r="CN10" s="90" t="s">
        <v>1844</v>
      </c>
      <c r="CO10" t="str">
        <f t="shared" si="0"/>
        <v/>
      </c>
      <c r="CP10" t="str">
        <f t="shared" si="1"/>
        <v/>
      </c>
      <c r="CU10">
        <v>2024</v>
      </c>
      <c r="CV10" t="s">
        <v>1845</v>
      </c>
      <c r="CW10" t="e">
        <v>#N/A</v>
      </c>
      <c r="CX10" t="e">
        <v>#N/A</v>
      </c>
      <c r="DA10" t="s">
        <v>1834</v>
      </c>
      <c r="DB10" s="146" t="e">
        <f t="shared" ref="DB10:DM10" si="26">IF(DB9=0,0,(SUMIFS($DB$5:$GS$5,$DB$3:$GS$3,DB8)+(210000/(12-(COUNTIF($DB$9:$DM$9,0))))))</f>
        <v>#N/A</v>
      </c>
      <c r="DC10" s="146" t="e">
        <f t="shared" si="26"/>
        <v>#N/A</v>
      </c>
      <c r="DD10" s="146">
        <f t="shared" si="26"/>
        <v>0</v>
      </c>
      <c r="DE10" s="146" t="e">
        <f t="shared" si="26"/>
        <v>#N/A</v>
      </c>
      <c r="DF10" s="146" t="e">
        <f t="shared" si="26"/>
        <v>#N/A</v>
      </c>
      <c r="DG10" s="146" t="e">
        <f t="shared" si="26"/>
        <v>#N/A</v>
      </c>
      <c r="DH10" s="146" t="e">
        <f t="shared" si="26"/>
        <v>#N/A</v>
      </c>
      <c r="DI10" s="146">
        <f t="shared" si="26"/>
        <v>0</v>
      </c>
      <c r="DJ10" s="146" t="e">
        <f t="shared" si="26"/>
        <v>#N/A</v>
      </c>
      <c r="DK10" s="146" t="e">
        <f t="shared" si="26"/>
        <v>#N/A</v>
      </c>
      <c r="DL10" s="146">
        <f t="shared" si="26"/>
        <v>0</v>
      </c>
      <c r="DM10" s="146">
        <f t="shared" si="26"/>
        <v>0</v>
      </c>
    </row>
    <row r="11" spans="2:201" ht="15" customHeight="1" thickBot="1">
      <c r="B11" s="141" t="s">
        <v>1874</v>
      </c>
      <c r="C11" s="142">
        <f>IFERROR(INDEX(C7:F7, MATCH("y", B7, 0), MATCH("New", C5:F5, 0)),0)+IFERROR(INDEX(C6:F6, MATCH("y", B6, 0), MATCH("New", C5:F5, 0)),0)+IFERROR(INDEX(C8:F8, MATCH("y", B8, 0), MATCH("New", C5:F5, 0)),0)</f>
        <v>0</v>
      </c>
      <c r="H11" s="210"/>
      <c r="I11" s="211"/>
      <c r="J11" s="212"/>
      <c r="K11" s="90" t="str">
        <f t="shared" si="6"/>
        <v/>
      </c>
      <c r="L11" s="90" t="str">
        <f t="shared" si="7"/>
        <v/>
      </c>
      <c r="S11" t="str">
        <f t="shared" si="12"/>
        <v/>
      </c>
      <c r="T11" s="90" t="str">
        <f t="shared" si="8"/>
        <v/>
      </c>
      <c r="U11" s="90">
        <f t="shared" si="13"/>
        <v>0</v>
      </c>
      <c r="V11" s="90">
        <f t="shared" si="14"/>
        <v>0</v>
      </c>
      <c r="X11" s="90" t="s">
        <v>1842</v>
      </c>
      <c r="Y11" s="90" t="str">
        <f t="shared" si="15"/>
        <v/>
      </c>
      <c r="Z11" s="90" t="str">
        <f t="shared" si="16"/>
        <v/>
      </c>
      <c r="AA11" s="90" t="str">
        <f t="shared" si="17"/>
        <v/>
      </c>
      <c r="AK11" s="89"/>
      <c r="AL11" s="89"/>
      <c r="AM11" s="89"/>
      <c r="AN11" s="89"/>
      <c r="AY11" s="149" t="s">
        <v>1545</v>
      </c>
      <c r="AZ11" s="150">
        <f>(IFERROR(INDEX(AZ7:BC7, MATCH("private", AY7, 0), MATCH("Old", AZ5:BC5, 0)), 0) +
IFERROR(INDEX(AZ6:BC6, MATCH("private", AY6, 0), MATCH("Old", AZ5:BC5, 0)), 0) +
IFERROR(INDEX(AZ8:BC8, MATCH("private", AY8, 0), MATCH("Old", AZ5:BC5, 0)), 0) +
IFERROR(INDEX(AZ7:BC7, MATCH("private", AY7, 0), MATCH("New", AZ5:BC5, 0)), 0) +
IFERROR(INDEX(AZ6:BC6, MATCH("private", AY6, 0), MATCH("New", AZ5:BC5, 0)), 0) +
IFERROR(INDEX(AZ8:BC8, MATCH("private", AY8, 0), MATCH("New", AZ5:BC5, 0)), 0))-U17</f>
        <v>-1</v>
      </c>
      <c r="CF11" s="78" t="s">
        <v>1875</v>
      </c>
      <c r="CG11" t="e">
        <v>#N/A</v>
      </c>
      <c r="CH11">
        <f t="shared" si="19"/>
        <v>8</v>
      </c>
      <c r="CI11" s="99" t="str">
        <f t="shared" si="3"/>
        <v>Akinari Shimoda</v>
      </c>
      <c r="CJ11" s="99" t="e">
        <f t="shared" si="4"/>
        <v>#N/A</v>
      </c>
      <c r="CM11" s="135">
        <f t="shared" si="5"/>
        <v>45961</v>
      </c>
      <c r="CN11" s="90" t="s">
        <v>1845</v>
      </c>
      <c r="CO11" t="str">
        <f t="shared" si="0"/>
        <v/>
      </c>
      <c r="CP11" t="str">
        <f t="shared" si="1"/>
        <v/>
      </c>
      <c r="CU11">
        <v>2025</v>
      </c>
      <c r="CV11" t="s">
        <v>1832</v>
      </c>
      <c r="CW11" t="e">
        <v>#N/A</v>
      </c>
      <c r="CX11" t="e">
        <v>#N/A</v>
      </c>
    </row>
    <row r="12" spans="2:201">
      <c r="B12" s="141" t="s">
        <v>1851</v>
      </c>
      <c r="C12" s="142">
        <f>V17+U17</f>
        <v>2</v>
      </c>
      <c r="H12" s="210"/>
      <c r="I12" s="211"/>
      <c r="J12" s="212"/>
      <c r="K12" s="90" t="str">
        <f t="shared" si="6"/>
        <v/>
      </c>
      <c r="L12" s="90" t="str">
        <f t="shared" si="7"/>
        <v/>
      </c>
      <c r="S12" t="str">
        <f t="shared" si="12"/>
        <v/>
      </c>
      <c r="T12" s="90" t="str">
        <f t="shared" si="8"/>
        <v/>
      </c>
      <c r="U12" s="90">
        <f t="shared" si="13"/>
        <v>0</v>
      </c>
      <c r="V12" s="90">
        <f t="shared" si="14"/>
        <v>0</v>
      </c>
      <c r="X12" s="90" t="s">
        <v>1843</v>
      </c>
      <c r="Y12" s="90" t="str">
        <f t="shared" si="15"/>
        <v/>
      </c>
      <c r="Z12" s="90" t="str">
        <f t="shared" si="16"/>
        <v/>
      </c>
      <c r="AA12" s="90" t="str">
        <f t="shared" si="17"/>
        <v/>
      </c>
      <c r="AK12" s="89"/>
      <c r="AL12" s="89"/>
      <c r="AM12" s="89"/>
      <c r="AN12" s="89"/>
      <c r="CF12" s="78" t="s">
        <v>1876</v>
      </c>
      <c r="CG12" t="e">
        <v>#N/A</v>
      </c>
      <c r="CH12">
        <f t="shared" si="19"/>
        <v>9</v>
      </c>
      <c r="CI12" s="99" t="str">
        <f t="shared" si="3"/>
        <v>Haru Yanouchi</v>
      </c>
      <c r="CJ12" s="99" t="e">
        <f t="shared" si="4"/>
        <v>#N/A</v>
      </c>
      <c r="CM12" s="135">
        <f t="shared" si="5"/>
        <v>45991</v>
      </c>
      <c r="CN12" s="90" t="s">
        <v>1846</v>
      </c>
      <c r="CO12" t="str">
        <f t="shared" si="0"/>
        <v/>
      </c>
      <c r="CP12" t="str">
        <f t="shared" si="1"/>
        <v/>
      </c>
      <c r="CU12">
        <v>2025</v>
      </c>
      <c r="CV12" t="s">
        <v>1838</v>
      </c>
      <c r="CW12" t="e">
        <v>#N/A</v>
      </c>
      <c r="CX12" t="e">
        <v>#N/A</v>
      </c>
    </row>
    <row r="13" spans="2:201" ht="15" customHeight="1" thickBot="1">
      <c r="B13" s="143" t="s">
        <v>1877</v>
      </c>
      <c r="C13" s="144">
        <f>C10+C11-C12</f>
        <v>-2</v>
      </c>
      <c r="H13" s="210"/>
      <c r="I13" s="211"/>
      <c r="J13" s="212"/>
      <c r="K13" s="90" t="str">
        <f t="shared" si="6"/>
        <v/>
      </c>
      <c r="L13" s="90" t="str">
        <f t="shared" si="7"/>
        <v/>
      </c>
      <c r="S13" t="str">
        <f t="shared" si="12"/>
        <v/>
      </c>
      <c r="T13" s="90" t="str">
        <f t="shared" si="8"/>
        <v/>
      </c>
      <c r="U13" s="90">
        <f t="shared" si="13"/>
        <v>0</v>
      </c>
      <c r="V13" s="90">
        <f t="shared" si="14"/>
        <v>0</v>
      </c>
      <c r="X13" s="90" t="s">
        <v>1844</v>
      </c>
      <c r="Y13" s="90" t="str">
        <f t="shared" si="15"/>
        <v/>
      </c>
      <c r="Z13" s="90" t="str">
        <f t="shared" si="16"/>
        <v/>
      </c>
      <c r="AA13" s="90" t="str">
        <f t="shared" si="17"/>
        <v/>
      </c>
      <c r="AK13" s="89"/>
      <c r="AL13" s="89"/>
      <c r="AM13" s="89"/>
      <c r="AN13" s="89"/>
      <c r="CF13" s="78" t="s">
        <v>1878</v>
      </c>
      <c r="CG13" t="e">
        <v>#N/A</v>
      </c>
      <c r="CH13">
        <f t="shared" si="19"/>
        <v>10</v>
      </c>
      <c r="CI13" s="99" t="str">
        <f t="shared" si="3"/>
        <v>Sena Nonaka</v>
      </c>
      <c r="CJ13" s="99" t="e">
        <f t="shared" si="4"/>
        <v>#N/A</v>
      </c>
      <c r="CM13" s="135">
        <f t="shared" si="5"/>
        <v>46022</v>
      </c>
      <c r="CN13" s="90" t="s">
        <v>1847</v>
      </c>
      <c r="CO13" t="str">
        <f t="shared" si="0"/>
        <v/>
      </c>
      <c r="CP13" t="str">
        <f t="shared" si="1"/>
        <v/>
      </c>
      <c r="CU13">
        <v>2025</v>
      </c>
      <c r="CV13" t="s">
        <v>1839</v>
      </c>
      <c r="CW13" t="e">
        <v>#N/A</v>
      </c>
      <c r="CX13" t="e">
        <v>#N/A</v>
      </c>
    </row>
    <row r="14" spans="2:201">
      <c r="H14" s="210"/>
      <c r="I14" s="211"/>
      <c r="J14" s="212"/>
      <c r="K14" s="90" t="str">
        <f t="shared" si="6"/>
        <v/>
      </c>
      <c r="L14" s="90" t="str">
        <f t="shared" si="7"/>
        <v/>
      </c>
      <c r="S14" t="str">
        <f t="shared" si="12"/>
        <v/>
      </c>
      <c r="T14" s="90" t="str">
        <f t="shared" si="8"/>
        <v/>
      </c>
      <c r="U14" s="90">
        <f t="shared" si="13"/>
        <v>0</v>
      </c>
      <c r="V14" s="90">
        <f t="shared" si="14"/>
        <v>0</v>
      </c>
      <c r="X14" s="90" t="s">
        <v>1845</v>
      </c>
      <c r="Y14" s="90" t="str">
        <f t="shared" si="15"/>
        <v/>
      </c>
      <c r="Z14" s="90" t="str">
        <f t="shared" si="16"/>
        <v/>
      </c>
      <c r="AA14" s="90" t="str">
        <f t="shared" si="17"/>
        <v/>
      </c>
      <c r="AK14" s="89"/>
      <c r="AL14" s="89"/>
      <c r="AM14" s="89"/>
      <c r="AN14" s="89"/>
      <c r="CF14" s="78" t="s">
        <v>1879</v>
      </c>
      <c r="CG14" t="e">
        <v>#N/A</v>
      </c>
      <c r="CU14">
        <v>2025</v>
      </c>
      <c r="CV14" t="s">
        <v>1840</v>
      </c>
      <c r="CW14" t="e">
        <v>#N/A</v>
      </c>
      <c r="CX14" t="e">
        <v>#N/A</v>
      </c>
    </row>
    <row r="15" spans="2:201">
      <c r="H15" s="210"/>
      <c r="I15" s="211"/>
      <c r="J15" s="212"/>
      <c r="K15" s="90" t="str">
        <f t="shared" si="6"/>
        <v/>
      </c>
      <c r="L15" s="90" t="str">
        <f t="shared" si="7"/>
        <v/>
      </c>
      <c r="S15" t="str">
        <f t="shared" si="12"/>
        <v/>
      </c>
      <c r="T15" s="90" t="str">
        <f t="shared" si="8"/>
        <v/>
      </c>
      <c r="U15" s="90">
        <f t="shared" si="13"/>
        <v>0</v>
      </c>
      <c r="V15" s="90">
        <f t="shared" si="14"/>
        <v>0</v>
      </c>
      <c r="X15" s="90" t="s">
        <v>1846</v>
      </c>
      <c r="Y15" s="90" t="str">
        <f t="shared" si="15"/>
        <v/>
      </c>
      <c r="Z15" s="90" t="str">
        <f t="shared" si="16"/>
        <v/>
      </c>
      <c r="AA15" s="90" t="str">
        <f t="shared" si="17"/>
        <v/>
      </c>
      <c r="AK15" s="89"/>
      <c r="AL15" s="89"/>
      <c r="AM15" s="89"/>
      <c r="AN15" s="89"/>
      <c r="CF15" s="78" t="s">
        <v>1880</v>
      </c>
      <c r="CG15" t="e">
        <v>#N/A</v>
      </c>
      <c r="CW15">
        <v>0</v>
      </c>
      <c r="CX15">
        <v>0</v>
      </c>
    </row>
    <row r="16" spans="2:201">
      <c r="H16" s="210"/>
      <c r="I16" s="211"/>
      <c r="J16" s="212"/>
      <c r="K16" s="91" t="str">
        <f t="shared" si="6"/>
        <v/>
      </c>
      <c r="L16" s="91" t="str">
        <f t="shared" si="7"/>
        <v/>
      </c>
      <c r="S16" t="str">
        <f t="shared" si="12"/>
        <v/>
      </c>
      <c r="T16" s="90" t="str">
        <f t="shared" si="8"/>
        <v/>
      </c>
      <c r="U16" s="90">
        <f t="shared" si="13"/>
        <v>0</v>
      </c>
      <c r="V16" s="90">
        <f t="shared" si="14"/>
        <v>0</v>
      </c>
      <c r="X16" s="90" t="s">
        <v>1847</v>
      </c>
      <c r="Y16" s="90" t="str">
        <f t="shared" si="15"/>
        <v/>
      </c>
      <c r="Z16" s="90" t="str">
        <f t="shared" si="16"/>
        <v/>
      </c>
      <c r="AA16" s="90" t="str">
        <f t="shared" si="17"/>
        <v/>
      </c>
      <c r="AK16" s="89"/>
      <c r="AL16" s="89"/>
      <c r="AM16" s="89"/>
      <c r="AN16" s="89"/>
      <c r="CF16" s="78" t="s">
        <v>1881</v>
      </c>
      <c r="CG16" t="e">
        <v>#N/A</v>
      </c>
      <c r="CV16" t="s">
        <v>1211</v>
      </c>
    </row>
    <row r="17" spans="8:85">
      <c r="H17" s="210"/>
      <c r="I17" s="211"/>
      <c r="J17" s="212"/>
      <c r="K17" s="93" t="s">
        <v>1865</v>
      </c>
      <c r="L17" s="93">
        <f>SUM(L5:L16)</f>
        <v>0</v>
      </c>
      <c r="T17" s="93" t="s">
        <v>1865</v>
      </c>
      <c r="U17" s="93">
        <f>SUM(U5:U16)</f>
        <v>1</v>
      </c>
      <c r="V17" s="93">
        <f>SUM(V5:V16)</f>
        <v>1</v>
      </c>
      <c r="Z17" s="92" t="s">
        <v>1865</v>
      </c>
      <c r="AA17" s="92">
        <f>SUM(AA5:AA16)</f>
        <v>0</v>
      </c>
      <c r="AK17" s="89"/>
      <c r="AL17" s="89"/>
      <c r="AM17" s="89"/>
      <c r="AN17" s="89"/>
      <c r="CF17" s="78" t="s">
        <v>1882</v>
      </c>
      <c r="CG17" t="e">
        <v>#N/A</v>
      </c>
    </row>
    <row r="18" spans="8:85">
      <c r="H18" s="210"/>
      <c r="I18" s="211"/>
      <c r="J18" s="212"/>
      <c r="AK18" s="89"/>
      <c r="AL18" s="89"/>
      <c r="AM18" s="89"/>
      <c r="AN18" s="89"/>
      <c r="CF18" s="78" t="s">
        <v>1883</v>
      </c>
      <c r="CG18" t="e">
        <v>#N/A</v>
      </c>
    </row>
    <row r="19" spans="8:85">
      <c r="H19" s="210"/>
      <c r="I19" s="211"/>
      <c r="J19" s="212"/>
      <c r="AK19" s="89"/>
      <c r="AL19" s="89"/>
      <c r="AM19" s="89"/>
      <c r="AN19" s="89"/>
      <c r="CF19" s="78" t="s">
        <v>1884</v>
      </c>
      <c r="CG19" t="e">
        <v>#N/A</v>
      </c>
    </row>
    <row r="20" spans="8:85">
      <c r="H20" s="210"/>
      <c r="I20" s="211"/>
      <c r="J20" s="212"/>
      <c r="AK20" s="89"/>
      <c r="AL20" s="89"/>
      <c r="AM20" s="89"/>
      <c r="AN20" s="89"/>
      <c r="CF20" s="78" t="s">
        <v>1885</v>
      </c>
      <c r="CG20" t="e">
        <v>#N/A</v>
      </c>
    </row>
    <row r="21" spans="8:85">
      <c r="H21" s="213"/>
      <c r="I21" s="214"/>
      <c r="J21" s="215"/>
      <c r="AK21" s="89"/>
      <c r="AL21" s="89"/>
      <c r="AM21" s="89"/>
      <c r="AN21" s="89"/>
      <c r="CF21" s="78" t="s">
        <v>1886</v>
      </c>
      <c r="CG21" t="e">
        <v>#N/A</v>
      </c>
    </row>
    <row r="22" spans="8:85">
      <c r="AK22" s="89"/>
      <c r="AL22" s="89"/>
      <c r="AM22" s="89"/>
      <c r="AN22" s="89"/>
      <c r="CF22" s="78" t="s">
        <v>1887</v>
      </c>
      <c r="CG22" t="e">
        <v>#N/A</v>
      </c>
    </row>
    <row r="23" spans="8:85">
      <c r="AK23" s="89"/>
      <c r="AL23" s="89"/>
      <c r="AM23" s="89"/>
      <c r="AN23" s="89"/>
      <c r="CF23" s="78" t="s">
        <v>1888</v>
      </c>
      <c r="CG23" t="e">
        <v>#N/A</v>
      </c>
    </row>
    <row r="24" spans="8:85">
      <c r="AK24" s="89"/>
      <c r="AL24" s="89"/>
      <c r="AM24" s="89"/>
      <c r="AN24" s="89"/>
      <c r="CF24" s="78" t="s">
        <v>1889</v>
      </c>
      <c r="CG24" t="e">
        <v>#N/A</v>
      </c>
    </row>
    <row r="25" spans="8:85">
      <c r="AK25" s="89"/>
      <c r="AL25" s="89"/>
      <c r="AM25" s="89"/>
      <c r="AN25" s="89"/>
      <c r="CF25" s="78" t="s">
        <v>1890</v>
      </c>
      <c r="CG25" t="e">
        <v>#N/A</v>
      </c>
    </row>
    <row r="26" spans="8:85">
      <c r="AK26" s="89"/>
      <c r="AL26" s="89"/>
      <c r="AM26" s="89"/>
      <c r="AN26" s="89"/>
      <c r="CF26" s="78" t="s">
        <v>1891</v>
      </c>
      <c r="CG26" t="e">
        <v>#N/A</v>
      </c>
    </row>
    <row r="27" spans="8:85">
      <c r="AK27" s="89"/>
      <c r="AL27" s="89"/>
      <c r="AM27" s="89"/>
      <c r="AN27" s="89"/>
      <c r="CF27" s="78" t="s">
        <v>1892</v>
      </c>
      <c r="CG27" t="e">
        <v>#N/A</v>
      </c>
    </row>
    <row r="28" spans="8:85">
      <c r="AK28" s="89"/>
      <c r="AL28" s="89"/>
      <c r="AM28" s="89"/>
      <c r="AN28" s="89"/>
      <c r="CF28" s="78" t="s">
        <v>1893</v>
      </c>
      <c r="CG28" t="e">
        <v>#N/A</v>
      </c>
    </row>
    <row r="29" spans="8:85">
      <c r="AK29" s="89"/>
      <c r="AL29" s="89"/>
      <c r="AM29" s="89"/>
      <c r="AN29" s="89"/>
      <c r="CF29" s="78" t="s">
        <v>1894</v>
      </c>
      <c r="CG29" t="e">
        <v>#N/A</v>
      </c>
    </row>
    <row r="30" spans="8:85">
      <c r="AK30" s="89"/>
      <c r="AL30" s="89"/>
      <c r="AM30" s="89"/>
      <c r="AN30" s="89"/>
      <c r="CF30" s="78" t="s">
        <v>1895</v>
      </c>
      <c r="CG30" t="e">
        <v>#N/A</v>
      </c>
    </row>
    <row r="31" spans="8:85">
      <c r="AK31" s="89"/>
      <c r="AL31" s="89"/>
      <c r="AM31" s="89"/>
      <c r="AN31" s="89"/>
      <c r="CF31" s="78" t="s">
        <v>1896</v>
      </c>
      <c r="CG31" t="e">
        <v>#N/A</v>
      </c>
    </row>
    <row r="32" spans="8:85">
      <c r="AK32" s="89"/>
      <c r="AL32" s="89"/>
      <c r="AM32" s="89"/>
      <c r="AN32" s="89"/>
      <c r="CF32" s="78" t="s">
        <v>1897</v>
      </c>
      <c r="CG32" t="e">
        <v>#N/A</v>
      </c>
    </row>
    <row r="33" spans="84:85">
      <c r="CF33" s="78" t="s">
        <v>1898</v>
      </c>
      <c r="CG33" t="e">
        <v>#N/A</v>
      </c>
    </row>
    <row r="34" spans="84:85">
      <c r="CF34" s="78" t="s">
        <v>1899</v>
      </c>
      <c r="CG34" t="e">
        <v>#N/A</v>
      </c>
    </row>
    <row r="35" spans="84:85">
      <c r="CF35" s="78" t="s">
        <v>1900</v>
      </c>
      <c r="CG35" t="e">
        <v>#N/A</v>
      </c>
    </row>
    <row r="36" spans="84:85">
      <c r="CF36" s="78" t="s">
        <v>1901</v>
      </c>
      <c r="CG36" t="e">
        <v>#N/A</v>
      </c>
    </row>
    <row r="62" spans="33:37">
      <c r="AG62" t="str">
        <f t="shared" ref="AG62:AG67" si="27">IF(AC62="","",AC62)</f>
        <v/>
      </c>
      <c r="AH62" t="str">
        <f>IF(AG62="","",SUMIFS('Payroll(summary)'!#REF!,'Payroll(summary)'!#REF!,'KPI+Pivot'!AG62))</f>
        <v/>
      </c>
      <c r="AI62" t="str">
        <f>IF(AG62="","",SUMIFS('Payroll(summary)'!#REF!,'Payroll(summary)'!#REF!,'KPI+Pivot'!AG62))</f>
        <v/>
      </c>
      <c r="AJ62" t="str">
        <f t="shared" ref="AJ62:AJ67" si="28">IFERROR(AI62-AH62,"")</f>
        <v/>
      </c>
      <c r="AK62" s="89" t="str">
        <f t="shared" ref="AK62:AK67" si="29">IFERROR(AJ62/AH62,"")</f>
        <v/>
      </c>
    </row>
    <row r="63" spans="33:37">
      <c r="AG63" t="str">
        <f t="shared" si="27"/>
        <v/>
      </c>
      <c r="AH63" t="str">
        <f>IF(AG63="","",SUMIFS('Payroll(summary)'!#REF!,'Payroll(summary)'!#REF!,'KPI+Pivot'!AG63))</f>
        <v/>
      </c>
      <c r="AI63" t="str">
        <f>IF(AG63="","",SUMIFS('Payroll(summary)'!#REF!,'Payroll(summary)'!#REF!,'KPI+Pivot'!AG63))</f>
        <v/>
      </c>
      <c r="AJ63" t="str">
        <f t="shared" si="28"/>
        <v/>
      </c>
      <c r="AK63" s="89" t="str">
        <f t="shared" si="29"/>
        <v/>
      </c>
    </row>
    <row r="64" spans="33:37">
      <c r="AG64" t="str">
        <f t="shared" si="27"/>
        <v/>
      </c>
      <c r="AH64" t="str">
        <f>IF(AG64="","",SUMIFS('Payroll(summary)'!#REF!,'Payroll(summary)'!#REF!,'KPI+Pivot'!AG64))</f>
        <v/>
      </c>
      <c r="AI64" t="str">
        <f>IF(AG64="","",SUMIFS('Payroll(summary)'!#REF!,'Payroll(summary)'!#REF!,'KPI+Pivot'!AG64))</f>
        <v/>
      </c>
      <c r="AJ64" t="str">
        <f t="shared" si="28"/>
        <v/>
      </c>
      <c r="AK64" s="89" t="str">
        <f t="shared" si="29"/>
        <v/>
      </c>
    </row>
    <row r="65" spans="33:37">
      <c r="AG65" t="str">
        <f t="shared" si="27"/>
        <v/>
      </c>
      <c r="AH65" t="str">
        <f>IF(AG65="","",SUMIFS('Payroll(summary)'!#REF!,'Payroll(summary)'!#REF!,'KPI+Pivot'!AG65))</f>
        <v/>
      </c>
      <c r="AI65" t="str">
        <f>IF(AG65="","",SUMIFS('Payroll(summary)'!#REF!,'Payroll(summary)'!#REF!,'KPI+Pivot'!AG65))</f>
        <v/>
      </c>
      <c r="AJ65" t="str">
        <f t="shared" si="28"/>
        <v/>
      </c>
      <c r="AK65" s="89" t="str">
        <f t="shared" si="29"/>
        <v/>
      </c>
    </row>
    <row r="66" spans="33:37">
      <c r="AG66" t="str">
        <f t="shared" si="27"/>
        <v/>
      </c>
      <c r="AH66" t="str">
        <f>IF(AG66="","",SUMIFS('Payroll(summary)'!#REF!,'Payroll(summary)'!#REF!,'KPI+Pivot'!AG66))</f>
        <v/>
      </c>
      <c r="AI66" t="str">
        <f>IF(AG66="","",SUMIFS('Payroll(summary)'!#REF!,'Payroll(summary)'!#REF!,'KPI+Pivot'!AG66))</f>
        <v/>
      </c>
      <c r="AJ66" t="str">
        <f t="shared" si="28"/>
        <v/>
      </c>
      <c r="AK66" s="89" t="str">
        <f t="shared" si="29"/>
        <v/>
      </c>
    </row>
    <row r="67" spans="33:37">
      <c r="AG67" t="str">
        <f t="shared" si="27"/>
        <v/>
      </c>
      <c r="AH67" t="str">
        <f>IF(AG67="","",SUMIFS('Payroll(summary)'!#REF!,'Payroll(summary)'!#REF!,'KPI+Pivot'!AG67))</f>
        <v/>
      </c>
      <c r="AI67" t="str">
        <f>IF(AG67="","",SUMIFS('Payroll(summary)'!#REF!,'Payroll(summary)'!#REF!,'KPI+Pivot'!AG67))</f>
        <v/>
      </c>
      <c r="AJ67" t="str">
        <f t="shared" si="28"/>
        <v/>
      </c>
      <c r="AK67" s="89" t="str">
        <f t="shared" si="29"/>
        <v/>
      </c>
    </row>
  </sheetData>
  <mergeCells count="11">
    <mergeCell ref="B1:D1"/>
    <mergeCell ref="CI1:CJ1"/>
    <mergeCell ref="H1:L1"/>
    <mergeCell ref="N1:V1"/>
    <mergeCell ref="X1:AA1"/>
    <mergeCell ref="AP1:AW1"/>
    <mergeCell ref="AY1:BC1"/>
    <mergeCell ref="BX1:CD1"/>
    <mergeCell ref="BJ1:BV1"/>
    <mergeCell ref="BE1:BG1"/>
    <mergeCell ref="AC1:AK1"/>
  </mergeCells>
  <phoneticPr fontId="43"/>
  <conditionalFormatting sqref="AA5:AA16">
    <cfRule type="cellIs" dxfId="11" priority="1" operator="lessThan">
      <formula>0</formula>
    </cfRule>
  </conditionalFormatting>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B1"/>
  <sheetViews>
    <sheetView zoomScale="94" zoomScaleNormal="94" workbookViewId="0">
      <selection activeCell="X17" sqref="X17"/>
    </sheetView>
  </sheetViews>
  <sheetFormatPr defaultRowHeight="12.75"/>
  <cols>
    <col min="1" max="3" width="9.1328125" customWidth="1"/>
  </cols>
  <sheetData>
    <row r="1" spans="1:2">
      <c r="A1" s="298"/>
      <c r="B1" s="297"/>
    </row>
  </sheetData>
  <mergeCells count="1">
    <mergeCell ref="A1:B1"/>
  </mergeCells>
  <phoneticPr fontId="43"/>
  <pageMargins left="0.7" right="0.7" top="0.75" bottom="0.75" header="0.3" footer="0.3"/>
  <pageSetup paperSize="9" orientation="portrait"/>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dimension ref="B1:Z10"/>
  <sheetViews>
    <sheetView showGridLines="0" workbookViewId="0">
      <selection activeCell="J13" sqref="J13"/>
    </sheetView>
  </sheetViews>
  <sheetFormatPr defaultRowHeight="12.75"/>
  <cols>
    <col min="2" max="2" width="18" bestFit="1" customWidth="1"/>
    <col min="3" max="3" width="10.1328125" bestFit="1" customWidth="1"/>
    <col min="4" max="4" width="11.265625" bestFit="1" customWidth="1"/>
    <col min="5" max="5" width="4.3984375" bestFit="1" customWidth="1"/>
    <col min="6" max="7" width="6" bestFit="1" customWidth="1"/>
    <col min="8" max="8" width="5" bestFit="1" customWidth="1"/>
    <col min="9" max="9" width="6" bestFit="1" customWidth="1"/>
    <col min="10" max="10" width="4.1328125" bestFit="1" customWidth="1"/>
    <col min="11" max="11" width="6" bestFit="1" customWidth="1"/>
    <col min="12" max="13" width="10.86328125" bestFit="1" customWidth="1"/>
    <col min="15" max="15" width="12.59765625" bestFit="1" customWidth="1"/>
    <col min="16" max="16" width="10.1328125" bestFit="1" customWidth="1"/>
    <col min="17" max="17" width="11.265625" bestFit="1" customWidth="1"/>
    <col min="18" max="18" width="5" bestFit="1" customWidth="1"/>
    <col min="19" max="20" width="6.73046875" bestFit="1" customWidth="1"/>
    <col min="21" max="21" width="5.73046875" bestFit="1" customWidth="1"/>
    <col min="22" max="22" width="5" bestFit="1" customWidth="1"/>
    <col min="23" max="23" width="4.1328125" bestFit="1" customWidth="1"/>
    <col min="24" max="24" width="6.73046875" bestFit="1" customWidth="1"/>
    <col min="25" max="26" width="10.86328125" bestFit="1" customWidth="1"/>
  </cols>
  <sheetData>
    <row r="1" spans="2:26">
      <c r="B1" s="304" t="s">
        <v>1902</v>
      </c>
      <c r="C1" s="297"/>
      <c r="D1" s="297"/>
      <c r="E1" s="297"/>
      <c r="F1" s="297"/>
      <c r="G1" s="297"/>
      <c r="H1" s="297"/>
      <c r="I1" s="297"/>
      <c r="J1" s="297"/>
      <c r="K1" s="297"/>
      <c r="L1" s="297"/>
      <c r="M1" s="297"/>
      <c r="O1" s="304" t="s">
        <v>1903</v>
      </c>
      <c r="P1" s="297"/>
      <c r="Q1" s="297"/>
      <c r="R1" s="297"/>
      <c r="S1" s="297"/>
      <c r="T1" s="297"/>
      <c r="U1" s="297"/>
      <c r="V1" s="297"/>
      <c r="W1" s="297"/>
      <c r="X1" s="297"/>
      <c r="Y1" s="297"/>
      <c r="Z1" s="297"/>
    </row>
    <row r="5" spans="2:26">
      <c r="B5" s="128" t="s">
        <v>1904</v>
      </c>
      <c r="C5" s="128" t="s">
        <v>1905</v>
      </c>
      <c r="D5" s="128"/>
      <c r="O5" s="128" t="s">
        <v>1906</v>
      </c>
      <c r="P5" s="128" t="s">
        <v>1905</v>
      </c>
      <c r="Q5" s="128"/>
    </row>
    <row r="6" spans="2:26">
      <c r="B6" s="128" t="s">
        <v>9</v>
      </c>
      <c r="C6" s="128" t="s">
        <v>1840</v>
      </c>
      <c r="D6" s="128" t="s">
        <v>1907</v>
      </c>
      <c r="O6" s="128" t="s">
        <v>9</v>
      </c>
      <c r="P6" s="128" t="s">
        <v>1840</v>
      </c>
      <c r="Q6" s="128" t="s">
        <v>1907</v>
      </c>
    </row>
    <row r="7" spans="2:26">
      <c r="B7" s="129" t="s">
        <v>109</v>
      </c>
      <c r="C7" s="128">
        <v>0</v>
      </c>
      <c r="D7" s="128">
        <v>0</v>
      </c>
      <c r="O7" s="129" t="s">
        <v>109</v>
      </c>
      <c r="P7" s="128">
        <v>0</v>
      </c>
      <c r="Q7" s="128">
        <v>0</v>
      </c>
    </row>
    <row r="8" spans="2:26">
      <c r="B8" s="129" t="s">
        <v>196</v>
      </c>
      <c r="C8" s="128">
        <v>20800</v>
      </c>
      <c r="D8" s="128">
        <v>20800</v>
      </c>
      <c r="O8" s="129" t="s">
        <v>196</v>
      </c>
      <c r="P8" s="128">
        <v>18800</v>
      </c>
      <c r="Q8" s="128">
        <v>18800</v>
      </c>
    </row>
    <row r="9" spans="2:26">
      <c r="B9" s="129" t="s">
        <v>494</v>
      </c>
      <c r="C9" s="128">
        <v>12000</v>
      </c>
      <c r="D9" s="128">
        <v>12000</v>
      </c>
      <c r="O9" s="129" t="s">
        <v>494</v>
      </c>
      <c r="P9" s="128">
        <v>7800</v>
      </c>
      <c r="Q9" s="128">
        <v>7800</v>
      </c>
    </row>
    <row r="10" spans="2:26">
      <c r="B10" s="129" t="s">
        <v>1907</v>
      </c>
      <c r="C10" s="128">
        <v>32800</v>
      </c>
      <c r="D10" s="128">
        <v>32800</v>
      </c>
      <c r="O10" s="129" t="s">
        <v>1907</v>
      </c>
      <c r="P10" s="128">
        <v>26600</v>
      </c>
      <c r="Q10" s="128">
        <v>26600</v>
      </c>
    </row>
  </sheetData>
  <mergeCells count="2">
    <mergeCell ref="O1:Z1"/>
    <mergeCell ref="B1:M1"/>
  </mergeCells>
  <phoneticPr fontId="43"/>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10"/>
  <sheetViews>
    <sheetView workbookViewId="0">
      <selection activeCell="A11" sqref="A11"/>
    </sheetView>
  </sheetViews>
  <sheetFormatPr defaultRowHeight="12.75"/>
  <sheetData>
    <row r="1" spans="1:1">
      <c r="A1">
        <v>2018</v>
      </c>
    </row>
    <row r="2" spans="1:1">
      <c r="A2">
        <f t="shared" ref="A2:A9" si="0">A1+1</f>
        <v>2019</v>
      </c>
    </row>
    <row r="3" spans="1:1">
      <c r="A3">
        <f t="shared" si="0"/>
        <v>2020</v>
      </c>
    </row>
    <row r="4" spans="1:1">
      <c r="A4">
        <f t="shared" si="0"/>
        <v>2021</v>
      </c>
    </row>
    <row r="5" spans="1:1">
      <c r="A5">
        <f t="shared" si="0"/>
        <v>2022</v>
      </c>
    </row>
    <row r="6" spans="1:1">
      <c r="A6">
        <f t="shared" si="0"/>
        <v>2023</v>
      </c>
    </row>
    <row r="7" spans="1:1">
      <c r="A7">
        <f t="shared" si="0"/>
        <v>2024</v>
      </c>
    </row>
    <row r="8" spans="1:1">
      <c r="A8">
        <f t="shared" si="0"/>
        <v>2025</v>
      </c>
    </row>
    <row r="9" spans="1:1">
      <c r="A9">
        <f t="shared" si="0"/>
        <v>2026</v>
      </c>
    </row>
    <row r="10" spans="1:1">
      <c r="A10" t="s">
        <v>1908</v>
      </c>
    </row>
  </sheetData>
  <phoneticPr fontId="43"/>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dimension ref="A1:D5"/>
  <sheetViews>
    <sheetView workbookViewId="0">
      <selection activeCell="G2" sqref="G2"/>
    </sheetView>
  </sheetViews>
  <sheetFormatPr defaultRowHeight="12.75"/>
  <cols>
    <col min="1" max="1" width="7.59765625" bestFit="1" customWidth="1"/>
    <col min="2" max="2" width="8.1328125" bestFit="1" customWidth="1"/>
    <col min="3" max="3" width="17.265625" bestFit="1" customWidth="1"/>
    <col min="4" max="4" width="14" bestFit="1" customWidth="1"/>
  </cols>
  <sheetData>
    <row r="1" spans="1:4">
      <c r="A1" t="s">
        <v>9</v>
      </c>
      <c r="B1" t="s">
        <v>54</v>
      </c>
      <c r="C1" t="s">
        <v>55</v>
      </c>
      <c r="D1" t="s">
        <v>1909</v>
      </c>
    </row>
    <row r="2" spans="1:4">
      <c r="A2" t="s">
        <v>196</v>
      </c>
      <c r="B2" t="s">
        <v>1910</v>
      </c>
      <c r="C2">
        <v>2600</v>
      </c>
    </row>
    <row r="3" spans="1:4">
      <c r="A3" t="s">
        <v>109</v>
      </c>
      <c r="B3" t="s">
        <v>1212</v>
      </c>
      <c r="C3">
        <v>210000</v>
      </c>
    </row>
    <row r="4" spans="1:4">
      <c r="A4" t="s">
        <v>494</v>
      </c>
      <c r="B4" t="s">
        <v>1910</v>
      </c>
      <c r="C4">
        <v>3000</v>
      </c>
    </row>
    <row r="5" spans="1:4">
      <c r="A5" t="s">
        <v>553</v>
      </c>
    </row>
  </sheetData>
  <phoneticPr fontId="43"/>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12</vt:i4>
      </vt:variant>
    </vt:vector>
  </HeadingPairs>
  <TitlesOfParts>
    <vt:vector size="12" baseType="lpstr">
      <vt:lpstr>Students</vt:lpstr>
      <vt:lpstr>F 2026</vt:lpstr>
      <vt:lpstr>F 2025</vt:lpstr>
      <vt:lpstr>Rico</vt:lpstr>
      <vt:lpstr>Cafe</vt:lpstr>
      <vt:lpstr>Taiken</vt:lpstr>
      <vt:lpstr>DropdownValues</vt:lpstr>
      <vt:lpstr>KPI+Pivot</vt:lpstr>
      <vt:lpstr>Dashboard</vt:lpstr>
      <vt:lpstr>Payroll(summary)</vt:lpstr>
      <vt:lpstr>Data validation</vt:lpstr>
      <vt:lpstr>Teachers Salaries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Lenovo</cp:lastModifiedBy>
  <dcterms:created xsi:type="dcterms:W3CDTF">2025-03-23T01:25:38Z</dcterms:created>
  <dcterms:modified xsi:type="dcterms:W3CDTF">2026-06-04T11:50:17Z</dcterms:modified>
</cp:coreProperties>
</file>