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M:\Git\bee-school-knowledge\事務\"/>
    </mc:Choice>
  </mc:AlternateContent>
  <xr:revisionPtr revIDLastSave="0" documentId="13_ncr:1_{FC39D6B3-91B3-457B-AAC0-C41B9A0F2C5E}" xr6:coauthVersionLast="47" xr6:coauthVersionMax="47" xr10:uidLastSave="{00000000-0000-0000-0000-000000000000}"/>
  <bookViews>
    <workbookView xWindow="-25320" yWindow="-1095" windowWidth="25440" windowHeight="15390" tabRatio="587" activeTab="5"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2026'!$A$1:$AC$75</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41" i="13" l="1"/>
  <c r="P41" i="13"/>
  <c r="AF10" i="13"/>
  <c r="P10" i="13"/>
  <c r="AE76" i="13"/>
  <c r="AF2" i="13"/>
  <c r="AF3" i="13"/>
  <c r="AF4" i="13"/>
  <c r="AF5" i="13"/>
  <c r="AF6" i="13"/>
  <c r="AF7" i="13"/>
  <c r="AF8" i="13"/>
  <c r="AF9" i="13"/>
  <c r="AF11" i="13"/>
  <c r="AF12" i="13"/>
  <c r="AF13" i="13"/>
  <c r="AF14" i="13"/>
  <c r="AF15" i="13"/>
  <c r="AF16" i="13"/>
  <c r="AF17" i="13"/>
  <c r="AF18" i="13"/>
  <c r="AF19" i="13"/>
  <c r="AF20" i="13"/>
  <c r="AF21" i="13"/>
  <c r="AF22" i="13"/>
  <c r="AF23" i="13"/>
  <c r="AF24" i="13"/>
  <c r="AF25" i="13"/>
  <c r="AF26" i="13"/>
  <c r="AF27" i="13"/>
  <c r="AF28" i="13"/>
  <c r="AF29" i="13"/>
  <c r="AF30" i="13"/>
  <c r="AF31" i="13"/>
  <c r="AF32" i="13"/>
  <c r="AF33" i="13"/>
  <c r="AF34" i="13"/>
  <c r="AF35" i="13"/>
  <c r="AF36" i="13"/>
  <c r="AF37" i="13"/>
  <c r="AF38" i="13"/>
  <c r="AF39" i="13"/>
  <c r="AF40" i="13"/>
  <c r="AF42" i="13"/>
  <c r="AF43" i="13"/>
  <c r="AF44" i="13"/>
  <c r="AF45" i="13"/>
  <c r="AF46" i="13"/>
  <c r="AF47" i="13"/>
  <c r="AF49" i="13"/>
  <c r="AF50" i="13"/>
  <c r="AF51" i="13"/>
  <c r="AF52" i="13"/>
  <c r="AF53" i="13"/>
  <c r="AF54" i="13"/>
  <c r="AF55" i="13"/>
  <c r="AF56" i="13"/>
  <c r="AF57" i="13"/>
  <c r="AF58" i="13"/>
  <c r="AF59" i="13"/>
  <c r="AF60" i="13"/>
  <c r="AF61" i="13"/>
  <c r="AF62" i="13"/>
  <c r="AF64" i="13"/>
  <c r="AF65" i="13"/>
  <c r="AF68" i="13"/>
  <c r="AF69" i="13"/>
  <c r="AF72" i="13"/>
  <c r="AF73" i="13"/>
  <c r="AF75" i="13"/>
  <c r="AF48" i="13"/>
  <c r="S4" i="13"/>
  <c r="S32" i="13"/>
  <c r="S12" i="13"/>
  <c r="S20" i="13"/>
  <c r="S11" i="13"/>
  <c r="S34" i="13"/>
  <c r="S38" i="13"/>
  <c r="S39" i="13"/>
  <c r="S40" i="13"/>
  <c r="S42" i="13"/>
  <c r="S75" i="13"/>
  <c r="S43" i="13"/>
  <c r="S44" i="13"/>
  <c r="S45" i="13"/>
  <c r="S46" i="13"/>
  <c r="S47" i="13"/>
  <c r="S48" i="13"/>
  <c r="S49" i="13"/>
  <c r="S50" i="13"/>
  <c r="S51" i="13"/>
  <c r="S52" i="13"/>
  <c r="S53" i="13"/>
  <c r="S54" i="13"/>
  <c r="S55" i="13"/>
  <c r="S56" i="13"/>
  <c r="S57" i="13"/>
  <c r="S58" i="13"/>
  <c r="S59" i="13"/>
  <c r="S60" i="13"/>
  <c r="S61" i="13"/>
  <c r="S63" i="13"/>
  <c r="P4" i="13"/>
  <c r="S21" i="13"/>
  <c r="S24" i="13"/>
  <c r="S7" i="13"/>
  <c r="S17" i="13"/>
  <c r="S8" i="13"/>
  <c r="S9" i="13"/>
  <c r="S3" i="13"/>
  <c r="S16" i="13"/>
  <c r="S13" i="13"/>
  <c r="S14" i="13"/>
  <c r="S35" i="13"/>
  <c r="S36" i="13"/>
  <c r="S2" i="13"/>
  <c r="S23" i="13"/>
  <c r="S28" i="13"/>
  <c r="S6" i="13"/>
  <c r="S26" i="13"/>
  <c r="S27" i="13"/>
  <c r="S15" i="13"/>
  <c r="S37" i="13"/>
  <c r="S5" i="13"/>
  <c r="S30" i="13"/>
  <c r="S33" i="13"/>
  <c r="S29" i="13"/>
  <c r="S31" i="13"/>
  <c r="S19" i="13"/>
  <c r="P24" i="13"/>
  <c r="P7" i="13"/>
  <c r="P17" i="13"/>
  <c r="P8" i="13"/>
  <c r="P9" i="13"/>
  <c r="P3" i="13"/>
  <c r="P16" i="13"/>
  <c r="P13" i="13"/>
  <c r="P14" i="13"/>
  <c r="P35" i="13"/>
  <c r="P36" i="13"/>
  <c r="P2" i="13"/>
  <c r="P23" i="13"/>
  <c r="P28" i="13"/>
  <c r="P6" i="13"/>
  <c r="P26" i="13"/>
  <c r="P27" i="13"/>
  <c r="P15" i="13"/>
  <c r="P37" i="13"/>
  <c r="P5" i="13"/>
  <c r="P30" i="13"/>
  <c r="P33" i="13"/>
  <c r="P29" i="13"/>
  <c r="P31" i="13"/>
  <c r="P19" i="13"/>
  <c r="P32" i="13"/>
  <c r="P12" i="13"/>
  <c r="P20" i="13"/>
  <c r="P11" i="13"/>
  <c r="P34" i="13"/>
  <c r="P38" i="13"/>
  <c r="P39" i="13"/>
  <c r="P40" i="13"/>
  <c r="P42" i="13"/>
  <c r="P75" i="13"/>
  <c r="P43" i="13"/>
  <c r="P44" i="13"/>
  <c r="P45" i="13"/>
  <c r="P46" i="13"/>
  <c r="P47" i="13"/>
  <c r="P48" i="13"/>
  <c r="P49" i="13"/>
  <c r="P50" i="13"/>
  <c r="P51" i="13"/>
  <c r="P52" i="13"/>
  <c r="P53" i="13"/>
  <c r="P54" i="13"/>
  <c r="P55" i="13"/>
  <c r="P56" i="13"/>
  <c r="P57" i="13"/>
  <c r="P58" i="13"/>
  <c r="P59" i="13"/>
  <c r="P60" i="13"/>
  <c r="P61" i="13"/>
  <c r="P62" i="13"/>
  <c r="P63" i="13"/>
  <c r="P21" i="13"/>
  <c r="N13" i="13"/>
  <c r="N24" i="13"/>
  <c r="N7" i="13"/>
  <c r="N17" i="13"/>
  <c r="N8" i="13"/>
  <c r="N9" i="13"/>
  <c r="N22" i="13"/>
  <c r="N3" i="13"/>
  <c r="N16" i="13"/>
  <c r="N14" i="13"/>
  <c r="N35" i="13"/>
  <c r="N36" i="13"/>
  <c r="N2" i="13"/>
  <c r="N18" i="13"/>
  <c r="N23" i="13"/>
  <c r="N28" i="13"/>
  <c r="N6" i="13"/>
  <c r="N26" i="13"/>
  <c r="N27" i="13"/>
  <c r="N15" i="13"/>
  <c r="N37" i="13"/>
  <c r="N5" i="13"/>
  <c r="N30" i="13"/>
  <c r="N33" i="13"/>
  <c r="N29" i="13"/>
  <c r="N31" i="13"/>
  <c r="N19" i="13"/>
  <c r="N25" i="13"/>
  <c r="N4" i="13"/>
  <c r="N32" i="13"/>
  <c r="N12" i="13"/>
  <c r="N20" i="13"/>
  <c r="N11" i="13"/>
  <c r="N34" i="13"/>
  <c r="N38" i="13"/>
  <c r="N39" i="13"/>
  <c r="N40" i="13"/>
  <c r="N42" i="13"/>
  <c r="N75" i="13"/>
  <c r="N43" i="13"/>
  <c r="N44" i="13"/>
  <c r="N45" i="13"/>
  <c r="N46" i="13"/>
  <c r="N47" i="13"/>
  <c r="N48" i="13"/>
  <c r="N49" i="13"/>
  <c r="N50" i="13"/>
  <c r="N51" i="13"/>
  <c r="N52" i="13"/>
  <c r="N53" i="13"/>
  <c r="N54" i="13"/>
  <c r="N56" i="13"/>
  <c r="N57" i="13"/>
  <c r="N58" i="13"/>
  <c r="N59" i="13"/>
  <c r="N60" i="13"/>
  <c r="N61" i="13"/>
  <c r="N62" i="13"/>
  <c r="N21"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6"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BK180" i="1"/>
  <c r="BI180" i="1"/>
  <c r="BG180" i="1"/>
  <c r="AZ180" i="1"/>
  <c r="AX180" i="1"/>
  <c r="BK4" i="1"/>
  <c r="BI4" i="1"/>
  <c r="BG4" i="1"/>
  <c r="AZ4" i="1"/>
  <c r="AX4" i="1"/>
  <c r="BK143" i="1"/>
  <c r="BI143" i="1"/>
  <c r="BG143" i="1"/>
  <c r="AZ143" i="1"/>
  <c r="AX143" i="1"/>
  <c r="BK56" i="1"/>
  <c r="BI56" i="1"/>
  <c r="BG56" i="1"/>
  <c r="AZ56" i="1"/>
  <c r="AX56" i="1"/>
  <c r="BK203" i="1"/>
  <c r="BI203" i="1"/>
  <c r="BG203" i="1"/>
  <c r="AZ203" i="1"/>
  <c r="AX203" i="1"/>
  <c r="BK6" i="1"/>
  <c r="BI6" i="1"/>
  <c r="BG6" i="1"/>
  <c r="AZ6" i="1"/>
  <c r="AX6" i="1"/>
  <c r="BK116" i="1"/>
  <c r="BI116" i="1"/>
  <c r="BG116" i="1"/>
  <c r="AZ116" i="1"/>
  <c r="AX116" i="1"/>
  <c r="BK121" i="1"/>
  <c r="BI121" i="1"/>
  <c r="BG121" i="1"/>
  <c r="AZ121" i="1"/>
  <c r="AX121" i="1"/>
  <c r="BK62" i="1"/>
  <c r="BI62" i="1"/>
  <c r="AW62" i="1"/>
  <c r="AX62" i="1"/>
  <c r="AZ62" i="1"/>
  <c r="BG62" i="1"/>
  <c r="BK31" i="1"/>
  <c r="BI31" i="1"/>
  <c r="BG31" i="1"/>
  <c r="AZ31" i="1"/>
  <c r="AX31" i="1"/>
  <c r="BK195" i="1"/>
  <c r="BI195" i="1"/>
  <c r="BG195" i="1"/>
  <c r="AZ195" i="1"/>
  <c r="AX195" i="1"/>
  <c r="BK201" i="1"/>
  <c r="BI201" i="1"/>
  <c r="BG201" i="1"/>
  <c r="AZ201" i="1"/>
  <c r="AX201" i="1"/>
  <c r="BK43" i="1"/>
  <c r="BI43" i="1"/>
  <c r="BG43" i="1"/>
  <c r="AZ43" i="1"/>
  <c r="AX43" i="1"/>
  <c r="AZ120" i="1"/>
  <c r="AX120" i="1"/>
  <c r="BK160" i="1"/>
  <c r="BI160" i="1"/>
  <c r="BG160" i="1"/>
  <c r="AZ160" i="1"/>
  <c r="AX160" i="1"/>
  <c r="BK108" i="1"/>
  <c r="BI108" i="1"/>
  <c r="BG108" i="1"/>
  <c r="AZ108" i="1"/>
  <c r="AX108" i="1"/>
  <c r="BK98" i="1"/>
  <c r="BI98" i="1"/>
  <c r="BG98" i="1"/>
  <c r="AZ98" i="1"/>
  <c r="AX98" i="1"/>
  <c r="AZ81" i="1"/>
  <c r="AX81" i="1"/>
  <c r="BK198" i="1"/>
  <c r="BI198" i="1"/>
  <c r="BG198" i="1"/>
  <c r="AZ198" i="1"/>
  <c r="AX198" i="1"/>
  <c r="BK53" i="1"/>
  <c r="BI53" i="1"/>
  <c r="BG53" i="1"/>
  <c r="AZ53" i="1"/>
  <c r="AX53" i="1"/>
  <c r="BK105" i="1"/>
  <c r="BI105" i="1"/>
  <c r="BG105" i="1"/>
  <c r="AZ105" i="1"/>
  <c r="AX105" i="1"/>
  <c r="BK207" i="1"/>
  <c r="BI207" i="1"/>
  <c r="BG207" i="1"/>
  <c r="AZ207" i="1"/>
  <c r="AX207" i="1"/>
  <c r="BK3" i="1"/>
  <c r="BI3" i="1"/>
  <c r="BG3" i="1"/>
  <c r="AZ3" i="1"/>
  <c r="AX3" i="1"/>
  <c r="AX168" i="1"/>
  <c r="AZ168" i="1"/>
  <c r="BG168" i="1"/>
  <c r="BI168" i="1"/>
  <c r="BK168" i="1"/>
  <c r="AZ97" i="1"/>
  <c r="AX97" i="1"/>
  <c r="AX156" i="1"/>
  <c r="AZ156" i="1"/>
  <c r="BG156" i="1"/>
  <c r="BI156" i="1"/>
  <c r="BK156" i="1"/>
  <c r="BK39" i="1"/>
  <c r="BI39" i="1"/>
  <c r="BG39" i="1"/>
  <c r="AZ39" i="1"/>
  <c r="AX39" i="1"/>
  <c r="BK37" i="1"/>
  <c r="BI37" i="1"/>
  <c r="BG37" i="1"/>
  <c r="AZ37" i="1"/>
  <c r="AX37" i="1"/>
  <c r="AZ220" i="1"/>
  <c r="AX220" i="1"/>
  <c r="BK93" i="1"/>
  <c r="BI93" i="1"/>
  <c r="BG93" i="1"/>
  <c r="AZ93" i="1"/>
  <c r="AX93" i="1"/>
  <c r="AX48" i="1"/>
  <c r="AZ48" i="1"/>
  <c r="BG48" i="1"/>
  <c r="BI48" i="1"/>
  <c r="BK48" i="1"/>
  <c r="BK71" i="1"/>
  <c r="BI71" i="1"/>
  <c r="AX71" i="1"/>
  <c r="AZ71" i="1"/>
  <c r="BG71" i="1"/>
  <c r="AX33" i="1"/>
  <c r="AZ33" i="1"/>
  <c r="BG33" i="1"/>
  <c r="BI33" i="1"/>
  <c r="BK33" i="1"/>
  <c r="BK90" i="1"/>
  <c r="BI90" i="1"/>
  <c r="AX90" i="1"/>
  <c r="AZ90" i="1"/>
  <c r="BG90" i="1"/>
  <c r="AX52" i="1"/>
  <c r="AZ52" i="1"/>
  <c r="BG52" i="1"/>
  <c r="BI52" i="1"/>
  <c r="BK52" i="1"/>
  <c r="AX213" i="1"/>
  <c r="AZ213" i="1"/>
  <c r="BG213" i="1"/>
  <c r="BI213" i="1"/>
  <c r="BK213" i="1"/>
  <c r="AX83" i="1"/>
  <c r="AZ83" i="1"/>
  <c r="BG83" i="1"/>
  <c r="BI83" i="1"/>
  <c r="BK83" i="1"/>
  <c r="BK115" i="1"/>
  <c r="BI115" i="1"/>
  <c r="BG115" i="1"/>
  <c r="AZ115" i="1"/>
  <c r="AX115" i="1"/>
  <c r="BK55" i="1"/>
  <c r="BI55" i="1"/>
  <c r="BG55" i="1"/>
  <c r="AZ55" i="1"/>
  <c r="AX55" i="1"/>
  <c r="BK110" i="1"/>
  <c r="BI110" i="1"/>
  <c r="AX110" i="1"/>
  <c r="AZ110" i="1"/>
  <c r="BG110" i="1"/>
  <c r="BK29" i="1"/>
  <c r="BI29" i="1"/>
  <c r="BG29" i="1"/>
  <c r="AZ29" i="1"/>
  <c r="AX29" i="1"/>
  <c r="AX80" i="1"/>
  <c r="AZ80" i="1"/>
  <c r="BG80" i="1"/>
  <c r="BI80" i="1"/>
  <c r="BK80" i="1"/>
  <c r="AX148" i="1"/>
  <c r="AZ148" i="1"/>
  <c r="BG148" i="1"/>
  <c r="BI148" i="1"/>
  <c r="BK148" i="1"/>
  <c r="AX205" i="1"/>
  <c r="AZ205" i="1"/>
  <c r="BG205" i="1"/>
  <c r="BI205" i="1"/>
  <c r="BK205" i="1"/>
  <c r="AX186" i="1"/>
  <c r="AZ186" i="1"/>
  <c r="BG186" i="1"/>
  <c r="BI186" i="1"/>
  <c r="BK186" i="1"/>
  <c r="BK19" i="1"/>
  <c r="AX19" i="1"/>
  <c r="AZ19" i="1"/>
  <c r="BG19" i="1"/>
  <c r="BI19" i="1"/>
  <c r="BK157" i="1"/>
  <c r="BI157" i="1"/>
  <c r="BG157" i="1"/>
  <c r="AZ157" i="1"/>
  <c r="AX157" i="1"/>
  <c r="BK185" i="1"/>
  <c r="BI185" i="1"/>
  <c r="BG185" i="1"/>
  <c r="AZ185" i="1"/>
  <c r="AX185" i="1"/>
  <c r="BK100" i="1"/>
  <c r="BI100" i="1"/>
  <c r="BG100" i="1"/>
  <c r="AZ100" i="1"/>
  <c r="AX100" i="1"/>
  <c r="BK87" i="1"/>
  <c r="BI87" i="1"/>
  <c r="BG87" i="1"/>
  <c r="AZ87" i="1"/>
  <c r="AX87" i="1"/>
  <c r="BK147" i="1"/>
  <c r="BI147" i="1"/>
  <c r="BG147" i="1"/>
  <c r="AZ147" i="1"/>
  <c r="AX147" i="1"/>
  <c r="BK127" i="1"/>
  <c r="BI127" i="1"/>
  <c r="BG127" i="1"/>
  <c r="AZ127" i="1"/>
  <c r="AX127" i="1"/>
  <c r="BK187" i="1"/>
  <c r="BI187" i="1"/>
  <c r="BG187" i="1"/>
  <c r="AZ187" i="1"/>
  <c r="AX187" i="1"/>
  <c r="AZ162" i="1"/>
  <c r="AX162" i="1"/>
  <c r="BK101" i="1"/>
  <c r="BI101" i="1"/>
  <c r="BG101" i="1"/>
  <c r="AZ101" i="1"/>
  <c r="AX101" i="1"/>
  <c r="BK174" i="1"/>
  <c r="BI174" i="1"/>
  <c r="BG174" i="1"/>
  <c r="AZ174" i="1"/>
  <c r="AX174" i="1"/>
  <c r="AZ50" i="1"/>
  <c r="AX50" i="1"/>
  <c r="BK9" i="1"/>
  <c r="BI9" i="1"/>
  <c r="BG9" i="1"/>
  <c r="AZ9" i="1"/>
  <c r="AX9" i="1"/>
  <c r="AZ150" i="1"/>
  <c r="AX150" i="1"/>
  <c r="AX77" i="1"/>
  <c r="AZ77" i="1"/>
  <c r="BG77" i="1"/>
  <c r="BI77" i="1"/>
  <c r="BK77" i="1"/>
  <c r="AX176" i="1"/>
  <c r="AZ176" i="1"/>
  <c r="BG176" i="1"/>
  <c r="BI176" i="1"/>
  <c r="BK176" i="1"/>
  <c r="AZ183" i="1"/>
  <c r="AX183" i="1"/>
  <c r="BK49" i="1"/>
  <c r="BI49" i="1"/>
  <c r="BG49" i="1"/>
  <c r="AZ49" i="1"/>
  <c r="AX49" i="1"/>
  <c r="BK208" i="1"/>
  <c r="BI208" i="1"/>
  <c r="BG208" i="1"/>
  <c r="AZ208" i="1"/>
  <c r="AX208" i="1"/>
  <c r="AX92" i="1"/>
  <c r="AZ92" i="1"/>
  <c r="BG92" i="1"/>
  <c r="BI92" i="1"/>
  <c r="BK92" i="1"/>
  <c r="AZ223" i="1"/>
  <c r="AX223" i="1"/>
  <c r="BK216" i="1"/>
  <c r="BI216" i="1"/>
  <c r="BG216" i="1"/>
  <c r="AZ216" i="1"/>
  <c r="AX216" i="1"/>
  <c r="BK181" i="1"/>
  <c r="BI181" i="1"/>
  <c r="BG181" i="1"/>
  <c r="AZ181" i="1"/>
  <c r="AX181" i="1"/>
  <c r="AX194" i="1"/>
  <c r="AZ194" i="1"/>
  <c r="BG194" i="1"/>
  <c r="BI194" i="1"/>
  <c r="BK194" i="1"/>
  <c r="AX177" i="1"/>
  <c r="AZ177" i="1"/>
  <c r="BG177" i="1"/>
  <c r="BI177" i="1"/>
  <c r="BK177" i="1"/>
  <c r="AZ225" i="1"/>
  <c r="AX225" i="1"/>
  <c r="BK99" i="1"/>
  <c r="BI99" i="1"/>
  <c r="BG99" i="1"/>
  <c r="AZ99" i="1"/>
  <c r="AX99" i="1"/>
  <c r="BK191" i="1"/>
  <c r="BI191" i="1"/>
  <c r="BG191" i="1"/>
  <c r="AZ191" i="1"/>
  <c r="AX191" i="1"/>
  <c r="BK152" i="1"/>
  <c r="BI152" i="1"/>
  <c r="BG152" i="1"/>
  <c r="AZ152" i="1"/>
  <c r="AX152" i="1"/>
  <c r="AX163" i="1"/>
  <c r="AZ163" i="1"/>
  <c r="BG163" i="1"/>
  <c r="BI163" i="1"/>
  <c r="BK163" i="1"/>
  <c r="AX54" i="1"/>
  <c r="AZ54" i="1"/>
  <c r="BG54" i="1"/>
  <c r="BI54" i="1"/>
  <c r="BK54" i="1"/>
  <c r="AX107" i="1"/>
  <c r="AZ107" i="1"/>
  <c r="BG107" i="1"/>
  <c r="BI107" i="1"/>
  <c r="BK107" i="1"/>
  <c r="AX46" i="1"/>
  <c r="AZ46" i="1"/>
  <c r="BG46" i="1"/>
  <c r="BI46" i="1"/>
  <c r="BK46" i="1"/>
  <c r="BK103" i="1"/>
  <c r="BI103" i="1"/>
  <c r="BG103" i="1"/>
  <c r="AZ103" i="1"/>
  <c r="AX103" i="1"/>
  <c r="BK192" i="1"/>
  <c r="BI192" i="1"/>
  <c r="BG192" i="1"/>
  <c r="AZ192" i="1"/>
  <c r="AX192" i="1"/>
  <c r="AZ218" i="1"/>
  <c r="AX218" i="1"/>
  <c r="BK57" i="1"/>
  <c r="BI57" i="1"/>
  <c r="BG57" i="1"/>
  <c r="AZ57" i="1"/>
  <c r="AX57" i="1"/>
  <c r="BK184" i="1"/>
  <c r="BI184" i="1"/>
  <c r="AX184" i="1"/>
  <c r="AZ184" i="1"/>
  <c r="BG184" i="1"/>
  <c r="AZ82" i="1"/>
  <c r="AX82" i="1"/>
  <c r="BK68" i="1"/>
  <c r="BI68" i="1"/>
  <c r="BG68" i="1"/>
  <c r="AZ68" i="1"/>
  <c r="AX68" i="1"/>
  <c r="BK69" i="1"/>
  <c r="BI69" i="1"/>
  <c r="BG69" i="1"/>
  <c r="AZ69" i="1"/>
  <c r="AX69" i="1"/>
  <c r="BK76" i="1"/>
  <c r="BI76" i="1"/>
  <c r="BG76" i="1"/>
  <c r="AZ76" i="1"/>
  <c r="AX76" i="1"/>
  <c r="AX38" i="1"/>
  <c r="AZ38" i="1"/>
  <c r="BG38" i="1"/>
  <c r="BI38" i="1"/>
  <c r="BK38" i="1"/>
  <c r="BK63" i="1"/>
  <c r="BI63" i="1"/>
  <c r="BG63" i="1"/>
  <c r="AZ63" i="1"/>
  <c r="AX63" i="1"/>
  <c r="AX73" i="1"/>
  <c r="AZ73" i="1"/>
  <c r="BG73" i="1"/>
  <c r="BI73" i="1"/>
  <c r="BK73" i="1"/>
  <c r="AX206" i="1"/>
  <c r="AZ206" i="1"/>
  <c r="BG206" i="1"/>
  <c r="BI206" i="1"/>
  <c r="BK206" i="1"/>
  <c r="AW85" i="1"/>
  <c r="AX85" i="1"/>
  <c r="AZ85" i="1"/>
  <c r="BG85" i="1"/>
  <c r="BI85" i="1"/>
  <c r="BK85" i="1"/>
  <c r="BK138" i="1"/>
  <c r="BI138" i="1"/>
  <c r="BG138" i="1"/>
  <c r="AZ138" i="1"/>
  <c r="AX138" i="1"/>
  <c r="BK217" i="1"/>
  <c r="BI217" i="1"/>
  <c r="BG217" i="1"/>
  <c r="AZ217" i="1"/>
  <c r="AX217" i="1"/>
  <c r="AW217" i="1"/>
  <c r="AZ155" i="1"/>
  <c r="AX155" i="1"/>
  <c r="BK117" i="1"/>
  <c r="BI117" i="1"/>
  <c r="BG117" i="1"/>
  <c r="AZ117" i="1"/>
  <c r="AX117" i="1"/>
  <c r="AZ227" i="1"/>
  <c r="AX227" i="1"/>
  <c r="AZ118" i="1"/>
  <c r="AX118" i="1"/>
  <c r="AX158" i="1"/>
  <c r="AZ158" i="1"/>
  <c r="BG158" i="1"/>
  <c r="BI158" i="1"/>
  <c r="BK158" i="1"/>
  <c r="BK212" i="1"/>
  <c r="BI212" i="1"/>
  <c r="BG212" i="1"/>
  <c r="AZ212" i="1"/>
  <c r="AX212" i="1"/>
  <c r="AX193" i="1"/>
  <c r="AZ193" i="1"/>
  <c r="BG193" i="1"/>
  <c r="BI193" i="1"/>
  <c r="BK193" i="1"/>
  <c r="AX133" i="1"/>
  <c r="AZ133" i="1"/>
  <c r="BG133" i="1"/>
  <c r="BI133" i="1"/>
  <c r="BK133" i="1"/>
  <c r="BK13" i="1"/>
  <c r="BI13" i="1"/>
  <c r="BG13" i="1"/>
  <c r="AZ13" i="1"/>
  <c r="AX13" i="1"/>
  <c r="AX20" i="1"/>
  <c r="AZ20" i="1"/>
  <c r="BG20" i="1"/>
  <c r="BI20" i="1"/>
  <c r="BK20" i="1"/>
  <c r="BK34" i="1"/>
  <c r="BI34" i="1"/>
  <c r="BG34" i="1"/>
  <c r="AZ34" i="1"/>
  <c r="AX34" i="1"/>
  <c r="BK146" i="1"/>
  <c r="BI146" i="1"/>
  <c r="BG146" i="1"/>
  <c r="AZ146" i="1"/>
  <c r="AX146" i="1"/>
  <c r="AX129" i="1"/>
  <c r="AZ129" i="1"/>
  <c r="BG129" i="1"/>
  <c r="BI129" i="1"/>
  <c r="BK129" i="1"/>
  <c r="AX126" i="1"/>
  <c r="AZ126" i="1"/>
  <c r="BG126" i="1"/>
  <c r="BI126" i="1"/>
  <c r="BK126" i="1"/>
  <c r="AX132" i="1"/>
  <c r="AZ132" i="1"/>
  <c r="BG132" i="1"/>
  <c r="BI132" i="1"/>
  <c r="BK132" i="1"/>
  <c r="AX91" i="1"/>
  <c r="AZ91" i="1"/>
  <c r="BG91" i="1"/>
  <c r="BI91" i="1"/>
  <c r="BK91" i="1"/>
  <c r="AZ229" i="1"/>
  <c r="AX229" i="1"/>
  <c r="AZ102" i="1"/>
  <c r="AX102" i="1"/>
  <c r="AZ178" i="1"/>
  <c r="AX178" i="1"/>
  <c r="AX86" i="1"/>
  <c r="AZ86" i="1"/>
  <c r="BG86" i="1"/>
  <c r="BI86" i="1"/>
  <c r="BK86" i="1"/>
  <c r="BK109" i="1"/>
  <c r="AX109" i="1"/>
  <c r="AZ109" i="1"/>
  <c r="BG109" i="1"/>
  <c r="BI109" i="1"/>
  <c r="AX128" i="1"/>
  <c r="AZ128" i="1"/>
  <c r="BG128" i="1"/>
  <c r="BI128" i="1"/>
  <c r="BK128" i="1"/>
  <c r="AX40" i="1"/>
  <c r="AZ40" i="1"/>
  <c r="BG40" i="1"/>
  <c r="BI40" i="1"/>
  <c r="BK40" i="1"/>
  <c r="BK112" i="1"/>
  <c r="BI112" i="1"/>
  <c r="BG112" i="1"/>
  <c r="AZ112" i="1"/>
  <c r="AX112" i="1"/>
  <c r="BK173" i="1"/>
  <c r="BI173" i="1"/>
  <c r="BG173" i="1"/>
  <c r="AZ173" i="1"/>
  <c r="AX173" i="1"/>
  <c r="AX94" i="1"/>
  <c r="AZ94" i="1"/>
  <c r="BG94" i="1"/>
  <c r="BI94" i="1"/>
  <c r="BK94" i="1"/>
  <c r="AZ136" i="1"/>
  <c r="AX136" i="1"/>
  <c r="BK25" i="1"/>
  <c r="BI25" i="1"/>
  <c r="BG25" i="1"/>
  <c r="AZ25" i="1"/>
  <c r="AX25" i="1"/>
  <c r="BK135" i="1"/>
  <c r="BI135" i="1"/>
  <c r="BG135" i="1"/>
  <c r="AZ135" i="1"/>
  <c r="AX135" i="1"/>
  <c r="BK124" i="1"/>
  <c r="BI124" i="1"/>
  <c r="BG124" i="1"/>
  <c r="AZ124" i="1"/>
  <c r="AX124" i="1"/>
  <c r="AX84" i="1"/>
  <c r="AZ84" i="1"/>
  <c r="BG84" i="1"/>
  <c r="BI84" i="1"/>
  <c r="BK84" i="1"/>
  <c r="AX141" i="1"/>
  <c r="AZ141" i="1"/>
  <c r="BG141" i="1"/>
  <c r="BI141" i="1"/>
  <c r="BK141" i="1"/>
  <c r="AZ233" i="1"/>
  <c r="AX233" i="1"/>
  <c r="AX130" i="1"/>
  <c r="AZ130" i="1"/>
  <c r="BG130" i="1"/>
  <c r="BI130" i="1"/>
  <c r="BK130" i="1"/>
  <c r="AX79" i="1"/>
  <c r="AZ79" i="1"/>
  <c r="BG79" i="1"/>
  <c r="BI79" i="1"/>
  <c r="BK79" i="1"/>
  <c r="AX111" i="1"/>
  <c r="AZ111" i="1"/>
  <c r="BG111" i="1"/>
  <c r="BI111" i="1"/>
  <c r="BK111" i="1"/>
  <c r="AX114" i="1"/>
  <c r="AZ114" i="1"/>
  <c r="BG114" i="1"/>
  <c r="BI114" i="1"/>
  <c r="BK114" i="1"/>
  <c r="AX144" i="1"/>
  <c r="AZ144" i="1"/>
  <c r="BG144" i="1"/>
  <c r="BI144" i="1"/>
  <c r="BK144" i="1"/>
  <c r="AX45" i="1"/>
  <c r="AZ45" i="1"/>
  <c r="BG45" i="1"/>
  <c r="BI45" i="1"/>
  <c r="BK45" i="1"/>
  <c r="BK210" i="1"/>
  <c r="BI210" i="1"/>
  <c r="BG210" i="1"/>
  <c r="AZ210" i="1"/>
  <c r="AX210" i="1"/>
  <c r="BK134" i="1"/>
  <c r="BI134" i="1"/>
  <c r="BG134" i="1"/>
  <c r="AZ134" i="1"/>
  <c r="AX134" i="1"/>
  <c r="AZ170" i="1"/>
  <c r="AX170" i="1"/>
  <c r="AZ226" i="1"/>
  <c r="AX226" i="1"/>
  <c r="AX22" i="1"/>
  <c r="AZ22" i="1"/>
  <c r="BG22" i="1"/>
  <c r="BI22" i="1"/>
  <c r="BK22" i="1"/>
  <c r="BK70" i="1"/>
  <c r="BI70" i="1"/>
  <c r="BG70" i="1"/>
  <c r="AZ70" i="1"/>
  <c r="AX70" i="1"/>
  <c r="AX137" i="1"/>
  <c r="AZ137" i="1"/>
  <c r="BG137" i="1"/>
  <c r="BI137" i="1"/>
  <c r="BK137" i="1"/>
  <c r="AZ24" i="1"/>
  <c r="AX24" i="1"/>
  <c r="AX106" i="1"/>
  <c r="AZ106" i="1"/>
  <c r="BG106" i="1"/>
  <c r="BI106" i="1"/>
  <c r="BK106" i="1"/>
  <c r="AZ202" i="1"/>
  <c r="AX202" i="1"/>
  <c r="AX32" i="1"/>
  <c r="AZ32" i="1"/>
  <c r="BG32" i="1"/>
  <c r="BI32" i="1"/>
  <c r="BK32" i="1"/>
  <c r="AX142" i="1"/>
  <c r="AZ142" i="1"/>
  <c r="BG142" i="1"/>
  <c r="BI142" i="1"/>
  <c r="BK142" i="1"/>
  <c r="AX42" i="1"/>
  <c r="AZ42" i="1"/>
  <c r="BG42" i="1"/>
  <c r="BI42" i="1"/>
  <c r="BK42" i="1"/>
  <c r="AZ188" i="1"/>
  <c r="AX188" i="1"/>
  <c r="BK66" i="1"/>
  <c r="BI66" i="1"/>
  <c r="AX66" i="1"/>
  <c r="AZ66" i="1"/>
  <c r="BG66" i="1"/>
  <c r="AX36" i="1"/>
  <c r="AZ36" i="1"/>
  <c r="BG36" i="1"/>
  <c r="BI36" i="1"/>
  <c r="BK36" i="1"/>
  <c r="BK189" i="1"/>
  <c r="BI189" i="1"/>
  <c r="BG189" i="1"/>
  <c r="AZ189" i="1"/>
  <c r="AX189" i="1"/>
  <c r="BK113" i="1"/>
  <c r="BI113" i="1"/>
  <c r="BG113" i="1"/>
  <c r="AZ113" i="1"/>
  <c r="AX113" i="1"/>
  <c r="BK214" i="1"/>
  <c r="BI214" i="1"/>
  <c r="BG214" i="1"/>
  <c r="AZ214" i="1"/>
  <c r="AX214" i="1"/>
  <c r="AX47" i="1"/>
  <c r="AZ47" i="1"/>
  <c r="BG47" i="1"/>
  <c r="BI47" i="1"/>
  <c r="BK47" i="1"/>
  <c r="AZ154" i="1"/>
  <c r="AX154" i="1"/>
  <c r="AX74" i="1"/>
  <c r="AZ74" i="1"/>
  <c r="BG74" i="1"/>
  <c r="BI74" i="1"/>
  <c r="BK74" i="1"/>
  <c r="AZ7" i="1"/>
  <c r="AX7" i="1"/>
  <c r="AZ232" i="1"/>
  <c r="AX232" i="1"/>
  <c r="BK65" i="1"/>
  <c r="BI65" i="1"/>
  <c r="BG65" i="1"/>
  <c r="AZ65" i="1"/>
  <c r="AX65" i="1"/>
  <c r="AZ221" i="1"/>
  <c r="AX221" i="1"/>
  <c r="AX139" i="1"/>
  <c r="AZ139" i="1"/>
  <c r="BG139" i="1"/>
  <c r="BI139" i="1"/>
  <c r="BK139" i="1"/>
  <c r="BK122" i="1"/>
  <c r="BI122" i="1"/>
  <c r="BG122" i="1"/>
  <c r="AZ122" i="1"/>
  <c r="AX122" i="1"/>
  <c r="AX211" i="1"/>
  <c r="AZ211" i="1"/>
  <c r="BG211" i="1"/>
  <c r="BI211" i="1"/>
  <c r="BK211" i="1"/>
  <c r="AX67" i="1"/>
  <c r="AZ67" i="1"/>
  <c r="BG67" i="1"/>
  <c r="BI67" i="1"/>
  <c r="BK67" i="1"/>
  <c r="AX59" i="1"/>
  <c r="AZ59" i="1"/>
  <c r="BG59" i="1"/>
  <c r="BI59" i="1"/>
  <c r="BK59" i="1"/>
  <c r="BK164" i="1"/>
  <c r="AX164" i="1"/>
  <c r="AZ164" i="1"/>
  <c r="BG164" i="1"/>
  <c r="BI164" i="1"/>
  <c r="BK30" i="1"/>
  <c r="AX30" i="1"/>
  <c r="AZ30" i="1"/>
  <c r="BG30" i="1"/>
  <c r="BI30" i="1"/>
  <c r="BK179" i="1"/>
  <c r="AX179" i="1"/>
  <c r="AZ179" i="1"/>
  <c r="BG179" i="1"/>
  <c r="BI179" i="1"/>
  <c r="AX172" i="1"/>
  <c r="AZ172" i="1"/>
  <c r="BG172" i="1"/>
  <c r="BI172" i="1"/>
  <c r="BK172" i="1"/>
  <c r="BK204" i="1"/>
  <c r="BI204" i="1"/>
  <c r="BG204" i="1"/>
  <c r="AZ204" i="1"/>
  <c r="AX204" i="1"/>
  <c r="AW204" i="1"/>
  <c r="BK131" i="1"/>
  <c r="BI131" i="1"/>
  <c r="BG131" i="1"/>
  <c r="AZ131" i="1"/>
  <c r="AX131" i="1"/>
  <c r="AW224" i="1"/>
  <c r="AX224" i="1"/>
  <c r="AZ224" i="1"/>
  <c r="BG224" i="1"/>
  <c r="BI224" i="1"/>
  <c r="BK224" i="1"/>
  <c r="BK10" i="1"/>
  <c r="BI10" i="1"/>
  <c r="BG10" i="1"/>
  <c r="AZ10" i="1"/>
  <c r="AX10" i="1"/>
  <c r="BK44" i="1"/>
  <c r="BI44" i="1"/>
  <c r="BG44" i="1"/>
  <c r="AZ44" i="1"/>
  <c r="AX44" i="1"/>
  <c r="BK21" i="1"/>
  <c r="BI21" i="1"/>
  <c r="BG21" i="1"/>
  <c r="AZ21" i="1"/>
  <c r="AX21" i="1"/>
  <c r="AZ167" i="1"/>
  <c r="AX167" i="1"/>
  <c r="AX26" i="1"/>
  <c r="AZ26" i="1"/>
  <c r="BG26" i="1"/>
  <c r="BI26" i="1"/>
  <c r="BK26" i="1"/>
  <c r="AX215" i="1"/>
  <c r="AZ215" i="1"/>
  <c r="BG215" i="1"/>
  <c r="BI215" i="1"/>
  <c r="BK215" i="1"/>
  <c r="AZ2" i="1"/>
  <c r="BG2" i="1"/>
  <c r="BI2" i="1"/>
  <c r="BK2" i="1"/>
  <c r="AX72" i="1"/>
  <c r="AZ72" i="1"/>
  <c r="BG72" i="1"/>
  <c r="BI72" i="1"/>
  <c r="BK72" i="1"/>
  <c r="AX219" i="1"/>
  <c r="AZ219" i="1"/>
  <c r="BG219" i="1"/>
  <c r="BI219" i="1"/>
  <c r="BK219" i="1"/>
  <c r="AX5" i="1"/>
  <c r="AZ5" i="1"/>
  <c r="BG5" i="1"/>
  <c r="BI5" i="1"/>
  <c r="BK5" i="1"/>
  <c r="BK23" i="1"/>
  <c r="BI23" i="1"/>
  <c r="BG23" i="1"/>
  <c r="AZ23" i="1"/>
  <c r="AX23" i="1"/>
  <c r="AX61" i="1"/>
  <c r="AZ61" i="1"/>
  <c r="BG61" i="1"/>
  <c r="BI61" i="1"/>
  <c r="BK61" i="1"/>
  <c r="BK27" i="1"/>
  <c r="BI27" i="1"/>
  <c r="BG27" i="1"/>
  <c r="AZ27" i="1"/>
  <c r="AX27" i="1"/>
  <c r="AZ8" i="1"/>
  <c r="AX8" i="1"/>
  <c r="AX60" i="1"/>
  <c r="AZ60" i="1"/>
  <c r="BG60" i="1"/>
  <c r="BI60" i="1"/>
  <c r="BK60" i="1"/>
  <c r="AZ230" i="1"/>
  <c r="AX230" i="1"/>
  <c r="AZ171" i="1"/>
  <c r="AX171" i="1"/>
  <c r="AX58" i="1"/>
  <c r="AZ58" i="1"/>
  <c r="BG58" i="1"/>
  <c r="BI58" i="1"/>
  <c r="BK58" i="1"/>
  <c r="AX28" i="1"/>
  <c r="AZ28" i="1"/>
  <c r="BG28" i="1"/>
  <c r="BI28" i="1"/>
  <c r="BK28" i="1"/>
  <c r="AX153" i="1"/>
  <c r="AZ153" i="1"/>
  <c r="BG153" i="1"/>
  <c r="BI153" i="1"/>
  <c r="BK153" i="1"/>
  <c r="AX35" i="1"/>
  <c r="AZ35" i="1"/>
  <c r="BG35" i="1"/>
  <c r="BI35" i="1"/>
  <c r="BK35" i="1"/>
  <c r="AX140" i="1"/>
  <c r="AZ140" i="1"/>
  <c r="BG140" i="1"/>
  <c r="BI140" i="1"/>
  <c r="BK140" i="1"/>
  <c r="BK166" i="1"/>
  <c r="BI166" i="1"/>
  <c r="AX166" i="1"/>
  <c r="AZ166" i="1"/>
  <c r="BG166" i="1"/>
  <c r="AX41" i="1"/>
  <c r="AZ41" i="1"/>
  <c r="BG41" i="1"/>
  <c r="BI41" i="1"/>
  <c r="BK41" i="1"/>
  <c r="BK190" i="1"/>
  <c r="BI190" i="1"/>
  <c r="AX190" i="1"/>
  <c r="AZ190" i="1"/>
  <c r="BG190" i="1"/>
  <c r="BK89" i="1"/>
  <c r="BI89" i="1"/>
  <c r="AX89" i="1"/>
  <c r="AZ89" i="1"/>
  <c r="BG89" i="1"/>
  <c r="AX123" i="1"/>
  <c r="AZ123" i="1"/>
  <c r="BG123" i="1"/>
  <c r="BI123" i="1"/>
  <c r="BK123" i="1"/>
  <c r="BK14" i="1"/>
  <c r="BI14" i="1"/>
  <c r="AX14" i="1"/>
  <c r="AZ14" i="1"/>
  <c r="BG14" i="1"/>
  <c r="AZ161" i="1"/>
  <c r="AX161" i="1"/>
  <c r="BK151" i="1"/>
  <c r="BI151" i="1"/>
  <c r="AX151" i="1"/>
  <c r="AZ151" i="1"/>
  <c r="BG151" i="1"/>
  <c r="AZ51" i="1"/>
  <c r="AX51" i="1"/>
  <c r="AX104" i="1"/>
  <c r="AZ104" i="1"/>
  <c r="BG104" i="1"/>
  <c r="BI104" i="1"/>
  <c r="BK104" i="1"/>
  <c r="AX12" i="1"/>
  <c r="AZ12" i="1"/>
  <c r="BG12" i="1"/>
  <c r="BI12" i="1"/>
  <c r="BK12" i="1"/>
  <c r="AX88" i="1"/>
  <c r="AZ88" i="1"/>
  <c r="BG88" i="1"/>
  <c r="BI88" i="1"/>
  <c r="BK88" i="1"/>
  <c r="AX15" i="1"/>
  <c r="AZ15" i="1"/>
  <c r="BG15" i="1"/>
  <c r="BI15" i="1"/>
  <c r="BK15" i="1"/>
  <c r="AX236" i="1"/>
  <c r="AX159" i="1"/>
  <c r="AZ159" i="1"/>
  <c r="BG159" i="1"/>
  <c r="BI159" i="1"/>
  <c r="BK159" i="1"/>
  <c r="BK18" i="1"/>
  <c r="AX18" i="1"/>
  <c r="AZ18" i="1"/>
  <c r="BG18" i="1"/>
  <c r="BI18" i="1"/>
  <c r="BK64" i="1"/>
  <c r="AX64" i="1"/>
  <c r="AZ64" i="1"/>
  <c r="BG64" i="1"/>
  <c r="BI64" i="1"/>
  <c r="BK165" i="1"/>
  <c r="AX165" i="1"/>
  <c r="AZ165" i="1"/>
  <c r="BG165" i="1"/>
  <c r="BI165" i="1"/>
  <c r="AX119" i="1"/>
  <c r="AZ119" i="1"/>
  <c r="BG119" i="1"/>
  <c r="BI119" i="1"/>
  <c r="BK119" i="1"/>
  <c r="AZ234" i="1"/>
  <c r="AX234" i="1"/>
  <c r="AX199" i="1"/>
  <c r="AZ199" i="1"/>
  <c r="BG199" i="1"/>
  <c r="BI199" i="1"/>
  <c r="BK199" i="1"/>
  <c r="BK16" i="1"/>
  <c r="AX16" i="1"/>
  <c r="AZ16" i="1"/>
  <c r="BG16" i="1"/>
  <c r="BI16" i="1"/>
  <c r="BK11" i="1"/>
  <c r="AX11" i="1"/>
  <c r="AZ11" i="1"/>
  <c r="BG11" i="1"/>
  <c r="BI11" i="1"/>
  <c r="AX96" i="1"/>
  <c r="AZ96" i="1"/>
  <c r="BG96" i="1"/>
  <c r="BI96" i="1"/>
  <c r="BK96" i="1"/>
  <c r="AX200" i="1"/>
  <c r="AZ200" i="1"/>
  <c r="BG200" i="1"/>
  <c r="BI200" i="1"/>
  <c r="BK200" i="1"/>
  <c r="AX231" i="1"/>
  <c r="AZ231" i="1"/>
  <c r="BG231" i="1"/>
  <c r="BI231" i="1"/>
  <c r="BK231" i="1"/>
  <c r="AX196" i="1"/>
  <c r="AZ196" i="1"/>
  <c r="BG196" i="1"/>
  <c r="BI196" i="1"/>
  <c r="BK196" i="1"/>
  <c r="AX17" i="1"/>
  <c r="AZ17" i="1"/>
  <c r="BG17" i="1"/>
  <c r="BI17" i="1"/>
  <c r="BK17" i="1"/>
  <c r="AX149" i="1"/>
  <c r="AZ149" i="1"/>
  <c r="BG149" i="1"/>
  <c r="BI149" i="1"/>
  <c r="BK149" i="1"/>
  <c r="AX145" i="1"/>
  <c r="AZ145" i="1"/>
  <c r="BG145" i="1"/>
  <c r="BI145" i="1"/>
  <c r="BK145" i="1"/>
  <c r="AX197" i="1"/>
  <c r="AZ197" i="1"/>
  <c r="BG197" i="1"/>
  <c r="BI197" i="1"/>
  <c r="BK197" i="1"/>
  <c r="AZ228" i="1"/>
  <c r="AX228" i="1"/>
  <c r="AX209" i="1"/>
  <c r="AZ209" i="1"/>
  <c r="BG209" i="1"/>
  <c r="BI209" i="1"/>
  <c r="BK209" i="1"/>
  <c r="AX95" i="1"/>
  <c r="AZ95" i="1"/>
  <c r="BG95" i="1"/>
  <c r="BI95" i="1"/>
  <c r="BK95" i="1"/>
  <c r="AX222" i="1"/>
  <c r="AZ222" i="1"/>
  <c r="BG222" i="1"/>
  <c r="BI222" i="1"/>
  <c r="BK222" i="1"/>
  <c r="AX78" i="1"/>
  <c r="AZ78" i="1"/>
  <c r="BG78" i="1"/>
  <c r="BI78" i="1"/>
  <c r="BK78" i="1"/>
  <c r="AZ75" i="1"/>
  <c r="AX75" i="1"/>
  <c r="AW61" i="1"/>
  <c r="AW125" i="1"/>
  <c r="AX125" i="1"/>
  <c r="AZ125" i="1"/>
  <c r="BG125" i="1"/>
  <c r="BI125" i="1"/>
  <c r="BK125" i="1"/>
  <c r="AX175" i="1"/>
  <c r="AZ175" i="1"/>
  <c r="BG175" i="1"/>
  <c r="BI175" i="1"/>
  <c r="BK175" i="1"/>
  <c r="AZ182" i="1"/>
  <c r="AX2" i="1"/>
  <c r="AX182" i="1"/>
</calcChain>
</file>

<file path=xl/sharedStrings.xml><?xml version="1.0" encoding="utf-8"?>
<sst xmlns="http://schemas.openxmlformats.org/spreadsheetml/2006/main" count="6369" uniqueCount="2515">
  <si>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</si>
  <si>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</si>
  <si>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</si>
  <si>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</si>
  <si>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</si>
  <si>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</si>
  <si>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</si>
  <si>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</si>
  <si>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</si>
  <si>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</si>
  <si>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</si>
  <si>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</si>
  <si>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</si>
  <si>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</si>
  <si>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</si>
  <si>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</si>
  <si>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</si>
  <si>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</si>
  <si>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</si>
  <si>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</si>
  <si>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</si>
  <si>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</si>
  <si>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</si>
  <si>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</si>
  <si>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</si>
  <si>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</si>
  <si>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</si>
  <si>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</si>
  <si>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</si>
  <si>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</si>
  <si>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</si>
  <si>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</si>
  <si>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</si>
  <si>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</si>
  <si>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</si>
  <si>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</si>
  <si>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</si>
  <si>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</si>
  <si>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</si>
  <si>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</si>
  <si>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</si>
  <si>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</si>
  <si>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</si>
  <si>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</si>
  <si>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</si>
  <si>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</si>
  <si>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</si>
  <si>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</si>
  <si>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</si>
  <si>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</si>
  <si>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</si>
  <si>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</si>
  <si>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</si>
  <si>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</si>
  <si>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</si>
  <si>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</si>
  <si>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</si>
  <si>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</si>
  <si>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</si>
  <si>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</si>
  <si>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</si>
  <si>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</si>
  <si>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</si>
  <si>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</si>
  <si>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</si>
  <si>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</si>
  <si>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</si>
  <si>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</si>
  <si>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</si>
  <si>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</si>
  <si>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</si>
  <si>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</si>
  <si>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</si>
  <si>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</si>
  <si>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</si>
  <si>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</si>
  <si>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</si>
  <si>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</si>
  <si>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</si>
  <si>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</si>
  <si>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</si>
  <si>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</si>
  <si>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</si>
  <si>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</si>
  <si>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</si>
  <si>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</si>
  <si>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</si>
  <si>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</si>
  <si>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</si>
  <si>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</si>
  <si>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</si>
  <si>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</si>
  <si>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</si>
  <si>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</si>
  <si>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</si>
  <si>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</si>
  <si>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</si>
  <si>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</si>
  <si>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</si>
  <si>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</si>
  <si>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</si>
  <si>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</si>
  <si>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</si>
  <si>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</si>
  <si>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</si>
  <si>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</si>
  <si>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</si>
  <si>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</si>
  <si>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</si>
  <si>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</si>
  <si>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</si>
  <si>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</si>
  <si>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</si>
  <si>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</si>
  <si>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</si>
  <si>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</si>
  <si>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</si>
  <si>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</si>
  <si>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</si>
  <si>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</si>
  <si>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</si>
  <si>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</si>
  <si>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</si>
  <si>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</si>
  <si>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</si>
  <si>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</si>
  <si>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</si>
  <si>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</si>
  <si>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</si>
  <si>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</si>
  <si>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</si>
  <si>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</si>
  <si>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</si>
  <si>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</si>
  <si>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</si>
  <si>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</si>
  <si>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</si>
  <si>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</si>
  <si>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</si>
  <si>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</si>
  <si>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</si>
  <si>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</si>
  <si>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</si>
  <si>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</si>
  <si>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</si>
  <si>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</si>
  <si>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</si>
  <si>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</si>
  <si>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</si>
  <si>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</si>
  <si>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</si>
  <si>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</si>
  <si>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</si>
  <si>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</si>
  <si>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</si>
  <si>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</si>
  <si>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</si>
  <si>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</si>
  <si>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</si>
  <si>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</si>
  <si>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</si>
  <si>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</si>
  <si>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</si>
  <si>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</si>
  <si>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</si>
  <si>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</si>
  <si>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</si>
  <si>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</si>
  <si>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</si>
  <si>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</si>
  <si>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</si>
  <si>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</si>
  <si>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</si>
  <si>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</si>
  <si>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</si>
  <si>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</si>
  <si>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</si>
  <si>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</si>
  <si>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</si>
  <si>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</si>
  <si>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</si>
  <si>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</si>
  <si>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</si>
  <si>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</si>
  <si>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</si>
  <si>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</si>
  <si>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</si>
  <si>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</si>
  <si>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</si>
  <si>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</si>
  <si>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</si>
  <si>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</si>
  <si>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</si>
  <si>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</si>
  <si>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</si>
  <si>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</si>
  <si>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</si>
  <si>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</si>
  <si>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</si>
  <si>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</si>
  <si>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</si>
  <si>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</si>
  <si>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</si>
  <si>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</si>
  <si>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</si>
  <si>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</si>
  <si>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</si>
  <si>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</si>
  <si>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</si>
  <si>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</si>
  <si>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</si>
  <si>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</si>
  <si>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</si>
  <si>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</si>
  <si>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</si>
  <si>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</si>
  <si>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</si>
  <si>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</si>
  <si>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</si>
  <si>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</si>
  <si>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</si>
  <si>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</si>
  <si>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</si>
  <si>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</si>
  <si>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</si>
  <si>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</si>
  <si>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</si>
  <si>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</si>
  <si>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</si>
  <si>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</si>
  <si>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</si>
  <si>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</si>
  <si>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</si>
  <si>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</si>
  <si>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</si>
  <si>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</si>
  <si>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</si>
  <si>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</si>
  <si>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</si>
  <si>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</si>
  <si>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</si>
  <si>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</si>
  <si>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</si>
  <si>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</si>
  <si>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</si>
  <si>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</si>
  <si>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</si>
  <si>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</si>
  <si>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</si>
  <si>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</si>
  <si>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</si>
  <si>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</si>
  <si>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</si>
  <si>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</si>
  <si>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</si>
  <si>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</si>
  <si>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</si>
  <si>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</si>
  <si>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</si>
  <si>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</si>
  <si>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</si>
  <si>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</si>
  <si>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</si>
  <si>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</si>
  <si>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</si>
  <si>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</si>
  <si>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</si>
  <si>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</si>
  <si>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</si>
  <si>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</si>
  <si>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</si>
  <si>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</si>
  <si>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</si>
  <si>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</si>
  <si>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</si>
  <si>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</si>
  <si>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</si>
  <si>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</si>
  <si>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</si>
  <si>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</si>
  <si>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</si>
  <si>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</si>
  <si>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</si>
  <si>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</si>
  <si>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</si>
  <si>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</si>
  <si>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</si>
  <si>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</si>
  <si>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</si>
  <si>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</si>
  <si>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</si>
  <si>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</si>
  <si>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</si>
  <si>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</si>
  <si>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</si>
  <si>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</si>
  <si>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</si>
  <si>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</si>
  <si>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</si>
  <si>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</si>
  <si>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</si>
  <si>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</si>
  <si>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</si>
  <si>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</si>
  <si>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</si>
  <si>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</si>
  <si>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</si>
  <si>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</si>
  <si>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</si>
  <si>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</si>
  <si>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</si>
  <si>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</si>
  <si>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</si>
  <si>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</si>
  <si>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</si>
  <si>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</si>
  <si>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</si>
  <si>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</si>
  <si>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</si>
  <si>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</si>
  <si>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</si>
  <si>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</si>
  <si>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</si>
  <si>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</si>
  <si>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</si>
  <si>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</si>
  <si>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</si>
  <si>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</si>
  <si>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</si>
  <si>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</si>
  <si>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</si>
  <si>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</si>
  <si>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</si>
  <si>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</si>
  <si>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</si>
  <si>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</si>
  <si>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</si>
  <si>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</si>
  <si>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</si>
  <si>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</si>
  <si>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</si>
  <si>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</si>
  <si>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</si>
  <si>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</si>
  <si>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</si>
  <si>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</si>
  <si>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</si>
  <si>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</si>
  <si>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</si>
  <si>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</si>
  <si>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</si>
  <si>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</si>
  <si>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</si>
  <si>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</si>
  <si>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</si>
  <si>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</si>
  <si>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</si>
  <si>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</si>
  <si>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</si>
  <si>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</si>
  <si>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</si>
  <si>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</si>
  <si>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</si>
  <si>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</si>
  <si>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</si>
  <si>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</si>
  <si>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</si>
  <si>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</si>
  <si>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</si>
  <si>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</si>
  <si>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</si>
  <si>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</si>
  <si>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</si>
  <si>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</si>
  <si>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</si>
  <si>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</si>
  <si>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</si>
  <si>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</si>
  <si>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</si>
  <si>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</si>
  <si>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</si>
  <si>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</si>
  <si>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</si>
  <si>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</si>
  <si>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</si>
  <si>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</si>
  <si>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</si>
  <si>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</si>
  <si>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</si>
  <si>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</si>
  <si>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</si>
  <si>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</si>
  <si>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</si>
  <si>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</si>
  <si>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</si>
  <si>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</si>
  <si>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</si>
  <si>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</si>
  <si>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</si>
  <si>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</si>
  <si>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</si>
  <si>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</si>
  <si>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</si>
  <si>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</si>
  <si>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</si>
  <si>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</si>
  <si>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</si>
  <si>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</si>
  <si>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</si>
  <si>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</si>
  <si>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</si>
  <si>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</si>
  <si>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</si>
  <si>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</si>
  <si>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</si>
  <si>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</si>
  <si>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</si>
  <si>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</si>
  <si>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</si>
  <si>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</si>
  <si>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</si>
  <si>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</si>
  <si>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</si>
  <si>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</si>
  <si>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</si>
  <si>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</si>
  <si>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</si>
  <si>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</si>
  <si>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</si>
  <si>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</si>
  <si>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</si>
  <si>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</si>
  <si>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</si>
  <si>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</si>
  <si>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</si>
  <si>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</si>
  <si>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</si>
  <si>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</si>
  <si>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</si>
  <si>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</si>
  <si>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</si>
  <si>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</si>
  <si>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</si>
  <si>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</si>
  <si>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</si>
  <si>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</si>
  <si>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</si>
  <si>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</si>
  <si>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</si>
  <si>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</si>
  <si>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</si>
  <si>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</si>
  <si>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</si>
  <si>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</si>
  <si>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</si>
  <si>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</si>
  <si>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</si>
  <si>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</si>
  <si>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</si>
  <si>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</si>
  <si>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</si>
  <si>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</si>
  <si>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</si>
  <si>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</si>
  <si>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</si>
  <si>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</si>
  <si>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</si>
  <si>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</si>
  <si>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</si>
  <si>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</si>
  <si>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</si>
  <si>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</si>
  <si>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</si>
  <si>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</si>
  <si>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</si>
  <si>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</si>
  <si>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</si>
  <si>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</si>
  <si>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</si>
  <si>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</si>
  <si>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</si>
  <si>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</si>
  <si>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</si>
  <si>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</si>
  <si>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</si>
  <si>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</si>
  <si>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</si>
  <si>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</si>
  <si>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</si>
  <si>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</si>
  <si>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</si>
  <si>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</si>
  <si>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</si>
  <si>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</si>
  <si>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</si>
  <si>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</si>
  <si>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</si>
  <si>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</si>
  <si>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</si>
  <si>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</si>
  <si>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</si>
  <si>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</si>
  <si>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</si>
  <si>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</si>
  <si>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</si>
  <si>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</si>
  <si>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</si>
  <si>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</si>
  <si>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</si>
  <si>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</si>
  <si>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</si>
  <si>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</si>
  <si>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</si>
  <si>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</si>
  <si>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</si>
  <si>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</si>
  <si>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</si>
  <si>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</si>
  <si>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</si>
  <si>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</si>
  <si>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</si>
  <si>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</si>
  <si>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</si>
  <si>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</si>
  <si>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</si>
  <si>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</si>
  <si>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</si>
  <si>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</si>
  <si>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</si>
  <si>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</si>
  <si>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</si>
  <si>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</si>
  <si>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</si>
  <si>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</si>
  <si>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</si>
  <si>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</si>
  <si>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</si>
  <si>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</si>
  <si>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</si>
  <si>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</si>
  <si>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</si>
  <si>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</si>
  <si>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</si>
  <si>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</si>
  <si>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</si>
  <si>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</si>
  <si>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</si>
  <si>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</si>
  <si>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</si>
  <si>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</si>
  <si>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</si>
  <si>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</si>
  <si>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</si>
  <si>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</si>
  <si>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</si>
  <si>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</si>
  <si>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</si>
  <si>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</si>
  <si>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</si>
  <si>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</si>
  <si>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</si>
  <si>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</si>
  <si>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</si>
  <si>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</si>
  <si>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</si>
  <si>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</si>
  <si>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</si>
  <si>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</si>
  <si>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</si>
  <si>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</si>
  <si>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</si>
  <si>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</si>
  <si>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</si>
  <si>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</si>
  <si>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</si>
  <si>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</si>
  <si>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</si>
  <si>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</si>
  <si>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</si>
  <si>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</si>
  <si>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</si>
  <si>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</si>
  <si>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</si>
  <si>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</si>
  <si>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</si>
  <si>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</si>
  <si>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</si>
  <si>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</si>
  <si>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</si>
  <si>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</si>
  <si>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</si>
  <si>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</si>
  <si>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</si>
  <si>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</si>
  <si>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</si>
  <si>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</si>
  <si>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</si>
  <si>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</si>
  <si>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</si>
  <si>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</si>
  <si>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</si>
  <si>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</si>
  <si>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</si>
  <si>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</si>
  <si>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</si>
  <si>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</si>
  <si>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</si>
  <si>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</si>
  <si>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</si>
  <si>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</si>
  <si>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</si>
  <si>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</si>
  <si>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</si>
  <si>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</si>
  <si>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</si>
  <si>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</si>
  <si>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</si>
  <si>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</si>
  <si>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</si>
  <si>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</si>
  <si>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</si>
  <si>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</si>
  <si>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</si>
  <si>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</si>
  <si>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</si>
  <si>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</si>
  <si>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</si>
  <si>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</si>
  <si>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</si>
  <si>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</si>
  <si>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</si>
  <si>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</si>
  <si>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</si>
  <si>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</si>
  <si>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</si>
  <si>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</si>
  <si>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</si>
  <si>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</si>
  <si>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</si>
  <si>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</si>
  <si>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</si>
  <si>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</si>
  <si>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</si>
  <si>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</si>
  <si>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</si>
  <si>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</si>
  <si>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</si>
  <si>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</si>
  <si>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</si>
  <si>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</si>
  <si>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</si>
  <si>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</si>
  <si>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</si>
  <si>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</si>
  <si>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</si>
  <si>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</si>
  <si>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</si>
  <si>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</si>
  <si>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</si>
  <si>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</si>
  <si>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</si>
  <si>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</si>
  <si>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</si>
  <si>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</si>
  <si>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</si>
  <si>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</si>
  <si>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</si>
  <si>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</si>
  <si>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</si>
  <si>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</si>
  <si>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</si>
  <si>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</si>
  <si>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</si>
  <si>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</si>
  <si>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</si>
  <si>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</si>
  <si>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</si>
  <si>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</si>
  <si>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</si>
  <si>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</si>
  <si>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</si>
  <si>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</si>
  <si>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</si>
  <si>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</si>
  <si>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</si>
  <si>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</si>
  <si>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</si>
  <si>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</si>
  <si>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</si>
  <si>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</si>
  <si>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</si>
  <si>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</si>
  <si>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</si>
  <si>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</si>
  <si>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</si>
  <si>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</si>
  <si>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</si>
  <si>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</si>
  <si>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</si>
  <si>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</si>
  <si>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</si>
  <si>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</si>
  <si>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</si>
  <si>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</si>
  <si>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</si>
  <si>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</si>
  <si>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</si>
  <si>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</si>
  <si>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</si>
  <si>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</si>
  <si>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</si>
  <si>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</si>
  <si>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</si>
  <si>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</si>
  <si>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</si>
  <si>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</si>
  <si>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</si>
  <si>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</si>
  <si>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</si>
  <si>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</si>
  <si>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</si>
  <si>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</si>
  <si>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</si>
  <si>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</si>
  <si>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</si>
  <si>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</si>
  <si>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</si>
  <si>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</si>
  <si>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</si>
  <si>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</si>
  <si>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</si>
  <si>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</si>
  <si>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</si>
  <si>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</si>
  <si>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</si>
  <si>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</si>
  <si>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</si>
  <si>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</si>
  <si>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</si>
  <si>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</si>
  <si>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</si>
  <si>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</si>
  <si>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</si>
  <si>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</si>
  <si>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</si>
  <si>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</si>
  <si>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</si>
  <si>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</si>
  <si>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</si>
  <si>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</si>
  <si>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</si>
  <si>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</si>
  <si>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</si>
  <si>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</si>
  <si>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</si>
  <si>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</si>
  <si>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</si>
  <si>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</si>
  <si>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</si>
  <si>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</si>
  <si>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</si>
  <si>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</si>
  <si>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</si>
  <si>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</si>
  <si>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</si>
  <si>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</si>
  <si>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</si>
  <si>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</si>
  <si>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</si>
  <si>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</si>
  <si>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</si>
  <si>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</si>
  <si>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</si>
  <si>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</si>
  <si>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</si>
  <si>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</si>
  <si>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</si>
  <si>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</si>
  <si>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</si>
  <si>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</si>
  <si>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</si>
  <si>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</si>
  <si>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</si>
  <si>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</si>
  <si>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</si>
  <si>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</si>
  <si>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</si>
  <si>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</si>
  <si>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</si>
  <si>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</si>
  <si>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</si>
  <si>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</si>
  <si>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</si>
  <si>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</si>
  <si>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</si>
  <si>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</si>
  <si>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</si>
  <si>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</si>
  <si>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</si>
  <si>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</si>
  <si>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</si>
  <si>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</si>
  <si>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</si>
  <si>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</si>
  <si>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</si>
  <si>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</si>
  <si>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</si>
  <si>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</si>
  <si>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</si>
  <si>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</si>
  <si>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</si>
  <si>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</si>
  <si>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</si>
  <si>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</si>
  <si>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</si>
  <si>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</si>
  <si>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</si>
  <si>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</si>
  <si>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</si>
  <si>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</si>
  <si>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</si>
  <si>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</si>
  <si>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</si>
  <si>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</si>
  <si>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</si>
  <si>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</si>
  <si>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</si>
  <si>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</si>
  <si>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</si>
  <si>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</si>
  <si>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</si>
  <si>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</si>
  <si>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</si>
  <si>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</si>
  <si>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</si>
  <si>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</si>
  <si>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</si>
  <si>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</si>
  <si>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</si>
  <si>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</si>
  <si>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</si>
  <si>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</si>
  <si>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</si>
  <si>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</si>
  <si>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</si>
  <si>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</si>
  <si>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</si>
  <si>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</si>
  <si>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</si>
  <si>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</si>
  <si>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</si>
  <si>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</si>
  <si>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</si>
  <si>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</si>
  <si>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</si>
  <si>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</si>
  <si>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</si>
  <si>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</si>
  <si>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</si>
  <si>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</si>
  <si>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</si>
  <si>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</si>
  <si>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</si>
  <si>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</si>
  <si>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</si>
  <si>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</si>
  <si>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</si>
  <si>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</si>
  <si>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</si>
  <si>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</si>
  <si>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</si>
  <si>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</si>
  <si>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</si>
  <si>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</si>
  <si>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</si>
  <si>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</si>
  <si>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</si>
  <si>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</si>
  <si>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</si>
  <si>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</si>
  <si>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</si>
  <si>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</si>
  <si>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</si>
  <si>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</si>
  <si>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</si>
  <si>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</si>
  <si>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</si>
  <si>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</si>
  <si>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</si>
  <si>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</si>
  <si>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</si>
  <si>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</si>
  <si>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</si>
  <si>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</si>
  <si>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</si>
  <si>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</si>
  <si>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</si>
  <si>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</si>
  <si>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</si>
  <si>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</si>
  <si>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</si>
  <si>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</si>
  <si>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</si>
  <si>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</si>
  <si>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</si>
  <si>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</si>
  <si>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</si>
  <si>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</si>
  <si>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</si>
  <si>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</si>
  <si>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</si>
  <si>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</si>
  <si>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</si>
  <si>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</si>
  <si>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</si>
  <si>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</si>
  <si>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</si>
  <si>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</si>
  <si>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</si>
  <si>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</si>
  <si>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</si>
  <si>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</si>
  <si>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</si>
  <si>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</si>
  <si>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</si>
  <si>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</si>
  <si>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</si>
  <si>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</si>
  <si>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</si>
  <si>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</si>
  <si>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</si>
  <si>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</si>
  <si>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</si>
  <si>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</si>
  <si>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</si>
  <si>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</si>
  <si>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</si>
  <si>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</si>
  <si>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</si>
  <si>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</si>
  <si>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</si>
  <si>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</si>
  <si>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</si>
  <si>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</si>
  <si>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</si>
  <si>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</si>
  <si>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</si>
  <si>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</si>
  <si>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</si>
  <si>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</si>
  <si>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</si>
  <si>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</si>
  <si>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</si>
  <si>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</si>
  <si>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</si>
  <si>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</si>
  <si>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</si>
  <si>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</si>
  <si>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</si>
  <si>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</si>
  <si>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</si>
  <si>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</si>
  <si>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</si>
  <si>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</si>
  <si>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</si>
  <si>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</si>
  <si>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</si>
  <si>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</si>
  <si>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</si>
  <si>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</si>
  <si>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</si>
  <si>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</si>
  <si>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</si>
  <si>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</si>
  <si>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</si>
  <si>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</si>
  <si>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</si>
  <si>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</si>
  <si>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</si>
  <si>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</si>
  <si>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</si>
  <si>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</si>
  <si>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</si>
  <si>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</si>
  <si>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</si>
  <si>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</si>
  <si>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</si>
  <si>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</si>
  <si>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</si>
  <si>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</si>
  <si>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</si>
  <si>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</si>
  <si>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</si>
  <si>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</si>
  <si>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</si>
  <si>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</si>
  <si>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</si>
  <si>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</si>
  <si>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</si>
  <si>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</si>
  <si>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</si>
  <si>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</si>
  <si>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</si>
  <si>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</si>
  <si>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</si>
  <si>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</si>
  <si>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</si>
  <si>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</si>
  <si>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</si>
  <si>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</si>
  <si>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</si>
  <si>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</si>
  <si>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</si>
  <si>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</si>
  <si>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</si>
  <si>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</si>
  <si>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</si>
  <si>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</si>
  <si>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</si>
  <si>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</si>
  <si>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</si>
  <si>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</si>
  <si>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</si>
  <si>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</si>
  <si>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</si>
  <si>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</si>
  <si>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</si>
  <si>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</si>
  <si>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</si>
  <si>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</si>
  <si>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</si>
  <si>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</si>
  <si>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</si>
  <si>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</si>
  <si>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</si>
  <si>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</si>
  <si>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</si>
  <si>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</si>
  <si>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</si>
  <si>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</si>
  <si>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</si>
  <si>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</si>
  <si>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</si>
  <si>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</si>
  <si>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</si>
  <si>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</si>
  <si>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</si>
  <si>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</si>
  <si>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</si>
  <si>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</si>
  <si>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</si>
  <si>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</si>
  <si>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</si>
  <si>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</si>
  <si>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</si>
  <si>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</si>
  <si>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</si>
  <si>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</si>
  <si>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</si>
  <si>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</si>
  <si>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</si>
  <si>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</si>
  <si>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</si>
  <si>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</si>
  <si>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</si>
  <si>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</si>
  <si>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</si>
  <si>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</si>
  <si>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</si>
  <si>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</si>
  <si>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</si>
  <si>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</si>
  <si>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</si>
  <si>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</si>
  <si>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</si>
  <si>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</si>
  <si>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</si>
  <si>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</si>
  <si>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</si>
  <si>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</si>
  <si>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</si>
  <si>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</si>
  <si>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</si>
  <si>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</si>
  <si>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</si>
  <si>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</si>
  <si>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</si>
  <si>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</si>
  <si>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</si>
  <si>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</si>
  <si>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</si>
  <si>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</si>
  <si>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</si>
  <si>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</si>
  <si>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</si>
  <si>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</si>
  <si>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</si>
  <si>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</si>
  <si>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</si>
  <si>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</si>
  <si>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</si>
  <si>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</si>
  <si>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</si>
  <si>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</si>
  <si>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</si>
  <si>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</si>
  <si>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</si>
  <si>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</si>
  <si>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</si>
  <si>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</si>
  <si>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</si>
  <si>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</si>
  <si>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</si>
  <si>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</si>
  <si>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</si>
  <si>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</si>
  <si>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</si>
  <si>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</si>
  <si>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</si>
  <si>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</si>
  <si>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</si>
  <si>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</si>
  <si>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</si>
  <si>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</si>
  <si>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</si>
  <si>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</si>
  <si>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</si>
  <si>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</si>
  <si>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</si>
  <si>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</si>
  <si>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</si>
  <si>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</si>
  <si>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</si>
  <si>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</si>
  <si>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</si>
  <si>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</si>
  <si>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</si>
  <si>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</si>
  <si>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</si>
  <si>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</si>
  <si>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</si>
  <si>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</si>
  <si>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</si>
  <si>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</si>
  <si>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</si>
  <si>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</si>
  <si>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</si>
  <si>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</si>
  <si>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</si>
  <si>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</si>
  <si>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</si>
  <si>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</si>
  <si>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</si>
  <si>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</si>
  <si>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</si>
  <si>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</si>
  <si>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</si>
  <si>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</si>
  <si>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</si>
  <si>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</si>
  <si>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</si>
  <si>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</si>
  <si>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</si>
  <si>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</si>
  <si>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</si>
  <si>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</si>
  <si>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</si>
  <si>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</si>
  <si>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</si>
  <si>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</si>
  <si>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</si>
  <si>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</si>
  <si>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</si>
  <si>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</si>
  <si>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</si>
  <si>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</si>
  <si>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</si>
  <si>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</si>
  <si>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</si>
  <si>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</si>
  <si>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</si>
  <si>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</si>
  <si>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</si>
  <si>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</si>
  <si>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</si>
  <si>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</si>
  <si>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</si>
  <si>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</si>
  <si>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</si>
  <si>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</si>
  <si>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</si>
  <si>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</si>
  <si>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</si>
  <si>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</si>
  <si>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</si>
  <si>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</si>
  <si>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</si>
  <si>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</si>
  <si>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</si>
  <si>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</si>
  <si>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</si>
  <si>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</si>
  <si>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</si>
  <si>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</si>
  <si>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</si>
  <si>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</si>
  <si>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</si>
  <si>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</si>
  <si>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</si>
  <si>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</si>
  <si>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</si>
  <si>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</si>
  <si>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</si>
  <si>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</si>
  <si>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</si>
  <si>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</si>
  <si>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</si>
  <si>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</si>
  <si>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</si>
  <si>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</si>
  <si>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</si>
  <si>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</si>
  <si>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</si>
  <si>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</si>
  <si>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</si>
  <si>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</si>
  <si>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</si>
  <si>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</si>
  <si>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</si>
  <si>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</si>
  <si>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</si>
  <si>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</si>
  <si>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</si>
  <si>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</si>
  <si>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</si>
  <si>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</si>
  <si>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</si>
  <si>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</si>
  <si>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</si>
  <si>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</si>
  <si>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</si>
  <si>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</si>
  <si>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</si>
  <si>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</si>
  <si>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</si>
  <si>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</si>
  <si>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</si>
  <si>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</si>
  <si>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</si>
  <si>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</si>
  <si>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</si>
  <si>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</si>
  <si>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</si>
  <si>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</si>
  <si>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</si>
  <si>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</si>
  <si>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</si>
  <si>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</si>
  <si>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</si>
  <si>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</si>
  <si>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</si>
  <si>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</si>
  <si>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</si>
  <si>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</si>
  <si>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</si>
  <si>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</si>
  <si>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</si>
  <si>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</si>
  <si>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</si>
  <si>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</si>
  <si>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</si>
  <si>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</si>
  <si>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</si>
  <si>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</si>
  <si>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</si>
  <si>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</si>
  <si>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</si>
  <si>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</si>
  <si>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</si>
  <si>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</si>
  <si>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</si>
  <si>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</si>
  <si>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</si>
  <si>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</si>
  <si>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</si>
  <si>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</si>
  <si>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</si>
  <si>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</si>
  <si>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</si>
  <si>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</si>
  <si>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</si>
  <si>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</si>
  <si>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</si>
  <si>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</si>
  <si>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</si>
  <si>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</si>
  <si>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</si>
  <si>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</si>
  <si>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</si>
  <si>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</si>
  <si>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</si>
  <si>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</si>
  <si>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</si>
  <si>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</si>
  <si>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</si>
  <si>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</si>
  <si>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</si>
  <si>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</si>
  <si>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</si>
  <si>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</si>
  <si>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</si>
  <si>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</si>
  <si>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</si>
  <si>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</si>
  <si>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</si>
  <si>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</si>
  <si>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</si>
  <si>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</si>
  <si>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</si>
  <si>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</si>
  <si>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</si>
  <si>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</si>
  <si>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</si>
  <si>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</si>
  <si>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</si>
  <si>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</si>
  <si>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</si>
  <si>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</si>
  <si>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</si>
  <si>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</si>
  <si>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</si>
  <si>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</si>
  <si>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</si>
  <si>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</si>
  <si>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</si>
  <si>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</si>
  <si>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</si>
  <si>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</si>
  <si>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</si>
  <si>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</si>
  <si>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</si>
  <si>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</si>
  <si>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</si>
  <si>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</si>
  <si>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</si>
  <si>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</si>
  <si>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</si>
  <si>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</si>
  <si>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</si>
  <si>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</si>
  <si>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</si>
  <si>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</si>
  <si>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</si>
  <si>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</si>
  <si>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</si>
  <si>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</si>
  <si>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</si>
  <si>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</si>
  <si>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</si>
  <si>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</si>
  <si>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</si>
  <si>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</si>
  <si>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</si>
  <si>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</si>
  <si>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</si>
  <si>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</si>
  <si>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</si>
  <si>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</si>
  <si>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</si>
  <si>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</si>
  <si>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</si>
  <si>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</si>
  <si>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</si>
  <si>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</si>
  <si>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</si>
  <si>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</si>
  <si>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</si>
  <si>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</si>
  <si>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</si>
  <si>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</si>
  <si>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</si>
  <si>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</si>
  <si>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</si>
  <si>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</si>
  <si>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</si>
  <si>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</si>
  <si>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</si>
  <si>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</si>
  <si>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</si>
  <si>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</si>
  <si>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</si>
  <si>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</si>
  <si>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</si>
  <si>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</si>
  <si>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</si>
  <si>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</si>
  <si>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</si>
  <si>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</si>
  <si>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</si>
  <si>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</si>
  <si>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</si>
  <si>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</si>
  <si>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</si>
  <si>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</si>
  <si>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</si>
  <si>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</si>
  <si>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</si>
  <si>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</si>
  <si>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</si>
  <si>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</si>
  <si>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</si>
  <si>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</si>
  <si>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</si>
  <si>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</si>
  <si>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</si>
  <si>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</si>
  <si>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</si>
  <si>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</si>
  <si>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</si>
  <si>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</si>
  <si>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</si>
  <si>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</si>
  <si>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</si>
  <si>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</si>
  <si>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</si>
  <si>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</si>
  <si>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</si>
  <si>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</si>
  <si>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</si>
  <si>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</si>
  <si>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</si>
  <si>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</si>
  <si>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</si>
  <si>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</si>
  <si>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</si>
  <si>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</si>
  <si>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</si>
  <si>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</si>
  <si>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</si>
  <si>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</si>
  <si>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</si>
  <si>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</si>
  <si>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</si>
  <si>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</si>
  <si>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</si>
  <si>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</si>
  <si>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</si>
  <si>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</si>
  <si>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</si>
  <si>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</si>
  <si>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</si>
  <si>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</si>
  <si>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</si>
  <si>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</si>
  <si>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</si>
  <si>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</si>
  <si>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</si>
  <si>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</si>
  <si>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</si>
  <si>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</si>
  <si>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</si>
  <si>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</si>
  <si>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</si>
  <si>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</si>
  <si>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</si>
  <si>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</si>
  <si>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</si>
  <si>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</si>
  <si>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</si>
  <si>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</si>
  <si>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</si>
  <si>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</si>
  <si>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</si>
  <si>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</si>
  <si>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</si>
  <si>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</si>
  <si>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</si>
  <si>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</si>
  <si>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</si>
  <si>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</si>
  <si>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</si>
  <si>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</si>
  <si>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</si>
  <si>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</si>
  <si>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</si>
  <si>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</si>
  <si>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</si>
  <si>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</si>
  <si>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</si>
  <si>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</si>
  <si>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</si>
  <si>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</si>
  <si>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</si>
  <si>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</si>
  <si>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</si>
  <si>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</si>
  <si>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</si>
  <si>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</si>
  <si>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</si>
  <si>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</si>
  <si>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</si>
  <si>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</si>
  <si>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</si>
  <si>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</si>
  <si>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</si>
  <si>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</si>
  <si>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</si>
  <si>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</si>
  <si>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</si>
  <si>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</si>
  <si>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</si>
  <si>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</si>
  <si>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</si>
  <si>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</si>
  <si>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</si>
  <si>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</si>
  <si>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</si>
  <si>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</si>
  <si>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</si>
  <si>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</si>
  <si>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</si>
  <si>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</si>
  <si>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</si>
  <si>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</si>
  <si>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</si>
  <si>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</si>
  <si>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</si>
  <si>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</si>
  <si>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</si>
  <si>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</si>
  <si>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</si>
  <si>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</si>
  <si>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</si>
  <si>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</si>
  <si>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</si>
  <si>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</si>
  <si>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</si>
  <si>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</si>
  <si>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</si>
  <si>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</si>
  <si>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</si>
  <si>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</si>
  <si>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</si>
  <si>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</si>
  <si>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</si>
  <si>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</si>
  <si>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</si>
  <si>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</si>
  <si>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</si>
  <si>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</si>
  <si>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</si>
  <si>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</si>
  <si>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</si>
  <si>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</si>
  <si>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</si>
  <si>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</si>
  <si>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</si>
  <si>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</si>
  <si>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</si>
  <si>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</si>
  <si>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</si>
  <si>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</si>
  <si>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</si>
  <si>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</si>
  <si>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</si>
  <si>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</si>
  <si>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</si>
  <si>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</si>
  <si>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</si>
  <si>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</si>
  <si>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</si>
  <si>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</si>
  <si>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</si>
  <si>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</si>
  <si>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</si>
  <si>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</si>
  <si>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</si>
  <si>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</si>
  <si>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</si>
  <si>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</si>
  <si>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</si>
  <si>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</si>
  <si>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</si>
  <si>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</si>
  <si>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</si>
  <si>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</si>
  <si>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</si>
  <si>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</si>
  <si>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</si>
  <si>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</si>
  <si>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</si>
  <si>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</si>
  <si>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</si>
  <si>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</si>
  <si>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</si>
  <si>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</si>
  <si>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</si>
  <si>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</si>
  <si>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</si>
  <si>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</si>
  <si>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</si>
  <si>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</si>
  <si>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</si>
  <si>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</si>
  <si>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</si>
  <si>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</si>
  <si>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</si>
  <si>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</si>
  <si>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</si>
  <si>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</si>
  <si>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</si>
  <si>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</si>
  <si>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</si>
  <si>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</si>
  <si>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</si>
  <si>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</si>
  <si>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</si>
  <si>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</si>
  <si>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</si>
  <si>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</si>
  <si>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</si>
  <si>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</si>
  <si>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</si>
  <si>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</si>
  <si>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</si>
  <si>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</si>
  <si>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</si>
  <si>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</si>
  <si>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</si>
  <si>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</si>
  <si>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</si>
  <si>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</si>
  <si>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</si>
  <si>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</si>
  <si>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</si>
  <si>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</si>
  <si>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</si>
  <si>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</si>
  <si>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</si>
  <si>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</si>
  <si>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</si>
  <si>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</si>
  <si>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</si>
  <si>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</si>
  <si>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</si>
  <si>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</si>
  <si>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</si>
  <si>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</si>
  <si>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</si>
  <si>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</si>
  <si>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</si>
  <si>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</si>
  <si>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</si>
  <si>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</si>
  <si>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</si>
  <si>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</si>
  <si>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</si>
  <si>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</si>
  <si>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</si>
  <si>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</si>
  <si>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</si>
  <si>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</si>
  <si>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</si>
  <si>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</si>
  <si>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</si>
  <si>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</si>
  <si>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</si>
  <si>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</si>
  <si>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</si>
  <si>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</si>
  <si>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</si>
  <si>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</si>
  <si>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</si>
  <si>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</si>
  <si>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</si>
  <si>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</si>
  <si>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</si>
  <si>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</si>
  <si>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</si>
  <si>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</si>
  <si>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</si>
  <si>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</si>
  <si>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</si>
  <si>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</si>
  <si>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</si>
  <si>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</si>
  <si>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</si>
  <si>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</si>
  <si>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</si>
  <si>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</si>
  <si>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</si>
  <si>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</si>
  <si>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</si>
  <si>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</si>
  <si>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</si>
  <si>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</si>
  <si>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</si>
  <si>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</si>
  <si>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</si>
  <si>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</si>
  <si>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</si>
  <si>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</si>
  <si>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</si>
  <si>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</si>
  <si>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</si>
  <si>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</si>
  <si>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</si>
  <si>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</si>
  <si>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</si>
  <si>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</si>
  <si>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</si>
  <si>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</si>
  <si>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</si>
  <si>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</si>
  <si>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</si>
  <si>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</si>
  <si>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</si>
  <si>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</si>
  <si>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</si>
  <si>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</si>
  <si>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</si>
  <si>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</si>
  <si>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</si>
  <si>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</si>
  <si>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</si>
  <si>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</si>
  <si>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</si>
  <si>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</si>
  <si>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</si>
  <si>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</si>
  <si>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</si>
  <si>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</si>
  <si>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</si>
  <si>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</si>
  <si>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</si>
  <si>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</si>
  <si>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</si>
  <si>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</si>
  <si>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</si>
  <si>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</si>
  <si>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</si>
  <si>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</si>
  <si>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</si>
  <si>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</si>
  <si>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</si>
  <si>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</si>
  <si>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</si>
  <si>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</si>
  <si>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</si>
  <si>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</si>
  <si>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</si>
  <si>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</si>
  <si>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</si>
  <si>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</si>
  <si>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</si>
  <si>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</si>
  <si>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</si>
  <si>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</si>
  <si>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</si>
  <si>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</si>
  <si>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</si>
  <si>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</si>
  <si>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</si>
  <si>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</si>
  <si>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</si>
  <si>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</si>
  <si>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</si>
  <si>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</si>
  <si>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</si>
  <si>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</si>
  <si>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</si>
  <si>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</si>
  <si>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</si>
  <si>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</si>
  <si>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</si>
  <si>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</si>
  <si>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</si>
  <si>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</si>
  <si>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</si>
  <si>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</si>
  <si>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</si>
  <si>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</si>
  <si>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</si>
  <si>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</si>
  <si>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</si>
  <si>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</si>
  <si>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</si>
  <si>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</si>
  <si>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</si>
  <si>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</si>
  <si>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</si>
  <si>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</si>
  <si>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</si>
  <si>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</si>
  <si>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</si>
  <si>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</si>
  <si>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</si>
  <si>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</si>
  <si>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</si>
  <si>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</si>
  <si>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</si>
  <si>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</si>
  <si>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</si>
  <si>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</si>
  <si>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</si>
  <si>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</si>
  <si>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</si>
  <si>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</si>
  <si>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</si>
  <si>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</si>
  <si>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</si>
  <si>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</si>
  <si>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</si>
  <si>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</si>
  <si>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</si>
  <si>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</si>
  <si>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</si>
  <si>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</si>
  <si>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</si>
  <si>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</si>
  <si>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</si>
  <si>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</si>
  <si>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</si>
  <si>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</si>
  <si>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</si>
  <si>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</si>
  <si>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</si>
  <si>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</si>
  <si>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</si>
  <si>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</si>
  <si>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</si>
  <si>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</si>
  <si>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</si>
  <si>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</si>
  <si>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</si>
  <si>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</si>
  <si>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</si>
  <si>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</si>
  <si>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</si>
  <si>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</si>
  <si>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</si>
  <si>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</si>
  <si>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</si>
  <si>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</si>
  <si>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</si>
  <si>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</si>
  <si>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</si>
  <si>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</si>
  <si>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</si>
  <si>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</si>
  <si>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</si>
  <si>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</si>
  <si>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</si>
  <si>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</si>
  <si>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</si>
  <si>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</si>
  <si>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</si>
  <si>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</si>
  <si>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</si>
  <si>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</si>
  <si>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</si>
  <si>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</si>
  <si>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</si>
  <si>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</si>
  <si>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</si>
  <si>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</si>
  <si>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</si>
  <si>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</si>
  <si>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</si>
  <si>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</si>
  <si>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</si>
  <si>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</si>
  <si>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</si>
  <si>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</si>
  <si>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</si>
  <si>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</si>
  <si>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</si>
  <si>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</si>
  <si>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</si>
  <si>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</si>
  <si>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</si>
  <si>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</si>
  <si>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</si>
  <si>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</si>
  <si>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</si>
  <si>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</si>
  <si>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</si>
  <si>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</si>
  <si>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</si>
  <si>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</si>
  <si>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</si>
  <si>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</si>
  <si>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</si>
  <si>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</si>
  <si>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</si>
  <si>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</si>
  <si>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</si>
  <si>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</si>
  <si>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</si>
  <si>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</si>
  <si>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</si>
  <si>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</si>
  <si>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</si>
  <si>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</si>
  <si>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</si>
  <si>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</si>
  <si>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</si>
  <si>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</si>
  <si>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</si>
  <si>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</si>
  <si>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</si>
  <si>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</si>
  <si>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</si>
  <si>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</si>
  <si>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</si>
  <si>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</si>
  <si>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</si>
  <si>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</si>
  <si>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</si>
  <si>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</si>
  <si>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</si>
  <si>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</si>
  <si>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</si>
  <si>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</si>
  <si>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</si>
  <si>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</si>
  <si>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</si>
  <si>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</si>
  <si>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</si>
  <si>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</si>
  <si>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</si>
  <si>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</si>
  <si>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</si>
  <si>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</si>
  <si>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</si>
  <si>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</si>
  <si>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</si>
  <si>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</si>
  <si>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</si>
  <si>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</si>
  <si>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</si>
  <si>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</si>
  <si>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</si>
  <si>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</si>
  <si>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</si>
  <si>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</si>
  <si>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</si>
  <si>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</si>
  <si>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</si>
  <si>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</si>
  <si>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</si>
  <si>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</si>
  <si>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</si>
  <si>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</si>
  <si>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</si>
  <si>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</si>
  <si>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</si>
  <si>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</si>
  <si>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</si>
  <si>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</si>
  <si>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</si>
  <si>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</si>
  <si>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</si>
  <si>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</si>
  <si>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</si>
  <si>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</si>
  <si>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</si>
  <si>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</si>
  <si>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</si>
  <si>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</si>
  <si>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</si>
  <si>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</si>
  <si>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</si>
  <si>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</si>
  <si>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</si>
  <si>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</si>
  <si>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</si>
  <si>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</si>
  <si>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</si>
  <si>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</si>
  <si>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</si>
  <si>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</si>
  <si>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</si>
  <si>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</si>
  <si>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</si>
  <si>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</si>
  <si>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</si>
  <si>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</si>
  <si>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</si>
  <si>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</si>
  <si>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</si>
  <si>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</si>
  <si>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</si>
  <si>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</si>
  <si>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</si>
  <si>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</si>
  <si>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</si>
  <si>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</si>
  <si>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</si>
  <si>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</si>
  <si>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</si>
  <si>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</si>
  <si>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</si>
  <si>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</si>
  <si>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</si>
  <si>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</si>
  <si>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</si>
  <si>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</si>
  <si>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</si>
  <si>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</si>
  <si>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</si>
  <si>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</si>
  <si>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</si>
  <si>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</si>
  <si>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</si>
  <si>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</si>
  <si>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</si>
  <si>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</si>
  <si>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</si>
  <si>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</si>
  <si>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</si>
  <si>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</si>
  <si>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</si>
  <si>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</si>
  <si>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</si>
  <si>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</si>
  <si>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</si>
  <si>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</si>
  <si>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</si>
  <si>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</si>
  <si>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</si>
  <si>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</si>
  <si>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</si>
  <si>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</si>
  <si>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</si>
  <si>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</si>
  <si>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</si>
  <si>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</si>
  <si>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</si>
  <si>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</si>
  <si>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</si>
  <si>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</si>
  <si>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</si>
  <si>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</si>
  <si>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</si>
  <si>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</si>
  <si>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</si>
  <si>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</si>
  <si>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</si>
  <si>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</si>
  <si>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</si>
  <si>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</si>
  <si>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</si>
  <si>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</si>
  <si>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</si>
  <si>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</si>
  <si>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</si>
  <si>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</si>
  <si>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</si>
  <si>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</si>
  <si>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</si>
  <si>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</si>
  <si>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</si>
  <si>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</si>
  <si>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</si>
  <si>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</si>
  <si>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</si>
  <si>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</si>
  <si>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</si>
  <si>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</si>
  <si>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</si>
  <si>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</si>
  <si>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</si>
  <si>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</si>
  <si>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</si>
  <si>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</si>
  <si>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</si>
  <si>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</si>
  <si>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</si>
  <si>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</si>
  <si>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</si>
  <si>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</si>
  <si>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</si>
  <si>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</si>
  <si>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</si>
  <si>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</si>
  <si>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</si>
  <si>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</si>
  <si>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</si>
  <si>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</si>
  <si>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</si>
  <si>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</si>
  <si>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</si>
  <si>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</si>
  <si>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</si>
  <si>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</si>
  <si>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</si>
  <si>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</si>
  <si>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</si>
  <si>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</si>
  <si>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</si>
  <si>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</si>
  <si>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</si>
  <si>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</si>
  <si>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</si>
  <si>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</si>
  <si>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</si>
  <si>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</si>
  <si>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</si>
  <si>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</si>
  <si>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</si>
  <si>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</si>
  <si>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</si>
  <si>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</si>
  <si>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</si>
  <si>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</si>
  <si>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</si>
  <si>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</si>
  <si>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</si>
  <si>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</si>
  <si>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</si>
  <si>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</si>
  <si>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</si>
  <si>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</si>
  <si>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</si>
  <si>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</si>
  <si>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</si>
  <si>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</si>
  <si>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</si>
  <si>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</si>
  <si>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</si>
  <si>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</si>
  <si>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</si>
  <si>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</si>
  <si>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</si>
  <si>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</si>
  <si>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</si>
  <si>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</si>
  <si>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</si>
  <si>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</si>
  <si>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</si>
  <si>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</si>
  <si>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</si>
  <si>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</si>
  <si>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</si>
  <si>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</si>
  <si>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</si>
  <si>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</si>
  <si>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</si>
  <si>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</si>
  <si>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</si>
  <si>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</si>
  <si>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</si>
  <si>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</si>
  <si>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</si>
  <si>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</si>
  <si>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</si>
  <si>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</si>
  <si>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</si>
  <si>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</si>
  <si>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</si>
  <si>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</si>
  <si>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</si>
  <si>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</si>
  <si>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</si>
  <si>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</si>
  <si>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</si>
  <si>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</si>
  <si>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</si>
  <si>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</si>
  <si>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</si>
  <si>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</si>
  <si>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</si>
  <si>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</si>
  <si>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</si>
  <si>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</si>
  <si>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</si>
  <si>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</si>
  <si>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</si>
  <si>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</si>
  <si>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</si>
  <si>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</si>
  <si>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</si>
  <si>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</si>
  <si>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</si>
  <si>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</si>
  <si>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</si>
  <si>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</si>
  <si>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</si>
  <si>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</si>
  <si>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</si>
  <si>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</si>
  <si>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</si>
  <si>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</si>
  <si>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</si>
  <si>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</si>
  <si>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</si>
  <si>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</si>
  <si>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</si>
  <si>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</si>
  <si>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</si>
  <si>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</si>
  <si>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</si>
  <si>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</si>
  <si>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</si>
  <si>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</si>
  <si>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</si>
  <si>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</si>
  <si>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</si>
  <si>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</si>
  <si>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</si>
  <si>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</si>
  <si>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</si>
  <si>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</si>
  <si>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</si>
  <si>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</si>
  <si>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</si>
  <si>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</si>
  <si>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</si>
  <si>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</si>
  <si>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</si>
  <si>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</si>
  <si>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</si>
  <si>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</si>
  <si>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</si>
  <si>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</si>
  <si>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</si>
  <si>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</si>
  <si>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</si>
  <si>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</si>
  <si>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</si>
  <si>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</si>
  <si>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</si>
  <si>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</si>
  <si>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</si>
  <si>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</si>
  <si>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</si>
  <si>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</si>
  <si>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</si>
  <si>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</si>
  <si>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</si>
  <si>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</si>
  <si>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</si>
  <si>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</si>
  <si>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</si>
  <si>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</si>
  <si>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</si>
  <si>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</si>
  <si>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</si>
  <si>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</si>
  <si>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</si>
  <si>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</si>
  <si>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</si>
  <si>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</si>
  <si>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</si>
  <si>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</si>
  <si>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</si>
  <si>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</si>
  <si>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</si>
  <si>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</si>
  <si>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</si>
  <si>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</si>
  <si>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</si>
  <si>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</si>
  <si>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</si>
  <si>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</si>
  <si>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</si>
  <si>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</si>
  <si>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</si>
  <si>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</si>
  <si>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</si>
  <si>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</si>
  <si>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</si>
  <si>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</si>
  <si>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</si>
  <si>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</si>
  <si>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</si>
  <si>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</si>
  <si>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</si>
  <si>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</si>
  <si>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</si>
  <si>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</si>
  <si>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</si>
  <si>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</si>
  <si>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</si>
  <si>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</si>
  <si>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</si>
  <si>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</si>
  <si>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</si>
  <si>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</si>
  <si>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</si>
  <si>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</si>
  <si>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</si>
  <si>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</si>
  <si>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</si>
  <si>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</si>
  <si>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</si>
  <si>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</si>
  <si>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</si>
  <si>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</si>
  <si>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</si>
  <si>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</si>
  <si>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</si>
  <si>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</si>
  <si>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</si>
  <si>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</si>
  <si>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</si>
  <si>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</si>
  <si>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</si>
  <si>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</si>
  <si>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</si>
  <si>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</si>
  <si>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</si>
  <si>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</si>
  <si>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</si>
  <si>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</si>
  <si>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</si>
  <si>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</si>
  <si>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</si>
  <si>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</si>
  <si>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</si>
  <si>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</si>
  <si>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</si>
  <si>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</si>
  <si>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</si>
  <si>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</si>
  <si>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</si>
  <si>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</si>
  <si>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</si>
  <si>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</si>
  <si>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</si>
  <si>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</si>
  <si>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</si>
  <si>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</si>
  <si>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</si>
  <si>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</si>
  <si>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</si>
  <si>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</si>
  <si>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</si>
  <si>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</si>
  <si>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</si>
  <si>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</si>
  <si>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</si>
  <si>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</si>
  <si>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</si>
  <si>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</si>
  <si>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</si>
  <si>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</si>
  <si>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</si>
  <si>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</si>
  <si>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</si>
  <si>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</si>
  <si>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</si>
  <si>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</si>
  <si>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</si>
  <si>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</si>
  <si>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</si>
  <si>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</si>
  <si>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</si>
  <si>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</si>
  <si>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</si>
  <si>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</si>
  <si>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</si>
  <si>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</si>
  <si>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</si>
  <si>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</si>
  <si>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</si>
  <si>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</si>
  <si>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</si>
  <si>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</si>
  <si>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</si>
  <si>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</si>
  <si>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</si>
  <si>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</si>
  <si>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</si>
  <si>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</si>
  <si>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</si>
  <si>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</si>
  <si>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</si>
  <si>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</si>
  <si>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</si>
  <si>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</si>
  <si>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</si>
  <si>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</si>
  <si>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</si>
  <si>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</si>
  <si>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</si>
  <si>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</si>
  <si>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</si>
  <si>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</si>
  <si>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</si>
  <si>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</si>
  <si>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</si>
  <si>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</si>
  <si>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</si>
  <si>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</si>
  <si>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</si>
  <si>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</si>
  <si>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</si>
  <si>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</si>
  <si>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</si>
  <si>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</si>
  <si>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</si>
  <si>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</si>
  <si>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</si>
  <si>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</si>
  <si>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</si>
  <si>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</si>
  <si>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</si>
  <si>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</si>
  <si>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</si>
  <si>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</si>
  <si>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</si>
  <si>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</si>
  <si>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</si>
  <si>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</si>
  <si>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</si>
  <si>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</si>
  <si>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</si>
  <si>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</si>
  <si>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</si>
  <si>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</si>
  <si>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</si>
  <si>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</si>
  <si>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</si>
  <si>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</si>
  <si>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</si>
  <si>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</si>
  <si>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</si>
  <si>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</si>
  <si>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</si>
  <si>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</si>
  <si>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</si>
  <si>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</si>
  <si>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</si>
  <si>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</si>
  <si>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</si>
  <si>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</si>
  <si>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</si>
  <si>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</si>
  <si>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</si>
  <si>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</si>
  <si>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</si>
  <si>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</si>
  <si>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</si>
  <si>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</si>
  <si>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</si>
  <si>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</si>
  <si>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</si>
  <si>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</si>
  <si>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</si>
  <si>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</si>
  <si>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</si>
  <si>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</si>
  <si>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</si>
  <si>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</si>
  <si>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</si>
  <si>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</si>
  <si>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</si>
  <si>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</si>
  <si>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</si>
  <si>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</si>
  <si>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</si>
  <si>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</si>
  <si>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</si>
  <si>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</si>
  <si>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</si>
  <si>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</si>
  <si>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</si>
  <si>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</si>
  <si>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</si>
  <si>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</si>
  <si>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</si>
  <si>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</si>
  <si>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</si>
  <si>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</si>
  <si>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</si>
  <si>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</si>
  <si>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</si>
  <si>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</si>
  <si>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</si>
  <si>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</si>
  <si>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</si>
  <si>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</si>
  <si>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</si>
  <si>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</si>
  <si>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</si>
  <si>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</si>
  <si>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</si>
  <si>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</si>
  <si>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</si>
  <si>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</si>
  <si>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</si>
  <si>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</si>
  <si>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</si>
  <si>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</si>
  <si>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</si>
  <si>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</si>
  <si>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</si>
  <si>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</si>
  <si>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</si>
  <si>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</si>
  <si>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</si>
  <si>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</si>
  <si>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</si>
  <si>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</si>
  <si>
    <t>n</t>
    <phoneticPr fontId="43"/>
  </si>
  <si>
    <t>Kojima Noa</t>
    <phoneticPr fontId="43"/>
  </si>
  <si>
    <t>090-4344-8726</t>
    <phoneticPr fontId="43"/>
  </si>
  <si>
    <t>Phone</t>
    <phoneticPr fontId="43"/>
  </si>
  <si>
    <t>7/14/2026</t>
    <phoneticPr fontId="43"/>
  </si>
  <si>
    <t>815-0004 福岡市南区高木2丁目２４－９－１</t>
    <rPh sb="9" eb="11">
      <t>フクオカ</t>
    </rPh>
    <rPh sb="11" eb="12">
      <t>シ</t>
    </rPh>
    <rPh sb="12" eb="14">
      <t>ミナミク</t>
    </rPh>
    <rPh sb="14" eb="16">
      <t>タカギ</t>
    </rPh>
    <rPh sb="17" eb="19">
      <t>チョウメ</t>
    </rPh>
    <phoneticPr fontId="43"/>
  </si>
  <si>
    <t>refund for june. Given in cash on July 9th. 10100 because I did not have 4 coins of 100. real tuition fee is 10900.</t>
    <phoneticPr fontId="43"/>
  </si>
  <si>
    <t>Inenaga</t>
  </si>
  <si>
    <t>080-9240-9845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</si>
</sst>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5">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Calibri"/>
      <family val="3"/>
      <charset val="128"/>
      <scheme val="minor"/>
    </font>
    <font>
      <sz val="5"/>
      <color rgb="FF000000"/>
      <name val="ＭＳ ゴシック"/>
      <family val="3"/>
      <charset val="128"/>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10">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cellXfs>
  <cellStyles count="5">
    <cellStyle name="Accent1" xfId="4" builtinId="29"/>
    <cellStyle name="Comma" xfId="3" builtinId="3"/>
    <cellStyle name="Hyperlink" xfId="1" builtinId="8"/>
    <cellStyle name="Normal" xfId="0" builtinId="0"/>
    <cellStyle name="Percent" xfId="2" builtinId="5"/>
  </cellStyles>
  <dxfs count="50">
    <dxf>
      <font>
        <color rgb="FF9C0006"/>
      </font>
      <fill>
        <patternFill>
          <bgColor rgb="FFFFC7CE"/>
        </patternFill>
      </fill>
    </dxf>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xdr:row>
          <xdr:rowOff>38100</xdr:rowOff>
        </xdr:from>
        <xdr:to>
          <xdr:col>0</xdr:col>
          <xdr:colOff>1009650</xdr:colOff>
          <xdr:row>1</xdr:row>
          <xdr:rowOff>400050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To Finance</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808000"/>
                  </a:solidFill>
                  <a:latin typeface="Calibri"/>
                  <a:cs typeface="Calibri"/>
                </a:rPr>
                <a:t>Get All</a:t>
              </a:r>
            </a:p>
            <a:p>
              <a:pPr algn="ctr" rtl="0">
                <a:defRPr sz="1000"/>
              </a:pPr>
              <a:r>
                <a:rPr 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57150</xdr:rowOff>
        </xdr:from>
        <xdr:to>
          <xdr:col>10</xdr:col>
          <xdr:colOff>971550</xdr:colOff>
          <xdr:row>1</xdr:row>
          <xdr:rowOff>361950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Inject Gesha</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0</xdr:row>
          <xdr:rowOff>95250</xdr:rowOff>
        </xdr:from>
        <xdr:to>
          <xdr:col>4</xdr:col>
          <xdr:colOff>476250</xdr:colOff>
          <xdr:row>0</xdr:row>
          <xdr:rowOff>590550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552450</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133350</xdr:colOff>
          <xdr:row>10</xdr:row>
          <xdr:rowOff>57150</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57150</xdr:rowOff>
        </xdr:from>
        <xdr:to>
          <xdr:col>15</xdr:col>
          <xdr:colOff>514350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15</xdr:row>
          <xdr:rowOff>0</xdr:rowOff>
        </xdr:from>
        <xdr:to>
          <xdr:col>15</xdr:col>
          <xdr:colOff>533400</xdr:colOff>
          <xdr:row>15</xdr:row>
          <xdr:rowOff>133350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133350</xdr:colOff>
          <xdr:row>16</xdr:row>
          <xdr:rowOff>171450</xdr:rowOff>
        </xdr:from>
        <xdr:to>
          <xdr:col>15</xdr:col>
          <xdr:colOff>590550</xdr:colOff>
          <xdr:row>16</xdr:row>
          <xdr:rowOff>857250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57150</xdr:rowOff>
        </xdr:from>
        <xdr:to>
          <xdr:col>15</xdr:col>
          <xdr:colOff>533400</xdr:colOff>
          <xdr:row>18</xdr:row>
          <xdr:rowOff>133350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33</xdr:row>
          <xdr:rowOff>47625</xdr:rowOff>
        </xdr:from>
        <xdr:to>
          <xdr:col>15</xdr:col>
          <xdr:colOff>561975</xdr:colOff>
          <xdr:row>33</xdr:row>
          <xdr:rowOff>171450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11">
      <pivotArea type="all" dataOnly="0" outline="0" fieldPosition="0"/>
    </format>
    <format dxfId="10">
      <pivotArea outline="0" collapsedLevelsAreSubtotals="1" fieldPosition="0"/>
    </format>
    <format dxfId="9">
      <pivotArea type="origin" dataOnly="0" labelOnly="1" outline="0" fieldPosition="0"/>
    </format>
    <format dxfId="8">
      <pivotArea field="43" type="button" dataOnly="0" labelOnly="1" outline="0" axis="axisCol" fieldPosition="0"/>
    </format>
    <format dxfId="7">
      <pivotArea type="topRight" dataOnly="0" labelOnly="1" outline="0" fieldPosition="0"/>
    </format>
    <format dxfId="6">
      <pivotArea field="9" type="button" dataOnly="0" labelOnly="1" outline="0" axis="axisRow" fieldPosition="0"/>
    </format>
    <format dxfId="5">
      <pivotArea dataOnly="0" labelOnly="1" fieldPosition="0">
        <references count="1">
          <reference field="9" count="0"/>
        </references>
      </pivotArea>
    </format>
    <format dxfId="4">
      <pivotArea dataOnly="0" labelOnly="1" grandRow="1" outline="0" fieldPosition="0"/>
    </format>
    <format dxfId="3">
      <pivotArea dataOnly="0" labelOnly="1" fieldPosition="0">
        <references count="1">
          <reference field="43" count="9">
            <x v="0"/>
            <x v="1"/>
            <x v="2"/>
            <x v="3"/>
            <x v="4"/>
            <x v="5"/>
            <x v="6"/>
            <x v="7"/>
            <x v="8"/>
          </reference>
        </references>
      </pivotArea>
    </format>
    <format dxfId="2">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6" totalsRowShown="0" headerRowDxfId="15">
  <autoFilter ref="A1:Z106"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drawing" Target="../drawings/drawing4.xm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table" Target="../tables/table2.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zoomScale="115" zoomScaleNormal="115" workbookViewId="0">
      <pane ySplit="2" topLeftCell="A255" activePane="bottomLeft" state="frozen"/>
      <selection pane="bottomLeft" activeCell="B263" sqref="B263"/>
    </sheetView>
  </sheetViews>
  <sheetFormatPr defaultRowHeight="18" customHeight="1"/>
  <cols>
    <col min="1" max="1" width="16" customWidth="1"/>
    <col min="2" max="2" width="16.28515625" customWidth="1"/>
    <col min="3" max="3" width="11.85546875" customWidth="1"/>
    <col min="4" max="4" width="18" customWidth="1"/>
    <col min="5" max="5" width="18.28515625" customWidth="1"/>
    <col min="6" max="6" width="16.85546875" hidden="1" customWidth="1"/>
    <col min="7" max="7" width="8" customWidth="1"/>
    <col min="8" max="8" width="7" customWidth="1"/>
    <col min="9" max="9" width="5.5703125" customWidth="1"/>
    <col min="10" max="10" width="24.7109375" customWidth="1"/>
    <col min="11" max="11" width="13" bestFit="1" customWidth="1"/>
    <col min="12" max="12" width="16" customWidth="1"/>
    <col min="13" max="13" width="10.85546875" customWidth="1"/>
    <col min="14" max="14" width="17.28515625" customWidth="1"/>
    <col min="15" max="17" width="15.28515625" customWidth="1"/>
    <col min="18" max="19" width="20.85546875" customWidth="1"/>
    <col min="20" max="20" width="38.28515625" customWidth="1"/>
    <col min="21" max="22" width="20.85546875" customWidth="1"/>
    <col min="23" max="23" width="14.28515625" customWidth="1"/>
    <col min="24" max="24" width="5.85546875" customWidth="1"/>
    <col min="25" max="25" width="45.28515625" customWidth="1"/>
    <col min="26" max="26" width="14" customWidth="1"/>
    <col min="27" max="27" width="14.28515625" customWidth="1"/>
    <col min="28" max="28" width="28.28515625" customWidth="1"/>
    <col min="29" max="29" width="17.7109375" customWidth="1"/>
    <col min="30" max="30" width="18.28515625" customWidth="1"/>
    <col min="31" max="31" width="24" style="130" customWidth="1"/>
    <col min="32" max="32" width="21.7109375" hidden="1" customWidth="1"/>
    <col min="33" max="33" width="21.85546875" hidden="1" customWidth="1"/>
    <col min="34" max="34" width="21.5703125" hidden="1" customWidth="1"/>
    <col min="35" max="35" width="21.85546875" hidden="1" customWidth="1"/>
    <col min="36" max="36" width="65.85546875" hidden="1" customWidth="1"/>
    <col min="37" max="37" width="33.28515625" hidden="1" customWidth="1"/>
    <col min="38" max="38" width="18" customWidth="1"/>
    <col min="39" max="39" width="19.28515625" customWidth="1"/>
    <col min="40" max="41" width="18.7109375" style="38" customWidth="1"/>
    <col min="42" max="42" width="23" customWidth="1"/>
    <col min="43" max="43" width="17.28515625" customWidth="1"/>
    <col min="44" max="44" width="15.5703125" customWidth="1"/>
    <col min="45" max="45" width="22.28515625" customWidth="1"/>
    <col min="46" max="46" width="20.85546875" customWidth="1"/>
    <col min="47" max="47" width="12" customWidth="1"/>
    <col min="48" max="48" width="11.28515625" customWidth="1"/>
    <col min="49" max="50" width="20.5703125" customWidth="1"/>
    <col min="51" max="51" width="15.85546875" customWidth="1"/>
    <col min="52" max="52" width="21" customWidth="1"/>
    <col min="53" max="53" width="21.5703125" customWidth="1"/>
    <col min="54" max="54" width="15.5703125" customWidth="1"/>
    <col min="55" max="57" width="20" customWidth="1"/>
    <col min="58" max="58" width="17.7109375" customWidth="1"/>
    <col min="59" max="59" width="19.85546875" customWidth="1"/>
    <col min="60" max="60" width="18.28515625" customWidth="1"/>
    <col min="61" max="61" width="19.85546875" customWidth="1"/>
    <col min="62" max="63" width="19.28515625" customWidth="1"/>
    <col min="64" max="64" width="16.28515625" customWidth="1"/>
    <col min="65" max="65" width="14.28515625" customWidth="1"/>
    <col min="66" max="66" width="16" customWidth="1"/>
    <col min="67" max="67" width="14.85546875" customWidth="1"/>
    <col min="68" max="68" width="18" customWidth="1"/>
    <col min="69" max="69" width="15.7109375" style="38" customWidth="1"/>
    <col min="70" max="70" width="13.285156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523</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1170</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925</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925</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3116</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834</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2445</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651</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651</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651</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3116</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1109</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1197</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3116</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1013</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1198</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834</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894</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651</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773</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3116</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743</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831</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834</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834</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2454</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773</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1016</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894</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894</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3116</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681</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1195</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1290</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1200</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559</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834</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494</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449</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444</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2481</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46217</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46217</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403</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2460</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2459</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374</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370</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103</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row>
    <row r="240" spans="1:68" ht="18" customHeight="1">
      <c r="A240">
        <v>183</v>
      </c>
      <c r="B240" t="s">
        <v>103</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2460</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2460</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2482</v>
      </c>
      <c r="G254" s="280" t="s">
        <v>2432</v>
      </c>
      <c r="H254" s="280" t="s">
        <v>2433</v>
      </c>
      <c r="J254" t="s">
        <v>109</v>
      </c>
      <c r="K254" t="s">
        <v>110</v>
      </c>
      <c r="O254">
        <v>20500</v>
      </c>
      <c r="T254" s="38">
        <v>46143</v>
      </c>
      <c r="V254" s="243" t="s">
        <v>2428</v>
      </c>
      <c r="Y254" s="292" t="s">
        <v>2376</v>
      </c>
      <c r="AB254" s="293" t="s">
        <v>2431</v>
      </c>
    </row>
    <row r="255" spans="1:39" ht="18" customHeight="1">
      <c r="A255">
        <v>198</v>
      </c>
      <c r="B255" t="s">
        <v>103</v>
      </c>
      <c r="C255" s="294" t="s">
        <v>2436</v>
      </c>
      <c r="D255" s="294" t="s">
        <v>2437</v>
      </c>
      <c r="G255" s="294" t="s">
        <v>2434</v>
      </c>
      <c r="H255" s="294" t="s">
        <v>2435</v>
      </c>
      <c r="J255" t="s">
        <v>109</v>
      </c>
      <c r="K255" t="s">
        <v>1559</v>
      </c>
      <c r="L255" s="227" t="s">
        <v>502</v>
      </c>
      <c r="O255">
        <v>7000</v>
      </c>
      <c r="T255" s="38">
        <v>46144</v>
      </c>
      <c r="V255" t="s">
        <v>2389</v>
      </c>
      <c r="Y255" t="s">
        <v>2438</v>
      </c>
      <c r="AB255" s="40" t="s">
        <v>2439</v>
      </c>
    </row>
    <row r="256" spans="1:39" ht="18" customHeight="1">
      <c r="A256">
        <v>199</v>
      </c>
      <c r="B256" t="s">
        <v>2481</v>
      </c>
      <c r="C256" t="s">
        <v>1080</v>
      </c>
      <c r="D256" t="s">
        <v>2479</v>
      </c>
      <c r="G256" t="s">
        <v>2477</v>
      </c>
      <c r="H256" t="s">
        <v>2478</v>
      </c>
      <c r="J256" t="s">
        <v>1955</v>
      </c>
      <c r="K256" t="s">
        <v>1559</v>
      </c>
      <c r="O256">
        <v>7600</v>
      </c>
      <c r="T256" s="38">
        <v>46189</v>
      </c>
      <c r="V256" t="s">
        <v>2475</v>
      </c>
      <c r="Y256" t="s">
        <v>2474</v>
      </c>
      <c r="AB256" s="40" t="s">
        <v>2476</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57150</xdr:colOff>
                    <xdr:row>1</xdr:row>
                    <xdr:rowOff>38100</xdr:rowOff>
                  </from>
                  <to>
                    <xdr:col>0</xdr:col>
                    <xdr:colOff>1009650</xdr:colOff>
                    <xdr:row>1</xdr:row>
                    <xdr:rowOff>400050</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dimension ref="A1:AH76"/>
  <sheetViews>
    <sheetView zoomScaleNormal="100" workbookViewId="0">
      <pane xSplit="4" ySplit="1" topLeftCell="V2" activePane="bottomRight" state="frozen"/>
      <selection pane="topRight" activeCell="E1" sqref="E1"/>
      <selection pane="bottomLeft" activeCell="A2" sqref="A2"/>
      <selection pane="bottomRight" activeCell="AG7" sqref="AG7"/>
    </sheetView>
  </sheetViews>
  <sheetFormatPr defaultRowHeight="15"/>
  <cols>
    <col min="15" max="15" width="21" customWidth="1"/>
  </cols>
  <sheetData>
    <row r="1" spans="1:34">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2463</v>
      </c>
      <c r="AG1" t="s">
        <v>2259</v>
      </c>
      <c r="AH1" t="s">
        <v>1565</v>
      </c>
    </row>
    <row r="2" spans="1:3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7" si="3">AE2+3500</f>
        <v>9550</v>
      </c>
    </row>
    <row r="3" spans="1:34">
      <c r="A3" s="168">
        <v>15</v>
      </c>
      <c r="B3" s="168" t="s">
        <v>103</v>
      </c>
      <c r="C3" s="168" t="s">
        <v>548</v>
      </c>
      <c r="D3" s="168" t="s">
        <v>549</v>
      </c>
      <c r="E3" s="168"/>
      <c r="F3" s="168" t="s">
        <v>550</v>
      </c>
      <c r="G3" s="168" t="s">
        <v>551</v>
      </c>
      <c r="H3" s="168" t="s">
        <v>552</v>
      </c>
      <c r="I3" s="168">
        <v>8800</v>
      </c>
      <c r="J3" s="168" t="s">
        <v>553</v>
      </c>
      <c r="L3" s="168">
        <v>8800</v>
      </c>
      <c r="M3">
        <v>3500</v>
      </c>
      <c r="N3">
        <f t="shared" si="0"/>
        <v>12300</v>
      </c>
      <c r="P3">
        <f t="shared" si="1"/>
        <v>8800</v>
      </c>
      <c r="S3">
        <f t="shared" si="2"/>
        <v>8800</v>
      </c>
      <c r="V3">
        <v>8800</v>
      </c>
      <c r="Y3">
        <v>8800</v>
      </c>
      <c r="AE3" s="168">
        <v>8800</v>
      </c>
      <c r="AF3" s="168">
        <f t="shared" si="3"/>
        <v>12300</v>
      </c>
    </row>
    <row r="4" spans="1:3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row>
    <row r="5" spans="1:3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row>
    <row r="6" spans="1:34">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row>
    <row r="7" spans="1:3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c r="AG7" t="s">
        <v>2512</v>
      </c>
      <c r="AH7">
        <v>11000</v>
      </c>
    </row>
    <row r="8" spans="1:3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row>
    <row r="9" spans="1:34">
      <c r="A9" s="168">
        <v>49</v>
      </c>
      <c r="B9" s="168" t="s">
        <v>103</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row>
    <row r="10" spans="1:34">
      <c r="A10" s="168">
        <v>87</v>
      </c>
      <c r="B10" s="168" t="s">
        <v>2494</v>
      </c>
      <c r="C10" t="s">
        <v>191</v>
      </c>
      <c r="D10" t="s">
        <v>192</v>
      </c>
      <c r="F10" t="s">
        <v>193</v>
      </c>
      <c r="G10" t="s">
        <v>194</v>
      </c>
      <c r="H10" t="s">
        <v>195</v>
      </c>
      <c r="I10" s="168">
        <v>15800</v>
      </c>
      <c r="J10" s="168"/>
      <c r="P10">
        <f t="shared" si="1"/>
        <v>15800</v>
      </c>
      <c r="AE10" s="168">
        <v>15800</v>
      </c>
      <c r="AF10" s="168">
        <f t="shared" si="3"/>
        <v>19300</v>
      </c>
    </row>
    <row r="11" spans="1:3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4" si="4">M11+L11</f>
        <v>23300</v>
      </c>
      <c r="P11">
        <f t="shared" si="1"/>
        <v>19800</v>
      </c>
      <c r="S11">
        <f t="shared" ref="S11:S17" si="5">L11</f>
        <v>19800</v>
      </c>
      <c r="V11">
        <v>19800</v>
      </c>
      <c r="Y11">
        <v>19800</v>
      </c>
      <c r="AE11" s="168">
        <v>19800</v>
      </c>
      <c r="AF11" s="168">
        <f t="shared" si="3"/>
        <v>23300</v>
      </c>
    </row>
    <row r="12" spans="1:3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row>
    <row r="13" spans="1:34">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row>
    <row r="14" spans="1:3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row>
    <row r="15" spans="1:34" ht="12.75"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2453</v>
      </c>
      <c r="AA15" s="197">
        <v>15070</v>
      </c>
      <c r="AE15" s="168">
        <v>14850</v>
      </c>
      <c r="AF15" s="168">
        <f t="shared" si="3"/>
        <v>18350</v>
      </c>
    </row>
    <row r="16" spans="1:3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2412</v>
      </c>
      <c r="V16">
        <v>19800</v>
      </c>
      <c r="W16" s="197" t="s">
        <v>2411</v>
      </c>
      <c r="X16">
        <v>36600</v>
      </c>
      <c r="Y16" s="197">
        <v>1500</v>
      </c>
      <c r="AE16">
        <v>19800</v>
      </c>
      <c r="AF16" s="168">
        <f t="shared" si="3"/>
        <v>23300</v>
      </c>
    </row>
    <row r="17" spans="1:32">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row>
    <row r="18" spans="1:32"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2397</v>
      </c>
      <c r="Y18">
        <v>59400</v>
      </c>
      <c r="AE18" s="168">
        <v>59400</v>
      </c>
      <c r="AF18" s="168">
        <f t="shared" si="3"/>
        <v>62900</v>
      </c>
    </row>
    <row r="19" spans="1:32">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row>
    <row r="20" spans="1:32">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row>
    <row r="21" spans="1:32">
      <c r="A21" s="168">
        <v>125</v>
      </c>
      <c r="B21" s="168" t="s">
        <v>66</v>
      </c>
      <c r="C21" s="168" t="s">
        <v>200</v>
      </c>
      <c r="D21" s="168" t="s">
        <v>201</v>
      </c>
      <c r="E21" s="168"/>
      <c r="F21" s="168" t="s">
        <v>202</v>
      </c>
      <c r="G21" s="168" t="s">
        <v>203</v>
      </c>
      <c r="H21" s="168" t="s">
        <v>204</v>
      </c>
      <c r="I21" s="168">
        <v>14850</v>
      </c>
      <c r="J21" s="168" t="s">
        <v>196</v>
      </c>
      <c r="L21" s="168">
        <v>14850</v>
      </c>
      <c r="M21">
        <v>3500</v>
      </c>
      <c r="N21">
        <f t="shared" si="4"/>
        <v>18350</v>
      </c>
      <c r="P21">
        <f>I21</f>
        <v>14850</v>
      </c>
      <c r="S21">
        <f>L21</f>
        <v>14850</v>
      </c>
      <c r="V21">
        <v>14850</v>
      </c>
      <c r="AE21" s="168">
        <v>14850</v>
      </c>
      <c r="AF21" s="168">
        <f t="shared" si="3"/>
        <v>18350</v>
      </c>
    </row>
    <row r="22" spans="1:32">
      <c r="A22" s="168">
        <v>127</v>
      </c>
      <c r="B22" s="168" t="s">
        <v>103</v>
      </c>
      <c r="C22" s="168" t="s">
        <v>475</v>
      </c>
      <c r="D22" s="168" t="s">
        <v>482</v>
      </c>
      <c r="E22" s="168"/>
      <c r="F22" s="168" t="s">
        <v>483</v>
      </c>
      <c r="G22" s="168" t="s">
        <v>484</v>
      </c>
      <c r="H22" s="168" t="s">
        <v>485</v>
      </c>
      <c r="I22" s="168">
        <v>19800</v>
      </c>
      <c r="J22" s="168" t="s">
        <v>196</v>
      </c>
      <c r="L22" s="168">
        <v>19800</v>
      </c>
      <c r="M22">
        <v>3500</v>
      </c>
      <c r="N22">
        <f t="shared" si="4"/>
        <v>23300</v>
      </c>
      <c r="P22" s="160">
        <v>0</v>
      </c>
      <c r="S22" s="160">
        <v>12900</v>
      </c>
      <c r="T22" t="s">
        <v>2356</v>
      </c>
      <c r="V22">
        <v>12900</v>
      </c>
      <c r="Y22">
        <v>12900</v>
      </c>
      <c r="AE22" s="168">
        <v>12900</v>
      </c>
      <c r="AF22" s="168">
        <f t="shared" si="3"/>
        <v>16400</v>
      </c>
    </row>
    <row r="23" spans="1:32">
      <c r="A23">
        <v>129</v>
      </c>
      <c r="B23" t="s">
        <v>66</v>
      </c>
      <c r="C23" t="s">
        <v>761</v>
      </c>
      <c r="D23" t="s">
        <v>762</v>
      </c>
      <c r="F23" t="s">
        <v>763</v>
      </c>
      <c r="G23" t="s">
        <v>764</v>
      </c>
      <c r="H23" t="s">
        <v>765</v>
      </c>
      <c r="I23" s="168">
        <v>6600</v>
      </c>
      <c r="J23" s="168" t="s">
        <v>109</v>
      </c>
      <c r="L23" s="168">
        <v>6600</v>
      </c>
      <c r="M23">
        <v>3500</v>
      </c>
      <c r="N23">
        <f t="shared" si="4"/>
        <v>10100</v>
      </c>
      <c r="P23">
        <f>I23</f>
        <v>6600</v>
      </c>
      <c r="S23">
        <f>L23</f>
        <v>6600</v>
      </c>
      <c r="V23">
        <v>6600</v>
      </c>
      <c r="Y23">
        <v>6600</v>
      </c>
      <c r="Z23" t="s">
        <v>2452</v>
      </c>
      <c r="AA23" s="197">
        <v>13200</v>
      </c>
      <c r="AE23" s="168">
        <v>6600</v>
      </c>
      <c r="AF23" s="168">
        <f t="shared" si="3"/>
        <v>10100</v>
      </c>
    </row>
    <row r="24" spans="1:32">
      <c r="A24">
        <v>133</v>
      </c>
      <c r="B24" t="s">
        <v>66</v>
      </c>
      <c r="C24" t="s">
        <v>233</v>
      </c>
      <c r="D24" t="s">
        <v>234</v>
      </c>
      <c r="F24" t="s">
        <v>235</v>
      </c>
      <c r="G24" t="s">
        <v>236</v>
      </c>
      <c r="H24" t="s">
        <v>237</v>
      </c>
      <c r="I24">
        <v>6050</v>
      </c>
      <c r="J24" t="s">
        <v>109</v>
      </c>
      <c r="L24">
        <v>6050</v>
      </c>
      <c r="M24">
        <v>3500</v>
      </c>
      <c r="N24">
        <f t="shared" si="4"/>
        <v>9550</v>
      </c>
      <c r="P24">
        <f>I24</f>
        <v>6050</v>
      </c>
      <c r="S24">
        <f>L24</f>
        <v>6050</v>
      </c>
      <c r="V24">
        <v>6050</v>
      </c>
      <c r="AE24">
        <v>6050</v>
      </c>
      <c r="AF24" s="168">
        <f t="shared" si="3"/>
        <v>9550</v>
      </c>
    </row>
    <row r="25" spans="1:32">
      <c r="A25" s="168">
        <v>134</v>
      </c>
      <c r="B25" s="168" t="s">
        <v>103</v>
      </c>
      <c r="C25" s="168" t="s">
        <v>1257</v>
      </c>
      <c r="D25" s="168" t="s">
        <v>1258</v>
      </c>
      <c r="E25" s="168"/>
      <c r="F25" s="168" t="s">
        <v>1259</v>
      </c>
      <c r="G25" s="168" t="s">
        <v>1260</v>
      </c>
      <c r="H25" s="168" t="s">
        <v>1261</v>
      </c>
      <c r="I25" s="168">
        <v>9900</v>
      </c>
      <c r="J25" s="168" t="s">
        <v>494</v>
      </c>
      <c r="L25" s="168">
        <v>9900</v>
      </c>
      <c r="M25">
        <v>3500</v>
      </c>
      <c r="N25">
        <f t="shared" si="4"/>
        <v>13400</v>
      </c>
      <c r="P25">
        <v>13200</v>
      </c>
      <c r="S25" s="160">
        <v>16500</v>
      </c>
      <c r="T25" t="s">
        <v>2332</v>
      </c>
      <c r="V25">
        <v>16500</v>
      </c>
      <c r="Y25">
        <v>16500</v>
      </c>
      <c r="AE25" s="168">
        <v>16500</v>
      </c>
      <c r="AF25" s="168">
        <f t="shared" si="3"/>
        <v>20000</v>
      </c>
    </row>
    <row r="26" spans="1:32">
      <c r="A26" s="168">
        <v>135</v>
      </c>
      <c r="B26" s="168" t="s">
        <v>103</v>
      </c>
      <c r="C26" s="168" t="s">
        <v>866</v>
      </c>
      <c r="D26" s="168" t="s">
        <v>867</v>
      </c>
      <c r="E26" s="168"/>
      <c r="F26" s="168" t="s">
        <v>868</v>
      </c>
      <c r="G26" s="168" t="s">
        <v>869</v>
      </c>
      <c r="H26" s="168" t="s">
        <v>870</v>
      </c>
      <c r="I26" s="168">
        <v>9900</v>
      </c>
      <c r="J26" s="168" t="s">
        <v>494</v>
      </c>
      <c r="L26" s="168">
        <v>9900</v>
      </c>
      <c r="M26">
        <v>3500</v>
      </c>
      <c r="N26">
        <f t="shared" si="4"/>
        <v>13400</v>
      </c>
      <c r="P26">
        <f t="shared" ref="P26:P63" si="6">I26</f>
        <v>9900</v>
      </c>
      <c r="S26">
        <f t="shared" ref="S26:S61" si="7">L26</f>
        <v>9900</v>
      </c>
      <c r="V26">
        <v>16875</v>
      </c>
      <c r="W26" t="s">
        <v>2399</v>
      </c>
      <c r="Y26">
        <v>0</v>
      </c>
      <c r="AE26" s="168">
        <v>9900</v>
      </c>
      <c r="AF26" s="168">
        <f t="shared" si="3"/>
        <v>13400</v>
      </c>
    </row>
    <row r="27" spans="1:32">
      <c r="A27" s="168">
        <v>135</v>
      </c>
      <c r="B27" s="168" t="s">
        <v>103</v>
      </c>
      <c r="C27" s="168" t="s">
        <v>866</v>
      </c>
      <c r="D27" s="168" t="s">
        <v>867</v>
      </c>
      <c r="E27" s="168"/>
      <c r="F27" s="168" t="s">
        <v>868</v>
      </c>
      <c r="G27" s="168" t="s">
        <v>869</v>
      </c>
      <c r="H27" s="168" t="s">
        <v>870</v>
      </c>
      <c r="I27" s="168">
        <v>3300</v>
      </c>
      <c r="J27" s="168" t="s">
        <v>494</v>
      </c>
      <c r="L27" s="168">
        <v>3300</v>
      </c>
      <c r="N27">
        <f t="shared" si="4"/>
        <v>3300</v>
      </c>
      <c r="P27">
        <f t="shared" si="6"/>
        <v>3300</v>
      </c>
      <c r="S27">
        <f t="shared" si="7"/>
        <v>3300</v>
      </c>
      <c r="V27">
        <v>0</v>
      </c>
      <c r="AE27" s="168">
        <v>3300</v>
      </c>
      <c r="AF27" s="168">
        <f t="shared" si="3"/>
        <v>6800</v>
      </c>
    </row>
    <row r="28" spans="1:32">
      <c r="A28" s="168">
        <v>137</v>
      </c>
      <c r="B28" s="168" t="s">
        <v>103</v>
      </c>
      <c r="C28" s="168" t="s">
        <v>1190</v>
      </c>
      <c r="D28" s="168" t="s">
        <v>1199</v>
      </c>
      <c r="E28" s="168" t="s">
        <v>1199</v>
      </c>
      <c r="F28" s="168" t="s">
        <v>1200</v>
      </c>
      <c r="G28" s="168" t="s">
        <v>1201</v>
      </c>
      <c r="H28" s="168" t="s">
        <v>832</v>
      </c>
      <c r="I28" s="168">
        <v>7000</v>
      </c>
      <c r="J28" s="168" t="s">
        <v>109</v>
      </c>
      <c r="L28" s="168">
        <v>7000</v>
      </c>
      <c r="M28">
        <v>3500</v>
      </c>
      <c r="N28">
        <f t="shared" si="4"/>
        <v>10500</v>
      </c>
      <c r="P28">
        <f t="shared" si="6"/>
        <v>7000</v>
      </c>
      <c r="S28">
        <f t="shared" si="7"/>
        <v>7000</v>
      </c>
      <c r="V28">
        <v>7000</v>
      </c>
      <c r="Y28">
        <v>7000</v>
      </c>
      <c r="AD28" s="197" t="s">
        <v>2455</v>
      </c>
      <c r="AE28" s="168">
        <v>7000</v>
      </c>
      <c r="AF28" s="168">
        <f t="shared" si="3"/>
        <v>10500</v>
      </c>
    </row>
    <row r="29" spans="1:32">
      <c r="A29" s="168">
        <v>138</v>
      </c>
      <c r="B29" s="168" t="s">
        <v>103</v>
      </c>
      <c r="C29" s="168" t="s">
        <v>1217</v>
      </c>
      <c r="D29" s="168" t="s">
        <v>1121</v>
      </c>
      <c r="E29" s="168"/>
      <c r="F29" s="168" t="s">
        <v>1218</v>
      </c>
      <c r="G29" s="168" t="s">
        <v>1219</v>
      </c>
      <c r="H29" s="168" t="s">
        <v>1124</v>
      </c>
      <c r="I29" s="168">
        <v>6600</v>
      </c>
      <c r="J29" s="168" t="s">
        <v>109</v>
      </c>
      <c r="L29" s="168">
        <v>6600</v>
      </c>
      <c r="M29">
        <v>3500</v>
      </c>
      <c r="N29">
        <f t="shared" si="4"/>
        <v>10100</v>
      </c>
      <c r="P29">
        <f t="shared" si="6"/>
        <v>6600</v>
      </c>
      <c r="S29">
        <f t="shared" si="7"/>
        <v>6600</v>
      </c>
      <c r="V29">
        <v>6600</v>
      </c>
      <c r="Y29">
        <v>6600</v>
      </c>
      <c r="Z29" t="s">
        <v>2457</v>
      </c>
      <c r="AA29" t="s">
        <v>2458</v>
      </c>
      <c r="AC29" t="s">
        <v>2456</v>
      </c>
      <c r="AE29" s="168">
        <v>6600</v>
      </c>
      <c r="AF29" s="168">
        <f t="shared" si="3"/>
        <v>10100</v>
      </c>
    </row>
    <row r="30" spans="1:32">
      <c r="A30">
        <v>139</v>
      </c>
      <c r="B30" t="s">
        <v>103</v>
      </c>
      <c r="C30" t="s">
        <v>989</v>
      </c>
      <c r="D30" t="s">
        <v>990</v>
      </c>
      <c r="F30" t="s">
        <v>991</v>
      </c>
      <c r="G30" t="s">
        <v>992</v>
      </c>
      <c r="H30" t="s">
        <v>993</v>
      </c>
      <c r="I30" s="168">
        <v>12100</v>
      </c>
      <c r="J30" s="168" t="s">
        <v>109</v>
      </c>
      <c r="L30" s="168">
        <v>12100</v>
      </c>
      <c r="M30">
        <v>3500</v>
      </c>
      <c r="N30">
        <f t="shared" si="4"/>
        <v>15600</v>
      </c>
      <c r="P30">
        <f t="shared" si="6"/>
        <v>12100</v>
      </c>
      <c r="S30">
        <f t="shared" si="7"/>
        <v>12100</v>
      </c>
      <c r="V30">
        <v>12100</v>
      </c>
      <c r="Y30">
        <v>12100</v>
      </c>
      <c r="AB30" s="197">
        <v>14300</v>
      </c>
      <c r="AC30" t="s">
        <v>2444</v>
      </c>
      <c r="AE30" s="168">
        <v>12100</v>
      </c>
      <c r="AF30" s="168">
        <f t="shared" si="3"/>
        <v>15600</v>
      </c>
    </row>
    <row r="31" spans="1:32">
      <c r="A31">
        <v>140</v>
      </c>
      <c r="B31" t="s">
        <v>103</v>
      </c>
      <c r="C31" t="s">
        <v>630</v>
      </c>
      <c r="D31" t="s">
        <v>631</v>
      </c>
      <c r="F31" t="s">
        <v>1221</v>
      </c>
      <c r="G31" t="s">
        <v>1222</v>
      </c>
      <c r="H31" t="s">
        <v>634</v>
      </c>
      <c r="I31" s="168">
        <v>6050</v>
      </c>
      <c r="J31" s="168" t="s">
        <v>109</v>
      </c>
      <c r="L31" s="168">
        <v>6050</v>
      </c>
      <c r="M31">
        <v>3500</v>
      </c>
      <c r="N31">
        <f t="shared" si="4"/>
        <v>9550</v>
      </c>
      <c r="P31">
        <f t="shared" si="6"/>
        <v>6050</v>
      </c>
      <c r="S31">
        <f t="shared" si="7"/>
        <v>6050</v>
      </c>
      <c r="V31">
        <v>6050</v>
      </c>
      <c r="Y31">
        <v>6050</v>
      </c>
      <c r="AE31" s="168">
        <v>6050</v>
      </c>
      <c r="AF31" s="168">
        <f t="shared" si="3"/>
        <v>9550</v>
      </c>
    </row>
    <row r="32" spans="1:32">
      <c r="A32" s="168">
        <v>142</v>
      </c>
      <c r="B32" s="168" t="s">
        <v>103</v>
      </c>
      <c r="C32" s="168" t="s">
        <v>1308</v>
      </c>
      <c r="D32" s="168" t="s">
        <v>762</v>
      </c>
      <c r="E32" s="168"/>
      <c r="F32" s="168" t="s">
        <v>1309</v>
      </c>
      <c r="G32" s="168" t="s">
        <v>1310</v>
      </c>
      <c r="H32" s="168" t="s">
        <v>765</v>
      </c>
      <c r="I32" s="168">
        <v>6600</v>
      </c>
      <c r="J32" s="168" t="s">
        <v>109</v>
      </c>
      <c r="L32" s="168">
        <v>6600</v>
      </c>
      <c r="M32">
        <v>3500</v>
      </c>
      <c r="N32">
        <f t="shared" si="4"/>
        <v>10100</v>
      </c>
      <c r="P32">
        <f t="shared" si="6"/>
        <v>6600</v>
      </c>
      <c r="S32">
        <f t="shared" si="7"/>
        <v>6600</v>
      </c>
      <c r="V32">
        <v>6600</v>
      </c>
      <c r="Y32">
        <v>6600</v>
      </c>
      <c r="AE32" s="168">
        <v>6600</v>
      </c>
      <c r="AF32" s="168">
        <f t="shared" si="3"/>
        <v>10100</v>
      </c>
    </row>
    <row r="33" spans="1:32">
      <c r="A33">
        <v>149</v>
      </c>
      <c r="B33" t="s">
        <v>103</v>
      </c>
      <c r="C33" t="s">
        <v>1106</v>
      </c>
      <c r="D33" t="s">
        <v>1115</v>
      </c>
      <c r="F33" t="s">
        <v>1116</v>
      </c>
      <c r="G33" t="s">
        <v>1117</v>
      </c>
      <c r="H33" t="s">
        <v>1118</v>
      </c>
      <c r="I33" s="168">
        <v>19800</v>
      </c>
      <c r="J33" s="168" t="s">
        <v>196</v>
      </c>
      <c r="L33" s="168">
        <v>19800</v>
      </c>
      <c r="M33">
        <v>3500</v>
      </c>
      <c r="N33">
        <f t="shared" si="4"/>
        <v>23300</v>
      </c>
      <c r="P33">
        <f t="shared" si="6"/>
        <v>19800</v>
      </c>
      <c r="S33">
        <f t="shared" si="7"/>
        <v>19800</v>
      </c>
      <c r="V33">
        <v>19800</v>
      </c>
      <c r="Y33">
        <v>19800</v>
      </c>
      <c r="AE33" s="168">
        <v>19800</v>
      </c>
      <c r="AF33" s="168">
        <f t="shared" si="3"/>
        <v>23300</v>
      </c>
    </row>
    <row r="34" spans="1:32">
      <c r="A34">
        <v>151</v>
      </c>
      <c r="B34" t="s">
        <v>103</v>
      </c>
      <c r="C34" t="s">
        <v>1289</v>
      </c>
      <c r="D34" t="s">
        <v>1463</v>
      </c>
      <c r="H34" t="s">
        <v>1466</v>
      </c>
      <c r="I34" s="168">
        <v>19800</v>
      </c>
      <c r="J34" s="168" t="s">
        <v>196</v>
      </c>
      <c r="L34" s="168">
        <v>19800</v>
      </c>
      <c r="M34">
        <v>3500</v>
      </c>
      <c r="N34">
        <f t="shared" si="4"/>
        <v>23300</v>
      </c>
      <c r="P34">
        <f t="shared" si="6"/>
        <v>19800</v>
      </c>
      <c r="S34">
        <f t="shared" si="7"/>
        <v>19800</v>
      </c>
      <c r="V34">
        <v>19800</v>
      </c>
      <c r="Y34">
        <v>19800</v>
      </c>
      <c r="AE34" s="168">
        <v>19800</v>
      </c>
      <c r="AF34" s="168">
        <f t="shared" si="3"/>
        <v>23300</v>
      </c>
    </row>
    <row r="35" spans="1:32">
      <c r="A35" s="168">
        <v>152</v>
      </c>
      <c r="B35" s="168" t="s">
        <v>66</v>
      </c>
      <c r="C35" s="168" t="s">
        <v>652</v>
      </c>
      <c r="D35" s="168" t="s">
        <v>644</v>
      </c>
      <c r="E35" s="168"/>
      <c r="F35" s="168" t="s">
        <v>653</v>
      </c>
      <c r="G35" s="168" t="s">
        <v>654</v>
      </c>
      <c r="H35" s="168" t="s">
        <v>647</v>
      </c>
      <c r="I35" s="168">
        <v>6050</v>
      </c>
      <c r="J35" s="168" t="s">
        <v>109</v>
      </c>
      <c r="L35" s="168">
        <v>6050</v>
      </c>
      <c r="M35">
        <v>3500</v>
      </c>
      <c r="N35">
        <f t="shared" si="4"/>
        <v>9550</v>
      </c>
      <c r="P35">
        <f t="shared" si="6"/>
        <v>6050</v>
      </c>
      <c r="S35">
        <f t="shared" si="7"/>
        <v>6050</v>
      </c>
      <c r="V35">
        <v>6050</v>
      </c>
      <c r="Y35">
        <v>6050</v>
      </c>
      <c r="AE35" s="168">
        <v>6050</v>
      </c>
      <c r="AF35" s="168">
        <f t="shared" si="3"/>
        <v>9550</v>
      </c>
    </row>
    <row r="36" spans="1:32">
      <c r="A36" s="168">
        <v>152</v>
      </c>
      <c r="B36" s="168" t="s">
        <v>66</v>
      </c>
      <c r="C36" t="s">
        <v>643</v>
      </c>
      <c r="D36" t="s">
        <v>644</v>
      </c>
      <c r="F36" t="s">
        <v>645</v>
      </c>
      <c r="G36" t="s">
        <v>646</v>
      </c>
      <c r="H36" t="s">
        <v>647</v>
      </c>
      <c r="I36">
        <v>6050</v>
      </c>
      <c r="J36" s="168" t="s">
        <v>109</v>
      </c>
      <c r="L36">
        <v>6050</v>
      </c>
      <c r="M36">
        <v>3500</v>
      </c>
      <c r="N36">
        <f t="shared" si="4"/>
        <v>9550</v>
      </c>
      <c r="P36">
        <f t="shared" si="6"/>
        <v>6050</v>
      </c>
      <c r="S36">
        <f t="shared" si="7"/>
        <v>6050</v>
      </c>
      <c r="V36">
        <v>6050</v>
      </c>
      <c r="Y36">
        <v>6050</v>
      </c>
      <c r="AE36">
        <v>6050</v>
      </c>
      <c r="AF36" s="168">
        <f t="shared" si="3"/>
        <v>9550</v>
      </c>
    </row>
    <row r="37" spans="1:32">
      <c r="A37" s="168">
        <v>157</v>
      </c>
      <c r="B37" s="168" t="s">
        <v>103</v>
      </c>
      <c r="C37" s="168" t="s">
        <v>889</v>
      </c>
      <c r="D37" s="168" t="s">
        <v>890</v>
      </c>
      <c r="E37" s="168"/>
      <c r="F37" s="168" t="s">
        <v>891</v>
      </c>
      <c r="G37" s="168" t="s">
        <v>892</v>
      </c>
      <c r="H37" s="168" t="s">
        <v>893</v>
      </c>
      <c r="I37" s="168">
        <v>11700</v>
      </c>
      <c r="J37" s="168" t="s">
        <v>109</v>
      </c>
      <c r="L37" s="168">
        <v>11700</v>
      </c>
      <c r="M37">
        <v>3500</v>
      </c>
      <c r="N37">
        <f t="shared" si="4"/>
        <v>15200</v>
      </c>
      <c r="P37">
        <f t="shared" si="6"/>
        <v>11700</v>
      </c>
      <c r="S37">
        <f t="shared" si="7"/>
        <v>11700</v>
      </c>
      <c r="V37">
        <v>11700</v>
      </c>
      <c r="Y37">
        <v>11700</v>
      </c>
      <c r="AE37" s="168">
        <v>11700</v>
      </c>
      <c r="AF37" s="168">
        <f t="shared" si="3"/>
        <v>15200</v>
      </c>
    </row>
    <row r="38" spans="1:32">
      <c r="A38" s="168">
        <v>160</v>
      </c>
      <c r="B38" s="168" t="s">
        <v>103</v>
      </c>
      <c r="C38" t="s">
        <v>489</v>
      </c>
      <c r="D38" t="s">
        <v>490</v>
      </c>
      <c r="F38" t="s">
        <v>491</v>
      </c>
      <c r="G38" t="s">
        <v>492</v>
      </c>
      <c r="H38" t="s">
        <v>493</v>
      </c>
      <c r="I38" s="217">
        <v>9500</v>
      </c>
      <c r="J38" t="s">
        <v>109</v>
      </c>
      <c r="L38" s="217">
        <v>20500</v>
      </c>
      <c r="M38">
        <v>3500</v>
      </c>
      <c r="N38">
        <f t="shared" si="4"/>
        <v>24000</v>
      </c>
      <c r="P38">
        <f t="shared" si="6"/>
        <v>9500</v>
      </c>
      <c r="S38">
        <f t="shared" si="7"/>
        <v>20500</v>
      </c>
      <c r="V38">
        <v>20500</v>
      </c>
      <c r="Y38">
        <v>20500</v>
      </c>
      <c r="AE38" s="217">
        <v>9500</v>
      </c>
      <c r="AF38" s="168">
        <f t="shared" si="3"/>
        <v>13000</v>
      </c>
    </row>
    <row r="39" spans="1:32">
      <c r="A39" s="168">
        <v>160</v>
      </c>
      <c r="B39" s="168" t="s">
        <v>103</v>
      </c>
      <c r="C39" s="168" t="s">
        <v>499</v>
      </c>
      <c r="D39" s="168" t="s">
        <v>490</v>
      </c>
      <c r="E39" s="168"/>
      <c r="F39" s="168" t="s">
        <v>500</v>
      </c>
      <c r="G39" s="168" t="s">
        <v>501</v>
      </c>
      <c r="H39" s="168" t="s">
        <v>493</v>
      </c>
      <c r="I39" s="217">
        <v>7000</v>
      </c>
      <c r="J39" t="s">
        <v>109</v>
      </c>
      <c r="L39" s="217">
        <v>7000</v>
      </c>
      <c r="M39">
        <v>3500</v>
      </c>
      <c r="N39">
        <f t="shared" si="4"/>
        <v>10500</v>
      </c>
      <c r="P39">
        <f t="shared" si="6"/>
        <v>7000</v>
      </c>
      <c r="S39">
        <f t="shared" si="7"/>
        <v>7000</v>
      </c>
      <c r="V39">
        <v>7000</v>
      </c>
      <c r="W39" s="197" t="s">
        <v>2413</v>
      </c>
      <c r="Y39">
        <v>7900</v>
      </c>
      <c r="AB39" s="197">
        <v>7600</v>
      </c>
      <c r="AE39" s="217">
        <v>7000</v>
      </c>
      <c r="AF39" s="168">
        <f t="shared" si="3"/>
        <v>10500</v>
      </c>
    </row>
    <row r="40" spans="1:32">
      <c r="A40" s="168">
        <v>160</v>
      </c>
      <c r="B40" s="168" t="s">
        <v>103</v>
      </c>
      <c r="C40" t="s">
        <v>504</v>
      </c>
      <c r="D40" t="s">
        <v>490</v>
      </c>
      <c r="F40" t="s">
        <v>505</v>
      </c>
      <c r="G40" t="s">
        <v>506</v>
      </c>
      <c r="H40" t="s">
        <v>493</v>
      </c>
      <c r="I40" s="217">
        <v>20500</v>
      </c>
      <c r="J40" t="s">
        <v>109</v>
      </c>
      <c r="L40" s="217">
        <v>9500</v>
      </c>
      <c r="M40">
        <v>3500</v>
      </c>
      <c r="N40">
        <f t="shared" si="4"/>
        <v>13000</v>
      </c>
      <c r="P40">
        <f t="shared" si="6"/>
        <v>20500</v>
      </c>
      <c r="S40">
        <f t="shared" si="7"/>
        <v>9500</v>
      </c>
      <c r="V40">
        <v>9500</v>
      </c>
      <c r="Y40">
        <v>9500</v>
      </c>
      <c r="AE40" s="217">
        <v>20500</v>
      </c>
      <c r="AF40" s="168">
        <f t="shared" si="3"/>
        <v>24000</v>
      </c>
    </row>
    <row r="41" spans="1:32">
      <c r="A41" s="168">
        <v>161</v>
      </c>
      <c r="B41" s="168" t="s">
        <v>103</v>
      </c>
      <c r="C41" s="168" t="s">
        <v>104</v>
      </c>
      <c r="D41" s="168" t="s">
        <v>114</v>
      </c>
      <c r="E41" s="168"/>
      <c r="F41" s="168" t="s">
        <v>106</v>
      </c>
      <c r="G41" s="168" t="s">
        <v>115</v>
      </c>
      <c r="H41" s="168" t="s">
        <v>116</v>
      </c>
      <c r="I41" s="217">
        <v>6600</v>
      </c>
      <c r="J41" t="s">
        <v>109</v>
      </c>
      <c r="L41" s="217"/>
      <c r="P41">
        <f t="shared" si="6"/>
        <v>6600</v>
      </c>
      <c r="AE41" s="217">
        <v>6600</v>
      </c>
      <c r="AF41" s="168">
        <f t="shared" si="3"/>
        <v>10100</v>
      </c>
    </row>
    <row r="42" spans="1:32">
      <c r="A42">
        <v>165</v>
      </c>
      <c r="B42" t="s">
        <v>103</v>
      </c>
      <c r="C42" t="s">
        <v>1470</v>
      </c>
      <c r="D42" t="s">
        <v>740</v>
      </c>
      <c r="F42" t="s">
        <v>1471</v>
      </c>
      <c r="G42" t="s">
        <v>1472</v>
      </c>
      <c r="H42" t="s">
        <v>743</v>
      </c>
      <c r="I42" s="168">
        <v>6600</v>
      </c>
      <c r="J42" t="s">
        <v>109</v>
      </c>
      <c r="L42" s="168">
        <v>6600</v>
      </c>
      <c r="M42">
        <v>3500</v>
      </c>
      <c r="N42">
        <f t="shared" si="4"/>
        <v>10100</v>
      </c>
      <c r="P42">
        <f t="shared" si="6"/>
        <v>6600</v>
      </c>
      <c r="S42">
        <f t="shared" si="7"/>
        <v>6600</v>
      </c>
      <c r="V42">
        <v>6600</v>
      </c>
      <c r="Y42">
        <v>6600</v>
      </c>
      <c r="AE42" s="168">
        <v>6600</v>
      </c>
      <c r="AF42" s="168">
        <f t="shared" si="3"/>
        <v>10100</v>
      </c>
    </row>
    <row r="43" spans="1:32">
      <c r="A43">
        <v>166</v>
      </c>
      <c r="B43" t="s">
        <v>103</v>
      </c>
      <c r="C43" t="s">
        <v>1499</v>
      </c>
      <c r="D43" t="s">
        <v>1500</v>
      </c>
      <c r="F43" t="s">
        <v>1501</v>
      </c>
      <c r="G43" t="s">
        <v>1502</v>
      </c>
      <c r="H43" t="s">
        <v>1503</v>
      </c>
      <c r="I43" s="168">
        <v>7000</v>
      </c>
      <c r="J43" t="s">
        <v>109</v>
      </c>
      <c r="L43" s="168">
        <v>7000</v>
      </c>
      <c r="M43">
        <v>3500</v>
      </c>
      <c r="N43">
        <f t="shared" si="4"/>
        <v>10500</v>
      </c>
      <c r="P43">
        <f t="shared" si="6"/>
        <v>7000</v>
      </c>
      <c r="S43">
        <f t="shared" si="7"/>
        <v>7000</v>
      </c>
      <c r="V43">
        <v>7000</v>
      </c>
      <c r="Y43">
        <v>7000</v>
      </c>
      <c r="AE43" s="168">
        <v>7000</v>
      </c>
      <c r="AF43" s="168">
        <f t="shared" si="3"/>
        <v>10500</v>
      </c>
    </row>
    <row r="44" spans="1:32">
      <c r="A44" s="168">
        <v>167</v>
      </c>
      <c r="B44" s="168" t="s">
        <v>66</v>
      </c>
      <c r="C44" s="168" t="s">
        <v>1508</v>
      </c>
      <c r="D44" s="168" t="s">
        <v>1509</v>
      </c>
      <c r="E44" s="168"/>
      <c r="F44" s="168" t="s">
        <v>1510</v>
      </c>
      <c r="G44" s="168" t="s">
        <v>1511</v>
      </c>
      <c r="H44" s="168" t="s">
        <v>1512</v>
      </c>
      <c r="I44" s="168">
        <v>7000</v>
      </c>
      <c r="J44" t="s">
        <v>109</v>
      </c>
      <c r="L44" s="218">
        <v>7000</v>
      </c>
      <c r="M44" s="197">
        <v>3500</v>
      </c>
      <c r="N44" s="197">
        <f t="shared" si="4"/>
        <v>10500</v>
      </c>
      <c r="O44" t="s">
        <v>2264</v>
      </c>
      <c r="P44">
        <f t="shared" si="6"/>
        <v>7000</v>
      </c>
      <c r="S44">
        <f t="shared" si="7"/>
        <v>7000</v>
      </c>
      <c r="V44">
        <v>7000</v>
      </c>
      <c r="Y44">
        <v>7000</v>
      </c>
      <c r="AE44" s="168">
        <v>7000</v>
      </c>
      <c r="AF44" s="168">
        <f t="shared" si="3"/>
        <v>10500</v>
      </c>
    </row>
    <row r="45" spans="1:32">
      <c r="A45">
        <v>168</v>
      </c>
      <c r="B45" t="s">
        <v>103</v>
      </c>
      <c r="C45" t="s">
        <v>1516</v>
      </c>
      <c r="D45" t="s">
        <v>1517</v>
      </c>
      <c r="F45" t="s">
        <v>1518</v>
      </c>
      <c r="G45" t="s">
        <v>1519</v>
      </c>
      <c r="H45" t="s">
        <v>1520</v>
      </c>
      <c r="I45" s="168">
        <v>7000</v>
      </c>
      <c r="J45" t="s">
        <v>109</v>
      </c>
      <c r="L45" s="168">
        <v>7000</v>
      </c>
      <c r="M45">
        <v>3500</v>
      </c>
      <c r="N45">
        <f t="shared" si="4"/>
        <v>10500</v>
      </c>
      <c r="P45">
        <f t="shared" si="6"/>
        <v>7000</v>
      </c>
      <c r="S45">
        <f t="shared" si="7"/>
        <v>7000</v>
      </c>
      <c r="V45">
        <v>7000</v>
      </c>
      <c r="Y45">
        <v>7000</v>
      </c>
      <c r="AE45" s="168">
        <v>7000</v>
      </c>
      <c r="AF45" s="168">
        <f t="shared" si="3"/>
        <v>10500</v>
      </c>
    </row>
    <row r="46" spans="1:32">
      <c r="A46" s="168">
        <v>169</v>
      </c>
      <c r="B46" s="168" t="s">
        <v>103</v>
      </c>
      <c r="C46" s="168" t="s">
        <v>1524</v>
      </c>
      <c r="D46" s="168" t="s">
        <v>1525</v>
      </c>
      <c r="E46" s="168"/>
      <c r="F46" s="168" t="s">
        <v>1526</v>
      </c>
      <c r="G46" s="168" t="s">
        <v>1527</v>
      </c>
      <c r="H46" s="168" t="s">
        <v>1528</v>
      </c>
      <c r="I46" s="168">
        <v>7000</v>
      </c>
      <c r="J46" t="s">
        <v>109</v>
      </c>
      <c r="L46" s="168">
        <v>7000</v>
      </c>
      <c r="M46">
        <v>3500</v>
      </c>
      <c r="N46">
        <f t="shared" si="4"/>
        <v>10500</v>
      </c>
      <c r="P46">
        <f t="shared" si="6"/>
        <v>7000</v>
      </c>
      <c r="S46">
        <f t="shared" si="7"/>
        <v>7000</v>
      </c>
      <c r="V46">
        <v>7000</v>
      </c>
      <c r="Y46">
        <v>7000</v>
      </c>
      <c r="AB46" s="197">
        <v>0</v>
      </c>
      <c r="AC46" t="s">
        <v>2424</v>
      </c>
      <c r="AE46" s="168">
        <v>7000</v>
      </c>
      <c r="AF46" s="168">
        <f t="shared" si="3"/>
        <v>10500</v>
      </c>
    </row>
    <row r="47" spans="1:32">
      <c r="A47">
        <v>170</v>
      </c>
      <c r="B47" t="s">
        <v>103</v>
      </c>
      <c r="C47" t="s">
        <v>1532</v>
      </c>
      <c r="D47" t="s">
        <v>854</v>
      </c>
      <c r="F47" t="s">
        <v>1533</v>
      </c>
      <c r="G47" t="s">
        <v>1534</v>
      </c>
      <c r="H47" t="s">
        <v>1535</v>
      </c>
      <c r="I47" s="168">
        <v>7000</v>
      </c>
      <c r="J47" t="s">
        <v>109</v>
      </c>
      <c r="L47" s="168">
        <v>7000</v>
      </c>
      <c r="M47">
        <v>3500</v>
      </c>
      <c r="N47">
        <f t="shared" si="4"/>
        <v>10500</v>
      </c>
      <c r="P47">
        <f t="shared" si="6"/>
        <v>7000</v>
      </c>
      <c r="S47">
        <f t="shared" si="7"/>
        <v>7000</v>
      </c>
      <c r="V47">
        <v>7000</v>
      </c>
      <c r="Y47">
        <v>7000</v>
      </c>
      <c r="AE47" s="168">
        <v>7000</v>
      </c>
      <c r="AF47" s="168">
        <f t="shared" si="3"/>
        <v>10500</v>
      </c>
    </row>
    <row r="48" spans="1:32">
      <c r="A48" s="168">
        <v>171</v>
      </c>
      <c r="B48" s="168" t="s">
        <v>103</v>
      </c>
      <c r="C48" s="168" t="s">
        <v>1390</v>
      </c>
      <c r="D48" s="168" t="s">
        <v>490</v>
      </c>
      <c r="E48" s="168"/>
      <c r="F48" s="168" t="s">
        <v>1537</v>
      </c>
      <c r="G48" s="168" t="s">
        <v>1538</v>
      </c>
      <c r="H48" s="168" t="s">
        <v>493</v>
      </c>
      <c r="I48" s="168">
        <v>7000</v>
      </c>
      <c r="J48" t="s">
        <v>109</v>
      </c>
      <c r="L48" s="168">
        <v>7000</v>
      </c>
      <c r="M48">
        <v>3500</v>
      </c>
      <c r="N48">
        <f t="shared" si="4"/>
        <v>10500</v>
      </c>
      <c r="P48">
        <f t="shared" si="6"/>
        <v>7000</v>
      </c>
      <c r="S48">
        <f t="shared" si="7"/>
        <v>7000</v>
      </c>
      <c r="V48">
        <v>7000</v>
      </c>
      <c r="Y48">
        <v>12100</v>
      </c>
      <c r="AE48" s="168">
        <v>7000</v>
      </c>
      <c r="AF48" s="168">
        <f>AE48+3500</f>
        <v>10500</v>
      </c>
    </row>
    <row r="49" spans="1:32">
      <c r="A49">
        <v>172</v>
      </c>
      <c r="B49" t="s">
        <v>103</v>
      </c>
      <c r="C49" t="s">
        <v>1540</v>
      </c>
      <c r="D49" t="s">
        <v>1541</v>
      </c>
      <c r="F49" t="s">
        <v>1542</v>
      </c>
      <c r="G49" t="s">
        <v>1543</v>
      </c>
      <c r="H49" t="s">
        <v>1544</v>
      </c>
      <c r="I49" s="168">
        <v>12100</v>
      </c>
      <c r="J49" t="s">
        <v>109</v>
      </c>
      <c r="L49" s="168">
        <v>12100</v>
      </c>
      <c r="M49">
        <v>3500</v>
      </c>
      <c r="N49">
        <f t="shared" si="4"/>
        <v>15600</v>
      </c>
      <c r="P49">
        <f t="shared" si="6"/>
        <v>12100</v>
      </c>
      <c r="S49">
        <f t="shared" si="7"/>
        <v>12100</v>
      </c>
      <c r="V49">
        <v>12100</v>
      </c>
      <c r="Y49">
        <v>9500</v>
      </c>
      <c r="AE49" s="168">
        <v>12100</v>
      </c>
      <c r="AF49" s="168">
        <f t="shared" ref="AF49:AF75" si="8">AE49+3500</f>
        <v>15600</v>
      </c>
    </row>
    <row r="50" spans="1:32">
      <c r="A50" s="168">
        <v>173</v>
      </c>
      <c r="B50" s="168" t="s">
        <v>2461</v>
      </c>
      <c r="C50" s="168" t="s">
        <v>1524</v>
      </c>
      <c r="D50" s="168" t="s">
        <v>1550</v>
      </c>
      <c r="E50" s="168"/>
      <c r="F50" s="168" t="s">
        <v>1551</v>
      </c>
      <c r="G50" s="168" t="s">
        <v>1552</v>
      </c>
      <c r="H50" s="168" t="s">
        <v>1552</v>
      </c>
      <c r="I50" s="168">
        <v>9500</v>
      </c>
      <c r="J50" t="s">
        <v>109</v>
      </c>
      <c r="L50" s="168">
        <v>9500</v>
      </c>
      <c r="M50">
        <v>3500</v>
      </c>
      <c r="N50">
        <f t="shared" si="4"/>
        <v>13000</v>
      </c>
      <c r="P50">
        <f t="shared" si="6"/>
        <v>9500</v>
      </c>
      <c r="S50">
        <f t="shared" si="7"/>
        <v>9500</v>
      </c>
      <c r="V50">
        <v>9500</v>
      </c>
      <c r="Y50">
        <v>7000</v>
      </c>
      <c r="AC50" t="s">
        <v>2462</v>
      </c>
      <c r="AE50" s="168">
        <v>9500</v>
      </c>
      <c r="AF50" s="168">
        <f t="shared" si="8"/>
        <v>13000</v>
      </c>
    </row>
    <row r="51" spans="1:32">
      <c r="A51">
        <v>174</v>
      </c>
      <c r="B51" t="s">
        <v>103</v>
      </c>
      <c r="C51" t="s">
        <v>749</v>
      </c>
      <c r="D51" t="s">
        <v>149</v>
      </c>
      <c r="F51" t="s">
        <v>1557</v>
      </c>
      <c r="G51" t="s">
        <v>1558</v>
      </c>
      <c r="H51" t="s">
        <v>752</v>
      </c>
      <c r="I51" s="168">
        <v>7000</v>
      </c>
      <c r="J51" t="s">
        <v>109</v>
      </c>
      <c r="L51" s="168">
        <v>7000</v>
      </c>
      <c r="M51">
        <v>3500</v>
      </c>
      <c r="N51">
        <f t="shared" si="4"/>
        <v>10500</v>
      </c>
      <c r="P51">
        <f t="shared" si="6"/>
        <v>7000</v>
      </c>
      <c r="S51">
        <f t="shared" si="7"/>
        <v>7000</v>
      </c>
      <c r="V51">
        <v>7000</v>
      </c>
      <c r="Y51">
        <v>7000</v>
      </c>
      <c r="AE51" s="168">
        <v>7000</v>
      </c>
      <c r="AF51" s="168">
        <f t="shared" si="8"/>
        <v>10500</v>
      </c>
    </row>
    <row r="52" spans="1:32">
      <c r="A52" s="168">
        <v>175</v>
      </c>
      <c r="B52" s="168" t="s">
        <v>103</v>
      </c>
      <c r="C52" s="168" t="s">
        <v>1937</v>
      </c>
      <c r="D52" s="168" t="s">
        <v>1940</v>
      </c>
      <c r="E52" s="168"/>
      <c r="F52" s="168" t="s">
        <v>1938</v>
      </c>
      <c r="G52" s="168" t="s">
        <v>1939</v>
      </c>
      <c r="H52" s="168" t="s">
        <v>1372</v>
      </c>
      <c r="I52" s="168">
        <v>6600</v>
      </c>
      <c r="J52" t="s">
        <v>109</v>
      </c>
      <c r="L52" s="168">
        <v>6600</v>
      </c>
      <c r="M52">
        <v>3500</v>
      </c>
      <c r="N52">
        <f t="shared" si="4"/>
        <v>10100</v>
      </c>
      <c r="P52">
        <f t="shared" si="6"/>
        <v>6600</v>
      </c>
      <c r="S52">
        <f t="shared" si="7"/>
        <v>6600</v>
      </c>
      <c r="V52">
        <v>6600</v>
      </c>
      <c r="Y52">
        <v>6600</v>
      </c>
      <c r="AE52" s="168">
        <v>6600</v>
      </c>
      <c r="AF52" s="168">
        <f t="shared" si="8"/>
        <v>10100</v>
      </c>
    </row>
    <row r="53" spans="1:32">
      <c r="A53" s="168">
        <v>177</v>
      </c>
      <c r="B53" s="168" t="s">
        <v>103</v>
      </c>
      <c r="C53" s="168" t="s">
        <v>2010</v>
      </c>
      <c r="D53" s="168" t="s">
        <v>2011</v>
      </c>
      <c r="E53" s="168"/>
      <c r="F53" t="s">
        <v>2040</v>
      </c>
      <c r="G53" t="s">
        <v>2008</v>
      </c>
      <c r="H53" t="s">
        <v>2009</v>
      </c>
      <c r="I53" s="168">
        <v>7000</v>
      </c>
      <c r="J53" t="s">
        <v>109</v>
      </c>
      <c r="L53" s="168">
        <v>7000</v>
      </c>
      <c r="M53">
        <v>3500</v>
      </c>
      <c r="N53">
        <f t="shared" si="4"/>
        <v>10500</v>
      </c>
      <c r="P53">
        <f t="shared" si="6"/>
        <v>7000</v>
      </c>
      <c r="S53">
        <f t="shared" si="7"/>
        <v>7000</v>
      </c>
      <c r="V53">
        <v>7000</v>
      </c>
      <c r="Y53">
        <v>7000</v>
      </c>
      <c r="AE53" s="168">
        <v>7000</v>
      </c>
      <c r="AF53" s="168">
        <f t="shared" si="8"/>
        <v>10500</v>
      </c>
    </row>
    <row r="54" spans="1:32">
      <c r="A54" s="227">
        <v>178</v>
      </c>
      <c r="B54" s="227" t="s">
        <v>103</v>
      </c>
      <c r="C54" s="227" t="s">
        <v>586</v>
      </c>
      <c r="D54" s="227" t="s">
        <v>587</v>
      </c>
      <c r="E54" s="227"/>
      <c r="F54" s="227" t="s">
        <v>588</v>
      </c>
      <c r="G54" s="227" t="s">
        <v>589</v>
      </c>
      <c r="H54" s="227" t="s">
        <v>590</v>
      </c>
      <c r="I54" s="168">
        <v>7000</v>
      </c>
      <c r="J54" t="s">
        <v>109</v>
      </c>
      <c r="L54" s="168">
        <v>7000</v>
      </c>
      <c r="M54">
        <v>3500</v>
      </c>
      <c r="N54">
        <f t="shared" si="4"/>
        <v>10500</v>
      </c>
      <c r="P54">
        <f t="shared" si="6"/>
        <v>7000</v>
      </c>
      <c r="S54">
        <f t="shared" si="7"/>
        <v>7000</v>
      </c>
      <c r="V54" s="197">
        <v>17250</v>
      </c>
      <c r="W54" s="197" t="s">
        <v>2398</v>
      </c>
      <c r="Y54" s="197">
        <v>8800</v>
      </c>
      <c r="Z54" t="s">
        <v>2423</v>
      </c>
      <c r="AB54" s="197">
        <v>7600</v>
      </c>
      <c r="AE54" s="168">
        <v>7000</v>
      </c>
      <c r="AF54" s="168">
        <f t="shared" si="8"/>
        <v>10500</v>
      </c>
    </row>
    <row r="55" spans="1:32">
      <c r="A55">
        <v>179</v>
      </c>
      <c r="B55" t="s">
        <v>103</v>
      </c>
      <c r="C55" t="s">
        <v>630</v>
      </c>
      <c r="D55" t="s">
        <v>2034</v>
      </c>
      <c r="F55" t="s">
        <v>2038</v>
      </c>
      <c r="G55" t="s">
        <v>2033</v>
      </c>
      <c r="H55" t="s">
        <v>2035</v>
      </c>
      <c r="I55" s="168">
        <v>7000</v>
      </c>
      <c r="J55" t="s">
        <v>109</v>
      </c>
      <c r="L55" s="236">
        <v>6600</v>
      </c>
      <c r="M55">
        <v>3500</v>
      </c>
      <c r="N55" t="s">
        <v>2342</v>
      </c>
      <c r="P55">
        <f t="shared" si="6"/>
        <v>7000</v>
      </c>
      <c r="S55">
        <f t="shared" si="7"/>
        <v>6600</v>
      </c>
      <c r="V55">
        <v>6600</v>
      </c>
      <c r="Y55">
        <v>6600</v>
      </c>
      <c r="AB55" s="197">
        <v>7800</v>
      </c>
      <c r="AC55" t="s">
        <v>2443</v>
      </c>
      <c r="AE55" s="168">
        <v>7000</v>
      </c>
      <c r="AF55" s="168">
        <f t="shared" si="8"/>
        <v>10500</v>
      </c>
    </row>
    <row r="56" spans="1:32">
      <c r="A56">
        <v>181</v>
      </c>
      <c r="B56" t="s">
        <v>103</v>
      </c>
      <c r="C56" t="s">
        <v>2100</v>
      </c>
      <c r="D56" t="s">
        <v>490</v>
      </c>
      <c r="F56" t="s">
        <v>2132</v>
      </c>
      <c r="G56" t="s">
        <v>2131</v>
      </c>
      <c r="H56" t="s">
        <v>493</v>
      </c>
      <c r="I56">
        <v>9500</v>
      </c>
      <c r="J56" t="s">
        <v>109</v>
      </c>
      <c r="L56" s="236">
        <v>22750</v>
      </c>
      <c r="M56">
        <v>3500</v>
      </c>
      <c r="N56">
        <f t="shared" ref="N56:N62" si="9">M56+L56</f>
        <v>26250</v>
      </c>
      <c r="P56">
        <f t="shared" si="6"/>
        <v>9500</v>
      </c>
      <c r="S56">
        <f t="shared" si="7"/>
        <v>22750</v>
      </c>
      <c r="V56">
        <v>22750</v>
      </c>
      <c r="Y56">
        <v>22750</v>
      </c>
      <c r="AE56">
        <v>9500</v>
      </c>
      <c r="AF56" s="168">
        <f t="shared" si="8"/>
        <v>13000</v>
      </c>
    </row>
    <row r="57" spans="1:32">
      <c r="A57" s="168">
        <v>182</v>
      </c>
      <c r="B57" t="s">
        <v>103</v>
      </c>
      <c r="C57" t="s">
        <v>1272</v>
      </c>
      <c r="D57" t="s">
        <v>1084</v>
      </c>
      <c r="F57" s="49" t="s">
        <v>2117</v>
      </c>
      <c r="G57" s="49" t="s">
        <v>2070</v>
      </c>
      <c r="H57" s="49" t="s">
        <v>2114</v>
      </c>
      <c r="I57" s="168">
        <v>7000</v>
      </c>
      <c r="J57" t="s">
        <v>109</v>
      </c>
      <c r="L57" s="168">
        <v>7000</v>
      </c>
      <c r="M57">
        <v>3500</v>
      </c>
      <c r="N57">
        <f t="shared" si="9"/>
        <v>10500</v>
      </c>
      <c r="P57">
        <f t="shared" si="6"/>
        <v>7000</v>
      </c>
      <c r="S57">
        <f t="shared" si="7"/>
        <v>7000</v>
      </c>
      <c r="V57">
        <v>7000</v>
      </c>
      <c r="Y57">
        <v>7000</v>
      </c>
      <c r="AE57" s="168">
        <v>7000</v>
      </c>
      <c r="AF57" s="168">
        <f t="shared" si="8"/>
        <v>10500</v>
      </c>
    </row>
    <row r="58" spans="1:32">
      <c r="A58" s="168">
        <v>183</v>
      </c>
      <c r="B58" t="s">
        <v>103</v>
      </c>
      <c r="C58" t="s">
        <v>67</v>
      </c>
      <c r="D58" t="s">
        <v>2115</v>
      </c>
      <c r="F58" s="275" t="s">
        <v>2118</v>
      </c>
      <c r="G58" s="275" t="s">
        <v>2066</v>
      </c>
      <c r="H58" s="275" t="s">
        <v>2116</v>
      </c>
      <c r="I58" s="168">
        <v>7000</v>
      </c>
      <c r="J58" t="s">
        <v>109</v>
      </c>
      <c r="L58" s="168">
        <v>7000</v>
      </c>
      <c r="M58">
        <v>3500</v>
      </c>
      <c r="N58">
        <f t="shared" si="9"/>
        <v>10500</v>
      </c>
      <c r="P58">
        <f t="shared" si="6"/>
        <v>7000</v>
      </c>
      <c r="S58">
        <f t="shared" si="7"/>
        <v>7000</v>
      </c>
      <c r="V58">
        <v>7000</v>
      </c>
      <c r="Y58">
        <v>7000</v>
      </c>
      <c r="AE58" s="168">
        <v>7000</v>
      </c>
      <c r="AF58" s="168">
        <f t="shared" si="8"/>
        <v>10500</v>
      </c>
    </row>
    <row r="59" spans="1:32">
      <c r="A59" s="168">
        <v>184</v>
      </c>
      <c r="B59" t="s">
        <v>103</v>
      </c>
      <c r="C59" t="s">
        <v>560</v>
      </c>
      <c r="D59" t="s">
        <v>2126</v>
      </c>
      <c r="G59" s="49" t="s">
        <v>2084</v>
      </c>
      <c r="H59" t="s">
        <v>562</v>
      </c>
      <c r="I59" s="168">
        <v>7000</v>
      </c>
      <c r="J59" t="s">
        <v>109</v>
      </c>
      <c r="L59" s="168">
        <v>7000</v>
      </c>
      <c r="M59">
        <v>3500</v>
      </c>
      <c r="N59">
        <f t="shared" si="9"/>
        <v>10500</v>
      </c>
      <c r="P59">
        <f t="shared" si="6"/>
        <v>7000</v>
      </c>
      <c r="S59">
        <f t="shared" si="7"/>
        <v>7000</v>
      </c>
      <c r="V59">
        <v>7000</v>
      </c>
      <c r="Y59">
        <v>7000</v>
      </c>
      <c r="AE59" s="168">
        <v>7000</v>
      </c>
      <c r="AF59" s="168">
        <f t="shared" si="8"/>
        <v>10500</v>
      </c>
    </row>
    <row r="60" spans="1:32">
      <c r="A60" s="168">
        <v>185</v>
      </c>
      <c r="B60" t="s">
        <v>103</v>
      </c>
      <c r="C60" t="s">
        <v>2127</v>
      </c>
      <c r="D60" t="s">
        <v>2125</v>
      </c>
      <c r="G60" s="256" t="s">
        <v>2079</v>
      </c>
      <c r="H60" s="49" t="s">
        <v>2128</v>
      </c>
      <c r="I60" s="168">
        <v>7000</v>
      </c>
      <c r="J60" t="s">
        <v>109</v>
      </c>
      <c r="L60" s="168">
        <v>7000</v>
      </c>
      <c r="M60">
        <v>3500</v>
      </c>
      <c r="N60">
        <f t="shared" si="9"/>
        <v>10500</v>
      </c>
      <c r="P60">
        <f t="shared" si="6"/>
        <v>7000</v>
      </c>
      <c r="S60">
        <f t="shared" si="7"/>
        <v>7000</v>
      </c>
      <c r="V60">
        <v>7000</v>
      </c>
      <c r="Y60">
        <v>7000</v>
      </c>
      <c r="AE60" s="168">
        <v>7000</v>
      </c>
      <c r="AF60" s="168">
        <f t="shared" si="8"/>
        <v>10500</v>
      </c>
    </row>
    <row r="61" spans="1:32">
      <c r="A61" s="168">
        <v>186</v>
      </c>
      <c r="B61" t="s">
        <v>66</v>
      </c>
      <c r="C61" t="s">
        <v>1327</v>
      </c>
      <c r="D61" t="s">
        <v>234</v>
      </c>
      <c r="G61" s="275"/>
      <c r="H61" s="256" t="s">
        <v>237</v>
      </c>
      <c r="I61" s="168">
        <v>7000</v>
      </c>
      <c r="J61" t="s">
        <v>109</v>
      </c>
      <c r="L61" s="168">
        <v>7000</v>
      </c>
      <c r="M61">
        <v>3500</v>
      </c>
      <c r="N61">
        <f t="shared" si="9"/>
        <v>10500</v>
      </c>
      <c r="P61">
        <f t="shared" si="6"/>
        <v>7000</v>
      </c>
      <c r="S61">
        <f t="shared" si="7"/>
        <v>7000</v>
      </c>
      <c r="V61">
        <v>7000</v>
      </c>
      <c r="Y61">
        <v>7000</v>
      </c>
      <c r="AE61" s="168">
        <v>7000</v>
      </c>
      <c r="AF61" s="168">
        <f t="shared" si="8"/>
        <v>10500</v>
      </c>
    </row>
    <row r="62" spans="1:32" ht="18" customHeight="1">
      <c r="A62">
        <v>187</v>
      </c>
      <c r="B62" t="s">
        <v>66</v>
      </c>
      <c r="C62" t="s">
        <v>2285</v>
      </c>
      <c r="H62" s="256" t="s">
        <v>2147</v>
      </c>
      <c r="I62" s="168">
        <v>7000</v>
      </c>
      <c r="J62" t="s">
        <v>109</v>
      </c>
      <c r="L62" s="168">
        <v>7000</v>
      </c>
      <c r="M62">
        <v>3500</v>
      </c>
      <c r="N62">
        <f t="shared" si="9"/>
        <v>10500</v>
      </c>
      <c r="O62" t="s">
        <v>2262</v>
      </c>
      <c r="P62">
        <f t="shared" si="6"/>
        <v>7000</v>
      </c>
      <c r="S62" s="271">
        <v>7000</v>
      </c>
      <c r="T62" t="s">
        <v>2381</v>
      </c>
      <c r="V62">
        <v>7000</v>
      </c>
      <c r="Y62">
        <v>7000</v>
      </c>
      <c r="AE62" s="168">
        <v>7000</v>
      </c>
      <c r="AF62" s="168">
        <f t="shared" si="8"/>
        <v>10500</v>
      </c>
    </row>
    <row r="63" spans="1:32" ht="18.75" customHeight="1">
      <c r="A63">
        <v>188</v>
      </c>
      <c r="B63" t="s">
        <v>2506</v>
      </c>
      <c r="C63" t="s">
        <v>948</v>
      </c>
      <c r="D63" t="s">
        <v>2279</v>
      </c>
      <c r="G63" t="s">
        <v>2243</v>
      </c>
      <c r="H63" s="275" t="s">
        <v>951</v>
      </c>
      <c r="I63" s="168">
        <v>9500</v>
      </c>
      <c r="J63" t="s">
        <v>109</v>
      </c>
      <c r="L63" s="168">
        <v>9500</v>
      </c>
      <c r="P63">
        <f t="shared" si="6"/>
        <v>9500</v>
      </c>
      <c r="S63">
        <f>L63</f>
        <v>9500</v>
      </c>
      <c r="V63">
        <v>9500</v>
      </c>
      <c r="Y63">
        <v>9500</v>
      </c>
      <c r="AB63" s="295"/>
      <c r="AC63" t="s">
        <v>2450</v>
      </c>
      <c r="AE63" s="168">
        <v>0</v>
      </c>
      <c r="AF63" s="168">
        <v>0</v>
      </c>
    </row>
    <row r="64" spans="1:32">
      <c r="A64">
        <v>189</v>
      </c>
      <c r="B64" t="s">
        <v>103</v>
      </c>
      <c r="C64" t="s">
        <v>1168</v>
      </c>
      <c r="D64" t="s">
        <v>2260</v>
      </c>
      <c r="F64" t="s">
        <v>2230</v>
      </c>
      <c r="G64" t="s">
        <v>2229</v>
      </c>
      <c r="H64" t="s">
        <v>2229</v>
      </c>
      <c r="I64">
        <v>6600</v>
      </c>
      <c r="J64" t="s">
        <v>109</v>
      </c>
      <c r="P64">
        <v>7600</v>
      </c>
      <c r="Q64" t="s">
        <v>2337</v>
      </c>
      <c r="S64">
        <v>7600</v>
      </c>
      <c r="T64" s="197" t="s">
        <v>2380</v>
      </c>
      <c r="V64">
        <v>7600</v>
      </c>
      <c r="Y64">
        <v>7600</v>
      </c>
      <c r="AE64">
        <v>6600</v>
      </c>
      <c r="AF64" s="168">
        <f t="shared" si="8"/>
        <v>10100</v>
      </c>
    </row>
    <row r="65" spans="1:32">
      <c r="A65">
        <v>190</v>
      </c>
      <c r="B65" t="s">
        <v>103</v>
      </c>
      <c r="C65" s="275" t="s">
        <v>2282</v>
      </c>
      <c r="D65" s="275" t="s">
        <v>364</v>
      </c>
      <c r="E65" s="275"/>
      <c r="F65" s="275"/>
      <c r="G65" s="278" t="s">
        <v>2225</v>
      </c>
      <c r="H65" s="278" t="s">
        <v>2225</v>
      </c>
      <c r="I65" s="280">
        <v>13200</v>
      </c>
      <c r="J65" t="s">
        <v>109</v>
      </c>
      <c r="L65">
        <v>13200</v>
      </c>
      <c r="M65" t="s">
        <v>2339</v>
      </c>
      <c r="P65" s="197">
        <v>13200</v>
      </c>
      <c r="Q65" t="s">
        <v>2340</v>
      </c>
      <c r="S65">
        <v>13200</v>
      </c>
      <c r="T65" t="s">
        <v>2396</v>
      </c>
      <c r="V65">
        <v>13200</v>
      </c>
      <c r="Y65">
        <v>13200</v>
      </c>
      <c r="AE65" s="280">
        <v>13200</v>
      </c>
      <c r="AF65" s="168">
        <f t="shared" si="8"/>
        <v>16700</v>
      </c>
    </row>
    <row r="66" spans="1:32" ht="14.25" customHeight="1">
      <c r="A66">
        <v>191</v>
      </c>
      <c r="B66" t="s">
        <v>2496</v>
      </c>
      <c r="C66" t="s">
        <v>560</v>
      </c>
      <c r="D66" t="s">
        <v>2286</v>
      </c>
      <c r="G66" s="256" t="s">
        <v>2287</v>
      </c>
      <c r="H66" s="256" t="s">
        <v>2289</v>
      </c>
      <c r="I66" s="168">
        <v>12100</v>
      </c>
      <c r="J66" t="s">
        <v>109</v>
      </c>
      <c r="L66" t="s">
        <v>1586</v>
      </c>
      <c r="P66">
        <v>12100</v>
      </c>
      <c r="Q66" t="s">
        <v>2339</v>
      </c>
      <c r="S66">
        <v>12100</v>
      </c>
      <c r="T66" t="s">
        <v>2396</v>
      </c>
      <c r="V66">
        <v>12100</v>
      </c>
      <c r="Y66">
        <v>12100</v>
      </c>
      <c r="AE66" s="168">
        <v>0</v>
      </c>
      <c r="AF66" s="168">
        <v>0</v>
      </c>
    </row>
    <row r="67" spans="1:32">
      <c r="A67">
        <v>191</v>
      </c>
      <c r="B67" t="s">
        <v>2496</v>
      </c>
      <c r="C67" t="s">
        <v>560</v>
      </c>
      <c r="G67" s="256" t="s">
        <v>2287</v>
      </c>
      <c r="H67" s="256" t="s">
        <v>2288</v>
      </c>
      <c r="I67" s="168">
        <v>12100</v>
      </c>
      <c r="J67" t="s">
        <v>109</v>
      </c>
      <c r="L67" t="s">
        <v>1586</v>
      </c>
      <c r="P67">
        <v>12100</v>
      </c>
      <c r="Q67" t="s">
        <v>2339</v>
      </c>
      <c r="S67">
        <v>12100</v>
      </c>
      <c r="T67" t="s">
        <v>2396</v>
      </c>
      <c r="V67">
        <v>12100</v>
      </c>
      <c r="Y67">
        <v>12100</v>
      </c>
      <c r="AE67" s="168">
        <v>0</v>
      </c>
      <c r="AF67" s="168">
        <v>0</v>
      </c>
    </row>
    <row r="68" spans="1:32">
      <c r="A68">
        <v>193</v>
      </c>
      <c r="B68" t="s">
        <v>103</v>
      </c>
      <c r="C68" t="s">
        <v>2280</v>
      </c>
      <c r="D68" t="s">
        <v>2281</v>
      </c>
      <c r="G68" s="275" t="s">
        <v>2343</v>
      </c>
      <c r="H68" s="256" t="s">
        <v>2283</v>
      </c>
      <c r="I68" s="168">
        <v>7000</v>
      </c>
      <c r="J68" t="s">
        <v>109</v>
      </c>
      <c r="L68" t="s">
        <v>1586</v>
      </c>
      <c r="P68">
        <v>7000</v>
      </c>
      <c r="Q68" t="s">
        <v>2339</v>
      </c>
      <c r="S68" s="197">
        <v>7000</v>
      </c>
      <c r="T68" t="s">
        <v>2371</v>
      </c>
      <c r="V68">
        <v>7000</v>
      </c>
      <c r="Y68">
        <v>7000</v>
      </c>
      <c r="AE68" s="168">
        <v>7000</v>
      </c>
      <c r="AF68" s="168">
        <f t="shared" si="8"/>
        <v>10500</v>
      </c>
    </row>
    <row r="69" spans="1:32">
      <c r="A69">
        <v>194</v>
      </c>
      <c r="B69" t="s">
        <v>103</v>
      </c>
      <c r="C69" t="s">
        <v>2319</v>
      </c>
      <c r="D69" t="s">
        <v>2318</v>
      </c>
      <c r="G69" s="49" t="s">
        <v>2315</v>
      </c>
      <c r="H69" s="256" t="s">
        <v>2317</v>
      </c>
      <c r="I69" s="168">
        <v>20500</v>
      </c>
      <c r="J69" t="s">
        <v>109</v>
      </c>
      <c r="O69">
        <v>20500</v>
      </c>
      <c r="P69">
        <v>20500</v>
      </c>
      <c r="Q69" t="s">
        <v>1586</v>
      </c>
      <c r="S69">
        <v>20500</v>
      </c>
      <c r="T69" t="s">
        <v>2363</v>
      </c>
      <c r="V69">
        <v>20500</v>
      </c>
      <c r="Y69">
        <v>20500</v>
      </c>
      <c r="AE69" s="168">
        <v>20500</v>
      </c>
      <c r="AF69" s="168">
        <f t="shared" si="8"/>
        <v>24000</v>
      </c>
    </row>
    <row r="70" spans="1:32" ht="15.75">
      <c r="A70">
        <v>195</v>
      </c>
      <c r="B70" t="s">
        <v>103</v>
      </c>
      <c r="C70" s="168" t="s">
        <v>2321</v>
      </c>
      <c r="D70" s="168" t="s">
        <v>1313</v>
      </c>
      <c r="G70" s="275"/>
      <c r="H70" s="297"/>
      <c r="J70" t="s">
        <v>109</v>
      </c>
      <c r="O70" t="s">
        <v>2322</v>
      </c>
      <c r="P70" s="271" t="s">
        <v>2336</v>
      </c>
      <c r="Q70" s="197" t="s">
        <v>2336</v>
      </c>
      <c r="AF70" s="168">
        <v>0</v>
      </c>
    </row>
    <row r="71" spans="1:32" ht="15.75">
      <c r="A71">
        <v>196</v>
      </c>
      <c r="B71" t="s">
        <v>103</v>
      </c>
      <c r="C71" s="275" t="s">
        <v>2334</v>
      </c>
      <c r="D71" s="275" t="s">
        <v>490</v>
      </c>
      <c r="G71" s="56" t="s">
        <v>493</v>
      </c>
      <c r="H71" s="56" t="s">
        <v>2333</v>
      </c>
      <c r="I71" s="168">
        <v>20500</v>
      </c>
      <c r="J71" t="s">
        <v>109</v>
      </c>
      <c r="K71" t="s">
        <v>110</v>
      </c>
      <c r="O71">
        <v>20500</v>
      </c>
      <c r="P71" s="271" t="s">
        <v>2336</v>
      </c>
      <c r="Q71" s="197" t="s">
        <v>2336</v>
      </c>
      <c r="S71">
        <v>20500</v>
      </c>
      <c r="V71">
        <v>20500</v>
      </c>
      <c r="Y71">
        <v>20500</v>
      </c>
      <c r="AE71" s="168">
        <v>20500</v>
      </c>
      <c r="AF71" s="168"/>
    </row>
    <row r="72" spans="1:32">
      <c r="A72">
        <v>197</v>
      </c>
      <c r="B72" t="s">
        <v>2494</v>
      </c>
      <c r="C72" s="168" t="s">
        <v>196</v>
      </c>
      <c r="D72" t="s">
        <v>2482</v>
      </c>
      <c r="G72" s="168" t="s">
        <v>2432</v>
      </c>
      <c r="H72" s="168" t="s">
        <v>2433</v>
      </c>
      <c r="I72" s="168">
        <v>20500</v>
      </c>
      <c r="J72" t="s">
        <v>2483</v>
      </c>
      <c r="Y72">
        <v>20500</v>
      </c>
      <c r="AB72">
        <v>20500</v>
      </c>
      <c r="AC72" t="s">
        <v>2503</v>
      </c>
      <c r="AE72" s="168">
        <v>20500</v>
      </c>
      <c r="AF72" s="168">
        <f t="shared" si="8"/>
        <v>24000</v>
      </c>
    </row>
    <row r="73" spans="1:32">
      <c r="A73">
        <v>198</v>
      </c>
      <c r="B73" t="s">
        <v>2494</v>
      </c>
      <c r="C73" s="294" t="s">
        <v>2436</v>
      </c>
      <c r="D73" s="31" t="s">
        <v>2437</v>
      </c>
      <c r="G73" s="294" t="s">
        <v>2434</v>
      </c>
      <c r="H73" s="294" t="s">
        <v>2435</v>
      </c>
      <c r="I73" s="168">
        <v>7000</v>
      </c>
      <c r="J73" t="s">
        <v>2483</v>
      </c>
      <c r="AB73">
        <v>7000</v>
      </c>
      <c r="AC73" t="s">
        <v>2505</v>
      </c>
      <c r="AE73" s="168">
        <v>7000</v>
      </c>
      <c r="AF73" s="168">
        <f t="shared" si="8"/>
        <v>10500</v>
      </c>
    </row>
    <row r="74" spans="1:32">
      <c r="A74">
        <v>199</v>
      </c>
      <c r="B74" t="s">
        <v>103</v>
      </c>
      <c r="C74" s="275" t="s">
        <v>1080</v>
      </c>
      <c r="D74" s="275" t="s">
        <v>2479</v>
      </c>
      <c r="G74" s="275" t="s">
        <v>2477</v>
      </c>
      <c r="H74" s="275" t="s">
        <v>2478</v>
      </c>
      <c r="I74">
        <v>7600</v>
      </c>
      <c r="J74" t="s">
        <v>1955</v>
      </c>
      <c r="AB74" t="s">
        <v>2480</v>
      </c>
      <c r="AC74" t="s">
        <v>2495</v>
      </c>
      <c r="AE74">
        <v>7600</v>
      </c>
      <c r="AF74" s="168" t="s">
        <v>2504</v>
      </c>
    </row>
    <row r="75" spans="1:32">
      <c r="A75" s="168"/>
      <c r="B75" s="168" t="s">
        <v>103</v>
      </c>
      <c r="C75" s="168" t="s">
        <v>1470</v>
      </c>
      <c r="D75" s="168" t="s">
        <v>1494</v>
      </c>
      <c r="E75" s="168"/>
      <c r="F75" s="168" t="s">
        <v>1471</v>
      </c>
      <c r="G75" s="168" t="s">
        <v>1495</v>
      </c>
      <c r="H75" s="168" t="s">
        <v>1496</v>
      </c>
      <c r="I75" s="168">
        <v>7000</v>
      </c>
      <c r="J75" t="s">
        <v>109</v>
      </c>
      <c r="L75" s="168">
        <v>7000</v>
      </c>
      <c r="M75">
        <v>3500</v>
      </c>
      <c r="N75">
        <f>M75+L75</f>
        <v>10500</v>
      </c>
      <c r="P75">
        <f>I75</f>
        <v>7000</v>
      </c>
      <c r="S75">
        <f>L75</f>
        <v>7000</v>
      </c>
      <c r="V75">
        <v>7000</v>
      </c>
      <c r="Y75">
        <v>7000</v>
      </c>
      <c r="AE75" s="168">
        <v>7000</v>
      </c>
      <c r="AF75" s="168">
        <f t="shared" si="8"/>
        <v>10500</v>
      </c>
    </row>
    <row r="76" spans="1:32">
      <c r="AE76">
        <f>SUBTOTAL(9,AE4:AE75)</f>
        <v>731200</v>
      </c>
      <c r="AF76" s="168">
        <f>SUBTOTAL(9,AF4:AF75)</f>
        <v>934100</v>
      </c>
    </row>
  </sheetData>
  <autoFilter ref="A1:AC75" xr:uid="{A9CBF736-D7D1-455D-B77B-1C9DDFD3BE1D}">
    <sortState xmlns:xlrd2="http://schemas.microsoft.com/office/spreadsheetml/2017/richdata2" ref="A2:AC75">
      <sortCondition ref="A1:A75"/>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8515625" defaultRowHeight="15"/>
  <cols>
    <col min="14" max="14" width="9.8554687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85"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95250</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57150</xdr:colOff>
                    <xdr:row>0</xdr:row>
                    <xdr:rowOff>19050</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57150</xdr:rowOff>
                  </from>
                  <to>
                    <xdr:col>10</xdr:col>
                    <xdr:colOff>971550</xdr:colOff>
                    <xdr:row>1</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topLeftCell="J1" zoomScaleNormal="100" workbookViewId="0">
      <pane ySplit="2" topLeftCell="A28" activePane="bottomLeft" state="frozen"/>
      <selection pane="bottomLeft" activeCell="K34" sqref="K34"/>
    </sheetView>
  </sheetViews>
  <sheetFormatPr defaultRowHeight="15"/>
  <cols>
    <col min="1" max="1" width="9" style="146" customWidth="1"/>
    <col min="3" max="3" width="30" customWidth="1"/>
    <col min="7" max="7" width="20.85546875" customWidth="1"/>
    <col min="8" max="8" width="18.5703125" customWidth="1"/>
    <col min="9" max="9" width="17.28515625" customWidth="1"/>
    <col min="10" max="10" width="21" customWidth="1"/>
    <col min="11" max="11" width="22.28515625" style="156" customWidth="1"/>
    <col min="12" max="12" width="21" customWidth="1"/>
    <col min="13" max="13" width="15.5703125" style="156" customWidth="1"/>
    <col min="14" max="14" width="17.28515625" customWidth="1"/>
    <col min="15" max="15" width="9.85546875" bestFit="1" customWidth="1"/>
  </cols>
  <sheetData>
    <row r="1" spans="1:16" ht="57.75" customHeight="1">
      <c r="A1" s="301"/>
      <c r="B1" s="302"/>
      <c r="C1" s="302"/>
      <c r="D1" s="302"/>
      <c r="E1" s="302"/>
      <c r="G1" s="303"/>
      <c r="H1" s="303"/>
      <c r="J1" s="303"/>
      <c r="K1" s="304"/>
      <c r="L1" s="302"/>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90">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65">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105">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5.75">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A32" s="146">
        <v>197</v>
      </c>
      <c r="C32" t="s">
        <v>2484</v>
      </c>
      <c r="D32" t="s">
        <v>2485</v>
      </c>
      <c r="K32" s="156" t="s">
        <v>2486</v>
      </c>
      <c r="L32" s="156" t="s">
        <v>2487</v>
      </c>
      <c r="N32">
        <v>20500</v>
      </c>
    </row>
    <row r="33" spans="1:16">
      <c r="A33" s="146">
        <v>198</v>
      </c>
      <c r="C33" t="s">
        <v>2489</v>
      </c>
      <c r="D33" t="s">
        <v>2488</v>
      </c>
      <c r="G33" t="s">
        <v>1604</v>
      </c>
      <c r="H33" s="296" t="s">
        <v>2490</v>
      </c>
      <c r="J33" t="s">
        <v>1607</v>
      </c>
      <c r="K33" s="156" t="s">
        <v>2491</v>
      </c>
      <c r="L33" s="156" t="s">
        <v>1609</v>
      </c>
      <c r="M33" s="156" t="s">
        <v>2492</v>
      </c>
      <c r="N33">
        <v>7000</v>
      </c>
    </row>
    <row r="34" spans="1:16">
      <c r="A34" s="146">
        <v>199</v>
      </c>
      <c r="C34" t="s">
        <v>2499</v>
      </c>
      <c r="D34" t="s">
        <v>2500</v>
      </c>
      <c r="G34" t="s">
        <v>1604</v>
      </c>
      <c r="H34" s="92" t="s">
        <v>2501</v>
      </c>
      <c r="I34" s="92" t="s">
        <v>2501</v>
      </c>
      <c r="J34" t="s">
        <v>1607</v>
      </c>
      <c r="K34" s="92">
        <v>1116061</v>
      </c>
      <c r="L34" s="156" t="s">
        <v>1609</v>
      </c>
      <c r="M34" s="156" t="s">
        <v>2502</v>
      </c>
      <c r="N34">
        <v>7600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400050</xdr:colOff>
                    <xdr:row>0</xdr:row>
                    <xdr:rowOff>95250</xdr:rowOff>
                  </from>
                  <to>
                    <xdr:col>4</xdr:col>
                    <xdr:colOff>476250</xdr:colOff>
                    <xdr:row>0</xdr:row>
                    <xdr:rowOff>590550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552450</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133350</xdr:colOff>
                    <xdr:row>10</xdr:row>
                    <xdr:rowOff>57150</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95250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57150</xdr:rowOff>
                  </from>
                  <to>
                    <xdr:col>15</xdr:col>
                    <xdr:colOff>514350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57150</xdr:colOff>
                    <xdr:row>15</xdr:row>
                    <xdr:rowOff>0</xdr:rowOff>
                  </from>
                  <to>
                    <xdr:col>15</xdr:col>
                    <xdr:colOff>533400</xdr:colOff>
                    <xdr:row>15</xdr:row>
                    <xdr:rowOff>133350</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133350</xdr:colOff>
                    <xdr:row>16</xdr:row>
                    <xdr:rowOff>171450</xdr:rowOff>
                  </from>
                  <to>
                    <xdr:col>15</xdr:col>
                    <xdr:colOff>590550</xdr:colOff>
                    <xdr:row>16</xdr:row>
                    <xdr:rowOff>857250</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95250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57150</xdr:rowOff>
                  </from>
                  <to>
                    <xdr:col>15</xdr:col>
                    <xdr:colOff>533400</xdr:colOff>
                    <xdr:row>18</xdr:row>
                    <xdr:rowOff>133350</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95250</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19050</xdr:colOff>
                    <xdr:row>33</xdr:row>
                    <xdr:rowOff>47625</xdr:rowOff>
                  </from>
                  <to>
                    <xdr:col>15</xdr:col>
                    <xdr:colOff>561975</xdr:colOff>
                    <xdr:row>33</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5"/>
  <sheetData>
    <row r="1" spans="1:2" ht="31.5">
      <c r="A1" s="261" t="s">
        <v>2155</v>
      </c>
      <c r="B1" s="262" t="s">
        <v>2156</v>
      </c>
    </row>
    <row r="2" spans="1:2" ht="31.5">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6"/>
  <sheetViews>
    <sheetView tabSelected="1" zoomScale="85" zoomScaleNormal="85" workbookViewId="0">
      <pane ySplit="1" topLeftCell="A102" activePane="bottomLeft" state="frozen"/>
      <selection pane="bottomLeft" activeCell="B106" sqref="B106"/>
    </sheetView>
  </sheetViews>
  <sheetFormatPr defaultColWidth="7" defaultRowHeight="15"/>
  <cols>
    <col min="1" max="1" width="12" customWidth="1"/>
    <col min="2" max="2" width="26.5703125" bestFit="1" customWidth="1"/>
    <col min="3" max="5" width="26.5703125" customWidth="1"/>
    <col min="6" max="6" width="27.5703125" bestFit="1" customWidth="1"/>
    <col min="7" max="7" width="13.7109375" bestFit="1" customWidth="1"/>
    <col min="8" max="8" width="25.7109375" bestFit="1" customWidth="1"/>
    <col min="9" max="9" width="14.7109375" style="78" bestFit="1" customWidth="1"/>
    <col min="10" max="10" width="16.28515625" bestFit="1" customWidth="1"/>
    <col min="11" max="12" width="19.28515625" bestFit="1" customWidth="1"/>
    <col min="13" max="13" width="29" bestFit="1" customWidth="1"/>
    <col min="14" max="14" width="10.5703125" bestFit="1" customWidth="1"/>
    <col min="15" max="15" width="10.5703125" customWidth="1"/>
    <col min="16" max="16" width="10.28515625" bestFit="1" customWidth="1"/>
    <col min="17" max="17" width="6.85546875" customWidth="1"/>
    <col min="18" max="18" width="23.28515625" bestFit="1" customWidth="1"/>
    <col min="19" max="19" width="16" bestFit="1" customWidth="1"/>
    <col min="20" max="20" width="16.85546875" customWidth="1"/>
    <col min="21" max="21" width="10.28515625" bestFit="1" customWidth="1"/>
    <col min="22" max="22" width="9.28515625" bestFit="1" customWidth="1"/>
    <col min="23" max="23" width="9.28515625" customWidth="1"/>
    <col min="24" max="24" width="30.7109375" bestFit="1" customWidth="1"/>
    <col min="25" max="25" width="18" customWidth="1"/>
    <col min="26" max="26" width="15.85546875" bestFit="1" customWidth="1"/>
  </cols>
  <sheetData>
    <row r="1" spans="1:26" ht="29.65"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149999999999999"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149999999999999"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6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6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6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6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5"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6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c r="B29" s="31" t="s">
        <v>1748</v>
      </c>
      <c r="G29" s="31" t="s">
        <v>1749</v>
      </c>
      <c r="H29" s="42" t="s">
        <v>1665</v>
      </c>
      <c r="I29" s="81"/>
      <c r="N29" s="39" t="s">
        <v>1741</v>
      </c>
      <c r="O29" s="39"/>
      <c r="T29" s="31" t="s">
        <v>1750</v>
      </c>
    </row>
    <row r="30" spans="2:26" s="197" customFormat="1" ht="16.149999999999999"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65"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6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6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6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6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120.75"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5.7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75">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45">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45">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45">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45">
      <c r="B60" s="49" t="s">
        <v>2079</v>
      </c>
      <c r="C60" s="49" t="s">
        <v>2080</v>
      </c>
      <c r="E60" s="49" t="s">
        <v>1663</v>
      </c>
      <c r="F60" s="67" t="s">
        <v>2083</v>
      </c>
      <c r="G60" s="49" t="s">
        <v>2082</v>
      </c>
      <c r="H60" s="87" t="s">
        <v>1665</v>
      </c>
      <c r="I60" s="80">
        <v>45903</v>
      </c>
      <c r="J60" s="85"/>
      <c r="R60" s="49" t="s">
        <v>1768</v>
      </c>
      <c r="T60" s="49" t="s">
        <v>2088</v>
      </c>
      <c r="Z60" s="87" t="s">
        <v>2081</v>
      </c>
    </row>
    <row r="61" spans="2:45" ht="60">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5.75" thickBot="1">
      <c r="F62" s="192" t="s">
        <v>2091</v>
      </c>
      <c r="G62" s="193" t="s">
        <v>2093</v>
      </c>
      <c r="H62" s="248" t="s">
        <v>1639</v>
      </c>
      <c r="I62" s="195">
        <v>45906</v>
      </c>
      <c r="J62" s="196">
        <v>0.41666666666666669</v>
      </c>
      <c r="M62" s="249" t="s">
        <v>72</v>
      </c>
      <c r="R62" s="197" t="s">
        <v>2069</v>
      </c>
      <c r="T62" s="197" t="s">
        <v>2092</v>
      </c>
    </row>
    <row r="63" spans="2:45" ht="15.75" thickBot="1">
      <c r="B63" t="s">
        <v>2112</v>
      </c>
      <c r="F63" s="13"/>
      <c r="G63" s="37" t="s">
        <v>2113</v>
      </c>
      <c r="H63" s="220" t="s">
        <v>1640</v>
      </c>
      <c r="I63" s="77">
        <v>45917</v>
      </c>
      <c r="J63" s="45">
        <v>0.54166666666666663</v>
      </c>
      <c r="M63" s="166" t="s">
        <v>197</v>
      </c>
    </row>
    <row r="64" spans="2:45" ht="60">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60">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45">
      <c r="B68" t="s">
        <v>2206</v>
      </c>
      <c r="C68" t="s">
        <v>2205</v>
      </c>
      <c r="F68" t="s">
        <v>2203</v>
      </c>
      <c r="G68" s="37" t="s">
        <v>2165</v>
      </c>
      <c r="H68" s="220" t="s">
        <v>1665</v>
      </c>
      <c r="I68" s="77">
        <v>45962</v>
      </c>
      <c r="J68" s="45">
        <v>0.45833333333333331</v>
      </c>
      <c r="M68" s="49" t="s">
        <v>102</v>
      </c>
      <c r="R68" s="31" t="s">
        <v>1768</v>
      </c>
      <c r="T68" t="s">
        <v>2204</v>
      </c>
      <c r="Z68" s="40" t="s">
        <v>2202</v>
      </c>
    </row>
    <row r="69" spans="2:26" ht="18.75">
      <c r="B69" s="263" t="s">
        <v>2170</v>
      </c>
      <c r="F69" t="s">
        <v>2169</v>
      </c>
      <c r="G69" s="37" t="s">
        <v>2168</v>
      </c>
      <c r="H69" s="220" t="s">
        <v>1639</v>
      </c>
      <c r="I69" s="77">
        <v>45969</v>
      </c>
      <c r="J69" s="45">
        <v>0.45833333333333331</v>
      </c>
      <c r="M69" s="49" t="s">
        <v>102</v>
      </c>
      <c r="R69" s="197" t="s">
        <v>2069</v>
      </c>
    </row>
    <row r="70" spans="2:26" ht="45">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45">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5">
      <c r="B73" s="197" t="s">
        <v>2233</v>
      </c>
      <c r="C73" s="197" t="s">
        <v>2278</v>
      </c>
      <c r="F73" s="192" t="s">
        <v>2234</v>
      </c>
      <c r="G73" s="197" t="s">
        <v>2235</v>
      </c>
      <c r="H73" s="248"/>
      <c r="I73" s="268"/>
      <c r="J73" s="196"/>
      <c r="M73" s="197" t="s">
        <v>2236</v>
      </c>
      <c r="O73" s="197" t="s">
        <v>1476</v>
      </c>
      <c r="T73" s="269" t="s">
        <v>2237</v>
      </c>
    </row>
    <row r="74" spans="2:26" s="271" customFormat="1" ht="15.75">
      <c r="B74" s="270" t="s">
        <v>2240</v>
      </c>
      <c r="C74" s="271" t="s">
        <v>2242</v>
      </c>
      <c r="F74" s="271" t="s">
        <v>2241</v>
      </c>
      <c r="G74" s="271">
        <v>9050837827</v>
      </c>
      <c r="H74" s="272"/>
      <c r="I74" s="273">
        <v>45997</v>
      </c>
      <c r="J74" s="274">
        <v>0.45833333333333331</v>
      </c>
    </row>
    <row r="75" spans="2:26" ht="45">
      <c r="B75" t="s">
        <v>2249</v>
      </c>
      <c r="F75" t="s">
        <v>2251</v>
      </c>
      <c r="G75" t="s">
        <v>2250</v>
      </c>
      <c r="H75" s="220"/>
      <c r="I75" s="77">
        <v>46004</v>
      </c>
      <c r="J75" s="45">
        <v>0.54166666666666663</v>
      </c>
      <c r="M75" t="s">
        <v>90</v>
      </c>
      <c r="O75" t="s">
        <v>1680</v>
      </c>
      <c r="R75" t="s">
        <v>2069</v>
      </c>
      <c r="T75" t="s">
        <v>2252</v>
      </c>
      <c r="Z75" s="40" t="s">
        <v>2253</v>
      </c>
    </row>
    <row r="76" spans="2:26" s="49" customFormat="1" ht="60">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5">
      <c r="B78" s="277" t="s">
        <v>2277</v>
      </c>
      <c r="F78" s="276" t="s">
        <v>2276</v>
      </c>
      <c r="G78" s="37" t="s">
        <v>2275</v>
      </c>
      <c r="H78" s="87" t="s">
        <v>1639</v>
      </c>
      <c r="I78" s="77">
        <v>46039</v>
      </c>
      <c r="J78" s="45">
        <v>0.54166666666666663</v>
      </c>
      <c r="M78" t="s">
        <v>90</v>
      </c>
    </row>
    <row r="79" spans="2:26" s="49" customFormat="1" ht="30">
      <c r="B79" s="49" t="s">
        <v>2311</v>
      </c>
      <c r="F79" s="67"/>
      <c r="G79" s="86" t="s">
        <v>2296</v>
      </c>
      <c r="H79" s="87" t="s">
        <v>1665</v>
      </c>
      <c r="I79" s="80">
        <v>46051</v>
      </c>
      <c r="J79" s="85">
        <v>0.52083333333333337</v>
      </c>
      <c r="M79" s="49" t="s">
        <v>90</v>
      </c>
      <c r="O79" s="49" t="s">
        <v>2228</v>
      </c>
      <c r="T79" s="49" t="s">
        <v>2295</v>
      </c>
      <c r="Z79" s="87" t="s">
        <v>2312</v>
      </c>
    </row>
    <row r="80" spans="2:26" s="49" customFormat="1" ht="30">
      <c r="B80" s="49" t="s">
        <v>2316</v>
      </c>
      <c r="D80" s="49" t="s">
        <v>1663</v>
      </c>
      <c r="F80" s="49" t="s">
        <v>2306</v>
      </c>
      <c r="G80" s="86" t="s">
        <v>2297</v>
      </c>
      <c r="H80" s="87" t="s">
        <v>1665</v>
      </c>
      <c r="I80" s="80">
        <v>46049</v>
      </c>
      <c r="J80" s="85">
        <v>0.58333333333333337</v>
      </c>
      <c r="M80" s="49" t="s">
        <v>90</v>
      </c>
      <c r="Z80" s="87" t="s">
        <v>2305</v>
      </c>
    </row>
    <row r="81" spans="2:26" ht="15.75">
      <c r="B81" s="36" t="s">
        <v>2298</v>
      </c>
      <c r="D81" t="s">
        <v>1663</v>
      </c>
      <c r="F81" s="13" t="s">
        <v>2304</v>
      </c>
      <c r="G81" s="37" t="s">
        <v>2299</v>
      </c>
      <c r="H81" s="220" t="s">
        <v>19</v>
      </c>
      <c r="I81" s="279">
        <v>46051</v>
      </c>
      <c r="J81" s="45">
        <v>0.66666666666666663</v>
      </c>
      <c r="M81" s="39" t="s">
        <v>90</v>
      </c>
      <c r="O81" s="39" t="s">
        <v>1785</v>
      </c>
      <c r="Z81" t="s">
        <v>2313</v>
      </c>
    </row>
    <row r="82" spans="2:26" s="49" customFormat="1" ht="15.75">
      <c r="B82" s="56" t="s">
        <v>2330</v>
      </c>
      <c r="F82" s="67" t="s">
        <v>2300</v>
      </c>
      <c r="G82" s="86" t="s">
        <v>2301</v>
      </c>
      <c r="H82" s="87" t="s">
        <v>19</v>
      </c>
      <c r="I82" s="80">
        <v>46053</v>
      </c>
      <c r="J82" s="85">
        <v>0.625</v>
      </c>
      <c r="M82" s="49" t="s">
        <v>90</v>
      </c>
      <c r="O82" s="49" t="s">
        <v>1680</v>
      </c>
      <c r="T82" s="49" t="s">
        <v>2331</v>
      </c>
      <c r="Z82" t="s">
        <v>2335</v>
      </c>
    </row>
    <row r="83" spans="2:26" ht="60">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45">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2430</v>
      </c>
      <c r="E87" s="59" t="s">
        <v>1663</v>
      </c>
      <c r="F87" s="13" t="s">
        <v>2428</v>
      </c>
      <c r="G87" s="242" t="s">
        <v>2376</v>
      </c>
      <c r="H87" s="63" t="s">
        <v>1640</v>
      </c>
      <c r="I87" s="79">
        <v>46083</v>
      </c>
      <c r="J87" s="61">
        <v>0.8125</v>
      </c>
      <c r="K87" s="59" t="s">
        <v>196</v>
      </c>
      <c r="M87" s="59" t="s">
        <v>132</v>
      </c>
      <c r="O87" s="59" t="s">
        <v>1680</v>
      </c>
      <c r="T87" s="59" t="s">
        <v>2377</v>
      </c>
      <c r="Z87" s="59" t="s">
        <v>2431</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225">
      <c r="B90" s="283" t="s">
        <v>2386</v>
      </c>
      <c r="F90" s="52" t="s">
        <v>2387</v>
      </c>
      <c r="G90" s="55" t="s">
        <v>2384</v>
      </c>
      <c r="H90" s="220" t="s">
        <v>19</v>
      </c>
      <c r="I90" s="31" t="s">
        <v>2429</v>
      </c>
      <c r="J90" s="53"/>
      <c r="M90" s="31" t="s">
        <v>90</v>
      </c>
      <c r="O90" s="31" t="s">
        <v>1476</v>
      </c>
      <c r="R90" s="54" t="s">
        <v>1737</v>
      </c>
      <c r="T90" s="220" t="s">
        <v>2385</v>
      </c>
    </row>
    <row r="91" spans="2:26" s="31" customFormat="1" ht="315">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45">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60">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5.75">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1:26" ht="15.75">
      <c r="B97" s="291" t="s">
        <v>2418</v>
      </c>
      <c r="F97" s="13" t="s">
        <v>2417</v>
      </c>
      <c r="G97" s="37" t="s">
        <v>2416</v>
      </c>
      <c r="H97" s="220" t="s">
        <v>19</v>
      </c>
      <c r="I97" t="s">
        <v>2422</v>
      </c>
      <c r="J97" s="45">
        <v>0.66666666666666663</v>
      </c>
      <c r="M97" t="s">
        <v>102</v>
      </c>
      <c r="O97" t="s">
        <v>1476</v>
      </c>
      <c r="R97" t="s">
        <v>1674</v>
      </c>
      <c r="U97" t="s">
        <v>109</v>
      </c>
    </row>
    <row r="98" spans="1:26">
      <c r="B98" t="s">
        <v>2425</v>
      </c>
      <c r="F98" s="13" t="s">
        <v>2421</v>
      </c>
      <c r="G98" s="37" t="s">
        <v>2420</v>
      </c>
      <c r="H98" s="220" t="s">
        <v>19</v>
      </c>
      <c r="I98" s="279">
        <v>46134</v>
      </c>
      <c r="J98" s="45">
        <v>0.66666666666666663</v>
      </c>
      <c r="M98" s="39" t="s">
        <v>72</v>
      </c>
      <c r="O98" t="s">
        <v>1476</v>
      </c>
      <c r="R98" t="s">
        <v>1674</v>
      </c>
      <c r="U98" t="s">
        <v>109</v>
      </c>
    </row>
    <row r="99" spans="1:26" ht="15.75">
      <c r="B99" s="36" t="s">
        <v>2426</v>
      </c>
      <c r="F99" s="13" t="s">
        <v>2427</v>
      </c>
      <c r="G99" s="37" t="s">
        <v>2493</v>
      </c>
      <c r="H99" s="220" t="s">
        <v>19</v>
      </c>
      <c r="I99" s="279">
        <v>46140</v>
      </c>
      <c r="J99" s="45">
        <v>0.45833333333333331</v>
      </c>
      <c r="M99" s="39" t="s">
        <v>661</v>
      </c>
      <c r="O99" s="39" t="s">
        <v>1680</v>
      </c>
      <c r="R99" t="s">
        <v>1674</v>
      </c>
      <c r="U99" t="s">
        <v>1955</v>
      </c>
    </row>
    <row r="100" spans="1:26" ht="15.75">
      <c r="B100" s="36" t="s">
        <v>2440</v>
      </c>
      <c r="C100" t="s">
        <v>2451</v>
      </c>
      <c r="F100" s="13" t="s">
        <v>2441</v>
      </c>
      <c r="G100" s="37" t="s">
        <v>2442</v>
      </c>
      <c r="H100" s="220" t="s">
        <v>19</v>
      </c>
      <c r="I100" s="77">
        <v>46154</v>
      </c>
      <c r="J100" s="45">
        <v>0.625</v>
      </c>
      <c r="M100" s="39" t="s">
        <v>72</v>
      </c>
      <c r="O100" t="s">
        <v>1476</v>
      </c>
      <c r="R100" t="s">
        <v>1674</v>
      </c>
      <c r="U100" t="s">
        <v>109</v>
      </c>
    </row>
    <row r="101" spans="1:26" ht="15.75">
      <c r="B101" s="36" t="s">
        <v>2446</v>
      </c>
      <c r="C101" t="s">
        <v>2447</v>
      </c>
      <c r="F101" s="13" t="s">
        <v>2449</v>
      </c>
      <c r="G101" s="37" t="s">
        <v>2448</v>
      </c>
      <c r="H101" s="220" t="s">
        <v>19</v>
      </c>
      <c r="I101" s="279">
        <v>46165</v>
      </c>
      <c r="J101" s="45">
        <v>0.45833333333333331</v>
      </c>
      <c r="M101" t="s">
        <v>102</v>
      </c>
      <c r="O101" t="s">
        <v>1476</v>
      </c>
    </row>
    <row r="102" spans="1:26" s="160" customFormat="1" ht="60">
      <c r="B102" s="298" t="s">
        <v>2464</v>
      </c>
      <c r="F102" s="161" t="s">
        <v>2467</v>
      </c>
      <c r="G102" s="299" t="s">
        <v>2466</v>
      </c>
      <c r="H102" s="252" t="s">
        <v>19</v>
      </c>
      <c r="I102" s="300">
        <v>46191</v>
      </c>
      <c r="J102" s="165" t="s">
        <v>2465</v>
      </c>
      <c r="M102" s="167" t="s">
        <v>661</v>
      </c>
      <c r="O102" s="167" t="s">
        <v>1680</v>
      </c>
      <c r="R102" s="160" t="s">
        <v>1674</v>
      </c>
      <c r="T102" s="160" t="s">
        <v>2498</v>
      </c>
      <c r="Z102" s="252" t="s">
        <v>2497</v>
      </c>
    </row>
    <row r="103" spans="1:26" ht="15.75">
      <c r="B103" s="36" t="s">
        <v>2470</v>
      </c>
      <c r="F103" s="13" t="s">
        <v>2468</v>
      </c>
      <c r="G103" s="37" t="s">
        <v>2469</v>
      </c>
      <c r="H103" s="220" t="s">
        <v>19</v>
      </c>
      <c r="I103" s="279">
        <v>46209</v>
      </c>
      <c r="J103" s="45">
        <v>0.66666666666666663</v>
      </c>
      <c r="M103" s="39" t="s">
        <v>102</v>
      </c>
      <c r="O103" t="s">
        <v>1476</v>
      </c>
      <c r="Z103" t="s">
        <v>2511</v>
      </c>
    </row>
    <row r="104" spans="1:26" s="31" customFormat="1" ht="45">
      <c r="A104" s="31" t="s">
        <v>103</v>
      </c>
      <c r="B104" s="31" t="s">
        <v>2473</v>
      </c>
      <c r="C104" s="31" t="s">
        <v>2472</v>
      </c>
      <c r="F104" s="31" t="s">
        <v>2475</v>
      </c>
      <c r="G104" s="31" t="s">
        <v>2474</v>
      </c>
      <c r="H104" s="220" t="s">
        <v>19</v>
      </c>
      <c r="I104" s="31" t="s">
        <v>2471</v>
      </c>
      <c r="J104" s="53" t="s">
        <v>2465</v>
      </c>
      <c r="M104" s="54" t="s">
        <v>661</v>
      </c>
      <c r="O104" s="31" t="s">
        <v>1476</v>
      </c>
      <c r="R104" s="31" t="s">
        <v>1674</v>
      </c>
      <c r="Z104" s="220" t="s">
        <v>2476</v>
      </c>
    </row>
    <row r="105" spans="1:26">
      <c r="B105" t="s">
        <v>2507</v>
      </c>
      <c r="G105" s="37" t="s">
        <v>2508</v>
      </c>
      <c r="H105" s="42" t="s">
        <v>2509</v>
      </c>
      <c r="I105" s="78" t="s">
        <v>2510</v>
      </c>
      <c r="J105" s="45">
        <v>0.66666666666666663</v>
      </c>
      <c r="M105" s="54" t="s">
        <v>661</v>
      </c>
      <c r="O105" s="31" t="s">
        <v>1476</v>
      </c>
    </row>
    <row r="106" spans="1:26">
      <c r="B106" t="s">
        <v>2513</v>
      </c>
      <c r="G106" s="37" t="s">
        <v>2514</v>
      </c>
      <c r="H106" s="42" t="s">
        <v>2509</v>
      </c>
      <c r="I106" s="77">
        <v>46218</v>
      </c>
      <c r="J106" s="45">
        <v>0.72916666666666663</v>
      </c>
      <c r="R106" s="31" t="s">
        <v>1674</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s>
  <pageMargins left="0.7" right="0.7" top="0.75" bottom="0.75" header="0.3" footer="0.3"/>
  <pageSetup paperSize="9" orientation="portrait" horizontalDpi="0" verticalDpi="0"/>
  <drawing r:id="rId55"/>
  <tableParts count="1">
    <tablePart r:id="rId5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5"/>
  <cols>
    <col min="1" max="1" width="32" customWidth="1"/>
    <col min="2" max="2" width="38.8554687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5"/>
  <cols>
    <col min="1" max="1" width="4.85546875" customWidth="1"/>
    <col min="2" max="2" width="14.7109375" bestFit="1" customWidth="1"/>
    <col min="3" max="3" width="16.28515625" bestFit="1" customWidth="1"/>
    <col min="4" max="4" width="5.5703125" bestFit="1" customWidth="1"/>
    <col min="5" max="6" width="7.28515625" bestFit="1" customWidth="1"/>
    <col min="7" max="7" width="10.85546875" bestFit="1" customWidth="1"/>
    <col min="8" max="8" width="9" hidden="1" customWidth="1"/>
    <col min="9" max="9" width="11.85546875" hidden="1" customWidth="1"/>
    <col min="10" max="10" width="8.85546875" hidden="1" customWidth="1"/>
    <col min="11" max="11" width="11.85546875" hidden="1" customWidth="1"/>
    <col min="12" max="12" width="12.28515625" hidden="1" customWidth="1"/>
    <col min="13" max="13" width="0" hidden="1"/>
    <col min="14" max="14" width="13" bestFit="1" customWidth="1"/>
    <col min="15" max="15" width="16.28515625" bestFit="1" customWidth="1"/>
    <col min="16" max="16" width="6" bestFit="1" customWidth="1"/>
    <col min="17" max="17" width="7.28515625" bestFit="1" customWidth="1"/>
    <col min="18" max="18" width="10.85546875" bestFit="1" customWidth="1"/>
    <col min="22" max="22" width="18" customWidth="1"/>
    <col min="23" max="24" width="0" hidden="1"/>
    <col min="25" max="25" width="19.85546875" hidden="1" customWidth="1"/>
    <col min="26" max="26" width="24" hidden="1" customWidth="1"/>
    <col min="27" max="27" width="22" hidden="1" customWidth="1"/>
    <col min="29" max="29" width="10.28515625" bestFit="1" customWidth="1"/>
    <col min="30" max="30" width="16.28515625" bestFit="1" customWidth="1"/>
    <col min="31" max="31" width="18.28515625" bestFit="1" customWidth="1"/>
    <col min="34" max="34" width="12.28515625" customWidth="1"/>
    <col min="40" max="40" width="12" bestFit="1" customWidth="1"/>
    <col min="42" max="42" width="14" bestFit="1" customWidth="1"/>
    <col min="43" max="43" width="18.28515625" bestFit="1" customWidth="1"/>
    <col min="44" max="44" width="25" bestFit="1" customWidth="1"/>
    <col min="45" max="45" width="5" bestFit="1" customWidth="1"/>
    <col min="46" max="46" width="12" customWidth="1"/>
    <col min="47" max="47" width="16.85546875" customWidth="1"/>
    <col min="48" max="48" width="11" customWidth="1"/>
    <col min="51" max="51" width="17.85546875" bestFit="1" customWidth="1"/>
    <col min="52" max="52" width="16.28515625" bestFit="1" customWidth="1"/>
    <col min="53" max="53" width="5.5703125" bestFit="1" customWidth="1"/>
    <col min="54" max="55" width="7.28515625" bestFit="1" customWidth="1"/>
    <col min="56" max="56" width="10.85546875" bestFit="1" customWidth="1"/>
    <col min="57" max="57" width="9.28515625" bestFit="1" customWidth="1"/>
    <col min="58" max="58" width="8.5703125" bestFit="1" customWidth="1"/>
    <col min="76" max="76" width="22.7109375" bestFit="1" customWidth="1"/>
    <col min="77" max="77" width="6.28515625" bestFit="1" customWidth="1"/>
    <col min="78" max="78" width="5.5703125" bestFit="1" customWidth="1"/>
    <col min="79" max="79" width="6" bestFit="1" customWidth="1"/>
    <col min="80" max="81" width="17.28515625" customWidth="1"/>
    <col min="82" max="82" width="11" bestFit="1" customWidth="1"/>
    <col min="84" max="84" width="18" bestFit="1" customWidth="1"/>
    <col min="85" max="85" width="20.28515625" bestFit="1" customWidth="1"/>
    <col min="87" max="87" width="17.85546875" customWidth="1"/>
    <col min="88" max="88" width="21.7109375" customWidth="1"/>
    <col min="91" max="91" width="29" customWidth="1"/>
    <col min="92" max="92" width="9" bestFit="1" customWidth="1"/>
    <col min="94" max="94" width="24" bestFit="1" customWidth="1"/>
    <col min="99" max="99" width="12.5703125" bestFit="1" customWidth="1"/>
    <col min="100" max="100" width="14" bestFit="1" customWidth="1"/>
    <col min="101" max="101" width="5.5703125" bestFit="1" customWidth="1"/>
    <col min="102" max="102" width="6.28515625" bestFit="1" customWidth="1"/>
    <col min="103" max="103" width="4" bestFit="1" customWidth="1"/>
    <col min="104" max="104" width="4.85546875" bestFit="1" customWidth="1"/>
    <col min="105" max="105" width="8.7109375" customWidth="1"/>
    <col min="106" max="106" width="6" bestFit="1" customWidth="1"/>
    <col min="107" max="107" width="6.28515625" customWidth="1"/>
    <col min="108" max="108" width="6.85546875" customWidth="1"/>
    <col min="109" max="109" width="7" bestFit="1" customWidth="1"/>
    <col min="110" max="110" width="10.85546875" bestFit="1" customWidth="1"/>
    <col min="111" max="111" width="9.7109375" bestFit="1" customWidth="1"/>
    <col min="112" max="114" width="7" bestFit="1" customWidth="1"/>
    <col min="115" max="115" width="9.7109375" bestFit="1" customWidth="1"/>
    <col min="116" max="118" width="7" bestFit="1" customWidth="1"/>
    <col min="119" max="119" width="9.7109375" bestFit="1" customWidth="1"/>
    <col min="120" max="126" width="7" bestFit="1" customWidth="1"/>
    <col min="127" max="127" width="9.7109375" bestFit="1" customWidth="1"/>
    <col min="128" max="136" width="7" bestFit="1" customWidth="1"/>
    <col min="137" max="137" width="9.7109375" bestFit="1" customWidth="1"/>
    <col min="138" max="142" width="7" bestFit="1" customWidth="1"/>
    <col min="143" max="143" width="9.7109375" bestFit="1" customWidth="1"/>
    <col min="144" max="144" width="8.5703125" bestFit="1" customWidth="1"/>
    <col min="145" max="145" width="5.7109375" bestFit="1" customWidth="1"/>
    <col min="146" max="147" width="10.85546875" bestFit="1" customWidth="1"/>
  </cols>
  <sheetData>
    <row r="1" spans="2:201" s="97" customFormat="1" ht="14.65" customHeight="1">
      <c r="B1" s="305" t="s">
        <v>1819</v>
      </c>
      <c r="C1" s="306"/>
      <c r="D1" s="306"/>
      <c r="E1" s="118"/>
      <c r="F1" s="118"/>
      <c r="H1" s="307" t="s">
        <v>1820</v>
      </c>
      <c r="I1" s="306"/>
      <c r="J1" s="306"/>
      <c r="K1" s="306"/>
      <c r="L1" s="306"/>
      <c r="M1" s="98"/>
      <c r="N1" s="307" t="s">
        <v>1821</v>
      </c>
      <c r="O1" s="306"/>
      <c r="P1" s="306"/>
      <c r="Q1" s="306"/>
      <c r="R1" s="306"/>
      <c r="S1" s="306"/>
      <c r="T1" s="306"/>
      <c r="U1" s="306"/>
      <c r="V1" s="306"/>
      <c r="X1" s="307" t="s">
        <v>1822</v>
      </c>
      <c r="Y1" s="306"/>
      <c r="Z1" s="306"/>
      <c r="AA1" s="306"/>
      <c r="AC1" s="305" t="s">
        <v>1823</v>
      </c>
      <c r="AD1" s="306"/>
      <c r="AE1" s="306"/>
      <c r="AF1" s="306"/>
      <c r="AG1" s="306"/>
      <c r="AH1" s="306"/>
      <c r="AI1" s="306"/>
      <c r="AJ1" s="306"/>
      <c r="AK1" s="306"/>
      <c r="AL1" s="100"/>
      <c r="AM1" s="100"/>
      <c r="AN1" s="100"/>
      <c r="AP1" s="305" t="s">
        <v>1824</v>
      </c>
      <c r="AQ1" s="306"/>
      <c r="AR1" s="306"/>
      <c r="AS1" s="306"/>
      <c r="AT1" s="306"/>
      <c r="AU1" s="306"/>
      <c r="AV1" s="306"/>
      <c r="AW1" s="306"/>
      <c r="AY1" s="305" t="s">
        <v>1825</v>
      </c>
      <c r="AZ1" s="306"/>
      <c r="BA1" s="306"/>
      <c r="BB1" s="306"/>
      <c r="BC1" s="306"/>
      <c r="BD1" s="94"/>
      <c r="BE1" s="305" t="s">
        <v>1826</v>
      </c>
      <c r="BF1" s="306"/>
      <c r="BG1" s="306"/>
      <c r="BJ1" s="305" t="s">
        <v>1827</v>
      </c>
      <c r="BK1" s="306"/>
      <c r="BL1" s="306"/>
      <c r="BM1" s="306"/>
      <c r="BN1" s="306"/>
      <c r="BO1" s="306"/>
      <c r="BP1" s="306"/>
      <c r="BQ1" s="306"/>
      <c r="BR1" s="306"/>
      <c r="BS1" s="306"/>
      <c r="BT1" s="306"/>
      <c r="BU1" s="306"/>
      <c r="BV1" s="306"/>
      <c r="BX1" s="308" t="s">
        <v>1828</v>
      </c>
      <c r="BY1" s="306"/>
      <c r="BZ1" s="306"/>
      <c r="CA1" s="306"/>
      <c r="CB1" s="306"/>
      <c r="CC1" s="306"/>
      <c r="CD1" s="306"/>
      <c r="CE1" s="94"/>
      <c r="CF1" s="88" t="s">
        <v>1</v>
      </c>
      <c r="CG1" t="s">
        <v>103</v>
      </c>
      <c r="CI1" s="305" t="s">
        <v>1829</v>
      </c>
      <c r="CJ1" s="306"/>
      <c r="CM1" s="136" t="s">
        <v>1830</v>
      </c>
      <c r="CN1" s="136" t="s">
        <v>43</v>
      </c>
      <c r="CP1" s="137" t="e">
        <f>INDEX(CP2:CP13, MATCH(TRUE, INDEX(CP2:CP13&lt;&gt;"", 0), 0))</f>
        <v>#N/A</v>
      </c>
    </row>
    <row r="2" spans="2:201" ht="14.6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0"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5"/>
  <cols>
    <col min="1" max="3" width="9" customWidth="1"/>
  </cols>
  <sheetData>
    <row r="1" spans="1:2">
      <c r="A1" s="303"/>
      <c r="B1" s="302"/>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5"/>
  <cols>
    <col min="2" max="2" width="18" bestFit="1" customWidth="1"/>
    <col min="3" max="3" width="10" bestFit="1" customWidth="1"/>
    <col min="4" max="4" width="11.28515625" bestFit="1" customWidth="1"/>
    <col min="5" max="5" width="4.28515625" bestFit="1" customWidth="1"/>
    <col min="6" max="7" width="6" bestFit="1" customWidth="1"/>
    <col min="8" max="8" width="5" bestFit="1" customWidth="1"/>
    <col min="9" max="9" width="6" bestFit="1" customWidth="1"/>
    <col min="10" max="10" width="4" bestFit="1" customWidth="1"/>
    <col min="11" max="11" width="6" bestFit="1" customWidth="1"/>
    <col min="12" max="13" width="10.85546875" bestFit="1" customWidth="1"/>
    <col min="15" max="15" width="12.5703125" bestFit="1" customWidth="1"/>
    <col min="16" max="16" width="10" bestFit="1" customWidth="1"/>
    <col min="17" max="17" width="11.28515625" bestFit="1" customWidth="1"/>
    <col min="18" max="18" width="5" bestFit="1" customWidth="1"/>
    <col min="19" max="20" width="6.7109375" bestFit="1" customWidth="1"/>
    <col min="21" max="21" width="5.7109375" bestFit="1" customWidth="1"/>
    <col min="22" max="22" width="5" bestFit="1" customWidth="1"/>
    <col min="23" max="23" width="4" bestFit="1" customWidth="1"/>
    <col min="24" max="24" width="6.7109375" bestFit="1" customWidth="1"/>
    <col min="25" max="26" width="10.85546875" bestFit="1" customWidth="1"/>
  </cols>
  <sheetData>
    <row r="1" spans="2:26">
      <c r="B1" s="309" t="s">
        <v>1902</v>
      </c>
      <c r="C1" s="302"/>
      <c r="D1" s="302"/>
      <c r="E1" s="302"/>
      <c r="F1" s="302"/>
      <c r="G1" s="302"/>
      <c r="H1" s="302"/>
      <c r="I1" s="302"/>
      <c r="J1" s="302"/>
      <c r="K1" s="302"/>
      <c r="L1" s="302"/>
      <c r="M1" s="302"/>
      <c r="O1" s="309" t="s">
        <v>1903</v>
      </c>
      <c r="P1" s="302"/>
      <c r="Q1" s="302"/>
      <c r="R1" s="302"/>
      <c r="S1" s="302"/>
      <c r="T1" s="302"/>
      <c r="U1" s="302"/>
      <c r="V1" s="302"/>
      <c r="W1" s="302"/>
      <c r="X1" s="302"/>
      <c r="Y1" s="302"/>
      <c r="Z1" s="302"/>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5"/>
  <cols>
    <col min="1" max="1" width="7.5703125" bestFit="1" customWidth="1"/>
    <col min="2" max="2" width="8" bestFit="1" customWidth="1"/>
    <col min="3" max="3" width="17.285156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2026-07-14T04:26:40Z</dcterms:modified>
</cp:coreProperties>
</file>