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Bee School\事務\"/>
    </mc:Choice>
  </mc:AlternateContent>
  <xr:revisionPtr revIDLastSave="1428" documentId="14_{7954749A-708D-4872-9737-8B71FF0ADFA0}" xr6:coauthVersionLast="45" xr6:coauthVersionMax="45" xr10:uidLastSave="{75CBE1EF-1091-4A76-A3D9-CE47F0AA28BF}"/>
  <bookViews>
    <workbookView xWindow="-120" yWindow="-120" windowWidth="20730" windowHeight="11160" firstSheet="1" activeTab="2" xr2:uid="{00000000-000D-0000-FFFF-FFFF00000000}"/>
  </bookViews>
  <sheets>
    <sheet name="個人情報" sheetId="1" r:id="rId1"/>
    <sheet name="支払い（2019）" sheetId="2" r:id="rId2"/>
    <sheet name="支払い（2020） " sheetId="6" r:id="rId3"/>
    <sheet name="諸経費" sheetId="4" r:id="rId4"/>
    <sheet name="出席" sheetId="3" r:id="rId5"/>
    <sheet name="個人情報 (2)" sheetId="5" r:id="rId6"/>
    <sheet name="2020. 1月謝" sheetId="7" r:id="rId7"/>
  </sheets>
  <definedNames>
    <definedName name="_xlnm._FilterDatabase" localSheetId="1" hidden="1">'支払い（2019）'!$H$1:$H$79</definedName>
    <definedName name="_xlnm._FilterDatabase" localSheetId="2" hidden="1">'支払い（2020） '!$G$1:$G$81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4" i="7" l="1"/>
  <c r="E42" i="7" l="1"/>
  <c r="F42" i="7"/>
  <c r="E52" i="7"/>
  <c r="F52" i="7"/>
  <c r="F53" i="7" l="1"/>
  <c r="E53" i="7"/>
  <c r="G3" i="7"/>
  <c r="G43" i="7"/>
  <c r="G4" i="7"/>
  <c r="G44" i="7"/>
  <c r="G5" i="7"/>
  <c r="G6" i="7"/>
  <c r="G7" i="7"/>
  <c r="G8" i="7"/>
  <c r="G9" i="7"/>
  <c r="G11" i="7"/>
  <c r="G12" i="7"/>
  <c r="G13" i="7"/>
  <c r="G14" i="7"/>
  <c r="G15" i="7"/>
  <c r="G16" i="7"/>
  <c r="G17" i="7"/>
  <c r="G47" i="7"/>
  <c r="G48" i="7"/>
  <c r="G21" i="7"/>
  <c r="G22" i="7"/>
  <c r="G49" i="7"/>
  <c r="G23" i="7"/>
  <c r="G24" i="7"/>
  <c r="G25" i="7"/>
  <c r="G29" i="7"/>
  <c r="G50" i="7"/>
  <c r="G40" i="7"/>
  <c r="G51" i="7"/>
  <c r="G31" i="7"/>
  <c r="G41" i="7"/>
  <c r="G32" i="7"/>
  <c r="G39" i="7"/>
  <c r="G45" i="7"/>
  <c r="G46" i="7"/>
  <c r="G30" i="7"/>
  <c r="G33" i="7"/>
  <c r="G18" i="7"/>
  <c r="G27" i="7"/>
  <c r="G28" i="7"/>
  <c r="G36" i="7"/>
  <c r="G37" i="7"/>
  <c r="G38" i="7"/>
  <c r="G26" i="7"/>
  <c r="G10" i="7"/>
  <c r="G35" i="7"/>
  <c r="G19" i="7"/>
  <c r="G20" i="7"/>
  <c r="G2" i="7"/>
  <c r="G52" i="7" l="1"/>
  <c r="G42" i="7"/>
  <c r="B56" i="4"/>
  <c r="B55" i="4"/>
  <c r="G53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K4" authorId="0" shapeId="0" xr:uid="{00000000-0006-0000-0000-000001000000}">
      <text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4400+</t>
        </r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（旧生徒価格
）</t>
        </r>
      </text>
    </comment>
    <comment ref="M4" authorId="0" shapeId="0" xr:uid="{00000000-0006-0000-0000-000016000000}">
      <text>
        <r>
          <rPr>
            <sz val="11"/>
            <color rgb="FF000000"/>
            <rFont val="Calibri"/>
            <family val="2"/>
          </rPr>
          <t>1ヶ月分月謝
	-Bee School</t>
        </r>
      </text>
    </comment>
    <comment ref="K5" authorId="0" shapeId="0" xr:uid="{00000000-0006-0000-0000-000002000000}">
      <text>
        <r>
          <rPr>
            <sz val="11"/>
            <color rgb="FF000000"/>
            <rFont val="Calibri"/>
            <family val="2"/>
          </rPr>
          <t>2019/3～
セミプラ→プライベート　に変更</t>
        </r>
      </text>
    </comment>
    <comment ref="K9" authorId="0" shapeId="0" xr:uid="{00000000-0006-0000-0000-000003000000}">
      <text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8800+</t>
        </r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（旧生徒価格
）</t>
        </r>
      </text>
    </comment>
    <comment ref="M9" authorId="0" shapeId="0" xr:uid="{00000000-0006-0000-0000-000017000000}">
      <text>
        <r>
          <rPr>
            <sz val="11"/>
            <color rgb="FF000000"/>
            <rFont val="Calibri"/>
            <family val="2"/>
          </rPr>
          <t>Paid 2 lessons: 4320
	-Bee School
6回来校。4回分は引落し
	-Bee School</t>
        </r>
      </text>
    </comment>
    <comment ref="K13" authorId="1" shapeId="0" xr:uid="{561BFA80-E225-42EA-84D0-6E2736BFDA8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</text>
    </comment>
    <comment ref="M14" authorId="0" shapeId="0" xr:uid="{00000000-0006-0000-0000-00001B000000}">
      <text>
        <r>
          <rPr>
            <sz val="11"/>
            <color rgb="FF000000"/>
            <rFont val="Calibri"/>
            <family val="2"/>
          </rPr>
          <t>一月分月謝と諸経費　２２１４０
	-Bee School</t>
        </r>
      </text>
    </comment>
    <comment ref="M15" authorId="0" shapeId="0" xr:uid="{00000000-0006-0000-0000-000012000000}">
      <text>
        <r>
          <rPr>
            <sz val="11"/>
            <color rgb="FF000000"/>
            <rFont val="Calibri"/>
            <family val="2"/>
          </rPr>
          <t>1回4320円
	-Bee School</t>
        </r>
      </text>
    </comment>
    <comment ref="K16" authorId="1" shapeId="0" xr:uid="{95F30151-04AD-48CC-89EA-1D48FB50CFC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</text>
    </comment>
    <comment ref="M16" authorId="0" shapeId="0" xr:uid="{00000000-0006-0000-0000-000011000000}">
      <text>
        <r>
          <rPr>
            <sz val="11"/>
            <color rgb="FF000000"/>
            <rFont val="Calibri"/>
            <family val="2"/>
          </rPr>
          <t>休会1,080円
	-Bee School</t>
        </r>
      </text>
    </comment>
    <comment ref="J17" authorId="1" shapeId="0" xr:uid="{4C498656-95BA-4015-9F90-F8C6FDC62024}">
      <text>
        <r>
          <rPr>
            <b/>
            <sz val="9"/>
            <color indexed="81"/>
            <rFont val="Tahoma"/>
            <family val="2"/>
          </rPr>
          <t>2019/11</t>
        </r>
        <r>
          <rPr>
            <b/>
            <sz val="9"/>
            <color indexed="81"/>
            <rFont val="ＭＳ Ｐゴシック"/>
            <family val="3"/>
            <charset val="128"/>
          </rPr>
          <t>～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17" authorId="0" shapeId="0" xr:uid="{00000000-0006-0000-0000-00000A000000}">
      <text>
        <r>
          <rPr>
            <sz val="11"/>
            <color rgb="FF000000"/>
            <rFont val="Calibri"/>
            <family val="2"/>
          </rPr>
          <t>lesson was supposed to be on Feb 8, but because it is a friday I have changed it to Thursday 31 January
	-Bee School</t>
        </r>
      </text>
    </comment>
    <comment ref="J18" authorId="1" shapeId="0" xr:uid="{168C4294-0A92-4106-AFA5-395FD7FA6BBB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>回：with宮崎浩子様
2回：with坂本恵子様</t>
        </r>
      </text>
    </comment>
    <comment ref="K18" authorId="1" shapeId="0" xr:uid="{E247F18C-BDAA-4B58-BCE0-E18D1E4D1316}">
      <text>
        <r>
          <rPr>
            <b/>
            <sz val="9"/>
            <color indexed="81"/>
            <rFont val="ＭＳ Ｐゴシック"/>
            <family val="3"/>
            <charset val="128"/>
          </rPr>
          <t>旧生徒価格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9" authorId="0" shapeId="0" xr:uid="{00000000-0006-0000-0000-000005000000}">
      <text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円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ＭＳ Ｐゴシック"/>
            <family val="3"/>
            <charset val="128"/>
          </rPr>
          <t>２</t>
        </r>
        <r>
          <rPr>
            <sz val="11"/>
            <color rgb="FF000000"/>
            <rFont val="Calibri"/>
            <family val="2"/>
          </rPr>
          <t>+4400</t>
        </r>
        <r>
          <rPr>
            <sz val="11"/>
            <color rgb="FF000000"/>
            <rFont val="ＭＳ Ｐゴシック"/>
            <family val="3"/>
            <charset val="128"/>
          </rPr>
          <t>円</t>
        </r>
      </text>
    </comment>
    <comment ref="M19" authorId="0" shapeId="0" xr:uid="{00000000-0006-0000-0000-00000C000000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K22" authorId="1" shapeId="0" xr:uid="{20704434-E9F7-479A-9F0A-C279926631FE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2" authorId="0" shapeId="0" xr:uid="{00000000-0006-0000-0000-00001C000000}">
      <text>
        <r>
          <rPr>
            <sz val="11"/>
            <color rgb="FF000000"/>
            <rFont val="Calibri"/>
            <family val="2"/>
          </rPr>
          <t>諸経費2700円未払
	-Bee School</t>
        </r>
      </text>
    </comment>
    <comment ref="B29" authorId="1" shapeId="0" xr:uid="{FC3E0E7E-D873-4536-8003-F00B84ABBA41}">
      <text>
        <r>
          <rPr>
            <b/>
            <sz val="9"/>
            <color indexed="81"/>
            <rFont val="ＭＳ Ｐゴシック"/>
            <family val="3"/>
            <charset val="128"/>
          </rPr>
          <t>領収証は「（㈱）形成技研</t>
        </r>
      </text>
    </comment>
    <comment ref="K30" authorId="1" shapeId="0" xr:uid="{4E7A117C-8A9B-47F1-B0D0-4C99083C36A1}">
      <text>
        <r>
          <rPr>
            <b/>
            <sz val="9"/>
            <color indexed="81"/>
            <rFont val="ＭＳ Ｐゴシック"/>
            <family val="3"/>
            <charset val="128"/>
          </rPr>
          <t>セミプラN2回5224円
グループP2回4400円（旧生徒価格）</t>
        </r>
      </text>
    </comment>
    <comment ref="M30" authorId="0" shapeId="0" xr:uid="{00000000-0006-0000-0000-00000B000000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M34" authorId="0" shapeId="0" xr:uid="{00000000-0006-0000-0000-000015000000}">
      <text>
        <r>
          <rPr>
            <sz val="11"/>
            <color rgb="FF000000"/>
            <rFont val="Calibri"/>
            <family val="2"/>
          </rPr>
          <t>payment of 1620.
This is for one lesson minus the 2700 for overhead. Which she paid already, but want to be charged for it by ricoh.
So 4320 - 2700: 1620
	-Bee School</t>
        </r>
      </text>
    </comment>
    <comment ref="M36" authorId="0" shapeId="0" xr:uid="{00000000-0006-0000-0000-00000F000000}">
      <text>
        <r>
          <rPr>
            <sz val="11"/>
            <color rgb="FF000000"/>
            <rFont val="Calibri"/>
            <family val="2"/>
          </rPr>
          <t>振替依頼書提出間に合わず引き落としなし
	-Bee School</t>
        </r>
      </text>
    </comment>
    <comment ref="M40" authorId="0" shapeId="0" xr:uid="{00000000-0006-0000-0000-000009000000}">
      <text>
        <r>
          <rPr>
            <sz val="11"/>
            <color rgb="FF000000"/>
            <rFont val="Calibri"/>
            <family val="2"/>
          </rPr>
          <t>8640　2月分 月謝
	-Bee School</t>
        </r>
      </text>
    </comment>
    <comment ref="K41" authorId="1" shapeId="0" xr:uid="{83840CFC-C50D-4B0C-AC25-36489E9895F9}">
      <text>
        <r>
          <rPr>
            <b/>
            <sz val="9"/>
            <color indexed="81"/>
            <rFont val="Tahoma"/>
            <family val="2"/>
          </rPr>
          <t>8800+4400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2" authorId="1" shapeId="0" xr:uid="{50291453-5335-4118-85E6-A01D98058123}">
      <text>
        <r>
          <rPr>
            <b/>
            <sz val="9"/>
            <color indexed="81"/>
            <rFont val="Tahoma"/>
            <family val="2"/>
          </rPr>
          <t>2019/12</t>
        </r>
        <r>
          <rPr>
            <b/>
            <sz val="9"/>
            <color indexed="81"/>
            <rFont val="ＭＳ Ｐゴシック"/>
            <family val="3"/>
            <charset val="128"/>
          </rPr>
          <t>より一時現金払い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42" authorId="0" shapeId="0" xr:uid="{00000000-0006-0000-0000-00001A000000}">
      <text>
        <r>
          <rPr>
            <sz val="11"/>
            <color rgb="FF000000"/>
            <rFont val="Calibri"/>
            <family val="2"/>
          </rPr>
          <t>19:00pm
	-Bee School</t>
        </r>
      </text>
    </comment>
    <comment ref="K43" authorId="1" shapeId="0" xr:uid="{9D2B3F56-212D-494E-BE6F-E4E6D670A001}">
      <text>
        <r>
          <rPr>
            <b/>
            <sz val="9"/>
            <color indexed="81"/>
            <rFont val="ＭＳ Ｐゴシック"/>
            <family val="3"/>
            <charset val="128"/>
          </rPr>
          <t>セミプラ10450×2名</t>
        </r>
      </text>
    </comment>
    <comment ref="M43" authorId="0" shapeId="0" xr:uid="{00000000-0006-0000-0000-000019000000}">
      <text>
        <r>
          <rPr>
            <sz val="11"/>
            <color rgb="FF000000"/>
            <rFont val="Calibri"/>
            <family val="2"/>
          </rPr>
          <t>Private
	-Bee School</t>
        </r>
      </text>
    </comment>
    <comment ref="M44" authorId="0" shapeId="0" xr:uid="{00000000-0006-0000-0000-000018000000}">
      <text>
        <r>
          <rPr>
            <sz val="11"/>
            <color rgb="FF000000"/>
            <rFont val="Calibri"/>
            <family val="2"/>
          </rPr>
          <t>Private
	-Bee School</t>
        </r>
      </text>
    </comment>
    <comment ref="K47" authorId="0" shapeId="0" xr:uid="{00000000-0006-0000-0000-000007000000}">
      <text>
        <r>
          <rPr>
            <sz val="11"/>
            <color rgb="FF000000"/>
            <rFont val="ＭＳ Ｐゴシック"/>
            <family val="3"/>
            <charset val="128"/>
          </rPr>
          <t>一時月</t>
        </r>
        <r>
          <rPr>
            <sz val="11"/>
            <color rgb="FF000000"/>
            <rFont val="Calibri"/>
            <family val="2"/>
          </rPr>
          <t>3</t>
        </r>
        <r>
          <rPr>
            <sz val="11"/>
            <color rgb="FF000000"/>
            <rFont val="ＭＳ Ｐゴシック"/>
            <family val="3"/>
            <charset val="128"/>
          </rPr>
          <t>回
￥</t>
        </r>
        <r>
          <rPr>
            <sz val="11"/>
            <color rgb="FF000000"/>
            <rFont val="Calibri"/>
            <family val="2"/>
          </rPr>
          <t>13,200
4</t>
        </r>
        <r>
          <rPr>
            <sz val="11"/>
            <color rgb="FF000000"/>
            <rFont val="ＭＳ Ｐゴシック"/>
            <family val="3"/>
            <charset val="128"/>
          </rPr>
          <t>回目来校時は</t>
        </r>
        <r>
          <rPr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ＭＳ Ｐゴシック"/>
            <family val="3"/>
            <charset val="128"/>
          </rPr>
          <t>回分現金払い</t>
        </r>
      </text>
    </comment>
    <comment ref="K48" authorId="0" shapeId="0" xr:uid="{E7F121C5-0E4C-4814-9C20-79DB1F2617E7}">
      <text>
        <r>
          <rPr>
            <sz val="11"/>
            <color rgb="FF000000"/>
            <rFont val="Calibri"/>
            <family val="2"/>
          </rPr>
          <t>2612.5</t>
        </r>
        <r>
          <rPr>
            <sz val="11"/>
            <color rgb="FF000000"/>
            <rFont val="ＭＳ Ｐゴシック"/>
            <family val="3"/>
            <charset val="128"/>
          </rPr>
          <t>円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ＭＳ Ｐゴシック"/>
            <family val="3"/>
            <charset val="128"/>
          </rPr>
          <t>２</t>
        </r>
        <r>
          <rPr>
            <sz val="11"/>
            <color rgb="FF000000"/>
            <rFont val="Calibri"/>
            <family val="2"/>
          </rPr>
          <t>+4400</t>
        </r>
        <r>
          <rPr>
            <sz val="11"/>
            <color rgb="FF000000"/>
            <rFont val="ＭＳ Ｐゴシック"/>
            <family val="3"/>
            <charset val="128"/>
          </rPr>
          <t>円</t>
        </r>
      </text>
    </comment>
    <comment ref="L57" authorId="1" shapeId="0" xr:uid="{56BDEB10-7F3A-4564-A2A8-48A4F93E3122}">
      <text>
        <r>
          <rPr>
            <b/>
            <sz val="9"/>
            <color indexed="81"/>
            <rFont val="ＭＳ Ｐゴシック"/>
            <family val="3"/>
            <charset val="128"/>
          </rPr>
          <t>入会金：7560円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8" authorId="1" shapeId="0" xr:uid="{A31EB15D-9CA7-4FB9-8866-88B3BA2DDC73}">
      <text>
        <r>
          <rPr>
            <b/>
            <sz val="9"/>
            <color indexed="81"/>
            <rFont val="ＭＳ Ｐゴシック"/>
            <family val="3"/>
            <charset val="128"/>
          </rPr>
          <t>入会金：</t>
        </r>
        <r>
          <rPr>
            <b/>
            <sz val="9"/>
            <color indexed="81"/>
            <rFont val="Tahoma"/>
            <family val="2"/>
          </rPr>
          <t>7560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</text>
    </comment>
    <comment ref="L64" authorId="1" shapeId="0" xr:uid="{EF2B0951-EF2D-4A43-8CAF-C32EB8492465}">
      <text>
        <r>
          <rPr>
            <b/>
            <sz val="9"/>
            <color indexed="81"/>
            <rFont val="Tahoma"/>
            <family val="2"/>
          </rPr>
          <t>2020/4</t>
        </r>
        <r>
          <rPr>
            <b/>
            <sz val="9"/>
            <color indexed="81"/>
            <rFont val="ＭＳ Ｐゴシック"/>
            <family val="3"/>
            <charset val="128"/>
          </rPr>
          <t>レッスン開始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65" authorId="1" shapeId="0" xr:uid="{33986F8B-C623-4D85-87CD-C1A9433B47DE}">
      <text>
        <r>
          <rPr>
            <b/>
            <sz val="9"/>
            <color indexed="81"/>
            <rFont val="ＭＳ Ｐゴシック"/>
            <family val="3"/>
            <charset val="128"/>
          </rPr>
          <t>手続きされるも未入会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1" authorId="0" shapeId="0" xr:uid="{00000000-0006-0000-0000-000008000000}">
      <text>
        <r>
          <rPr>
            <sz val="11"/>
            <color rgb="FF000000"/>
            <rFont val="Calibri"/>
            <family val="2"/>
          </rPr>
          <t>２月で退会</t>
        </r>
      </text>
    </comment>
    <comment ref="M83" authorId="0" shapeId="0" xr:uid="{00000000-0006-0000-0000-00001D000000}">
      <text>
        <r>
          <rPr>
            <sz val="11"/>
            <color rgb="FF000000"/>
            <rFont val="Calibri"/>
            <family val="2"/>
          </rPr>
          <t>2700(Material fee)+8640
	-Bee School</t>
        </r>
      </text>
    </comment>
    <comment ref="M85" authorId="0" shapeId="0" xr:uid="{00000000-0006-0000-0000-000010000000}">
      <text>
        <r>
          <rPr>
            <sz val="11"/>
            <color rgb="FF000000"/>
            <rFont val="Calibri"/>
            <family val="2"/>
          </rPr>
          <t>休会1080円3月引き落とし予定
	-Bee School</t>
        </r>
      </text>
    </comment>
    <comment ref="M86" authorId="0" shapeId="0" xr:uid="{00000000-0006-0000-0000-00000E000000}">
      <text>
        <r>
          <rPr>
            <sz val="11"/>
            <color rgb="FF000000"/>
            <rFont val="Calibri"/>
            <family val="2"/>
          </rPr>
          <t>休会1080円3月引き落とし予定
	-Bee School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K4" authorId="0" shapeId="0" xr:uid="{00000000-0006-0000-0100-000001000000}">
      <text>
        <r>
          <rPr>
            <sz val="11"/>
            <color rgb="FF000000"/>
            <rFont val="Calibri"/>
            <family val="2"/>
          </rPr>
          <t>Pierre:
12月継続されるか不明だったため、12月分のみ現金支払い</t>
        </r>
      </text>
    </comment>
    <comment ref="J5" authorId="0" shapeId="0" xr:uid="{00000000-0006-0000-0100-000002000000}">
      <text>
        <r>
          <rPr>
            <sz val="11"/>
            <color rgb="FF000000"/>
            <rFont val="Calibri"/>
            <family val="2"/>
          </rPr>
          <t>3回分</t>
        </r>
      </text>
    </comment>
    <comment ref="K5" authorId="0" shapeId="0" xr:uid="{00000000-0006-0000-0100-000003000000}">
      <text>
        <r>
          <rPr>
            <sz val="11"/>
            <color rgb="FF000000"/>
            <rFont val="Calibri"/>
            <family val="2"/>
          </rPr>
          <t xml:space="preserve">3回分
</t>
        </r>
      </text>
    </comment>
    <comment ref="L5" authorId="0" shapeId="0" xr:uid="{00000000-0006-0000-0100-000004000000}">
      <text>
        <r>
          <rPr>
            <sz val="11"/>
            <color rgb="FF000000"/>
            <rFont val="Calibri"/>
            <family val="2"/>
          </rPr>
          <t>2回分</t>
        </r>
      </text>
    </comment>
    <comment ref="M5" authorId="0" shapeId="0" xr:uid="{00000000-0006-0000-0100-000005000000}">
      <text>
        <r>
          <rPr>
            <sz val="11"/>
            <color rgb="FF000000"/>
            <rFont val="Calibri"/>
            <family val="2"/>
          </rPr>
          <t>1回分</t>
        </r>
      </text>
    </comment>
    <comment ref="O5" authorId="1" shapeId="0" xr:uid="{8726232A-62AB-45DA-9938-422E44E5AAC6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>回分
現金払い</t>
        </r>
      </text>
    </comment>
    <comment ref="U6" authorId="1" shapeId="0" xr:uid="{28D7294F-C8F0-40B3-B1AF-3033D93685E1}">
      <text>
        <r>
          <rPr>
            <b/>
            <sz val="9"/>
            <color indexed="81"/>
            <rFont val="Tahoma"/>
            <family val="2"/>
          </rPr>
          <t>10/9</t>
        </r>
        <r>
          <rPr>
            <b/>
            <sz val="9"/>
            <color indexed="81"/>
            <rFont val="ＭＳ Ｐゴシック"/>
            <family val="3"/>
            <charset val="128"/>
          </rPr>
          <t>　小林プラ無料体験　</t>
        </r>
        <r>
          <rPr>
            <b/>
            <sz val="9"/>
            <color indexed="81"/>
            <rFont val="Tahoma"/>
            <family val="2"/>
          </rPr>
          <t>4400</t>
        </r>
        <r>
          <rPr>
            <b/>
            <sz val="9"/>
            <color indexed="81"/>
            <rFont val="ＭＳ Ｐゴシック"/>
            <family val="3"/>
            <charset val="128"/>
          </rPr>
          <t>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" authorId="1" shapeId="0" xr:uid="{E0E0EC7D-F2A8-4199-B176-E27DA36AF44B}">
      <text>
        <r>
          <rPr>
            <b/>
            <sz val="9"/>
            <color indexed="81"/>
            <rFont val="ＭＳ Ｐゴシック"/>
            <family val="3"/>
            <charset val="128"/>
          </rPr>
          <t>3か月分：1380円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S7" authorId="1" shapeId="0" xr:uid="{8F5DCA96-7791-4072-BD5D-F657292797C6}">
      <text>
        <r>
          <rPr>
            <b/>
            <sz val="9"/>
            <color indexed="81"/>
            <rFont val="ＭＳ Ｐゴシック"/>
            <family val="3"/>
            <charset val="128"/>
          </rPr>
          <t>休会1,080円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" authorId="1" shapeId="0" xr:uid="{0E1D8B1C-0D53-4C96-957E-F54CCDA260E9}">
      <text>
        <r>
          <rPr>
            <b/>
            <sz val="9"/>
            <color indexed="81"/>
            <rFont val="ＭＳ Ｐゴシック"/>
            <family val="3"/>
            <charset val="128"/>
          </rPr>
          <t>2か月分：920円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4" authorId="0" shapeId="0" xr:uid="{00000000-0006-0000-0100-000007000000}">
      <text>
        <r>
          <rPr>
            <sz val="11"/>
            <color rgb="FF000000"/>
            <rFont val="Calibri"/>
            <family val="2"/>
          </rPr>
          <t>Pierre:
11月のみ休会のため￥1.080</t>
        </r>
      </text>
    </comment>
    <comment ref="O14" authorId="1" shapeId="0" xr:uid="{E54A1262-2455-47B8-B6CC-F58BF302AEA1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</text>
    </comment>
    <comment ref="P14" authorId="1" shapeId="0" xr:uid="{01D9809F-9DA9-4E86-8BB1-81D8E262C596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14" authorId="1" shapeId="0" xr:uid="{B0A7B98C-151D-4947-B229-0AA9500B69A4}">
      <text>
        <r>
          <rPr>
            <b/>
            <sz val="9"/>
            <color indexed="81"/>
            <rFont val="ＭＳ Ｐゴシック"/>
            <family val="3"/>
            <charset val="128"/>
          </rPr>
          <t>現金払い1回分
4,320円</t>
        </r>
      </text>
    </comment>
    <comment ref="U14" authorId="1" shapeId="0" xr:uid="{F9A42FFA-690C-41F1-A269-A84D627881DA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回分13,200円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1" shapeId="0" xr:uid="{1E43AAA5-7831-4F70-A128-D1842DD13F20}">
      <text>
        <r>
          <rPr>
            <b/>
            <sz val="9"/>
            <color indexed="81"/>
            <rFont val="ＭＳ Ｐゴシック"/>
            <family val="3"/>
            <charset val="128"/>
          </rPr>
          <t>現金払い1回追加分
￥4400円
12/5支払い済み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 xr:uid="{00000000-0006-0000-0100-000017000000}">
      <text>
        <r>
          <rPr>
            <sz val="11"/>
            <color rgb="FF000000"/>
            <rFont val="Calibri"/>
            <family val="2"/>
          </rPr>
          <t>四月分月謝、現金で8640　PIerre
	-Bee School</t>
        </r>
      </text>
    </comment>
    <comment ref="N21" authorId="0" shapeId="0" xr:uid="{00000000-0006-0000-0100-00001A000000}">
      <text>
        <r>
          <rPr>
            <sz val="11"/>
            <color rgb="FF000000"/>
            <rFont val="Calibri"/>
            <family val="2"/>
          </rPr>
          <t>2月２８日章経費の支払いしました2700円
	-Bee School</t>
        </r>
      </text>
    </comment>
    <comment ref="M22" authorId="0" shapeId="0" xr:uid="{00000000-0006-0000-0100-00001C000000}">
      <text>
        <r>
          <rPr>
            <sz val="11"/>
            <color rgb="FF000000"/>
            <rFont val="Calibri"/>
            <family val="2"/>
          </rPr>
          <t>and she paid 2700 for overhead on Feb. 20th
	-Bee School</t>
        </r>
      </text>
    </comment>
    <comment ref="N22" authorId="0" shapeId="0" xr:uid="{00000000-0006-0000-0100-000008000000}">
      <text>
        <r>
          <rPr>
            <sz val="11"/>
            <color rgb="FF000000"/>
            <rFont val="Calibri"/>
            <family val="2"/>
          </rPr>
          <t>4月休会</t>
        </r>
      </text>
    </comment>
    <comment ref="V23" authorId="1" shapeId="0" xr:uid="{15606FDA-1548-424D-A0B6-B9E3B548DDD7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3" authorId="1" shapeId="0" xr:uid="{84C6BA9D-B43A-43F2-8067-4154983F1E4F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ＭＳ Ｐゴシック"/>
            <family val="3"/>
            <charset val="128"/>
          </rPr>
          <t>月分
460円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4" authorId="1" shapeId="0" xr:uid="{C50EE4E3-4C0A-4760-A393-A5980D3A6BEF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月～12月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か月分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6" authorId="1" shapeId="0" xr:uid="{F71F2FD8-0D5C-423A-A3B0-47157640E264}">
      <text>
        <r>
          <rPr>
            <b/>
            <sz val="9"/>
            <color indexed="81"/>
            <rFont val="Tahoma"/>
            <family val="2"/>
          </rPr>
          <t>11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～12月2か月分
920円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27" authorId="1" shapeId="0" xr:uid="{F2CC5179-93E6-41D5-9453-6F87432527EA}">
      <text>
        <r>
          <rPr>
            <b/>
            <sz val="9"/>
            <color indexed="81"/>
            <rFont val="Tahoma"/>
            <family val="2"/>
          </rPr>
          <t>12</t>
        </r>
        <r>
          <rPr>
            <b/>
            <sz val="9"/>
            <color indexed="81"/>
            <rFont val="ＭＳ Ｐゴシック"/>
            <family val="3"/>
            <charset val="128"/>
          </rPr>
          <t>月　1ヶ月分　460円</t>
        </r>
      </text>
    </comment>
    <comment ref="O28" authorId="1" shapeId="0" xr:uid="{946CA968-E5D1-4273-977F-0196C00E97DF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12,960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1" shapeId="0" xr:uid="{9F104784-D7FF-4BB1-9CC4-6B9AD641A29A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回分12,960円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29" authorId="0" shapeId="0" xr:uid="{00000000-0006-0000-0100-000009000000}">
      <text>
        <r>
          <rPr>
            <sz val="11"/>
            <color rgb="FF000000"/>
            <rFont val="Calibri"/>
            <family val="2"/>
          </rPr>
          <t xml:space="preserve">Pierre:
</t>
        </r>
        <r>
          <rPr>
            <sz val="11"/>
            <color rgb="FF000000"/>
            <rFont val="Calibri"/>
            <family val="2"/>
          </rPr>
          <t>月謝袋持って帰っている</t>
        </r>
      </text>
    </comment>
    <comment ref="N30" authorId="0" shapeId="0" xr:uid="{00000000-0006-0000-0100-00000A000000}">
      <text>
        <r>
          <rPr>
            <sz val="11"/>
            <color rgb="FF000000"/>
            <rFont val="Calibri"/>
            <family val="2"/>
          </rPr>
          <t>休会1,080円</t>
        </r>
      </text>
    </comment>
    <comment ref="M31" authorId="0" shapeId="0" xr:uid="{00000000-0006-0000-0100-00001B000000}">
      <text>
        <r>
          <rPr>
            <sz val="11"/>
            <color rgb="FF000000"/>
            <rFont val="Calibri"/>
            <family val="2"/>
          </rPr>
          <t>on Feb 20th, paid for Jan and Feb plus overhead
	-Bee School</t>
        </r>
      </text>
    </comment>
    <comment ref="W31" authorId="1" shapeId="0" xr:uid="{BBD3E9CC-FAD7-4806-867F-DE3E9F64767F}">
      <text>
        <r>
          <rPr>
            <b/>
            <sz val="9"/>
            <color indexed="81"/>
            <rFont val="ＭＳ Ｐゴシック"/>
            <family val="3"/>
            <charset val="128"/>
          </rPr>
          <t>休会1650円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5" authorId="0" shapeId="0" xr:uid="{00000000-0006-0000-0100-00000B000000}">
      <text>
        <r>
          <rPr>
            <sz val="11"/>
            <color rgb="FF000000"/>
            <rFont val="Calibri"/>
            <family val="2"/>
          </rPr>
          <t>4月は集金なし</t>
        </r>
      </text>
    </comment>
    <comment ref="P35" authorId="1" shapeId="0" xr:uid="{27A5CAF7-7457-4D6F-A43A-5EB2A350AA29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</text>
    </comment>
    <comment ref="I36" authorId="0" shapeId="0" xr:uid="{00000000-0006-0000-0100-00000C000000}">
      <text>
        <r>
          <rPr>
            <sz val="11"/>
            <color rgb="FF000000"/>
            <rFont val="Calibri"/>
            <family val="2"/>
          </rPr>
          <t>Pierre:
月謝袋持って帰っている</t>
        </r>
      </text>
    </comment>
    <comment ref="S37" authorId="1" shapeId="0" xr:uid="{02ABFC6E-D007-495D-B852-EE949C271FDF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休会1,080円
</t>
        </r>
      </text>
    </comment>
    <comment ref="M38" authorId="1" shapeId="0" xr:uid="{D17286BD-C03E-4D84-BC6B-4BF18C45B4E4}">
      <text>
        <r>
          <rPr>
            <b/>
            <sz val="9"/>
            <color indexed="81"/>
            <rFont val="Tahoma"/>
            <family val="2"/>
          </rPr>
          <t>2/28</t>
        </r>
        <r>
          <rPr>
            <b/>
            <sz val="9"/>
            <color indexed="81"/>
            <rFont val="ＭＳ Ｐゴシック"/>
            <family val="3"/>
            <charset val="128"/>
          </rPr>
          <t>プライベート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回分4,320円支払い済み</t>
        </r>
      </text>
    </comment>
    <comment ref="O39" authorId="1" shapeId="0" xr:uid="{D7A21113-159A-41D1-8F58-0BEDC1430F3F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回分1,245円</t>
        </r>
      </text>
    </comment>
    <comment ref="V41" authorId="1" shapeId="0" xr:uid="{414E5A06-E06A-4356-B40F-ADF138221858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2" authorId="1" shapeId="0" xr:uid="{C53CF0D5-3247-4B35-A19B-8235435B2A91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5" authorId="0" shapeId="0" xr:uid="{00000000-0006-0000-0100-00000D000000}">
      <text>
        <r>
          <rPr>
            <sz val="11"/>
            <color rgb="FF000000"/>
            <rFont val="Calibri"/>
            <family val="2"/>
          </rPr>
          <t xml:space="preserve">￥8640
2回分
</t>
        </r>
      </text>
    </comment>
    <comment ref="Q45" authorId="1" shapeId="0" xr:uid="{6AC8B724-C31A-465A-991A-E014D623324F}">
      <text>
        <r>
          <rPr>
            <b/>
            <sz val="9"/>
            <color indexed="81"/>
            <rFont val="Tahoma"/>
            <family val="2"/>
          </rPr>
          <t>6/26</t>
        </r>
        <r>
          <rPr>
            <b/>
            <sz val="9"/>
            <color indexed="81"/>
            <rFont val="ＭＳ Ｐゴシック"/>
            <family val="3"/>
            <charset val="128"/>
          </rPr>
          <t>　プラ1回分4,320円現金払い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5" authorId="1" shapeId="0" xr:uid="{57389653-4A49-4302-AF72-12020EA1AD37}">
      <text>
        <r>
          <rPr>
            <b/>
            <sz val="9"/>
            <color indexed="81"/>
            <rFont val="Tahoma"/>
            <family val="2"/>
          </rPr>
          <t>7/25</t>
        </r>
        <r>
          <rPr>
            <b/>
            <sz val="9"/>
            <color indexed="81"/>
            <rFont val="ＭＳ Ｐゴシック"/>
            <family val="3"/>
            <charset val="128"/>
          </rPr>
          <t>　プラ1回分4320円現金払い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5" authorId="1" shapeId="0" xr:uid="{B9A02F81-E152-4B1D-9904-E289C7C6B9BD}">
      <text>
        <r>
          <rPr>
            <b/>
            <sz val="9"/>
            <color indexed="81"/>
            <rFont val="Tahoma"/>
            <family val="2"/>
          </rPr>
          <t>8/29</t>
        </r>
        <r>
          <rPr>
            <b/>
            <sz val="9"/>
            <color indexed="81"/>
            <rFont val="ＭＳ Ｐゴシック"/>
            <family val="3"/>
            <charset val="128"/>
          </rPr>
          <t>　プラ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4320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円現金払い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" authorId="1" shapeId="0" xr:uid="{7B2FB671-9099-482A-96B8-1DFD6A997CF7}">
      <text>
        <r>
          <rPr>
            <b/>
            <sz val="9"/>
            <color indexed="81"/>
            <rFont val="Tahoma"/>
            <family val="2"/>
          </rPr>
          <t>9/26</t>
        </r>
        <r>
          <rPr>
            <b/>
            <sz val="9"/>
            <color indexed="81"/>
            <rFont val="ＭＳ Ｐゴシック"/>
            <family val="3"/>
            <charset val="128"/>
          </rPr>
          <t>　プラ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4320</t>
        </r>
        <r>
          <rPr>
            <b/>
            <sz val="9"/>
            <color indexed="81"/>
            <rFont val="ＭＳ Ｐゴシック"/>
            <family val="3"/>
            <charset val="128"/>
          </rPr>
          <t>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45" authorId="1" shapeId="0" xr:uid="{56E81B01-60BA-440A-BDA7-5FC912A9AA63}">
      <text>
        <r>
          <rPr>
            <b/>
            <sz val="9"/>
            <color indexed="81"/>
            <rFont val="Tahoma"/>
            <family val="2"/>
          </rPr>
          <t>11/27</t>
        </r>
        <r>
          <rPr>
            <b/>
            <sz val="9"/>
            <color indexed="81"/>
            <rFont val="ＭＳ Ｐゴシック"/>
            <family val="3"/>
            <charset val="128"/>
          </rPr>
          <t>　プラ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4320</t>
        </r>
        <r>
          <rPr>
            <b/>
            <sz val="9"/>
            <color indexed="81"/>
            <rFont val="ＭＳ Ｐゴシック"/>
            <family val="3"/>
            <charset val="128"/>
          </rPr>
          <t>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7" authorId="0" shapeId="0" xr:uid="{00000000-0006-0000-0100-000019000000}">
      <text>
        <r>
          <rPr>
            <sz val="11"/>
            <color rgb="FF000000"/>
            <rFont val="Calibri"/>
            <family val="2"/>
          </rPr>
          <t>8000
	-Bee School</t>
        </r>
      </text>
    </comment>
    <comment ref="W47" authorId="1" shapeId="0" xr:uid="{0689E6EA-314C-4908-A545-616AA2A28327}">
      <text>
        <r>
          <rPr>
            <b/>
            <sz val="9"/>
            <color indexed="81"/>
            <rFont val="ＭＳ Ｐゴシック"/>
            <family val="3"/>
            <charset val="128"/>
          </rPr>
          <t>休会費1,650円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9" authorId="0" shapeId="0" xr:uid="{00000000-0006-0000-0100-000016000000}">
      <text>
        <r>
          <rPr>
            <sz val="11"/>
            <color rgb="FF000000"/>
            <rFont val="Calibri"/>
            <family val="2"/>
          </rPr>
          <t>4,5,6月分月謝特なキャンペーン29,940 - Pierre
	-Bee School</t>
        </r>
      </text>
    </comment>
    <comment ref="U52" authorId="1" shapeId="0" xr:uid="{6A00D596-466F-44A2-A8DD-1432CA3F0F5C}">
      <text>
        <r>
          <rPr>
            <b/>
            <sz val="9"/>
            <color indexed="81"/>
            <rFont val="ＭＳ Ｐゴシック"/>
            <family val="3"/>
            <charset val="128"/>
          </rPr>
          <t>資金不足のため現金払い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2" authorId="1" shapeId="0" xr:uid="{A8D2BB3B-7CD3-4003-ABEF-CCF58F47EB0F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資金不足のため現金払い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3" authorId="1" shapeId="0" xr:uid="{24F440A1-B463-43F0-B53D-94992729D184}">
      <text>
        <r>
          <rPr>
            <b/>
            <sz val="9"/>
            <color indexed="81"/>
            <rFont val="ＭＳ Ｐゴシック"/>
            <family val="3"/>
            <charset val="128"/>
          </rPr>
          <t>資金不足のため現金払い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53" authorId="1" shapeId="0" xr:uid="{8DD71D7D-9388-4197-B5EC-3D73E763A2EE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資金不足のため現金払い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1" shapeId="0" xr:uid="{881ED6C1-5646-41A2-B8EA-9DBF2B79A281}">
      <text>
        <r>
          <rPr>
            <b/>
            <sz val="9"/>
            <color indexed="81"/>
            <rFont val="ＭＳ Ｐゴシック"/>
            <family val="3"/>
            <charset val="128"/>
          </rPr>
          <t>兄弟割引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5" authorId="1" shapeId="0" xr:uid="{DE76E231-BBD5-45C3-A9D8-395A2BD27801}">
      <text>
        <r>
          <rPr>
            <b/>
            <sz val="9"/>
            <color indexed="81"/>
            <rFont val="ＭＳ Ｐゴシック"/>
            <family val="3"/>
            <charset val="128"/>
          </rPr>
          <t>兄弟割引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5" authorId="1" shapeId="0" xr:uid="{2A547ED8-F160-4CF2-9497-D7C57440D36F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ＭＳ Ｐゴシック"/>
            <family val="3"/>
            <charset val="128"/>
          </rPr>
          <t>か月分：2250円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D56" authorId="1" shapeId="0" xr:uid="{88E6E33B-D121-4DC7-97EC-8EF21A897993}">
      <text>
        <r>
          <rPr>
            <b/>
            <sz val="9"/>
            <color indexed="81"/>
            <rFont val="ＭＳ Ｐゴシック"/>
            <family val="3"/>
            <charset val="128"/>
          </rPr>
          <t>兄弟割引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56" authorId="1" shapeId="0" xr:uid="{15669363-FCB8-48BE-B894-A6CAB1E73A99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ＭＳ Ｐゴシック"/>
            <family val="3"/>
            <charset val="128"/>
          </rPr>
          <t>か月分：</t>
        </r>
        <r>
          <rPr>
            <b/>
            <sz val="9"/>
            <color indexed="81"/>
            <rFont val="Tahoma"/>
            <family val="2"/>
          </rPr>
          <t>2250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Y57" authorId="1" shapeId="0" xr:uid="{D6024DF5-0C03-4A9A-AD1D-FA3121874138}">
      <text>
        <r>
          <rPr>
            <b/>
            <sz val="9"/>
            <color indexed="81"/>
            <rFont val="ＭＳ Ｐゴシック"/>
            <family val="3"/>
            <charset val="128"/>
          </rPr>
          <t>4か月分：1800円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58" authorId="1" shapeId="0" xr:uid="{AC75C44C-8F6D-42AE-948B-E3B0748311DD}">
      <text>
        <r>
          <rPr>
            <b/>
            <sz val="9"/>
            <color indexed="81"/>
            <rFont val="ＭＳ Ｐゴシック"/>
            <family val="3"/>
            <charset val="128"/>
          </rPr>
          <t>4か月分：1800円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Y60" authorId="1" shapeId="0" xr:uid="{0F1A561E-A669-421E-8231-B78C59DE94EE}">
      <text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ＭＳ Ｐゴシック"/>
            <family val="3"/>
            <charset val="128"/>
          </rPr>
          <t>～12月分
￥450×4ヶ月
￥1,800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1" authorId="1" shapeId="0" xr:uid="{045ECD8B-BA48-46ED-9483-5DED775C39A7}">
      <text>
        <r>
          <rPr>
            <b/>
            <sz val="9"/>
            <color indexed="81"/>
            <rFont val="ＭＳ Ｐゴシック"/>
            <family val="3"/>
            <charset val="128"/>
          </rPr>
          <t>兄弟割引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61" authorId="1" shapeId="0" xr:uid="{8D68CC16-2E04-4BCA-847A-00494828D46C}">
      <text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ＭＳ Ｐゴシック"/>
            <family val="3"/>
            <charset val="128"/>
          </rPr>
          <t>～12月分
￥450×4ヶ月
￥1,800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5" authorId="0" shapeId="0" xr:uid="{00000000-0006-0000-0100-00000E000000}">
      <text>
        <r>
          <rPr>
            <sz val="11"/>
            <color rgb="FF000000"/>
            <rFont val="Calibri"/>
            <family val="2"/>
          </rPr>
          <t>Pierre:
10末より退会</t>
        </r>
      </text>
    </comment>
    <comment ref="J66" authorId="0" shapeId="0" xr:uid="{00000000-0006-0000-0100-00000F000000}">
      <text>
        <r>
          <rPr>
            <sz val="11"/>
            <color rgb="FF000000"/>
            <rFont val="Calibri"/>
            <family val="2"/>
          </rPr>
          <t xml:space="preserve">Pierre:
10月末退会
</t>
        </r>
      </text>
    </comment>
    <comment ref="J67" authorId="0" shapeId="0" xr:uid="{00000000-0006-0000-0100-000010000000}">
      <text>
        <r>
          <rPr>
            <sz val="11"/>
            <color rgb="FF000000"/>
            <rFont val="Calibri"/>
            <family val="2"/>
          </rPr>
          <t>Pierre:
11月末より退会</t>
        </r>
      </text>
    </comment>
    <comment ref="M76" authorId="0" shapeId="0" xr:uid="{00000000-0006-0000-0100-000018000000}">
      <text>
        <r>
          <rPr>
            <sz val="11"/>
            <color rgb="FF000000"/>
            <rFont val="Calibri"/>
            <family val="2"/>
          </rPr>
          <t>8640円現金で　一月2月分月謝として
	-Bee School</t>
        </r>
      </text>
    </comment>
    <comment ref="K78" authorId="0" shapeId="0" xr:uid="{00000000-0006-0000-0100-000011000000}">
      <text>
        <r>
          <rPr>
            <sz val="11"/>
            <color rgb="FF000000"/>
            <rFont val="Calibri"/>
            <family val="2"/>
          </rPr>
          <t>Pierre:
￥4320</t>
        </r>
      </text>
    </comment>
    <comment ref="J79" authorId="0" shapeId="0" xr:uid="{00000000-0006-0000-0100-000012000000}">
      <text>
        <r>
          <rPr>
            <sz val="11"/>
            <color rgb="FF000000"/>
            <rFont val="Calibri"/>
            <family val="2"/>
          </rPr>
          <t>3回分　7625円</t>
        </r>
      </text>
    </comment>
    <comment ref="K79" authorId="0" shapeId="0" xr:uid="{00000000-0006-0000-0100-000013000000}">
      <text>
        <r>
          <rPr>
            <sz val="11"/>
            <color rgb="FF000000"/>
            <rFont val="Calibri"/>
            <family val="2"/>
          </rPr>
          <t>3回分　7625円</t>
        </r>
      </text>
    </comment>
    <comment ref="L79" authorId="0" shapeId="0" xr:uid="{00000000-0006-0000-0100-000014000000}">
      <text>
        <r>
          <rPr>
            <sz val="11"/>
            <color rgb="FF000000"/>
            <rFont val="Calibri"/>
            <family val="2"/>
          </rPr>
          <t>2回分　5130円</t>
        </r>
      </text>
    </comment>
    <comment ref="M79" authorId="0" shapeId="0" xr:uid="{00000000-0006-0000-0100-000015000000}">
      <text>
        <r>
          <rPr>
            <sz val="11"/>
            <color rgb="FF000000"/>
            <rFont val="Calibri"/>
            <family val="2"/>
          </rPr>
          <t>1回分　2565円</t>
        </r>
      </text>
    </comment>
    <comment ref="J80" authorId="0" shapeId="0" xr:uid="{00000000-0006-0000-0100-000006000000}">
      <text>
        <r>
          <rPr>
            <sz val="11"/>
            <color rgb="FF000000"/>
            <rFont val="Calibri"/>
            <family val="2"/>
          </rPr>
          <t>Pierre:
￥14.580</t>
        </r>
      </text>
    </comment>
    <comment ref="T80" authorId="1" shapeId="0" xr:uid="{B983EB49-3E34-4C75-8D8F-767AD0B62DA7}">
      <text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ＭＳ Ｐゴシック"/>
            <family val="3"/>
            <charset val="128"/>
          </rPr>
          <t>回分14,580円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/>
  </authors>
  <commentList>
    <comment ref="U6" authorId="0" shapeId="0" xr:uid="{BB3DC265-B484-4E59-A239-53AE8CCE18B8}">
      <text>
        <r>
          <rPr>
            <b/>
            <sz val="9"/>
            <color indexed="81"/>
            <rFont val="ＭＳ Ｐゴシック"/>
            <family val="3"/>
            <charset val="128"/>
          </rPr>
          <t>3か月分：1380円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T10" authorId="0" shapeId="0" xr:uid="{07F91531-CC02-4CE9-AF60-C2C83418A9D1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>～6月分
2,300円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1" shapeId="0" xr:uid="{6183381F-AEF3-4198-8674-6C8BDABE5009}">
      <text>
        <r>
          <rPr>
            <sz val="11"/>
            <color rgb="FF000000"/>
            <rFont val="Calibri"/>
            <family val="2"/>
          </rPr>
          <t>2月２８日章経費の支払いしました2700円
	-Bee School</t>
        </r>
      </text>
    </comment>
    <comment ref="I22" authorId="1" shapeId="0" xr:uid="{A834A4F6-6D03-4B04-A98D-7B257FA134C0}">
      <text>
        <r>
          <rPr>
            <sz val="11"/>
            <color rgb="FF000000"/>
            <rFont val="Calibri"/>
            <family val="2"/>
          </rPr>
          <t>and she paid 2700 for overhead on Feb. 20th
	-Bee School</t>
        </r>
      </text>
    </comment>
    <comment ref="J22" authorId="1" shapeId="0" xr:uid="{B5DEE829-C9D5-4910-B0DF-FD83C0EC4959}">
      <text>
        <r>
          <rPr>
            <sz val="11"/>
            <color rgb="FF000000"/>
            <rFont val="Calibri"/>
            <family val="2"/>
          </rPr>
          <t>4月休会</t>
        </r>
      </text>
    </comment>
    <comment ref="T25" authorId="0" shapeId="0" xr:uid="{01DF3A7B-9D41-4A89-8CED-2D35FD90A5BA}">
      <text>
        <r>
          <rPr>
            <b/>
            <sz val="9"/>
            <color indexed="81"/>
            <rFont val="ＭＳ Ｐゴシック"/>
            <family val="3"/>
            <charset val="128"/>
          </rPr>
          <t>3～6月分
1,840円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26" authorId="0" shapeId="0" xr:uid="{0B55942C-E051-4BEA-B097-CCE503DA7FF1}">
      <text>
        <r>
          <rPr>
            <b/>
            <sz val="9"/>
            <color indexed="81"/>
            <rFont val="ＭＳ Ｐゴシック"/>
            <family val="3"/>
            <charset val="128"/>
          </rPr>
          <t>3～6月分
1,840円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9" authorId="0" shapeId="0" xr:uid="{FC2999A3-CCC6-48C1-8EA4-5895BF3C3B11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月～12月
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か月分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3" authorId="0" shapeId="0" xr:uid="{3C5BA2EE-372D-4CCB-BB5F-6C04453E074F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ＭＳ Ｐゴシック"/>
            <family val="3"/>
            <charset val="128"/>
          </rPr>
          <t>～6月分
2,300円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4" authorId="0" shapeId="0" xr:uid="{914987CF-7455-488F-BA3B-2798915962A7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12,960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6B7B3E71-83D2-4749-A07F-DC7422AC15BE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ＭＳ Ｐゴシック"/>
            <family val="3"/>
            <charset val="128"/>
          </rPr>
          <t>回分12,960円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" authorId="1" shapeId="0" xr:uid="{B9EF6975-4ACD-4DCB-A09B-1047AC2324D9}">
      <text>
        <r>
          <rPr>
            <sz val="11"/>
            <color rgb="FF000000"/>
            <rFont val="Calibri"/>
            <family val="2"/>
          </rPr>
          <t>on Feb 20th, paid for Jan and Feb plus overhead
	-Bee School</t>
        </r>
      </text>
    </comment>
    <comment ref="J37" authorId="1" shapeId="0" xr:uid="{CE5596EA-D293-4940-9AD9-CC5E1732B2FD}">
      <text>
        <r>
          <rPr>
            <sz val="11"/>
            <color rgb="FF000000"/>
            <rFont val="Calibri"/>
            <family val="2"/>
          </rPr>
          <t>4月は集金なし</t>
        </r>
      </text>
    </comment>
    <comment ref="L37" authorId="0" shapeId="0" xr:uid="{B27B5FA8-5D90-4D94-B028-7268AFBFDFB3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</text>
    </comment>
    <comment ref="J38" authorId="1" shapeId="0" xr:uid="{9AE60D86-1CEC-4086-87D7-34E7533FD49F}">
      <text>
        <r>
          <rPr>
            <sz val="11"/>
            <color rgb="FF000000"/>
            <rFont val="Calibri"/>
            <family val="2"/>
          </rPr>
          <t>4月は集金なし</t>
        </r>
      </text>
    </comment>
    <comment ref="L38" authorId="0" shapeId="0" xr:uid="{F6A6F478-02CA-45BD-8C7A-16738ACE5EAF}">
      <text>
        <r>
          <rPr>
            <b/>
            <sz val="9"/>
            <color indexed="81"/>
            <rFont val="ＭＳ Ｐゴシック"/>
            <family val="3"/>
            <charset val="128"/>
          </rPr>
          <t>現金払い</t>
        </r>
      </text>
    </comment>
    <comment ref="O40" authorId="0" shapeId="0" xr:uid="{A9BCF846-39C2-4CD4-83AA-2A5C4634F8FC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休会1,080円
</t>
        </r>
      </text>
    </comment>
    <comment ref="I41" authorId="0" shapeId="0" xr:uid="{72FA38CC-FAF6-4142-BC6F-A459DC70C6DF}">
      <text>
        <r>
          <rPr>
            <b/>
            <sz val="9"/>
            <color indexed="81"/>
            <rFont val="Tahoma"/>
            <family val="2"/>
          </rPr>
          <t>2/28</t>
        </r>
        <r>
          <rPr>
            <b/>
            <sz val="9"/>
            <color indexed="81"/>
            <rFont val="ＭＳ Ｐゴシック"/>
            <family val="3"/>
            <charset val="128"/>
          </rPr>
          <t>プライベート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回分4,320円支払い済み</t>
        </r>
      </text>
    </comment>
    <comment ref="H46" authorId="0" shapeId="0" xr:uid="{61D4CBE5-63BD-435B-BD5E-AB7A96CAF1E7}">
      <text>
        <r>
          <rPr>
            <b/>
            <sz val="9"/>
            <color indexed="81"/>
            <rFont val="ＭＳ Ｐゴシック"/>
            <family val="3"/>
            <charset val="128"/>
          </rPr>
          <t>出席なし
2月分として回収</t>
        </r>
      </text>
    </comment>
    <comment ref="H47" authorId="0" shapeId="0" xr:uid="{A7DDCDC6-6357-426B-A11A-623EA1638912}">
      <text>
        <r>
          <rPr>
            <b/>
            <sz val="9"/>
            <color indexed="81"/>
            <rFont val="Tahoma"/>
            <family val="2"/>
          </rPr>
          <t>1/30 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4400</t>
        </r>
        <r>
          <rPr>
            <b/>
            <sz val="9"/>
            <color indexed="81"/>
            <rFont val="ＭＳ Ｐゴシック"/>
            <family val="3"/>
            <charset val="128"/>
          </rPr>
          <t>円追加</t>
        </r>
      </text>
    </comment>
    <comment ref="J47" authorId="1" shapeId="0" xr:uid="{6ECB2211-B9BB-4EEA-B31F-0469A105FA47}">
      <text>
        <r>
          <rPr>
            <sz val="11"/>
            <color rgb="FF000000"/>
            <rFont val="Calibri"/>
            <family val="2"/>
          </rPr>
          <t xml:space="preserve">￥8640
2回分
</t>
        </r>
      </text>
    </comment>
    <comment ref="M47" authorId="0" shapeId="0" xr:uid="{FE48937B-A63E-4695-ACE7-BD62C2799FC7}">
      <text>
        <r>
          <rPr>
            <b/>
            <sz val="9"/>
            <color indexed="81"/>
            <rFont val="Tahoma"/>
            <family val="2"/>
          </rPr>
          <t>6/26</t>
        </r>
        <r>
          <rPr>
            <b/>
            <sz val="9"/>
            <color indexed="81"/>
            <rFont val="ＭＳ Ｐゴシック"/>
            <family val="3"/>
            <charset val="128"/>
          </rPr>
          <t>　プラ1回分4,320円現金払い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7" authorId="0" shapeId="0" xr:uid="{DC466EF1-53AC-43C9-980C-FB0CF03AF3EB}">
      <text>
        <r>
          <rPr>
            <b/>
            <sz val="9"/>
            <color indexed="81"/>
            <rFont val="Tahoma"/>
            <family val="2"/>
          </rPr>
          <t>7/25</t>
        </r>
        <r>
          <rPr>
            <b/>
            <sz val="9"/>
            <color indexed="81"/>
            <rFont val="ＭＳ Ｐゴシック"/>
            <family val="3"/>
            <charset val="128"/>
          </rPr>
          <t>　プラ1回分4320円現金払い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7" authorId="0" shapeId="0" xr:uid="{782BAAD0-524A-41B6-8413-87C7A176819D}">
      <text>
        <r>
          <rPr>
            <b/>
            <sz val="9"/>
            <color indexed="81"/>
            <rFont val="Tahoma"/>
            <family val="2"/>
          </rPr>
          <t>8/29</t>
        </r>
        <r>
          <rPr>
            <b/>
            <sz val="9"/>
            <color indexed="81"/>
            <rFont val="ＭＳ Ｐゴシック"/>
            <family val="3"/>
            <charset val="128"/>
          </rPr>
          <t>　プラ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ＭＳ Ｐゴシック"/>
            <family val="3"/>
            <charset val="128"/>
          </rPr>
          <t>回分</t>
        </r>
        <r>
          <rPr>
            <b/>
            <sz val="9"/>
            <color indexed="81"/>
            <rFont val="Tahoma"/>
            <family val="2"/>
          </rPr>
          <t>4320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円現金払い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51" authorId="1" shapeId="0" xr:uid="{6D216AE4-6099-4073-8245-2C61B124E1B7}">
      <text>
        <r>
          <rPr>
            <sz val="11"/>
            <color rgb="FF000000"/>
            <rFont val="Calibri"/>
            <family val="2"/>
          </rPr>
          <t>4,5,6月分月謝特なキャンペーン29,940 - Pierre
	-Bee School</t>
        </r>
      </text>
    </comment>
    <comment ref="Q54" authorId="0" shapeId="0" xr:uid="{BA04902F-1E50-4BEB-8BAA-288A1C29A8C1}">
      <text>
        <r>
          <rPr>
            <b/>
            <sz val="9"/>
            <color indexed="81"/>
            <rFont val="ＭＳ Ｐゴシック"/>
            <family val="3"/>
            <charset val="128"/>
          </rPr>
          <t>資金不足のため現金払い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55" authorId="0" shapeId="0" xr:uid="{C6E1388E-31DC-4CC5-B55F-F3F7600EFA89}">
      <text>
        <r>
          <rPr>
            <b/>
            <sz val="9"/>
            <color indexed="81"/>
            <rFont val="ＭＳ Ｐゴシック"/>
            <family val="3"/>
            <charset val="128"/>
          </rPr>
          <t>資金不足のため現金払い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57" authorId="0" shapeId="0" xr:uid="{30F5E7D2-3168-4248-A1FE-D3ED43088205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ＭＳ Ｐゴシック"/>
            <family val="3"/>
            <charset val="128"/>
          </rPr>
          <t>か月分：2250円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U58" authorId="0" shapeId="0" xr:uid="{CF307DED-F9FB-4160-B8A2-78BA6EE29B42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ＭＳ Ｐゴシック"/>
            <family val="3"/>
            <charset val="128"/>
          </rPr>
          <t>か月分：</t>
        </r>
        <r>
          <rPr>
            <b/>
            <sz val="9"/>
            <color indexed="81"/>
            <rFont val="Tahoma"/>
            <family val="2"/>
          </rPr>
          <t>2250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U59" authorId="0" shapeId="0" xr:uid="{DF7729FB-3826-49C0-B810-0F64729FF51A}">
      <text>
        <r>
          <rPr>
            <b/>
            <sz val="9"/>
            <color indexed="81"/>
            <rFont val="ＭＳ Ｐゴシック"/>
            <family val="3"/>
            <charset val="128"/>
          </rPr>
          <t>4か月分：1800円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U60" authorId="0" shapeId="0" xr:uid="{6A042561-7E56-4A95-B22B-778D2C869A19}">
      <text>
        <r>
          <rPr>
            <b/>
            <sz val="9"/>
            <color indexed="81"/>
            <rFont val="ＭＳ Ｐゴシック"/>
            <family val="3"/>
            <charset val="128"/>
          </rPr>
          <t>4か月分：1800円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I78" authorId="1" shapeId="0" xr:uid="{0CF31C90-FEBC-4BFF-BE39-F75EB14776B5}">
      <text>
        <r>
          <rPr>
            <sz val="11"/>
            <color rgb="FF000000"/>
            <rFont val="Calibri"/>
            <family val="2"/>
          </rPr>
          <t>8640円現金で　一月2月分月謝として
	-Bee School</t>
        </r>
      </text>
    </comment>
    <comment ref="H81" authorId="1" shapeId="0" xr:uid="{6ED1050E-B6E9-4281-A05A-95AB6A8B1DD6}">
      <text>
        <r>
          <rPr>
            <sz val="11"/>
            <color rgb="FF000000"/>
            <rFont val="Calibri"/>
            <family val="2"/>
          </rPr>
          <t>2回分　5130円</t>
        </r>
      </text>
    </comment>
    <comment ref="I81" authorId="1" shapeId="0" xr:uid="{F2BC1A6B-EC56-4013-B9DE-2B58D1F414A4}">
      <text>
        <r>
          <rPr>
            <sz val="11"/>
            <color rgb="FF000000"/>
            <rFont val="Calibri"/>
            <family val="2"/>
          </rPr>
          <t>1回分　2565円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200-000001000000}">
      <text>
        <r>
          <rPr>
            <sz val="11"/>
            <color rgb="FF000000"/>
            <rFont val="Calibri"/>
            <family val="2"/>
          </rPr>
          <t>Pierre:
12月休会</t>
        </r>
      </text>
    </comment>
    <comment ref="E17" authorId="0" shapeId="0" xr:uid="{00000000-0006-0000-0200-000002000000}">
      <text>
        <r>
          <rPr>
            <sz val="11"/>
            <color rgb="FF000000"/>
            <rFont val="Calibri"/>
            <family val="2"/>
          </rPr>
          <t>Pierre:
12/12 当日キャンセル連絡あり</t>
        </r>
      </text>
    </comment>
    <comment ref="D18" authorId="0" shapeId="0" xr:uid="{00000000-0006-0000-0200-000003000000}">
      <text>
        <r>
          <rPr>
            <sz val="11"/>
            <color rgb="FF000000"/>
            <rFont val="Calibri"/>
            <family val="2"/>
          </rPr>
          <t>Pierre:
プラ</t>
        </r>
      </text>
    </comment>
    <comment ref="P18" authorId="0" shapeId="0" xr:uid="{00000000-0006-0000-0200-000011000000}">
      <text>
        <r>
          <rPr>
            <sz val="11"/>
            <color rgb="FF000000"/>
            <rFont val="Calibri"/>
            <family val="2"/>
          </rPr>
          <t>Pierre's Class
	-Bee School</t>
        </r>
      </text>
    </comment>
    <comment ref="D22" authorId="0" shapeId="0" xr:uid="{00000000-0006-0000-0200-000004000000}">
      <text>
        <r>
          <rPr>
            <sz val="11"/>
            <color rgb="FF000000"/>
            <rFont val="Calibri"/>
            <family val="2"/>
          </rPr>
          <t>Pierre:
プラ</t>
        </r>
      </text>
    </comment>
    <comment ref="P22" authorId="0" shapeId="0" xr:uid="{00000000-0006-0000-0200-000012000000}">
      <text>
        <r>
          <rPr>
            <sz val="11"/>
            <color rgb="FF000000"/>
            <rFont val="Calibri"/>
            <family val="2"/>
          </rPr>
          <t>Pierre Class
	-Bee School</t>
        </r>
      </text>
    </comment>
    <comment ref="V22" authorId="0" shapeId="0" xr:uid="{00000000-0006-0000-0200-00000C000000}">
      <text>
        <r>
          <rPr>
            <sz val="11"/>
            <color rgb="FF000000"/>
            <rFont val="Calibri"/>
            <family val="2"/>
          </rPr>
          <t>Pierre groupe
	-Bee School</t>
        </r>
      </text>
    </comment>
    <comment ref="AA22" authorId="0" shapeId="0" xr:uid="{00000000-0006-0000-0200-000009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V25" authorId="0" shapeId="0" xr:uid="{00000000-0006-0000-0200-00000B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W25" authorId="0" shapeId="0" xr:uid="{00000000-0006-0000-0200-00000A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P31" authorId="0" shapeId="0" xr:uid="{00000000-0006-0000-0200-00000F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Q31" authorId="0" shapeId="0" xr:uid="{00000000-0006-0000-0200-000010000000}">
      <text>
        <r>
          <rPr>
            <sz val="11"/>
            <color rgb="FF000000"/>
            <rFont val="Calibri"/>
            <family val="2"/>
          </rPr>
          <t>Pierre
	-Bee School</t>
        </r>
      </text>
    </comment>
    <comment ref="V35" authorId="0" shapeId="0" xr:uid="{00000000-0006-0000-0200-00000E000000}">
      <text>
        <r>
          <rPr>
            <sz val="11"/>
            <color rgb="FF000000"/>
            <rFont val="Calibri"/>
            <family val="2"/>
          </rPr>
          <t>private Pierre
	-Bee School</t>
        </r>
      </text>
    </comment>
    <comment ref="W35" authorId="0" shapeId="0" xr:uid="{00000000-0006-0000-0200-00000D000000}">
      <text>
        <r>
          <rPr>
            <sz val="11"/>
            <color rgb="FF000000"/>
            <rFont val="Calibri"/>
            <family val="2"/>
          </rPr>
          <t>private Pierre
	-Bee School</t>
        </r>
      </text>
    </comment>
    <comment ref="AA36" authorId="0" shapeId="0" xr:uid="{00000000-0006-0000-0200-000008000000}">
      <text>
        <r>
          <rPr>
            <sz val="11"/>
            <color rgb="FF000000"/>
            <rFont val="Calibri"/>
            <family val="2"/>
          </rPr>
          <t>matt
	-Bee School</t>
        </r>
      </text>
    </comment>
    <comment ref="AA37" authorId="0" shapeId="0" xr:uid="{00000000-0006-0000-0200-000007000000}">
      <text>
        <r>
          <rPr>
            <sz val="11"/>
            <color rgb="FF000000"/>
            <rFont val="Calibri"/>
            <family val="2"/>
          </rPr>
          <t>Matt
	-Bee School</t>
        </r>
      </text>
    </comment>
    <comment ref="O60" authorId="0" shapeId="0" xr:uid="{00000000-0006-0000-0200-000005000000}">
      <text>
        <r>
          <rPr>
            <sz val="11"/>
            <color rgb="FF000000"/>
            <rFont val="Calibri"/>
            <family val="2"/>
          </rPr>
          <t>1月分</t>
        </r>
      </text>
    </comment>
    <comment ref="P60" authorId="0" shapeId="0" xr:uid="{00000000-0006-0000-0200-000006000000}">
      <text>
        <r>
          <rPr>
            <sz val="11"/>
            <color rgb="FF000000"/>
            <rFont val="Calibri"/>
            <family val="2"/>
          </rPr>
          <t>1月分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D4" authorId="0" shapeId="0" xr:uid="{47303A2E-C01B-46AF-B05D-B1B713119101}">
      <text>
        <r>
          <rPr>
            <sz val="11"/>
            <color rgb="FF000000"/>
            <rFont val="Calibri"/>
            <family val="2"/>
          </rPr>
          <t>￥4320+￥2565</t>
        </r>
      </text>
    </comment>
    <comment ref="D5" authorId="0" shapeId="0" xr:uid="{E27DDE55-41D2-46DC-ABB1-FB1FC6317EC8}">
      <text>
        <r>
          <rPr>
            <sz val="11"/>
            <color rgb="FF000000"/>
            <rFont val="Calibri"/>
            <family val="2"/>
          </rPr>
          <t>2019/3～
セミプラ→プライベート　に変更</t>
        </r>
      </text>
    </comment>
    <comment ref="D8" authorId="0" shapeId="0" xr:uid="{A554C696-1E2E-46F0-8EBB-2A991F9A1A08}">
      <text>
        <r>
          <rPr>
            <sz val="11"/>
            <color rgb="FF000000"/>
            <rFont val="Calibri"/>
            <family val="2"/>
          </rPr>
          <t>￥8640+￥2565</t>
        </r>
      </text>
    </comment>
    <comment ref="D16" authorId="0" shapeId="0" xr:uid="{DB648134-59C0-40B8-B312-DE00741ECF1D}">
      <text>
        <r>
          <rPr>
            <sz val="11"/>
            <color rgb="FF000000"/>
            <rFont val="ＭＳ Ｐゴシック"/>
            <family val="3"/>
            <charset val="128"/>
          </rPr>
          <t>値上がりなし
7月より値上げ予定</t>
        </r>
      </text>
    </comment>
    <comment ref="D18" authorId="0" shapeId="0" xr:uid="{3130307C-27BE-4D28-AECA-0DCE0D0342E9}">
      <text>
        <r>
          <rPr>
            <sz val="11"/>
            <color rgb="FF000000"/>
            <rFont val="Calibri"/>
            <family val="2"/>
          </rPr>
          <t>2565円×２+4320円</t>
        </r>
      </text>
    </comment>
    <comment ref="D21" authorId="0" shapeId="0" xr:uid="{53954378-2D83-4B32-96B2-321E20BC4A0C}">
      <text>
        <r>
          <rPr>
            <sz val="11"/>
            <color rgb="FF000000"/>
            <rFont val="Calibri"/>
            <family val="2"/>
          </rPr>
          <t>値上がりなし</t>
        </r>
      </text>
    </comment>
    <comment ref="D33" authorId="1" shapeId="0" xr:uid="{82C5D83C-657C-4BA3-B535-059AF4252ABC}">
      <text>
        <r>
          <rPr>
            <b/>
            <sz val="9"/>
            <color indexed="81"/>
            <rFont val="Tahoma"/>
            <family val="2"/>
          </rPr>
          <t>8640+4320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1" authorId="0" shapeId="0" xr:uid="{850C5623-58B1-4079-B00D-602E63E6748E}">
      <text>
        <r>
          <rPr>
            <sz val="11"/>
            <color rgb="FF000000"/>
            <rFont val="ＭＳ Ｐゴシック"/>
            <family val="3"/>
            <charset val="128"/>
          </rPr>
          <t>一時月</t>
        </r>
        <r>
          <rPr>
            <sz val="11"/>
            <color rgb="FF000000"/>
            <rFont val="Calibri"/>
            <family val="2"/>
          </rPr>
          <t>3</t>
        </r>
        <r>
          <rPr>
            <sz val="11"/>
            <color rgb="FF000000"/>
            <rFont val="ＭＳ Ｐゴシック"/>
            <family val="3"/>
            <charset val="128"/>
          </rPr>
          <t>回
￥</t>
        </r>
        <r>
          <rPr>
            <sz val="11"/>
            <color rgb="FF000000"/>
            <rFont val="Calibri"/>
            <family val="2"/>
          </rPr>
          <t>12,960
4</t>
        </r>
        <r>
          <rPr>
            <sz val="11"/>
            <color rgb="FF000000"/>
            <rFont val="ＭＳ Ｐゴシック"/>
            <family val="3"/>
            <charset val="128"/>
          </rPr>
          <t>回目来校時は</t>
        </r>
        <r>
          <rPr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ＭＳ Ｐゴシック"/>
            <family val="3"/>
            <charset val="128"/>
          </rPr>
          <t>回分現金払い</t>
        </r>
      </text>
    </comment>
    <comment ref="B63" authorId="0" shapeId="0" xr:uid="{93C03BA4-127F-4967-9615-5B0681EF4997}">
      <text>
        <r>
          <rPr>
            <sz val="11"/>
            <color rgb="FF000000"/>
            <rFont val="Calibri"/>
            <family val="2"/>
          </rPr>
          <t>２月で退会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user</author>
  </authors>
  <commentList>
    <comment ref="E2" authorId="0" shapeId="0" xr:uid="{59411E73-65F6-436B-BC63-2A229117589B}">
      <text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4400+</t>
        </r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（旧生徒価格
）</t>
        </r>
      </text>
    </comment>
    <comment ref="G2" authorId="0" shapeId="0" xr:uid="{721B3354-C6D8-408B-B15E-6F7FB4278C30}">
      <text>
        <r>
          <rPr>
            <sz val="11"/>
            <color rgb="FF000000"/>
            <rFont val="Calibri"/>
            <family val="2"/>
          </rPr>
          <t>1ヶ月分月謝
	-Bee School</t>
        </r>
      </text>
    </comment>
    <comment ref="E3" authorId="0" shapeId="0" xr:uid="{38530AB1-C611-40F0-A9B2-FA5D93E0DA3D}">
      <text>
        <r>
          <rPr>
            <sz val="11"/>
            <color rgb="FF000000"/>
            <rFont val="Calibri"/>
            <family val="2"/>
          </rPr>
          <t>2019/3～
セミプラ→プライベート　に変更</t>
        </r>
      </text>
    </comment>
    <comment ref="E5" authorId="0" shapeId="0" xr:uid="{D61680EF-F80A-4E00-BF25-1A840888FEAA}">
      <text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8800+</t>
        </r>
        <r>
          <rPr>
            <sz val="11"/>
            <color rgb="FF000000"/>
            <rFont val="ＭＳ Ｐゴシック"/>
            <family val="3"/>
            <charset val="128"/>
          </rPr>
          <t>￥</t>
        </r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（旧生徒価格
）</t>
        </r>
      </text>
    </comment>
    <comment ref="G5" authorId="0" shapeId="0" xr:uid="{E31C8F66-464E-4EAB-A831-6C075AA17B94}">
      <text>
        <r>
          <rPr>
            <sz val="11"/>
            <color rgb="FF000000"/>
            <rFont val="Calibri"/>
            <family val="2"/>
          </rPr>
          <t>Paid 2 lessons: 4320
	-Bee School
6回来校。4回分は引落し
	-Bee School</t>
        </r>
      </text>
    </comment>
    <comment ref="E7" authorId="1" shapeId="0" xr:uid="{7A263517-56EB-4682-94C4-45B1AAB0C2B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</text>
    </comment>
    <comment ref="G8" authorId="0" shapeId="0" xr:uid="{6E119829-AAE1-4603-BDF7-8D3BE09E4186}">
      <text>
        <r>
          <rPr>
            <sz val="11"/>
            <color rgb="FF000000"/>
            <rFont val="Calibri"/>
            <family val="2"/>
          </rPr>
          <t>一月分月謝と諸経費　２２１４０
	-Bee School</t>
        </r>
      </text>
    </comment>
    <comment ref="G9" authorId="0" shapeId="0" xr:uid="{5C6CADCF-2433-4127-9324-95BA79DE5CAF}">
      <text>
        <r>
          <rPr>
            <sz val="11"/>
            <color rgb="FF000000"/>
            <rFont val="Calibri"/>
            <family val="2"/>
          </rPr>
          <t>1回4320円
	-Bee School</t>
        </r>
      </text>
    </comment>
    <comment ref="E11" authorId="1" shapeId="0" xr:uid="{5344BC0F-5C41-4E46-94CC-6F177E8997F1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</text>
    </comment>
    <comment ref="G11" authorId="0" shapeId="0" xr:uid="{C996754C-FEF3-4CC6-82B2-602A291FE374}">
      <text>
        <r>
          <rPr>
            <sz val="11"/>
            <color rgb="FF000000"/>
            <rFont val="Calibri"/>
            <family val="2"/>
          </rPr>
          <t>休会1,080円
	-Bee School</t>
        </r>
      </text>
    </comment>
    <comment ref="G12" authorId="0" shapeId="0" xr:uid="{8CF2A439-2B70-4C1E-AE4C-48B8D2937BFB}">
      <text>
        <r>
          <rPr>
            <sz val="11"/>
            <color rgb="FF000000"/>
            <rFont val="Calibri"/>
            <family val="2"/>
          </rPr>
          <t>lesson was supposed to be on Feb 8, but because it is a friday I have changed it to Thursday 31 January
	-Bee School</t>
        </r>
      </text>
    </comment>
    <comment ref="E13" authorId="1" shapeId="0" xr:uid="{42D20E64-3C8C-47EB-8F90-3A8164519EDD}">
      <text>
        <r>
          <rPr>
            <b/>
            <sz val="9"/>
            <color indexed="81"/>
            <rFont val="ＭＳ Ｐゴシック"/>
            <family val="3"/>
            <charset val="128"/>
          </rPr>
          <t>旧生徒価格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4" authorId="0" shapeId="0" xr:uid="{6391326D-414C-4A55-9B4A-29F6AC433387}">
      <text>
        <r>
          <rPr>
            <sz val="11"/>
            <color rgb="FF000000"/>
            <rFont val="Calibri"/>
            <family val="2"/>
          </rPr>
          <t>2612</t>
        </r>
        <r>
          <rPr>
            <sz val="11"/>
            <color rgb="FF000000"/>
            <rFont val="ＭＳ Ｐゴシック"/>
            <family val="3"/>
            <charset val="128"/>
          </rPr>
          <t>円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ＭＳ Ｐゴシック"/>
            <family val="3"/>
            <charset val="128"/>
          </rPr>
          <t>２</t>
        </r>
        <r>
          <rPr>
            <sz val="11"/>
            <color rgb="FF000000"/>
            <rFont val="Calibri"/>
            <family val="2"/>
          </rPr>
          <t>+4400</t>
        </r>
        <r>
          <rPr>
            <sz val="11"/>
            <color rgb="FF000000"/>
            <rFont val="ＭＳ Ｐゴシック"/>
            <family val="3"/>
            <charset val="128"/>
          </rPr>
          <t>円</t>
        </r>
      </text>
    </comment>
    <comment ref="G14" authorId="0" shapeId="0" xr:uid="{9A4D751F-3BA4-4255-AAB7-68BA6DC54F08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E17" authorId="1" shapeId="0" xr:uid="{5AF50DE3-AF1D-4171-B880-6BD154BE59EA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旧生徒価格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7" authorId="0" shapeId="0" xr:uid="{D928E5B8-8CBC-4445-BB28-D25631669327}">
      <text>
        <r>
          <rPr>
            <sz val="11"/>
            <color rgb="FF000000"/>
            <rFont val="Calibri"/>
            <family val="2"/>
          </rPr>
          <t>諸経費2700円未払
	-Bee School</t>
        </r>
      </text>
    </comment>
    <comment ref="E21" authorId="1" shapeId="0" xr:uid="{FA05DD2A-A4E9-4270-9093-E28C30AC00CC}">
      <text>
        <r>
          <rPr>
            <b/>
            <sz val="9"/>
            <color indexed="81"/>
            <rFont val="ＭＳ Ｐゴシック"/>
            <family val="3"/>
            <charset val="128"/>
          </rPr>
          <t>セミプラN2回5224円
グループP2回4400円（旧生徒価格）</t>
        </r>
      </text>
    </comment>
    <comment ref="G21" authorId="0" shapeId="0" xr:uid="{B16447B6-D065-4F39-84C3-854D57322C86}">
      <text>
        <r>
          <rPr>
            <sz val="11"/>
            <color rgb="FF000000"/>
            <rFont val="Calibri"/>
            <family val="2"/>
          </rPr>
          <t>Pierre Group
	-Bee School</t>
        </r>
      </text>
    </comment>
    <comment ref="G23" authorId="0" shapeId="0" xr:uid="{1BEB4888-DB66-49BC-9712-BAF40CB29ED3}">
      <text>
        <r>
          <rPr>
            <sz val="11"/>
            <color rgb="FF000000"/>
            <rFont val="Calibri"/>
            <family val="2"/>
          </rPr>
          <t>payment of 1620.
This is for one lesson minus the 2700 for overhead. Which she paid already, but want to be charged for it by ricoh.
So 4320 - 2700: 1620
	-Bee School</t>
        </r>
      </text>
    </comment>
    <comment ref="G25" authorId="0" shapeId="0" xr:uid="{68393496-9D4C-4BD0-936F-3DFB2EFD8B8E}">
      <text>
        <r>
          <rPr>
            <sz val="11"/>
            <color rgb="FF000000"/>
            <rFont val="Calibri"/>
            <family val="2"/>
          </rPr>
          <t>振替依頼書提出間に合わず引き落としなし
	-Bee School</t>
        </r>
      </text>
    </comment>
    <comment ref="E32" authorId="0" shapeId="0" xr:uid="{FAB453E2-000C-4E72-8B3A-8EFA3C86760F}">
      <text>
        <r>
          <rPr>
            <sz val="11"/>
            <color rgb="FF000000"/>
            <rFont val="ＭＳ Ｐゴシック"/>
            <family val="3"/>
            <charset val="128"/>
          </rPr>
          <t>一時月</t>
        </r>
        <r>
          <rPr>
            <sz val="11"/>
            <color rgb="FF000000"/>
            <rFont val="Calibri"/>
            <family val="2"/>
          </rPr>
          <t>3</t>
        </r>
        <r>
          <rPr>
            <sz val="11"/>
            <color rgb="FF000000"/>
            <rFont val="ＭＳ Ｐゴシック"/>
            <family val="3"/>
            <charset val="128"/>
          </rPr>
          <t>回
￥</t>
        </r>
        <r>
          <rPr>
            <sz val="11"/>
            <color rgb="FF000000"/>
            <rFont val="Calibri"/>
            <family val="2"/>
          </rPr>
          <t>13,200
4</t>
        </r>
        <r>
          <rPr>
            <sz val="11"/>
            <color rgb="FF000000"/>
            <rFont val="ＭＳ Ｐゴシック"/>
            <family val="3"/>
            <charset val="128"/>
          </rPr>
          <t>回目来校時は</t>
        </r>
        <r>
          <rPr>
            <sz val="11"/>
            <color rgb="FF000000"/>
            <rFont val="Calibri"/>
            <family val="2"/>
          </rPr>
          <t>1</t>
        </r>
        <r>
          <rPr>
            <sz val="11"/>
            <color rgb="FF000000"/>
            <rFont val="ＭＳ Ｐゴシック"/>
            <family val="3"/>
            <charset val="128"/>
          </rPr>
          <t>回分現金払い</t>
        </r>
      </text>
    </comment>
    <comment ref="F37" authorId="1" shapeId="0" xr:uid="{421B115C-3B54-4D48-ABE2-1A305D1E782F}">
      <text>
        <r>
          <rPr>
            <b/>
            <sz val="9"/>
            <color indexed="81"/>
            <rFont val="ＭＳ Ｐゴシック"/>
            <family val="3"/>
            <charset val="128"/>
          </rPr>
          <t>入会金：7560円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1" shapeId="0" xr:uid="{B0C14AB1-F7C8-456E-AB9C-BB114AD3AFA7}">
      <text>
        <r>
          <rPr>
            <b/>
            <sz val="9"/>
            <color indexed="81"/>
            <rFont val="ＭＳ Ｐゴシック"/>
            <family val="3"/>
            <charset val="128"/>
          </rPr>
          <t>入会金：</t>
        </r>
        <r>
          <rPr>
            <b/>
            <sz val="9"/>
            <color indexed="81"/>
            <rFont val="Tahoma"/>
            <family val="2"/>
          </rPr>
          <t>7560</t>
        </r>
        <r>
          <rPr>
            <b/>
            <sz val="9"/>
            <color indexed="81"/>
            <rFont val="ＭＳ Ｐゴシック"/>
            <family val="3"/>
            <charset val="128"/>
          </rPr>
          <t>円</t>
        </r>
      </text>
    </comment>
    <comment ref="E39" authorId="0" shapeId="0" xr:uid="{DBBCD3C2-F451-4B15-A296-DC5A071B2126}">
      <text>
        <r>
          <rPr>
            <sz val="11"/>
            <color rgb="FF000000"/>
            <rFont val="Calibri"/>
            <family val="2"/>
          </rPr>
          <t>2612.5</t>
        </r>
        <r>
          <rPr>
            <sz val="11"/>
            <color rgb="FF000000"/>
            <rFont val="ＭＳ Ｐゴシック"/>
            <family val="3"/>
            <charset val="128"/>
          </rPr>
          <t>円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ＭＳ Ｐゴシック"/>
            <family val="3"/>
            <charset val="128"/>
          </rPr>
          <t>２</t>
        </r>
        <r>
          <rPr>
            <sz val="11"/>
            <color rgb="FF000000"/>
            <rFont val="Calibri"/>
            <family val="2"/>
          </rPr>
          <t>+4400</t>
        </r>
        <r>
          <rPr>
            <sz val="11"/>
            <color rgb="FF000000"/>
            <rFont val="ＭＳ Ｐゴシック"/>
            <family val="3"/>
            <charset val="128"/>
          </rPr>
          <t>円</t>
        </r>
      </text>
    </comment>
    <comment ref="E40" authorId="1" shapeId="0" xr:uid="{E94F58AD-12D4-468B-AEA9-374A145C21D3}">
      <text>
        <r>
          <rPr>
            <b/>
            <sz val="9"/>
            <color indexed="81"/>
            <rFont val="Tahoma"/>
            <family val="2"/>
          </rPr>
          <t>8800+4400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5" authorId="0" shapeId="0" xr:uid="{590C57D8-8738-4024-801A-83EB3F91C5FC}">
      <text>
        <r>
          <rPr>
            <sz val="11"/>
            <color rgb="FF000000"/>
            <rFont val="Calibri"/>
            <family val="2"/>
          </rPr>
          <t>２月月謝と１月の残り：15000
	-Bee School</t>
        </r>
      </text>
    </comment>
    <comment ref="G46" authorId="0" shapeId="0" xr:uid="{C62A6CC3-8774-41FA-B66B-AC544B1D2A2D}">
      <text>
        <r>
          <rPr>
            <sz val="11"/>
            <color rgb="FF000000"/>
            <rFont val="Calibri"/>
            <family val="2"/>
          </rPr>
          <t>２月分月謝　8000円
	-Bee School</t>
        </r>
      </text>
    </comment>
    <comment ref="C48" authorId="1" shapeId="0" xr:uid="{5F22BFE5-50BF-4309-A8A7-B15F225CDE1F}">
      <text>
        <r>
          <rPr>
            <b/>
            <sz val="9"/>
            <color indexed="81"/>
            <rFont val="ＭＳ Ｐゴシック"/>
            <family val="3"/>
            <charset val="128"/>
          </rPr>
          <t>領収証は「（㈱）形成技研</t>
        </r>
      </text>
    </comment>
    <comment ref="G50" authorId="0" shapeId="0" xr:uid="{675B7F47-2191-4F22-AC22-2BEAC78AC127}">
      <text>
        <r>
          <rPr>
            <sz val="11"/>
            <color rgb="FF000000"/>
            <rFont val="Calibri"/>
            <family val="2"/>
          </rPr>
          <t>8640　2月分 月謝
	-Bee School</t>
        </r>
      </text>
    </comment>
    <comment ref="E51" authorId="1" shapeId="0" xr:uid="{33AF72EE-8D7A-452B-AD14-050619DD947A}">
      <text>
        <r>
          <rPr>
            <b/>
            <sz val="9"/>
            <color indexed="81"/>
            <rFont val="Tahoma"/>
            <family val="2"/>
          </rPr>
          <t>2019/12</t>
        </r>
        <r>
          <rPr>
            <b/>
            <sz val="9"/>
            <color indexed="81"/>
            <rFont val="ＭＳ Ｐゴシック"/>
            <family val="3"/>
            <charset val="128"/>
          </rPr>
          <t>より一時現金払い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1" authorId="0" shapeId="0" xr:uid="{052BCBEB-8D22-46F4-8C83-8A2E102D9225}">
      <text>
        <r>
          <rPr>
            <sz val="11"/>
            <color rgb="FF000000"/>
            <rFont val="Calibri"/>
            <family val="2"/>
          </rPr>
          <t>19:00pm
	-Bee School</t>
        </r>
      </text>
    </comment>
    <comment ref="C67" authorId="0" shapeId="0" xr:uid="{33B81CCE-21A1-4C2B-8248-96453BBD2DD6}">
      <text>
        <r>
          <rPr>
            <sz val="11"/>
            <color rgb="FF000000"/>
            <rFont val="Calibri"/>
            <family val="2"/>
          </rPr>
          <t>２月で退会</t>
        </r>
      </text>
    </comment>
    <comment ref="G69" authorId="0" shapeId="0" xr:uid="{4AA4E07E-7A0C-4734-B9A2-21B2EA87C6B2}">
      <text>
        <r>
          <rPr>
            <sz val="11"/>
            <color rgb="FF000000"/>
            <rFont val="Calibri"/>
            <family val="2"/>
          </rPr>
          <t>2700(Material fee)+8640
	-Bee School</t>
        </r>
      </text>
    </comment>
  </commentList>
</comments>
</file>

<file path=xl/sharedStrings.xml><?xml version="1.0" encoding="utf-8"?>
<sst xmlns="http://schemas.openxmlformats.org/spreadsheetml/2006/main" count="2231" uniqueCount="726">
  <si>
    <t>支払い方法</t>
  </si>
  <si>
    <t>rei</t>
  </si>
  <si>
    <t>１回目</t>
  </si>
  <si>
    <t>２回目</t>
  </si>
  <si>
    <t>3回目</t>
  </si>
  <si>
    <t>4回目</t>
  </si>
  <si>
    <t>5回目</t>
  </si>
  <si>
    <t>6回目</t>
  </si>
  <si>
    <t>7回目</t>
  </si>
  <si>
    <t>名前</t>
  </si>
  <si>
    <t>Name</t>
  </si>
  <si>
    <t>電話</t>
  </si>
  <si>
    <t>携帯電話</t>
  </si>
  <si>
    <t>Email for documents</t>
  </si>
  <si>
    <t>住所</t>
  </si>
  <si>
    <t>言語</t>
  </si>
  <si>
    <t>レッスン</t>
  </si>
  <si>
    <t>料金</t>
  </si>
  <si>
    <t>入会日</t>
  </si>
  <si>
    <t>退会日</t>
  </si>
  <si>
    <t>退会理由</t>
  </si>
  <si>
    <t>体験担当</t>
  </si>
  <si>
    <t>グループ</t>
  </si>
  <si>
    <t>’002</t>
  </si>
  <si>
    <t>10月</t>
  </si>
  <si>
    <t>赤間恭子</t>
  </si>
  <si>
    <t>11月</t>
  </si>
  <si>
    <t>12月</t>
  </si>
  <si>
    <t>Kyoko Akama</t>
  </si>
  <si>
    <t>092-553-7125</t>
  </si>
  <si>
    <t>福岡市南区三宅3-23-1-703</t>
  </si>
  <si>
    <t>英語</t>
  </si>
  <si>
    <t>2019年01月</t>
  </si>
  <si>
    <t>2019年02月</t>
  </si>
  <si>
    <t>2019年03月</t>
  </si>
  <si>
    <t>2019年04月</t>
  </si>
  <si>
    <t>2019年05月</t>
  </si>
  <si>
    <t>2019年06月</t>
  </si>
  <si>
    <t>2019年07月</t>
  </si>
  <si>
    <t>2019年08月</t>
  </si>
  <si>
    <t>諸経費払い済み</t>
  </si>
  <si>
    <t>Qnet</t>
  </si>
  <si>
    <t>12月1日</t>
  </si>
  <si>
    <t>Richoh</t>
  </si>
  <si>
    <t>月謝</t>
  </si>
  <si>
    <t>秋山真穂</t>
  </si>
  <si>
    <t>Maho Akiyama</t>
  </si>
  <si>
    <t>090-1879-1603</t>
  </si>
  <si>
    <t>akiyama@cts-j.com</t>
  </si>
  <si>
    <t>福岡市南区筑紫丘1-12-1-301</t>
  </si>
  <si>
    <t>セミプラ4回 N</t>
  </si>
  <si>
    <t>￥17,280</t>
  </si>
  <si>
    <t>足立泰尚</t>
  </si>
  <si>
    <t>Yasuhisa Adachi</t>
  </si>
  <si>
    <t>092-584-8322</t>
  </si>
  <si>
    <t>090-8915-3662</t>
  </si>
  <si>
    <t>adachiyasuhisa@softbank.ne.jp</t>
  </si>
  <si>
    <t>福岡市南区横手4丁目6-14</t>
  </si>
  <si>
    <t>プラ4回 P</t>
  </si>
  <si>
    <t>￥19,440</t>
  </si>
  <si>
    <t>’003</t>
  </si>
  <si>
    <t>池口彰敏</t>
  </si>
  <si>
    <t>Akitoshi Ikeguchi</t>
  </si>
  <si>
    <t>090-7575-1686</t>
  </si>
  <si>
    <t>mo2959@icloud.com</t>
  </si>
  <si>
    <t>福岡市早良区小田部1-12-5-302</t>
  </si>
  <si>
    <t>グループ4回 中級</t>
  </si>
  <si>
    <t>￥8,640</t>
  </si>
  <si>
    <t>’004</t>
  </si>
  <si>
    <t>井口千鶴</t>
  </si>
  <si>
    <t>Chizuru Inokuchi</t>
  </si>
  <si>
    <t>092-516-9094</t>
  </si>
  <si>
    <t>080-8370-7161</t>
  </si>
  <si>
    <t>no818ta1118me@docomo.ne.jp</t>
  </si>
  <si>
    <t>福岡市南区野多目6-6-39</t>
  </si>
  <si>
    <t>グループ4回 セミプラ1回 N</t>
  </si>
  <si>
    <t>￥11,205</t>
  </si>
  <si>
    <t>’005</t>
  </si>
  <si>
    <t>岩田玲子</t>
  </si>
  <si>
    <t>Reiko Iwata</t>
  </si>
  <si>
    <t>092-511-1753</t>
  </si>
  <si>
    <t>090-9486-5533</t>
  </si>
  <si>
    <t>bluebottle-reiko@yahoo.co.jp</t>
  </si>
  <si>
    <t>福岡市南区多賀1-18-26-302</t>
  </si>
  <si>
    <t>グループ4回 準中級</t>
  </si>
  <si>
    <t>’006</t>
  </si>
  <si>
    <t>上田圭志</t>
  </si>
  <si>
    <t>Keishi Ueda</t>
  </si>
  <si>
    <t>090-5948-5879</t>
  </si>
  <si>
    <t>keishi333@docomo.ne.jp</t>
  </si>
  <si>
    <t>福岡市南区南大橋2丁目26-10</t>
  </si>
  <si>
    <t>グループ4回 初級</t>
  </si>
  <si>
    <t>ピエール</t>
  </si>
  <si>
    <t>’007</t>
  </si>
  <si>
    <t>植月海翔</t>
  </si>
  <si>
    <t>Kaito Uetsuki</t>
  </si>
  <si>
    <t>092-775-0661</t>
  </si>
  <si>
    <t>090-5739-9612(父)</t>
  </si>
  <si>
    <t>junichi1216@ezweb.ne.jp</t>
  </si>
  <si>
    <t>福岡市南区横手1-14-14</t>
  </si>
  <si>
    <t>プラ4回 N</t>
  </si>
  <si>
    <t>’008</t>
  </si>
  <si>
    <t>内田陽子</t>
  </si>
  <si>
    <t>Yoko Uchida</t>
  </si>
  <si>
    <t>080-5022-2745</t>
  </si>
  <si>
    <t>uchikenuchiyo@gmail.com</t>
  </si>
  <si>
    <t>福岡市南区大橋2-10-18-301</t>
  </si>
  <si>
    <t>’009</t>
  </si>
  <si>
    <t>江口久枝</t>
  </si>
  <si>
    <t>Hisae Eguchi</t>
  </si>
  <si>
    <t>090-8289-2450</t>
  </si>
  <si>
    <t>poipoipoi@ezweb.ne.jp</t>
  </si>
  <si>
    <t>福岡市南区向野1-14-8-303</t>
  </si>
  <si>
    <t>プラ2回</t>
  </si>
  <si>
    <t>’010</t>
  </si>
  <si>
    <t>大曲智子</t>
  </si>
  <si>
    <t>Tomoko Omagari</t>
  </si>
  <si>
    <t>080-1723-2310</t>
  </si>
  <si>
    <t>筑紫野市山家2700-8</t>
  </si>
  <si>
    <t>Rena Omori</t>
  </si>
  <si>
    <t>〇</t>
  </si>
  <si>
    <t>092-409-5330</t>
  </si>
  <si>
    <t>1月19日</t>
  </si>
  <si>
    <t>(autumn@eagle.ne.jp)</t>
  </si>
  <si>
    <t>1月26日</t>
  </si>
  <si>
    <t>福岡市博多区美野島4-1-10-402</t>
  </si>
  <si>
    <t>キッズ</t>
  </si>
  <si>
    <t>￥5,980</t>
  </si>
  <si>
    <t>2月2日</t>
  </si>
  <si>
    <t>奥迫くみこ</t>
  </si>
  <si>
    <t>Kumiko Okusako</t>
  </si>
  <si>
    <t>092-571-1324</t>
  </si>
  <si>
    <t>090-5940-3702</t>
  </si>
  <si>
    <t>nakyu.1024@i.softbank.jp</t>
  </si>
  <si>
    <t>nakyu1024@yahoo.co.jp</t>
  </si>
  <si>
    <t>福岡市南区警弥郷1-25-9</t>
  </si>
  <si>
    <t>￥7,560</t>
  </si>
  <si>
    <t>奥野雄大</t>
  </si>
  <si>
    <t>Yudai Okuno</t>
  </si>
  <si>
    <t>080-5602-9401</t>
  </si>
  <si>
    <t>44e693@gmail.com</t>
  </si>
  <si>
    <t>2月9日</t>
  </si>
  <si>
    <t>2月16日</t>
  </si>
  <si>
    <t>2月23日</t>
  </si>
  <si>
    <t>3月2日</t>
  </si>
  <si>
    <t>福岡市南区大橋3-25-22-2</t>
  </si>
  <si>
    <t>4月13日</t>
  </si>
  <si>
    <t>加茂恵子</t>
  </si>
  <si>
    <t>4月18日</t>
  </si>
  <si>
    <t>Keiko Kamo</t>
  </si>
  <si>
    <t>092-552-3923</t>
  </si>
  <si>
    <t>090-9498-5787</t>
  </si>
  <si>
    <t>mitsukeimouse8686@i.softbank.ne.jp</t>
  </si>
  <si>
    <t>福岡市南区大橋3-5-40-402</t>
  </si>
  <si>
    <t>セミプラ2回＋プラ1 N</t>
  </si>
  <si>
    <t>￥9,450</t>
  </si>
  <si>
    <t>草場和子</t>
  </si>
  <si>
    <t>Kazuko Kusaba</t>
  </si>
  <si>
    <t>092-953-4075</t>
  </si>
  <si>
    <t>090-9658-6797</t>
  </si>
  <si>
    <t>chammy1107@icloud.com</t>
  </si>
  <si>
    <t>筑紫郡那珂川町恵子2-4-19</t>
  </si>
  <si>
    <t>グループ4回 上級</t>
  </si>
  <si>
    <t>斎藤勝代</t>
  </si>
  <si>
    <t>Katsuyo Saitou</t>
  </si>
  <si>
    <t>092-512-3489</t>
  </si>
  <si>
    <t>hideki-saito@fuga.ocn.ne.jp</t>
  </si>
  <si>
    <t>福岡市筑紫が丘2-7-3</t>
  </si>
  <si>
    <t>坂本恵子</t>
  </si>
  <si>
    <t>Keiko Sakamoto</t>
  </si>
  <si>
    <t>092-409-8113</t>
  </si>
  <si>
    <t>080-8585-6481</t>
  </si>
  <si>
    <t>tomy.sakamoto@nifty.com</t>
  </si>
  <si>
    <t>福岡市博多区板付2丁目1-31-301</t>
  </si>
  <si>
    <t>筒井康子</t>
  </si>
  <si>
    <t>Yasuko Tsutsui</t>
  </si>
  <si>
    <t>090-5481-5493</t>
  </si>
  <si>
    <t>tylr2423@docomo.ne.jp</t>
  </si>
  <si>
    <t>筑紫郡那珂川町方縄5-100</t>
  </si>
  <si>
    <t>グループ2回＆セミプラ2回 初級</t>
  </si>
  <si>
    <t>藤菜穂子</t>
  </si>
  <si>
    <t>Naoko Tou</t>
  </si>
  <si>
    <t>092-501-3857</t>
  </si>
  <si>
    <t>080-1727-0310</t>
  </si>
  <si>
    <t>福岡市博多区麦野5丁目17-12</t>
  </si>
  <si>
    <t>Yuta Tou</t>
  </si>
  <si>
    <t>090-7466-0782</t>
  </si>
  <si>
    <t>akemi.0422@ezweb.ne.jp</t>
  </si>
  <si>
    <t>春日市昇町3-36-A101</t>
  </si>
  <si>
    <t>キッズ4回</t>
  </si>
  <si>
    <t>￥6,500</t>
  </si>
  <si>
    <t>時枝佳穂</t>
  </si>
  <si>
    <t>Kaho Tokieda</t>
  </si>
  <si>
    <t>080-8363-4635</t>
  </si>
  <si>
    <t>kaho_1113@me.com</t>
  </si>
  <si>
    <t>福岡市南区井尻1-29-29-202</t>
  </si>
  <si>
    <t>グループ2回＆プラ1回 初級</t>
  </si>
  <si>
    <t>徳永好美</t>
  </si>
  <si>
    <t>Konomi Tokunaga</t>
  </si>
  <si>
    <t>092-584-0517</t>
  </si>
  <si>
    <t>090-5726-2466</t>
  </si>
  <si>
    <t>福岡市博多区諸岡3丁目34-15</t>
  </si>
  <si>
    <t>永谷彩夏</t>
  </si>
  <si>
    <t>Ayaka Nagatani</t>
  </si>
  <si>
    <t>092-512-1381</t>
  </si>
  <si>
    <t>090-3987-0967</t>
  </si>
  <si>
    <t>福岡市南区大橋1-18-1-504</t>
  </si>
  <si>
    <t>長友みなみ</t>
  </si>
  <si>
    <t>Minami Nagatomo</t>
  </si>
  <si>
    <t>080-8560-6950</t>
  </si>
  <si>
    <t>ngtmmnm0373@docomo.ne.jp</t>
  </si>
  <si>
    <t>福岡市南区日佐3-33-14-103</t>
  </si>
  <si>
    <t>プラ2回 N</t>
  </si>
  <si>
    <t>西山厚子</t>
  </si>
  <si>
    <t>Atsuko Nishiyama</t>
  </si>
  <si>
    <t>092-552-8028</t>
  </si>
  <si>
    <t>090-1365-5074</t>
  </si>
  <si>
    <t>akko-chan24801105@q.vodafone.ne.jp</t>
  </si>
  <si>
    <t>福岡市南区和田2-5-1</t>
  </si>
  <si>
    <t>グループ2回 準中級</t>
  </si>
  <si>
    <t>￥4,320</t>
  </si>
  <si>
    <t>橋本沙弥</t>
  </si>
  <si>
    <t>1月24日</t>
  </si>
  <si>
    <t>2月4日</t>
  </si>
  <si>
    <t>qnet</t>
  </si>
  <si>
    <t>1月10日</t>
  </si>
  <si>
    <t>３月７日</t>
  </si>
  <si>
    <t>4月4日</t>
  </si>
  <si>
    <t>4月11日</t>
  </si>
  <si>
    <t>3月7日</t>
  </si>
  <si>
    <t>12月5日</t>
  </si>
  <si>
    <t>12月12日</t>
  </si>
  <si>
    <t>1月17日</t>
  </si>
  <si>
    <t>1月31日</t>
  </si>
  <si>
    <t>2月14日</t>
  </si>
  <si>
    <t>2月28日</t>
  </si>
  <si>
    <t>3月07日</t>
  </si>
  <si>
    <t>092-541-6910</t>
  </si>
  <si>
    <t>3月14日</t>
  </si>
  <si>
    <t>090-4582-4583</t>
  </si>
  <si>
    <t>deep.snow528@docomo.ne.jp</t>
  </si>
  <si>
    <t>4月25日</t>
  </si>
  <si>
    <t>平尾文蘭</t>
  </si>
  <si>
    <t>Hirao Ayaka</t>
  </si>
  <si>
    <t>092-574-1212</t>
  </si>
  <si>
    <t>春日市春日原北町4-24-410</t>
  </si>
  <si>
    <t>福岡江美</t>
  </si>
  <si>
    <t>Emi Fukuoka</t>
  </si>
  <si>
    <t>080-1770-9467</t>
  </si>
  <si>
    <t>福岡市南区南大橋1-21-11</t>
  </si>
  <si>
    <t>松尾祥子</t>
  </si>
  <si>
    <t>Sachiko Matsuo</t>
  </si>
  <si>
    <t>0942-75-1826</t>
  </si>
  <si>
    <t>080-1215-2688</t>
  </si>
  <si>
    <t>1月16日</t>
  </si>
  <si>
    <t>1月30日</t>
  </si>
  <si>
    <t>小郡市津古1198-68</t>
  </si>
  <si>
    <t>2月06日</t>
  </si>
  <si>
    <t>2月13日</t>
  </si>
  <si>
    <t>2月20日</t>
  </si>
  <si>
    <t>2月27日</t>
  </si>
  <si>
    <t>宮本静香</t>
  </si>
  <si>
    <t>Shizuka Miyamoto</t>
  </si>
  <si>
    <t>3月06日</t>
  </si>
  <si>
    <t>3月13日</t>
  </si>
  <si>
    <t>090-5089-3854</t>
  </si>
  <si>
    <t>3月20日</t>
  </si>
  <si>
    <t>shizuka057050@docomo.ne.jp</t>
  </si>
  <si>
    <t>福岡市南区野間4-26-17</t>
  </si>
  <si>
    <t>4月17日</t>
  </si>
  <si>
    <t>4月24日</t>
  </si>
  <si>
    <t>3月4日</t>
  </si>
  <si>
    <t>グループ4回 準上級
プラ1回 N</t>
  </si>
  <si>
    <t>山口滉太</t>
  </si>
  <si>
    <t>Kouta
Yamaguchi</t>
  </si>
  <si>
    <t>090-3985-8445（父）</t>
  </si>
  <si>
    <t>nic193@docomo.ne.jp</t>
  </si>
  <si>
    <t>グループ4回 中学</t>
  </si>
  <si>
    <t>山口幸代</t>
  </si>
  <si>
    <t>Yukiyo Yamaguchi</t>
  </si>
  <si>
    <t>092-565-6859</t>
  </si>
  <si>
    <t>090-7393-6725</t>
  </si>
  <si>
    <t>yu73.ki25@gmail.com</t>
  </si>
  <si>
    <t>福岡市南区老司2-22-4</t>
  </si>
  <si>
    <t>グループ4回 準中級5</t>
  </si>
  <si>
    <t>￥9,720</t>
  </si>
  <si>
    <t>山下真輝</t>
  </si>
  <si>
    <t>Masateru Yamashita</t>
  </si>
  <si>
    <t>12月8日</t>
  </si>
  <si>
    <t>080-4275-3109</t>
  </si>
  <si>
    <t>uminosachi0424@gmail.com</t>
  </si>
  <si>
    <t>福岡市南区大楠1-18-1</t>
  </si>
  <si>
    <t>セミプラ4回 M:2 N:2</t>
  </si>
  <si>
    <t>￥20,520</t>
  </si>
  <si>
    <t>山下世知子</t>
  </si>
  <si>
    <t>Sechiko Yamashita</t>
  </si>
  <si>
    <t>濱美由紀</t>
  </si>
  <si>
    <t>Miyuki Hama</t>
  </si>
  <si>
    <t>092-952-8070</t>
  </si>
  <si>
    <t>090-5949-7888</t>
  </si>
  <si>
    <t>b-snow.h612@docomo.ne.jp</t>
  </si>
  <si>
    <t>筑紫郡那珂川町王塚台3-65</t>
  </si>
  <si>
    <t>プラ3回 N</t>
  </si>
  <si>
    <t>￥12,960</t>
  </si>
  <si>
    <t>村上克樹</t>
  </si>
  <si>
    <t>Murakami Katsuki</t>
  </si>
  <si>
    <t>092-541-7822</t>
  </si>
  <si>
    <t>福岡市南区南大橋2-15-22-1</t>
  </si>
  <si>
    <t>1月18日</t>
  </si>
  <si>
    <t>プラ1回 K or S</t>
  </si>
  <si>
    <t>￥4,860</t>
  </si>
  <si>
    <t>山田寛</t>
  </si>
  <si>
    <t>2月8日</t>
  </si>
  <si>
    <t>Hiroshi Yamada</t>
  </si>
  <si>
    <t>2月15日</t>
  </si>
  <si>
    <t>092-952-8723</t>
  </si>
  <si>
    <t>2月22日</t>
  </si>
  <si>
    <t>090-3191-4441</t>
  </si>
  <si>
    <t>ymd.a.h.man@gmail.com</t>
  </si>
  <si>
    <t>3月1日</t>
  </si>
  <si>
    <t>3月8日</t>
  </si>
  <si>
    <t>筑紫郡那珂川町方縄北2-2-11</t>
  </si>
  <si>
    <t>3月15日</t>
  </si>
  <si>
    <t>3月22日</t>
  </si>
  <si>
    <t>4月05日</t>
  </si>
  <si>
    <t>4月12日</t>
  </si>
  <si>
    <t>4月19日</t>
  </si>
  <si>
    <t>樋口はるみ</t>
  </si>
  <si>
    <t>Harumi Higuchi</t>
  </si>
  <si>
    <t>092-918-5366</t>
  </si>
  <si>
    <t>090-5745-8547</t>
  </si>
  <si>
    <t>namihigu@yahoo.co.jp</t>
  </si>
  <si>
    <t>筑紫野市紫2-1-12-104</t>
  </si>
  <si>
    <t>宮崎浩子</t>
  </si>
  <si>
    <t>Hiroko Miyazaki</t>
  </si>
  <si>
    <t>092-596-1846</t>
  </si>
  <si>
    <t>090-4358-4096</t>
  </si>
  <si>
    <t>大野城市南が丘2-6-7</t>
  </si>
  <si>
    <t>小西和枝</t>
  </si>
  <si>
    <t>Konishi Kazue</t>
  </si>
  <si>
    <t>unhomme-de-genie2004@docomo.ne.jp</t>
  </si>
  <si>
    <t>2月6日</t>
  </si>
  <si>
    <t>フランス語</t>
  </si>
  <si>
    <t>大森麗菜</t>
  </si>
  <si>
    <t>フランス語 プラ2回 P</t>
  </si>
  <si>
    <t>￥8,000</t>
  </si>
  <si>
    <t>重冨由記子</t>
  </si>
  <si>
    <t>Shigetomi Yukiko</t>
  </si>
  <si>
    <t>080-5245-9417</t>
  </si>
  <si>
    <t>8.madeleine-paris@g-net.jpn.com</t>
  </si>
  <si>
    <t>久留米市花畑1-5-11-401</t>
  </si>
  <si>
    <t>橋本沙弥
中学3年</t>
  </si>
  <si>
    <t xml:space="preserve">Saya Hashimoto
</t>
  </si>
  <si>
    <t>1月22日</t>
  </si>
  <si>
    <t>2月12日</t>
  </si>
  <si>
    <t>秀島絵茉</t>
  </si>
  <si>
    <t>Ema Hideshima</t>
  </si>
  <si>
    <t>090-4514-1104（母）</t>
  </si>
  <si>
    <t>pear_poor0412@docomo.ne.jp</t>
  </si>
  <si>
    <t>グループ4回 キッズ</t>
  </si>
  <si>
    <t>4月3日</t>
  </si>
  <si>
    <t>3月21日</t>
  </si>
  <si>
    <t>3月28日</t>
  </si>
  <si>
    <t>Old Students</t>
  </si>
  <si>
    <t>藤優多</t>
  </si>
  <si>
    <t>ok</t>
  </si>
  <si>
    <t>中村通</t>
  </si>
  <si>
    <t>Touru Nakamura</t>
  </si>
  <si>
    <t>092-986-5007</t>
  </si>
  <si>
    <t>080-1737-2296</t>
  </si>
  <si>
    <t>粕屋郡須恵町須恵83-20</t>
  </si>
  <si>
    <t>グループ2回</t>
  </si>
  <si>
    <t>2月07日</t>
  </si>
  <si>
    <t>2月21日</t>
  </si>
  <si>
    <t>3月03日</t>
  </si>
  <si>
    <t>3月16日</t>
  </si>
  <si>
    <t>3月23日</t>
  </si>
  <si>
    <t>伴香織</t>
  </si>
  <si>
    <t>4月10日</t>
  </si>
  <si>
    <t>Kaori Ban</t>
  </si>
  <si>
    <t>080-1777-0991</t>
  </si>
  <si>
    <t>kaori.ban12@gmail.com</t>
  </si>
  <si>
    <t>福岡市南区大楠1-12-5-101</t>
  </si>
  <si>
    <t>しばらく来られていない</t>
  </si>
  <si>
    <t>３月１日</t>
  </si>
  <si>
    <t>引越し</t>
  </si>
  <si>
    <t>岩本侑子</t>
  </si>
  <si>
    <t>Yuko Iwamoto</t>
  </si>
  <si>
    <t>080-5275-3134</t>
  </si>
  <si>
    <t>poko-peko.77@ezweb.ne.jp</t>
  </si>
  <si>
    <t>福岡市南区横手3-1-6-201</t>
  </si>
  <si>
    <t>斉田麻邑</t>
  </si>
  <si>
    <t>Mayu Saita</t>
  </si>
  <si>
    <t>092-564-1727</t>
  </si>
  <si>
    <t>080-2775-3225</t>
  </si>
  <si>
    <t>hajimechan.peace07@docomo.ne.jp</t>
  </si>
  <si>
    <t>福岡市南区屋形原5-13-33</t>
  </si>
  <si>
    <t>3月27日</t>
  </si>
  <si>
    <t>4月03日</t>
  </si>
  <si>
    <t>椎葉尚子</t>
  </si>
  <si>
    <t>Naoko Shiiba</t>
  </si>
  <si>
    <t>092-566-5708</t>
  </si>
  <si>
    <t>090-2511-0870</t>
  </si>
  <si>
    <t>k.kiyo-e-gur@docomo.ne.jp</t>
  </si>
  <si>
    <t>福岡市南区野多目2-24-10</t>
  </si>
  <si>
    <t>12月まつで退会</t>
  </si>
  <si>
    <t>木下龍子</t>
  </si>
  <si>
    <t>Ryuuko Kinoshita</t>
  </si>
  <si>
    <t>092-984-3914</t>
  </si>
  <si>
    <t>090-6115-3885</t>
  </si>
  <si>
    <t>dragon24ki@docomo.ne.jp</t>
  </si>
  <si>
    <t>福岡市南区塩原4-5-10-1803</t>
  </si>
  <si>
    <t>プラ2回 P</t>
  </si>
  <si>
    <t>２月２８日</t>
  </si>
  <si>
    <t>健康の問題</t>
  </si>
  <si>
    <t>後藤智子</t>
  </si>
  <si>
    <t>Tomoko Goto</t>
  </si>
  <si>
    <t>090-3415-0608</t>
  </si>
  <si>
    <t>tomo0482@gmail.com</t>
  </si>
  <si>
    <t>福岡市南区花畑1-8-22-207</t>
  </si>
  <si>
    <t>3月末</t>
  </si>
  <si>
    <t>兄弟健康の問題</t>
  </si>
  <si>
    <t>北村勇人</t>
  </si>
  <si>
    <t>Yuto Kitamura</t>
  </si>
  <si>
    <t>092-582-5044</t>
  </si>
  <si>
    <t>yuto0620-k2000@ezweb.ne.jp</t>
  </si>
  <si>
    <t>福岡市南区横手2-3-24</t>
  </si>
  <si>
    <t>keiyo大学に行く</t>
  </si>
  <si>
    <t>竹市保奈美</t>
  </si>
  <si>
    <t>Honami Takeichi</t>
  </si>
  <si>
    <t>092-521-9393</t>
  </si>
  <si>
    <t>080-3187-3816</t>
  </si>
  <si>
    <t>h.0205-f.0625@docomo.ne.jp</t>
  </si>
  <si>
    <t>福岡市南区大楠3-11-39-605</t>
  </si>
  <si>
    <t>グループ2回 初級</t>
  </si>
  <si>
    <t>竹内英美</t>
  </si>
  <si>
    <t>Emi Takeuchi</t>
  </si>
  <si>
    <t>080-1787-8416</t>
  </si>
  <si>
    <t>eminomail0502@icloud.com</t>
  </si>
  <si>
    <t>福岡市南区向野1-14-8-401</t>
  </si>
  <si>
    <t>西尾綾夏</t>
  </si>
  <si>
    <t>Ayaka Nishio</t>
  </si>
  <si>
    <t>092-516-9350</t>
  </si>
  <si>
    <t>080-1357-8753</t>
  </si>
  <si>
    <t>ayakankan007@gmail.com</t>
  </si>
  <si>
    <t>春日市昇町3-166-1-703</t>
  </si>
  <si>
    <t>1月8日</t>
  </si>
  <si>
    <t>1月15日</t>
  </si>
  <si>
    <t>1月29日</t>
  </si>
  <si>
    <t>2月5日</t>
  </si>
  <si>
    <t>2月19日</t>
  </si>
  <si>
    <t>2月26日</t>
  </si>
  <si>
    <t>３月５日</t>
  </si>
  <si>
    <t>3月12日</t>
  </si>
  <si>
    <t>4月2日</t>
  </si>
  <si>
    <t>4月9日</t>
  </si>
  <si>
    <t>4月16日</t>
  </si>
  <si>
    <t>’2018/12/31</t>
  </si>
  <si>
    <t>ko</t>
  </si>
  <si>
    <t>受験</t>
  </si>
  <si>
    <t>戸田康二</t>
  </si>
  <si>
    <t>Koji Toda</t>
  </si>
  <si>
    <t>092-593-6525</t>
  </si>
  <si>
    <t>090-2500-8211</t>
  </si>
  <si>
    <t>福岡市博多区板付6-1-45</t>
  </si>
  <si>
    <t>1月9日</t>
  </si>
  <si>
    <t>平尾友菜</t>
  </si>
  <si>
    <t>Hirao Yuna</t>
  </si>
  <si>
    <t>080-1791-6521</t>
  </si>
  <si>
    <t>yu050627ri@docomo.ne.jp</t>
  </si>
  <si>
    <t>プラ3回 J:1 N:2</t>
  </si>
  <si>
    <t>￥14,580</t>
  </si>
  <si>
    <t>片岡道子</t>
  </si>
  <si>
    <t>Michiko Kataoka</t>
  </si>
  <si>
    <t>092-595-1027</t>
  </si>
  <si>
    <t>090-3986-4728</t>
  </si>
  <si>
    <t>春日市春日9-60</t>
  </si>
  <si>
    <t>プラ1？2？回 N</t>
  </si>
  <si>
    <t>’2019/1/8</t>
  </si>
  <si>
    <t>1月12日</t>
  </si>
  <si>
    <t>片山由紀</t>
  </si>
  <si>
    <t>Yuki Katayama</t>
  </si>
  <si>
    <t>080-1762-1203</t>
  </si>
  <si>
    <t>ｍ3ars24@gmail.com</t>
  </si>
  <si>
    <t>福岡市博多区大博町12-13-601</t>
  </si>
  <si>
    <t>￥10,260</t>
  </si>
  <si>
    <t>’2019/2/28</t>
  </si>
  <si>
    <t>2月1日</t>
  </si>
  <si>
    <t>1月08日</t>
  </si>
  <si>
    <t>4月23日</t>
  </si>
  <si>
    <t>3月08日</t>
  </si>
  <si>
    <t xml:space="preserve">KoutaYamaguchi
</t>
  </si>
  <si>
    <t>退会</t>
  </si>
  <si>
    <t>3月9日</t>
  </si>
  <si>
    <t>3/5仕事</t>
  </si>
  <si>
    <t>4月06日</t>
  </si>
  <si>
    <t>4月5日</t>
  </si>
  <si>
    <t>Saya
Hashimoto</t>
  </si>
  <si>
    <t>Ema
HIdeshima</t>
  </si>
  <si>
    <t>4月6日</t>
  </si>
  <si>
    <t>4月20日</t>
  </si>
  <si>
    <t>Y</t>
  </si>
  <si>
    <t>上半期諸経費払い済み</t>
  </si>
  <si>
    <t>１</t>
  </si>
  <si>
    <t>無し</t>
  </si>
  <si>
    <t>支払い済み</t>
  </si>
  <si>
    <t>未払い</t>
  </si>
  <si>
    <t>メールアドレス</t>
  </si>
  <si>
    <t>5月4日</t>
  </si>
  <si>
    <t>4月27日</t>
  </si>
  <si>
    <t>集金なし</t>
  </si>
  <si>
    <t>山口幸代</t>
    <phoneticPr fontId="10"/>
  </si>
  <si>
    <t>退会</t>
    <rPh sb="0" eb="2">
      <t>タイカイ</t>
    </rPh>
    <phoneticPr fontId="10"/>
  </si>
  <si>
    <r>
      <t>090-7270-3697</t>
    </r>
    <r>
      <rPr>
        <sz val="10"/>
        <color rgb="FF000000"/>
        <rFont val="ＭＳ Ｐゴシック"/>
        <family val="2"/>
        <charset val="128"/>
      </rPr>
      <t>（父）</t>
    </r>
    <rPh sb="14" eb="15">
      <t>チチ</t>
    </rPh>
    <phoneticPr fontId="10"/>
  </si>
  <si>
    <r>
      <t>090-7417-7018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</si>
  <si>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r>
      <t>グループ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Ｐゴシック"/>
        <family val="3"/>
        <charset val="128"/>
      </rPr>
      <t>セミ</t>
    </r>
    <r>
      <rPr>
        <sz val="10"/>
        <color rgb="FF000000"/>
        <rFont val="Arial"/>
        <family val="2"/>
      </rPr>
      <t>1</t>
    </r>
  </si>
  <si>
    <t>プら</t>
  </si>
  <si>
    <r>
      <rPr>
        <sz val="10"/>
        <color rgb="FF000000"/>
        <rFont val="ＭＳ ゴシック"/>
        <family val="3"/>
        <charset val="128"/>
      </rPr>
      <t>大森麗菜
小学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ゴシック"/>
        <family val="3"/>
        <charset val="128"/>
      </rPr>
      <t>年</t>
    </r>
    <phoneticPr fontId="10"/>
  </si>
  <si>
    <r>
      <rPr>
        <sz val="10"/>
        <color rgb="FF000000"/>
        <rFont val="ＭＳ ゴシック"/>
        <family val="3"/>
        <charset val="128"/>
      </rPr>
      <t>藤優多
中学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ゴシック"/>
        <family val="3"/>
        <charset val="128"/>
      </rPr>
      <t>年</t>
    </r>
    <phoneticPr fontId="10"/>
  </si>
  <si>
    <t>平尾文蘭</t>
    <phoneticPr fontId="10"/>
  </si>
  <si>
    <t>西山厚子</t>
    <phoneticPr fontId="10"/>
  </si>
  <si>
    <t>相殺にて支払無</t>
  </si>
  <si>
    <t>学校での研修のため</t>
    <rPh sb="0" eb="2">
      <t>ガッコウ</t>
    </rPh>
    <rPh sb="4" eb="6">
      <t>ケンシュウ</t>
    </rPh>
    <phoneticPr fontId="10"/>
  </si>
  <si>
    <t>受験準備のため</t>
    <rPh sb="0" eb="2">
      <t>ジュケン</t>
    </rPh>
    <rPh sb="2" eb="4">
      <t>ジュンビ</t>
    </rPh>
    <phoneticPr fontId="10"/>
  </si>
  <si>
    <t>7月諸経費払い済み</t>
    <rPh sb="1" eb="2">
      <t>ガツ</t>
    </rPh>
    <phoneticPr fontId="10"/>
  </si>
  <si>
    <t>山下世知子</t>
    <phoneticPr fontId="10"/>
  </si>
  <si>
    <t>木下龍子</t>
    <phoneticPr fontId="10"/>
  </si>
  <si>
    <t>竹内英美</t>
    <phoneticPr fontId="10"/>
  </si>
  <si>
    <t>Touru Nakamura</t>
    <phoneticPr fontId="10"/>
  </si>
  <si>
    <t>戸田康二</t>
    <phoneticPr fontId="10"/>
  </si>
  <si>
    <t>西尾綾夏</t>
    <phoneticPr fontId="10"/>
  </si>
  <si>
    <t>中村通</t>
    <phoneticPr fontId="10"/>
  </si>
  <si>
    <t>宮崎浩子</t>
    <phoneticPr fontId="10"/>
  </si>
  <si>
    <t>植月海翔</t>
    <phoneticPr fontId="10"/>
  </si>
  <si>
    <t>樋口はるみ</t>
    <phoneticPr fontId="10"/>
  </si>
  <si>
    <t>重冨由記子</t>
    <phoneticPr fontId="10"/>
  </si>
  <si>
    <t>清水優心</t>
    <rPh sb="0" eb="2">
      <t>シミズ</t>
    </rPh>
    <rPh sb="2" eb="3">
      <t>ユウ</t>
    </rPh>
    <rPh sb="3" eb="4">
      <t>シン</t>
    </rPh>
    <phoneticPr fontId="10"/>
  </si>
  <si>
    <t>Yuka Shimizu</t>
    <phoneticPr fontId="10"/>
  </si>
  <si>
    <t>宮本静佳</t>
    <rPh sb="2" eb="3">
      <t>シズカ</t>
    </rPh>
    <rPh sb="3" eb="4">
      <t>ヨロシ</t>
    </rPh>
    <phoneticPr fontId="10"/>
  </si>
  <si>
    <t>丸山佑里杏</t>
    <rPh sb="0" eb="2">
      <t>マルヤマ</t>
    </rPh>
    <rPh sb="2" eb="3">
      <t>ユウ</t>
    </rPh>
    <rPh sb="3" eb="4">
      <t>サト</t>
    </rPh>
    <rPh sb="4" eb="5">
      <t>アン</t>
    </rPh>
    <phoneticPr fontId="10"/>
  </si>
  <si>
    <t>Ema
Hideshima</t>
    <phoneticPr fontId="10"/>
  </si>
  <si>
    <t>Yuria
Maruyama</t>
    <phoneticPr fontId="10"/>
  </si>
  <si>
    <r>
      <rPr>
        <sz val="10"/>
        <color rgb="FF000000"/>
        <rFont val="ＭＳ ゴシック"/>
        <family val="3"/>
        <charset val="128"/>
      </rPr>
      <t>セミプラ</t>
    </r>
    <r>
      <rPr>
        <sz val="10"/>
        <color rgb="FF000000"/>
        <rFont val="Arial"/>
        <family val="3"/>
      </rPr>
      <t>N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ゴシック"/>
        <family val="3"/>
        <charset val="128"/>
      </rPr>
      <t>回プラ</t>
    </r>
    <r>
      <rPr>
        <sz val="10"/>
        <color rgb="FF000000"/>
        <rFont val="Arial"/>
        <family val="2"/>
      </rPr>
      <t xml:space="preserve"> N 1</t>
    </r>
    <r>
      <rPr>
        <sz val="10"/>
        <color rgb="FF000000"/>
        <rFont val="ＭＳ Ｐゴシック"/>
        <family val="2"/>
        <charset val="128"/>
      </rPr>
      <t>回</t>
    </r>
    <rPh sb="13" eb="14">
      <t>カイ</t>
    </rPh>
    <phoneticPr fontId="10"/>
  </si>
  <si>
    <t>092-408-5181</t>
    <phoneticPr fontId="10"/>
  </si>
  <si>
    <r>
      <t>080-2779-1763(</t>
    </r>
    <r>
      <rPr>
        <sz val="10"/>
        <color rgb="FF000000"/>
        <rFont val="ＭＳ Ｐゴシック"/>
        <family val="2"/>
        <charset val="128"/>
      </rPr>
      <t>母</t>
    </r>
    <r>
      <rPr>
        <sz val="10"/>
        <color rgb="FF000000"/>
        <rFont val="Arial"/>
        <family val="2"/>
      </rPr>
      <t>)</t>
    </r>
    <rPh sb="14" eb="15">
      <t>ハハ</t>
    </rPh>
    <phoneticPr fontId="10"/>
  </si>
  <si>
    <t>tokitan0317@docomo.ne.jp</t>
    <phoneticPr fontId="10"/>
  </si>
  <si>
    <t>高校生</t>
    <rPh sb="0" eb="3">
      <t>コウコウセイ</t>
    </rPh>
    <phoneticPr fontId="10"/>
  </si>
  <si>
    <t>丸山明夏</t>
    <rPh sb="0" eb="2">
      <t>マルヤマ</t>
    </rPh>
    <rPh sb="2" eb="3">
      <t>アキラ</t>
    </rPh>
    <rPh sb="3" eb="4">
      <t>ナツ</t>
    </rPh>
    <phoneticPr fontId="10"/>
  </si>
  <si>
    <t>Asuka
Maruyama</t>
    <phoneticPr fontId="10"/>
  </si>
  <si>
    <t>セミプラP4回</t>
    <rPh sb="6" eb="7">
      <t>カイ</t>
    </rPh>
    <phoneticPr fontId="10"/>
  </si>
  <si>
    <t>丸山渚月</t>
    <rPh sb="0" eb="2">
      <t>マルヤマ</t>
    </rPh>
    <rPh sb="2" eb="3">
      <t>ナギサ</t>
    </rPh>
    <rPh sb="3" eb="4">
      <t>ツキ</t>
    </rPh>
    <phoneticPr fontId="10"/>
  </si>
  <si>
    <t>Natsuki
Maruyama</t>
    <phoneticPr fontId="10"/>
  </si>
  <si>
    <t>永井初音</t>
    <rPh sb="0" eb="2">
      <t>ナガイ</t>
    </rPh>
    <rPh sb="2" eb="3">
      <t>ハツ</t>
    </rPh>
    <rPh sb="3" eb="4">
      <t>ネ</t>
    </rPh>
    <phoneticPr fontId="10"/>
  </si>
  <si>
    <t>永井理音</t>
    <rPh sb="0" eb="2">
      <t>ナガイ</t>
    </rPh>
    <rPh sb="2" eb="3">
      <t>リ</t>
    </rPh>
    <rPh sb="3" eb="4">
      <t>オト</t>
    </rPh>
    <phoneticPr fontId="10"/>
  </si>
  <si>
    <t>2019年09月</t>
  </si>
  <si>
    <t>2019年10月</t>
  </si>
  <si>
    <t>浜美由紀</t>
  </si>
  <si>
    <t>rukam-kat722.521@ezweb.ne.jp</t>
    <phoneticPr fontId="10"/>
  </si>
  <si>
    <t>2019年12月</t>
  </si>
  <si>
    <t>宮本静佳</t>
    <rPh sb="2" eb="3">
      <t>シズカ</t>
    </rPh>
    <rPh sb="3" eb="4">
      <t>ヨロシ</t>
    </rPh>
    <phoneticPr fontId="10"/>
  </si>
  <si>
    <t>齊藤勝代</t>
    <phoneticPr fontId="10"/>
  </si>
  <si>
    <r>
      <rPr>
        <sz val="10"/>
        <color rgb="FF000000"/>
        <rFont val="ＭＳ ゴシック"/>
        <family val="3"/>
        <charset val="128"/>
      </rPr>
      <t>セミプラ</t>
    </r>
    <r>
      <rPr>
        <sz val="10"/>
        <color rgb="FF000000"/>
        <rFont val="Arial"/>
        <family val="2"/>
      </rPr>
      <t>4</t>
    </r>
    <r>
      <rPr>
        <sz val="10"/>
        <color rgb="FF000000"/>
        <rFont val="ＭＳ ゴシック"/>
        <family val="3"/>
        <charset val="128"/>
      </rPr>
      <t>回</t>
    </r>
    <r>
      <rPr>
        <sz val="10"/>
        <color rgb="FF000000"/>
        <rFont val="Arial"/>
        <family val="2"/>
      </rPr>
      <t xml:space="preserve"> N</t>
    </r>
    <phoneticPr fontId="10"/>
  </si>
  <si>
    <r>
      <rPr>
        <sz val="10"/>
        <color rgb="FF000000"/>
        <rFont val="ＭＳ ゴシック"/>
        <family val="3"/>
        <charset val="128"/>
      </rPr>
      <t>セミプラ</t>
    </r>
    <r>
      <rPr>
        <sz val="10"/>
        <color rgb="FF000000"/>
        <rFont val="Arial"/>
        <family val="2"/>
      </rPr>
      <t>2</t>
    </r>
    <r>
      <rPr>
        <sz val="10"/>
        <color rgb="FF000000"/>
        <rFont val="ＭＳ ゴシック"/>
        <family val="3"/>
        <charset val="128"/>
      </rPr>
      <t>回</t>
    </r>
    <r>
      <rPr>
        <sz val="10"/>
        <color rgb="FF000000"/>
        <rFont val="Arial"/>
        <family val="3"/>
      </rPr>
      <t>N</t>
    </r>
    <phoneticPr fontId="10"/>
  </si>
  <si>
    <t>友納香林</t>
    <rPh sb="0" eb="1">
      <t>トモ</t>
    </rPh>
    <rPh sb="1" eb="2">
      <t>ノウ</t>
    </rPh>
    <rPh sb="2" eb="4">
      <t>カリン</t>
    </rPh>
    <phoneticPr fontId="10"/>
  </si>
  <si>
    <t>Kourin
Tomono</t>
    <phoneticPr fontId="10"/>
  </si>
  <si>
    <r>
      <t>080-8390-0420</t>
    </r>
    <r>
      <rPr>
        <sz val="10"/>
        <color rgb="FF000000"/>
        <rFont val="ＭＳ Ｐゴシック"/>
        <family val="2"/>
        <charset val="128"/>
      </rPr>
      <t>（父）</t>
    </r>
    <rPh sb="14" eb="15">
      <t>チチ</t>
    </rPh>
    <phoneticPr fontId="10"/>
  </si>
  <si>
    <r>
      <t>090-9495-3891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</si>
  <si>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t>calling200623@yahoo.co.jp</t>
    <phoneticPr fontId="10"/>
  </si>
  <si>
    <t>英語</t>
    <phoneticPr fontId="10"/>
  </si>
  <si>
    <t>大野樹</t>
    <rPh sb="0" eb="2">
      <t>オオノ</t>
    </rPh>
    <rPh sb="2" eb="3">
      <t>イツキ</t>
    </rPh>
    <phoneticPr fontId="10"/>
  </si>
  <si>
    <t>Itsuki
Ono</t>
    <phoneticPr fontId="10"/>
  </si>
  <si>
    <r>
      <t>090-7155-4570</t>
    </r>
    <r>
      <rPr>
        <sz val="10"/>
        <color rgb="FF000000"/>
        <rFont val="ＭＳ Ｐゴシック"/>
        <family val="2"/>
        <charset val="128"/>
      </rPr>
      <t>（父）</t>
    </r>
    <rPh sb="14" eb="15">
      <t>チチ</t>
    </rPh>
    <phoneticPr fontId="10"/>
  </si>
  <si>
    <t>anncomet@hotmail.co.jp</t>
    <phoneticPr fontId="10"/>
  </si>
  <si>
    <t>hiroshix55@hotmail.com</t>
    <phoneticPr fontId="10"/>
  </si>
  <si>
    <t>〒815-0035
福岡市南区向野2-7-14-403</t>
    <rPh sb="10" eb="13">
      <t>フクオカシ</t>
    </rPh>
    <rPh sb="13" eb="15">
      <t>ミナミク</t>
    </rPh>
    <rPh sb="15" eb="17">
      <t>ムカイノ</t>
    </rPh>
    <phoneticPr fontId="10"/>
  </si>
  <si>
    <t>〒811-1302
福岡市南区井尻3-36-15</t>
    <rPh sb="10" eb="13">
      <t>フクオカシ</t>
    </rPh>
    <rPh sb="13" eb="15">
      <t>ミナミク</t>
    </rPh>
    <rPh sb="15" eb="17">
      <t>イジリ</t>
    </rPh>
    <phoneticPr fontId="10"/>
  </si>
  <si>
    <t>山内真綺</t>
    <rPh sb="0" eb="2">
      <t>ヤマウチ</t>
    </rPh>
    <rPh sb="2" eb="3">
      <t>マコト</t>
    </rPh>
    <rPh sb="3" eb="4">
      <t>キ</t>
    </rPh>
    <phoneticPr fontId="10"/>
  </si>
  <si>
    <t>Maki
Yamauchi</t>
    <phoneticPr fontId="10"/>
  </si>
  <si>
    <t>092-519-3656</t>
    <phoneticPr fontId="10"/>
  </si>
  <si>
    <t>090-1088-8699</t>
    <phoneticPr fontId="10"/>
  </si>
  <si>
    <t>kumiko.koga_01.13@docomo.ne.jp</t>
    <phoneticPr fontId="10"/>
  </si>
  <si>
    <t>〒815-0036
福岡市南区筑紫丘2丁目14-4</t>
    <rPh sb="10" eb="13">
      <t>フクオカシ</t>
    </rPh>
    <rPh sb="13" eb="15">
      <t>ミナミク</t>
    </rPh>
    <rPh sb="15" eb="17">
      <t>チクシ</t>
    </rPh>
    <rPh sb="17" eb="18">
      <t>オカ</t>
    </rPh>
    <rPh sb="19" eb="21">
      <t>チョウメ</t>
    </rPh>
    <phoneticPr fontId="10"/>
  </si>
  <si>
    <t>英語</t>
    <phoneticPr fontId="10"/>
  </si>
  <si>
    <t>グループ4小学生（5年）</t>
    <rPh sb="5" eb="7">
      <t>ショウガク</t>
    </rPh>
    <rPh sb="7" eb="8">
      <t>セイ</t>
    </rPh>
    <rPh sb="10" eb="11">
      <t>ネン</t>
    </rPh>
    <phoneticPr fontId="10"/>
  </si>
  <si>
    <t>グループ4小学生（2年）</t>
    <rPh sb="5" eb="7">
      <t>ショウガク</t>
    </rPh>
    <rPh sb="7" eb="8">
      <t>セイ</t>
    </rPh>
    <rPh sb="10" eb="11">
      <t>ネン</t>
    </rPh>
    <phoneticPr fontId="10"/>
  </si>
  <si>
    <t>グループ4中学生（1年）</t>
    <rPh sb="5" eb="8">
      <t>チュウガクセイ</t>
    </rPh>
    <rPh sb="10" eb="11">
      <t>ネン</t>
    </rPh>
    <phoneticPr fontId="10"/>
  </si>
  <si>
    <t>011</t>
    <phoneticPr fontId="10"/>
  </si>
  <si>
    <t>040</t>
    <phoneticPr fontId="10"/>
  </si>
  <si>
    <t>清水優心
小学2年</t>
    <rPh sb="0" eb="2">
      <t>シミズ</t>
    </rPh>
    <rPh sb="2" eb="3">
      <t>ユウ</t>
    </rPh>
    <rPh sb="3" eb="4">
      <t>シン</t>
    </rPh>
    <rPh sb="5" eb="7">
      <t>ショウガク</t>
    </rPh>
    <rPh sb="8" eb="9">
      <t>ネン</t>
    </rPh>
    <phoneticPr fontId="10"/>
  </si>
  <si>
    <t>041</t>
    <phoneticPr fontId="10"/>
  </si>
  <si>
    <t>昇任して仕事が忙しくなった。</t>
    <rPh sb="0" eb="2">
      <t>ショウニン</t>
    </rPh>
    <rPh sb="4" eb="6">
      <t>シゴト</t>
    </rPh>
    <rPh sb="7" eb="8">
      <t>イソガ</t>
    </rPh>
    <phoneticPr fontId="10"/>
  </si>
  <si>
    <t>Noriko
Tanaka</t>
    <phoneticPr fontId="10"/>
  </si>
  <si>
    <t>松山櫻子</t>
    <rPh sb="0" eb="2">
      <t>マツヤマ</t>
    </rPh>
    <rPh sb="2" eb="3">
      <t>サクラ</t>
    </rPh>
    <rPh sb="3" eb="4">
      <t>コ</t>
    </rPh>
    <phoneticPr fontId="10"/>
  </si>
  <si>
    <t>Sakurako
Matsuyama</t>
    <phoneticPr fontId="10"/>
  </si>
  <si>
    <r>
      <t>090-2969-8003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</si>
  <si>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t>koyukin@docomo.ne.jp</t>
    <phoneticPr fontId="10"/>
  </si>
  <si>
    <t>〒815-0038
福岡市南区大橋団地4-17-602</t>
    <rPh sb="10" eb="13">
      <t>フクオカシ</t>
    </rPh>
    <rPh sb="13" eb="15">
      <t>ミナミク</t>
    </rPh>
    <rPh sb="15" eb="17">
      <t>オオハシ</t>
    </rPh>
    <rPh sb="17" eb="19">
      <t>ダンチ</t>
    </rPh>
    <phoneticPr fontId="10"/>
  </si>
  <si>
    <t>英語</t>
    <phoneticPr fontId="10"/>
  </si>
  <si>
    <t>080-3148-8428</t>
    <phoneticPr fontId="10"/>
  </si>
  <si>
    <t>norikonora3@yahoo.co.jp</t>
    <phoneticPr fontId="10"/>
  </si>
  <si>
    <t>〒814-0153
福岡市城南区樋井川7-12-11</t>
    <rPh sb="10" eb="13">
      <t>フクオカシ</t>
    </rPh>
    <rPh sb="13" eb="16">
      <t>ジョウナンク</t>
    </rPh>
    <rPh sb="16" eb="19">
      <t>ヒイガワ</t>
    </rPh>
    <phoneticPr fontId="10"/>
  </si>
  <si>
    <t>英語3回
仏語1回</t>
    <rPh sb="3" eb="4">
      <t>カイ</t>
    </rPh>
    <rPh sb="5" eb="6">
      <t>フツ</t>
    </rPh>
    <rPh sb="6" eb="7">
      <t>ゴ</t>
    </rPh>
    <rPh sb="8" eb="9">
      <t>カイ</t>
    </rPh>
    <phoneticPr fontId="10"/>
  </si>
  <si>
    <r>
      <rPr>
        <sz val="10"/>
        <color rgb="FF000000"/>
        <rFont val="ＭＳ ゴシック"/>
        <family val="3"/>
        <charset val="128"/>
      </rPr>
      <t>プラ</t>
    </r>
    <r>
      <rPr>
        <sz val="10"/>
        <color rgb="FF000000"/>
        <rFont val="Arial"/>
        <family val="2"/>
      </rPr>
      <t>4</t>
    </r>
    <r>
      <rPr>
        <sz val="10"/>
        <color rgb="FF000000"/>
        <rFont val="ＭＳ ゴシック"/>
        <family val="3"/>
        <charset val="128"/>
      </rPr>
      <t>回</t>
    </r>
    <r>
      <rPr>
        <sz val="10"/>
        <color rgb="FF000000"/>
        <rFont val="Arial"/>
        <family val="2"/>
      </rPr>
      <t xml:space="preserve"> P</t>
    </r>
    <phoneticPr fontId="10"/>
  </si>
  <si>
    <t>松山櫻子</t>
    <rPh sb="0" eb="2">
      <t>マツヤマ</t>
    </rPh>
    <rPh sb="2" eb="3">
      <t>サクラ</t>
    </rPh>
    <rPh sb="3" eb="4">
      <t>コ</t>
    </rPh>
    <phoneticPr fontId="10"/>
  </si>
  <si>
    <t>髙司憲吾</t>
    <rPh sb="0" eb="1">
      <t>コウ</t>
    </rPh>
    <rPh sb="1" eb="2">
      <t>ツカサ</t>
    </rPh>
    <rPh sb="2" eb="3">
      <t>ケン</t>
    </rPh>
    <rPh sb="3" eb="4">
      <t>ゴ</t>
    </rPh>
    <phoneticPr fontId="10"/>
  </si>
  <si>
    <t>080-3967-1595</t>
    <phoneticPr fontId="10"/>
  </si>
  <si>
    <t>tae05238@yahoo.co.jp</t>
    <phoneticPr fontId="10"/>
  </si>
  <si>
    <t>〒815-0031
福岡市南区清水4-20-3ボヌールメゾン206</t>
    <rPh sb="10" eb="13">
      <t>フクオカシ</t>
    </rPh>
    <rPh sb="13" eb="15">
      <t>ミナミク</t>
    </rPh>
    <rPh sb="15" eb="17">
      <t>シミズ</t>
    </rPh>
    <phoneticPr fontId="10"/>
  </si>
  <si>
    <t>英語</t>
    <rPh sb="0" eb="2">
      <t>エイゴ</t>
    </rPh>
    <phoneticPr fontId="10"/>
  </si>
  <si>
    <t>ピエール</t>
    <phoneticPr fontId="10"/>
  </si>
  <si>
    <t>髙司海都</t>
    <rPh sb="0" eb="1">
      <t>コウ</t>
    </rPh>
    <rPh sb="1" eb="2">
      <t>ツカサ</t>
    </rPh>
    <rPh sb="2" eb="3">
      <t>ウミ</t>
    </rPh>
    <rPh sb="3" eb="4">
      <t>ミヤコ</t>
    </rPh>
    <phoneticPr fontId="10"/>
  </si>
  <si>
    <t>Kaito
Takaji</t>
    <phoneticPr fontId="10"/>
  </si>
  <si>
    <t>Kenji
Takada</t>
    <phoneticPr fontId="10"/>
  </si>
  <si>
    <t>グループ4
5歳</t>
    <rPh sb="7" eb="8">
      <t>サイ</t>
    </rPh>
    <phoneticPr fontId="10"/>
  </si>
  <si>
    <t>阿部優香</t>
    <rPh sb="0" eb="2">
      <t>アベ</t>
    </rPh>
    <rPh sb="2" eb="3">
      <t>ユウ</t>
    </rPh>
    <rPh sb="3" eb="4">
      <t>カ</t>
    </rPh>
    <phoneticPr fontId="10"/>
  </si>
  <si>
    <t>Yuka
Abe</t>
    <phoneticPr fontId="10"/>
  </si>
  <si>
    <t>090-9659-7172</t>
    <phoneticPr fontId="10"/>
  </si>
  <si>
    <r>
      <t>090-9488-1472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</si>
  <si>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t>sieg7172@i.softbank.jp</t>
    <phoneticPr fontId="10"/>
  </si>
  <si>
    <t>〒806-0051
北九州市八幡西区東鳴水2-10-7</t>
    <rPh sb="10" eb="14">
      <t>キタキュウシュウシ</t>
    </rPh>
    <rPh sb="14" eb="18">
      <t>ヤハタニシク</t>
    </rPh>
    <rPh sb="18" eb="19">
      <t>ヒガシ</t>
    </rPh>
    <rPh sb="19" eb="20">
      <t>ナ</t>
    </rPh>
    <rPh sb="20" eb="21">
      <t>ミズ</t>
    </rPh>
    <phoneticPr fontId="10"/>
  </si>
  <si>
    <t>阿部優香</t>
    <rPh sb="0" eb="2">
      <t>アベ</t>
    </rPh>
    <rPh sb="2" eb="3">
      <t>ユウ</t>
    </rPh>
    <rPh sb="3" eb="4">
      <t>カ</t>
    </rPh>
    <phoneticPr fontId="10"/>
  </si>
  <si>
    <t>Hatsune
Nagai</t>
    <phoneticPr fontId="10"/>
  </si>
  <si>
    <t>Takane
Nagai</t>
    <phoneticPr fontId="10"/>
  </si>
  <si>
    <t>092-566-4391</t>
    <phoneticPr fontId="10"/>
  </si>
  <si>
    <r>
      <t>090-3010-4508(</t>
    </r>
    <r>
      <rPr>
        <sz val="10"/>
        <color rgb="FF000000"/>
        <rFont val="ＭＳ Ｐゴシック"/>
        <family val="2"/>
        <charset val="128"/>
      </rPr>
      <t>母</t>
    </r>
    <r>
      <rPr>
        <sz val="10"/>
        <color rgb="FF000000"/>
        <rFont val="Arial"/>
        <family val="2"/>
      </rPr>
      <t>)</t>
    </r>
    <rPh sb="14" eb="15">
      <t>ハハ</t>
    </rPh>
    <phoneticPr fontId="10"/>
  </si>
  <si>
    <t>das-hause-liebesgottin@docomo.ne.jp</t>
    <phoneticPr fontId="10"/>
  </si>
  <si>
    <r>
      <rPr>
        <sz val="10"/>
        <color rgb="FF000000"/>
        <rFont val="ＭＳ Ｐゴシック"/>
        <family val="2"/>
        <charset val="128"/>
      </rPr>
      <t>〒</t>
    </r>
    <r>
      <rPr>
        <sz val="10"/>
        <color rgb="FF000000"/>
        <rFont val="Arial"/>
        <family val="2"/>
      </rPr>
      <t xml:space="preserve">811-1346
</t>
    </r>
    <r>
      <rPr>
        <sz val="10"/>
        <color rgb="FF000000"/>
        <rFont val="ＭＳ Ｐゴシック"/>
        <family val="2"/>
        <charset val="128"/>
      </rPr>
      <t>福岡市南区老司</t>
    </r>
    <r>
      <rPr>
        <sz val="10"/>
        <color rgb="FF000000"/>
        <rFont val="Arial"/>
        <family val="2"/>
      </rPr>
      <t>3-26-51</t>
    </r>
    <rPh sb="10" eb="13">
      <t>フクオカシ</t>
    </rPh>
    <rPh sb="13" eb="15">
      <t>ミナミク</t>
    </rPh>
    <rPh sb="15" eb="16">
      <t>ロウ</t>
    </rPh>
    <rPh sb="16" eb="17">
      <t>ツカサ</t>
    </rPh>
    <phoneticPr fontId="10"/>
  </si>
  <si>
    <t>退会</t>
    <rPh sb="0" eb="2">
      <t>タイカイ</t>
    </rPh>
    <phoneticPr fontId="10"/>
  </si>
  <si>
    <t>田中範子
（形成技研）</t>
    <rPh sb="0" eb="2">
      <t>タナカ</t>
    </rPh>
    <rPh sb="2" eb="4">
      <t>ノリコ</t>
    </rPh>
    <rPh sb="6" eb="8">
      <t>ケイセイ</t>
    </rPh>
    <rPh sb="8" eb="10">
      <t>ギケン</t>
    </rPh>
    <phoneticPr fontId="10"/>
  </si>
  <si>
    <t>田中範子（形成技研）</t>
    <rPh sb="0" eb="2">
      <t>タナカ</t>
    </rPh>
    <rPh sb="2" eb="4">
      <t>ノリコ</t>
    </rPh>
    <rPh sb="5" eb="7">
      <t>ケイセイ</t>
    </rPh>
    <rPh sb="7" eb="9">
      <t>ギケン</t>
    </rPh>
    <phoneticPr fontId="10"/>
  </si>
  <si>
    <t>現金</t>
    <rPh sb="0" eb="2">
      <t>ゲンキン</t>
    </rPh>
    <phoneticPr fontId="10"/>
  </si>
  <si>
    <t>Ren
Ishikawa</t>
    <phoneticPr fontId="10"/>
  </si>
  <si>
    <t>080-5215-2973</t>
    <phoneticPr fontId="10"/>
  </si>
  <si>
    <t>sena_ren_0321@ezweb.ne.jp</t>
    <phoneticPr fontId="10"/>
  </si>
  <si>
    <t>〒811-1343
福岡市南区和田2-17-23 B202</t>
    <rPh sb="10" eb="13">
      <t>フクオカシ</t>
    </rPh>
    <rPh sb="13" eb="15">
      <t>ミナミク</t>
    </rPh>
    <rPh sb="15" eb="17">
      <t>ワダ</t>
    </rPh>
    <phoneticPr fontId="10"/>
  </si>
  <si>
    <t>石川レン
（中学1年）</t>
    <rPh sb="0" eb="2">
      <t>イシカワ</t>
    </rPh>
    <rPh sb="6" eb="8">
      <t>チュウガク</t>
    </rPh>
    <rPh sb="9" eb="10">
      <t>ネン</t>
    </rPh>
    <phoneticPr fontId="10"/>
  </si>
  <si>
    <t>石川レン</t>
    <rPh sb="0" eb="2">
      <t>イシカワ</t>
    </rPh>
    <phoneticPr fontId="10"/>
  </si>
  <si>
    <t>入会金</t>
    <rPh sb="0" eb="3">
      <t>ニュウカイキン</t>
    </rPh>
    <phoneticPr fontId="10"/>
  </si>
  <si>
    <r>
      <rPr>
        <sz val="10"/>
        <color rgb="FF000000"/>
        <rFont val="ＭＳ ゴシック"/>
        <family val="3"/>
        <charset val="128"/>
      </rPr>
      <t>キッズ</t>
    </r>
    <r>
      <rPr>
        <sz val="10"/>
        <color rgb="FF000000"/>
        <rFont val="ＭＳ Ｐゴシック"/>
        <family val="2"/>
        <charset val="128"/>
      </rPr>
      <t>月</t>
    </r>
    <r>
      <rPr>
        <sz val="10"/>
        <color rgb="FF000000"/>
        <rFont val="Arial"/>
        <family val="2"/>
      </rPr>
      <t>8</t>
    </r>
    <r>
      <rPr>
        <sz val="10"/>
        <color rgb="FF000000"/>
        <rFont val="ＭＳ Ｐゴシック"/>
        <family val="2"/>
        <charset val="128"/>
      </rPr>
      <t>回</t>
    </r>
    <rPh sb="3" eb="4">
      <t>ツキ</t>
    </rPh>
    <rPh sb="5" eb="6">
      <t>カイ</t>
    </rPh>
    <phoneticPr fontId="10"/>
  </si>
  <si>
    <t>筒井亮晴</t>
    <rPh sb="0" eb="2">
      <t>ツツイ</t>
    </rPh>
    <rPh sb="2" eb="3">
      <t>リョウ</t>
    </rPh>
    <rPh sb="3" eb="4">
      <t>ハ</t>
    </rPh>
    <phoneticPr fontId="10"/>
  </si>
  <si>
    <t>Ryosei
Tsutsui</t>
    <phoneticPr fontId="10"/>
  </si>
  <si>
    <r>
      <rPr>
        <sz val="10"/>
        <color rgb="FF000000"/>
        <rFont val="ＭＳ ゴシック"/>
        <family val="3"/>
        <charset val="128"/>
      </rPr>
      <t>グループ
キッズ</t>
    </r>
    <r>
      <rPr>
        <sz val="10"/>
        <color rgb="FF000000"/>
        <rFont val="Arial"/>
        <family val="2"/>
      </rPr>
      <t>4</t>
    </r>
    <r>
      <rPr>
        <sz val="10"/>
        <color rgb="FF000000"/>
        <rFont val="ＭＳ ゴシック"/>
        <family val="3"/>
        <charset val="128"/>
      </rPr>
      <t>回</t>
    </r>
    <phoneticPr fontId="10"/>
  </si>
  <si>
    <t>筒井亮晴
（幼稚園）</t>
    <rPh sb="0" eb="2">
      <t>ツツイ</t>
    </rPh>
    <rPh sb="2" eb="3">
      <t>リョウ</t>
    </rPh>
    <rPh sb="3" eb="4">
      <t>ハ</t>
    </rPh>
    <rPh sb="6" eb="9">
      <t>ヨウチエン</t>
    </rPh>
    <phoneticPr fontId="10"/>
  </si>
  <si>
    <t>髙司海都
（幼稚園）</t>
    <rPh sb="0" eb="1">
      <t>コウ</t>
    </rPh>
    <rPh sb="1" eb="2">
      <t>ツカサ</t>
    </rPh>
    <rPh sb="2" eb="3">
      <t>ウミ</t>
    </rPh>
    <rPh sb="3" eb="4">
      <t>ミヤコ</t>
    </rPh>
    <rPh sb="6" eb="9">
      <t>ヨウチエン</t>
    </rPh>
    <phoneticPr fontId="10"/>
  </si>
  <si>
    <t>髙司憲吾
（小学2年）</t>
    <rPh sb="0" eb="1">
      <t>コウ</t>
    </rPh>
    <rPh sb="1" eb="2">
      <t>ツカサ</t>
    </rPh>
    <rPh sb="2" eb="3">
      <t>ケン</t>
    </rPh>
    <rPh sb="3" eb="4">
      <t>ゴ</t>
    </rPh>
    <rPh sb="6" eb="8">
      <t>ショウガク</t>
    </rPh>
    <rPh sb="9" eb="10">
      <t>ネン</t>
    </rPh>
    <phoneticPr fontId="10"/>
  </si>
  <si>
    <t>Ryosei Tsutsui</t>
    <phoneticPr fontId="10"/>
  </si>
  <si>
    <t>山口幸代（小山）</t>
    <rPh sb="5" eb="7">
      <t>コヤマ</t>
    </rPh>
    <phoneticPr fontId="10"/>
  </si>
  <si>
    <t>下津佐 怜
(年中)</t>
    <rPh sb="0" eb="3">
      <t>シモヅサ</t>
    </rPh>
    <rPh sb="4" eb="5">
      <t>レイ</t>
    </rPh>
    <rPh sb="7" eb="9">
      <t>ネンジュウ</t>
    </rPh>
    <phoneticPr fontId="10"/>
  </si>
  <si>
    <r>
      <t>下津佐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ＭＳ Ｐゴシック"/>
        <family val="3"/>
        <charset val="128"/>
      </rPr>
      <t>怜</t>
    </r>
  </si>
  <si>
    <r>
      <rPr>
        <sz val="10"/>
        <color rgb="FF000000"/>
        <rFont val="ＭＳ Ｐゴシック"/>
        <family val="2"/>
        <charset val="128"/>
      </rPr>
      <t>下津佐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ＭＳ Ｐゴシック"/>
        <family val="2"/>
        <charset val="128"/>
      </rPr>
      <t>怜</t>
    </r>
    <phoneticPr fontId="10"/>
  </si>
  <si>
    <t>Rei
Shimotsusa</t>
    <phoneticPr fontId="10"/>
  </si>
  <si>
    <t>Rei Shimotsusa</t>
    <phoneticPr fontId="10"/>
  </si>
  <si>
    <t>鶴田隼</t>
    <rPh sb="0" eb="2">
      <t>ツルタ</t>
    </rPh>
    <rPh sb="2" eb="3">
      <t>ハヤブサ</t>
    </rPh>
    <phoneticPr fontId="10"/>
  </si>
  <si>
    <t>月謝</t>
    <rPh sb="0" eb="2">
      <t>ゲッシャ</t>
    </rPh>
    <phoneticPr fontId="10"/>
  </si>
  <si>
    <t>諸経費</t>
    <rPh sb="0" eb="3">
      <t>ショケイヒ</t>
    </rPh>
    <phoneticPr fontId="10"/>
  </si>
  <si>
    <t>合計</t>
    <rPh sb="0" eb="2">
      <t>ゴウケイ</t>
    </rPh>
    <phoneticPr fontId="10"/>
  </si>
  <si>
    <t>○</t>
    <phoneticPr fontId="10"/>
  </si>
  <si>
    <r>
      <t>11/13</t>
    </r>
    <r>
      <rPr>
        <sz val="11"/>
        <color rgb="FF000000"/>
        <rFont val="ＭＳ Ｐゴシック"/>
        <family val="3"/>
        <charset val="128"/>
      </rPr>
      <t>　1月月謝支払い済み</t>
    </r>
    <rPh sb="7" eb="8">
      <t>ガツ</t>
    </rPh>
    <rPh sb="8" eb="10">
      <t>ゲッシャ</t>
    </rPh>
    <rPh sb="10" eb="12">
      <t>シハラ</t>
    </rPh>
    <rPh sb="13" eb="14">
      <t>ズ</t>
    </rPh>
    <phoneticPr fontId="10"/>
  </si>
  <si>
    <t>11/1　1月月謝支払い済み</t>
    <rPh sb="6" eb="7">
      <t>ガツ</t>
    </rPh>
    <rPh sb="7" eb="9">
      <t>ゲッシャ</t>
    </rPh>
    <rPh sb="9" eb="11">
      <t>シハラ</t>
    </rPh>
    <rPh sb="12" eb="13">
      <t>ズ</t>
    </rPh>
    <phoneticPr fontId="10"/>
  </si>
  <si>
    <t>備考</t>
    <rPh sb="0" eb="2">
      <t>ビコウ</t>
    </rPh>
    <phoneticPr fontId="10"/>
  </si>
  <si>
    <t>現金/引落</t>
    <rPh sb="0" eb="2">
      <t>ゲンキン</t>
    </rPh>
    <rPh sb="3" eb="5">
      <t>ヒキオトシ</t>
    </rPh>
    <phoneticPr fontId="10"/>
  </si>
  <si>
    <t>橋本沙弥</t>
    <phoneticPr fontId="10"/>
  </si>
  <si>
    <t>引落合計</t>
    <rPh sb="0" eb="2">
      <t>ヒキオトシ</t>
    </rPh>
    <rPh sb="2" eb="4">
      <t>ゴウケイ</t>
    </rPh>
    <phoneticPr fontId="10"/>
  </si>
  <si>
    <t>現金合計</t>
    <rPh sb="0" eb="2">
      <t>ゲンキン</t>
    </rPh>
    <rPh sb="2" eb="4">
      <t>ゴウケイ</t>
    </rPh>
    <phoneticPr fontId="10"/>
  </si>
  <si>
    <t>全合計</t>
    <rPh sb="0" eb="1">
      <t>ゼン</t>
    </rPh>
    <rPh sb="1" eb="3">
      <t>ゴウケイ</t>
    </rPh>
    <phoneticPr fontId="10"/>
  </si>
  <si>
    <t>引落</t>
    <rPh sb="0" eb="2">
      <t>ヒキオトシ</t>
    </rPh>
    <phoneticPr fontId="10"/>
  </si>
  <si>
    <r>
      <rPr>
        <sz val="10"/>
        <color rgb="FF000000"/>
        <rFont val="ＭＳ ゴシック"/>
        <family val="3"/>
        <charset val="128"/>
      </rPr>
      <t>プラ</t>
    </r>
    <r>
      <rPr>
        <sz val="10"/>
        <color rgb="FF000000"/>
        <rFont val="Arial"/>
        <family val="2"/>
      </rPr>
      <t>1</t>
    </r>
    <r>
      <rPr>
        <sz val="10"/>
        <color rgb="FF000000"/>
        <rFont val="ＭＳ ゴシック"/>
        <family val="3"/>
        <charset val="128"/>
      </rPr>
      <t>回</t>
    </r>
    <r>
      <rPr>
        <sz val="10"/>
        <color rgb="FF000000"/>
        <rFont val="Arial"/>
        <family val="2"/>
      </rPr>
      <t xml:space="preserve"> P</t>
    </r>
    <phoneticPr fontId="10"/>
  </si>
  <si>
    <t>鶴田隼</t>
    <phoneticPr fontId="10"/>
  </si>
  <si>
    <t>Hayato Tsuruta</t>
    <phoneticPr fontId="10"/>
  </si>
  <si>
    <t>小山（山口）幸代</t>
    <rPh sb="0" eb="2">
      <t>コヤマ</t>
    </rPh>
    <phoneticPr fontId="10"/>
  </si>
  <si>
    <t>○</t>
    <phoneticPr fontId="10"/>
  </si>
  <si>
    <t>一時現金</t>
    <rPh sb="0" eb="2">
      <t>イットキ</t>
    </rPh>
    <rPh sb="2" eb="4">
      <t>ゲンキン</t>
    </rPh>
    <phoneticPr fontId="10"/>
  </si>
  <si>
    <t>曽根崎悠臣</t>
    <rPh sb="0" eb="3">
      <t>ソネザキ</t>
    </rPh>
    <rPh sb="3" eb="4">
      <t>ユウ</t>
    </rPh>
    <rPh sb="4" eb="5">
      <t>シン</t>
    </rPh>
    <phoneticPr fontId="10"/>
  </si>
  <si>
    <t>曽根崎真帆</t>
    <rPh sb="0" eb="3">
      <t>ソネザキ</t>
    </rPh>
    <rPh sb="3" eb="5">
      <t>マホ</t>
    </rPh>
    <phoneticPr fontId="10"/>
  </si>
  <si>
    <t>090-4347-1653</t>
    <phoneticPr fontId="10"/>
  </si>
  <si>
    <t>mahomaho._.16th.march@au.com</t>
    <phoneticPr fontId="10"/>
  </si>
  <si>
    <t>〒815-0032
福岡市南区塩原2-9-13MJR大橋203</t>
    <rPh sb="10" eb="13">
      <t>フクオカシ</t>
    </rPh>
    <rPh sb="13" eb="15">
      <t>ミナミク</t>
    </rPh>
    <rPh sb="15" eb="16">
      <t>シオ</t>
    </rPh>
    <rPh sb="16" eb="17">
      <t>ハラ</t>
    </rPh>
    <rPh sb="26" eb="28">
      <t>オオハシ</t>
    </rPh>
    <phoneticPr fontId="10"/>
  </si>
  <si>
    <t>曽根崎悠臣</t>
    <phoneticPr fontId="10"/>
  </si>
  <si>
    <t>瀬川庸子</t>
    <rPh sb="0" eb="2">
      <t>セガワ</t>
    </rPh>
    <rPh sb="2" eb="4">
      <t>ヨウコ</t>
    </rPh>
    <phoneticPr fontId="10"/>
  </si>
  <si>
    <t>Yoko Segawa</t>
  </si>
  <si>
    <t>Yoko Segawa</t>
    <phoneticPr fontId="10"/>
  </si>
  <si>
    <t>092-405-8631</t>
    <phoneticPr fontId="10"/>
  </si>
  <si>
    <t>080-1531-6009</t>
    <phoneticPr fontId="10"/>
  </si>
  <si>
    <t>mond.yoko.s@gmail.com</t>
    <phoneticPr fontId="10"/>
  </si>
  <si>
    <t>〒811-1343
福岡市南区和田3-1-11</t>
    <rPh sb="10" eb="13">
      <t>フクオカシ</t>
    </rPh>
    <rPh sb="13" eb="15">
      <t>ミナミク</t>
    </rPh>
    <rPh sb="15" eb="17">
      <t>ワダ</t>
    </rPh>
    <phoneticPr fontId="10"/>
  </si>
  <si>
    <r>
      <rPr>
        <sz val="10"/>
        <color rgb="FF000000"/>
        <rFont val="ＭＳ ゴシック"/>
        <family val="3"/>
        <charset val="128"/>
      </rPr>
      <t>グループ</t>
    </r>
    <r>
      <rPr>
        <sz val="10"/>
        <color rgb="FF000000"/>
        <rFont val="Arial"/>
        <family val="2"/>
      </rPr>
      <t>4</t>
    </r>
    <r>
      <rPr>
        <sz val="10"/>
        <color rgb="FF000000"/>
        <rFont val="ＭＳ ゴシック"/>
        <family val="3"/>
        <charset val="128"/>
      </rPr>
      <t>回</t>
    </r>
    <r>
      <rPr>
        <sz val="10"/>
        <color rgb="FF000000"/>
        <rFont val="Arial"/>
        <family val="2"/>
      </rPr>
      <t xml:space="preserve"> </t>
    </r>
    <phoneticPr fontId="10"/>
  </si>
  <si>
    <t>瀬川庸子</t>
    <phoneticPr fontId="10"/>
  </si>
  <si>
    <t>KonomiTokunaga</t>
    <phoneticPr fontId="10"/>
  </si>
  <si>
    <t>Atsuko Nishiyama</t>
    <phoneticPr fontId="10"/>
  </si>
  <si>
    <t>支払い方法</t>
    <rPh sb="0" eb="2">
      <t>シハラ</t>
    </rPh>
    <rPh sb="3" eb="5">
      <t>ホウホウ</t>
    </rPh>
    <phoneticPr fontId="10"/>
  </si>
  <si>
    <t>キッズ</t>
    <phoneticPr fontId="10"/>
  </si>
  <si>
    <t>瀬川悠月</t>
    <rPh sb="0" eb="2">
      <t>セガワ</t>
    </rPh>
    <rPh sb="2" eb="3">
      <t>ユウ</t>
    </rPh>
    <rPh sb="3" eb="4">
      <t>ツキ</t>
    </rPh>
    <phoneticPr fontId="10"/>
  </si>
  <si>
    <t>Yuzuki
Segawa</t>
    <phoneticPr fontId="10"/>
  </si>
  <si>
    <r>
      <rPr>
        <sz val="10"/>
        <color rgb="FF000000"/>
        <rFont val="ＭＳ ゴシック"/>
        <family val="3"/>
        <charset val="128"/>
      </rPr>
      <t>セミプラ4回</t>
    </r>
    <r>
      <rPr>
        <sz val="10"/>
        <color rgb="FF000000"/>
        <rFont val="Arial"/>
        <family val="3"/>
      </rPr>
      <t>P</t>
    </r>
    <phoneticPr fontId="10"/>
  </si>
  <si>
    <t>瀬川悠半蔵</t>
    <rPh sb="0" eb="2">
      <t>セガワ</t>
    </rPh>
    <rPh sb="2" eb="3">
      <t>ユウ</t>
    </rPh>
    <rPh sb="3" eb="5">
      <t>ハンゾウ</t>
    </rPh>
    <phoneticPr fontId="10"/>
  </si>
  <si>
    <t>Hanzo
Segawa</t>
    <phoneticPr fontId="10"/>
  </si>
  <si>
    <t>瀬川悠月</t>
    <rPh sb="0" eb="2">
      <t>セガワ</t>
    </rPh>
    <rPh sb="2" eb="3">
      <t>ユウ</t>
    </rPh>
    <rPh sb="3" eb="4">
      <t>ツキ</t>
    </rPh>
    <phoneticPr fontId="10"/>
  </si>
  <si>
    <t>瀬川半蔵</t>
    <rPh sb="0" eb="2">
      <t>セガワ</t>
    </rPh>
    <rPh sb="2" eb="4">
      <t>ハンゾウ</t>
    </rPh>
    <phoneticPr fontId="10"/>
  </si>
  <si>
    <t>Hanzo Segawa</t>
    <phoneticPr fontId="10"/>
  </si>
  <si>
    <t>Yuzuki Segawa</t>
    <phoneticPr fontId="10"/>
  </si>
  <si>
    <t>Fan Chuon
Kan RIn</t>
    <phoneticPr fontId="10"/>
  </si>
  <si>
    <t>ファンチュオンカンリン
(小1)</t>
    <rPh sb="13" eb="15">
      <t>ショウイチ</t>
    </rPh>
    <phoneticPr fontId="10"/>
  </si>
  <si>
    <r>
      <t>080-2236-1879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</si>
  <si>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r>
      <t>pvmanh2008@gmail.com(</t>
    </r>
    <r>
      <rPr>
        <u/>
        <sz val="11"/>
        <color theme="10"/>
        <rFont val="ＭＳ Ｐゴシック"/>
        <family val="2"/>
        <charset val="128"/>
      </rPr>
      <t>父</t>
    </r>
    <r>
      <rPr>
        <u/>
        <sz val="11"/>
        <color theme="10"/>
        <rFont val="Calibri"/>
        <family val="2"/>
      </rPr>
      <t>)</t>
    </r>
    <rPh sb="21" eb="22">
      <t>チチ</t>
    </rPh>
    <phoneticPr fontId="10"/>
  </si>
  <si>
    <r>
      <t>090-9659-1904</t>
    </r>
    <r>
      <rPr>
        <sz val="10"/>
        <color rgb="FF000000"/>
        <rFont val="ＭＳ Ｐゴシック"/>
        <family val="2"/>
        <charset val="128"/>
      </rPr>
      <t>（父）</t>
    </r>
    <rPh sb="14" eb="15">
      <t>チチ</t>
    </rPh>
    <phoneticPr fontId="10"/>
  </si>
  <si>
    <t>〒815-0035福岡市南区向野2丁目23-8パークサイドハイツ103</t>
    <rPh sb="9" eb="12">
      <t>フクオカシ</t>
    </rPh>
    <rPh sb="12" eb="14">
      <t>ミナミク</t>
    </rPh>
    <rPh sb="14" eb="16">
      <t>ムカイノ</t>
    </rPh>
    <rPh sb="17" eb="19">
      <t>チョウメ</t>
    </rPh>
    <phoneticPr fontId="10"/>
  </si>
  <si>
    <t>ファンチュオンカンリン</t>
    <phoneticPr fontId="10"/>
  </si>
  <si>
    <t>Fan Chuon Kan Rin</t>
    <phoneticPr fontId="10"/>
  </si>
  <si>
    <t>和田大輝</t>
    <rPh sb="0" eb="2">
      <t>ワダ</t>
    </rPh>
    <rPh sb="2" eb="4">
      <t>タイキ</t>
    </rPh>
    <phoneticPr fontId="10"/>
  </si>
  <si>
    <t>Masateru
Wada</t>
    <phoneticPr fontId="10"/>
  </si>
  <si>
    <r>
      <t>090-8402-6834(</t>
    </r>
    <r>
      <rPr>
        <sz val="10"/>
        <color rgb="FF000000"/>
        <rFont val="ＭＳ Ｐゴシック"/>
        <family val="2"/>
        <charset val="128"/>
      </rPr>
      <t>母</t>
    </r>
    <r>
      <rPr>
        <sz val="10"/>
        <color rgb="FF000000"/>
        <rFont val="Arial"/>
        <family val="2"/>
      </rPr>
      <t>)</t>
    </r>
    <rPh sb="14" eb="15">
      <t>ハハ</t>
    </rPh>
    <phoneticPr fontId="10"/>
  </si>
  <si>
    <t>〒811-1344
福岡市南区三宅3-13-2-801</t>
    <rPh sb="10" eb="13">
      <t>フクオカシ</t>
    </rPh>
    <rPh sb="13" eb="15">
      <t>ミナミク</t>
    </rPh>
    <rPh sb="15" eb="17">
      <t>ミヤケ</t>
    </rPh>
    <phoneticPr fontId="10"/>
  </si>
  <si>
    <t>英語</t>
    <rPh sb="0" eb="2">
      <t>エイゴ</t>
    </rPh>
    <phoneticPr fontId="10"/>
  </si>
  <si>
    <t>Masateru Wada</t>
    <phoneticPr fontId="10"/>
  </si>
  <si>
    <t>今村希空ﾉｱ(小3）</t>
    <rPh sb="0" eb="2">
      <t>イマムラ</t>
    </rPh>
    <rPh sb="2" eb="3">
      <t>マレ</t>
    </rPh>
    <rPh sb="3" eb="4">
      <t>ソラ</t>
    </rPh>
    <rPh sb="7" eb="8">
      <t>ショウ</t>
    </rPh>
    <phoneticPr fontId="10"/>
  </si>
  <si>
    <t>Noa
Imamura</t>
    <phoneticPr fontId="10"/>
  </si>
  <si>
    <r>
      <t>090-3605-9645</t>
    </r>
    <r>
      <rPr>
        <sz val="10"/>
        <color rgb="FF000000"/>
        <rFont val="ＭＳ Ｐゴシック"/>
        <family val="2"/>
        <charset val="128"/>
      </rPr>
      <t>（母）</t>
    </r>
    <rPh sb="14" eb="15">
      <t>ハハ</t>
    </rPh>
    <phoneticPr fontId="10"/>
  </si>
  <si>
    <r>
      <t>090-6636-3966</t>
    </r>
    <r>
      <rPr>
        <sz val="10"/>
        <color rgb="FF000000"/>
        <rFont val="ＭＳ Ｐゴシック"/>
        <family val="2"/>
        <charset val="128"/>
      </rPr>
      <t>（本人）</t>
    </r>
    <rPh sb="14" eb="16">
      <t>ホンニン</t>
    </rPh>
    <phoneticPr fontId="10"/>
  </si>
  <si>
    <t>noamama.ifam@gmail.com</t>
    <phoneticPr fontId="10"/>
  </si>
  <si>
    <t>〒816-0872
春日市桜ヶ丘7-4-1-245</t>
    <rPh sb="10" eb="13">
      <t>カスガシ</t>
    </rPh>
    <rPh sb="13" eb="16">
      <t>サクラガオカ</t>
    </rPh>
    <phoneticPr fontId="10"/>
  </si>
  <si>
    <t>英語</t>
    <rPh sb="0" eb="2">
      <t>エイゴ</t>
    </rPh>
    <phoneticPr fontId="10"/>
  </si>
  <si>
    <r>
      <rPr>
        <sz val="10"/>
        <color rgb="FF000000"/>
        <rFont val="ＭＳ ゴシック"/>
        <family val="3"/>
        <charset val="128"/>
      </rPr>
      <t>グループ
中学生</t>
    </r>
    <r>
      <rPr>
        <sz val="10"/>
        <color rgb="FF000000"/>
        <rFont val="Arial"/>
        <family val="2"/>
      </rPr>
      <t>4</t>
    </r>
    <r>
      <rPr>
        <sz val="10"/>
        <color rgb="FF000000"/>
        <rFont val="ＭＳ ゴシック"/>
        <family val="3"/>
        <charset val="128"/>
      </rPr>
      <t>回</t>
    </r>
    <rPh sb="5" eb="8">
      <t>チュウガクセイ</t>
    </rPh>
    <phoneticPr fontId="10"/>
  </si>
  <si>
    <t>今村希空</t>
    <rPh sb="0" eb="2">
      <t>イマムラ</t>
    </rPh>
    <rPh sb="2" eb="3">
      <t>マレ</t>
    </rPh>
    <rPh sb="3" eb="4">
      <t>ソラ</t>
    </rPh>
    <phoneticPr fontId="10"/>
  </si>
  <si>
    <t>Noa Imamura</t>
    <phoneticPr fontId="10"/>
  </si>
  <si>
    <t>入会</t>
    <rPh sb="0" eb="2">
      <t>ニュウカイ</t>
    </rPh>
    <phoneticPr fontId="10"/>
  </si>
  <si>
    <t>090-6903-9458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</si>
</sst>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d/m"/>
  </numFmts>
  <fonts count="30">
    <font>
      <sz val="11"/>
      <color rgb="FF000000"/>
      <name val="Calibri"/>
    </font>
    <font>
      <sz val="10"/>
      <color rgb="FF000000"/>
      <name val="Arial"/>
      <family val="2"/>
    </font>
    <font>
      <sz val="11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Roboto"/>
    </font>
    <font>
      <sz val="1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11"/>
      <color rgb="FF000000"/>
      <name val="ＭＳ Ｐゴシック"/>
      <family val="3"/>
      <charset val="128"/>
    </font>
    <font>
      <sz val="10"/>
      <color rgb="FF000000"/>
      <name val="Arial"/>
      <family val="3"/>
      <charset val="128"/>
    </font>
    <font>
      <sz val="10"/>
      <color theme="2" tint="-0.499984740745262"/>
      <name val="Arial"/>
      <family val="2"/>
    </font>
    <font>
      <sz val="10"/>
      <color theme="2" tint="-0.499984740745262"/>
      <name val="ＭＳ Ｐゴシック"/>
      <family val="2"/>
      <charset val="128"/>
    </font>
    <font>
      <sz val="11"/>
      <color theme="2" tint="-0.499984740745262"/>
      <name val="Calibri"/>
      <family val="2"/>
    </font>
    <font>
      <b/>
      <sz val="10"/>
      <color rgb="FF000000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000000"/>
      <name val="Arial"/>
      <family val="3"/>
    </font>
    <font>
      <u/>
      <sz val="11"/>
      <color theme="10"/>
      <name val="Calibri"/>
      <family val="2"/>
    </font>
    <font>
      <sz val="9"/>
      <color indexed="81"/>
      <name val="ＭＳ Ｐゴシック"/>
      <family val="3"/>
      <charset val="128"/>
    </font>
    <font>
      <sz val="10"/>
      <color rgb="FF000000"/>
      <name val="Arial"/>
      <family val="2"/>
      <charset val="128"/>
    </font>
    <font>
      <b/>
      <sz val="10"/>
      <color rgb="FF000000"/>
      <name val="ＭＳ Ｐゴシック"/>
      <family val="2"/>
      <charset val="128"/>
    </font>
    <font>
      <u/>
      <sz val="11"/>
      <color theme="10"/>
      <name val="ＭＳ Ｐゴシック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00FF00"/>
        <bgColor rgb="FF00FF00"/>
      </patternFill>
    </fill>
    <fill>
      <patternFill patternType="solid">
        <fgColor rgb="FFF2DBDB"/>
        <bgColor rgb="FFF2DBDB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2DBDB"/>
      </patternFill>
    </fill>
    <fill>
      <patternFill patternType="solid">
        <fgColor rgb="FFFFC000"/>
        <bgColor rgb="FF00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2DBDB"/>
      </patternFill>
    </fill>
    <fill>
      <patternFill patternType="solid">
        <fgColor theme="8" tint="0.39997558519241921"/>
        <bgColor rgb="FF00FF00"/>
      </patternFill>
    </fill>
    <fill>
      <patternFill patternType="solid">
        <fgColor theme="2" tint="-9.9948118533890809E-2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FF00"/>
      </patternFill>
    </fill>
    <fill>
      <patternFill patternType="solid">
        <fgColor theme="0" tint="-0.249977111117893"/>
        <bgColor rgb="FF00FF00"/>
      </patternFill>
    </fill>
    <fill>
      <patternFill patternType="solid">
        <fgColor theme="0" tint="-0.499984740745262"/>
        <bgColor rgb="FF00FF00"/>
      </patternFill>
    </fill>
    <fill>
      <patternFill patternType="solid">
        <fgColor theme="0" tint="-0.499984740745262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CCCCCC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rgb="FFCCCCCC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 count="353">
    <xf numFmtId="0" fontId="0" fillId="0" borderId="0" xfId="0" applyFont="1" applyAlignment="1"/>
    <xf numFmtId="17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3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2" borderId="1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Font="1" applyBorder="1"/>
    <xf numFmtId="0" fontId="3" fillId="3" borderId="15" xfId="0" applyFont="1" applyFill="1" applyBorder="1" applyAlignment="1">
      <alignment horizontal="center" vertical="center" wrapText="1"/>
    </xf>
    <xf numFmtId="0" fontId="0" fillId="0" borderId="0" xfId="0" applyFont="1"/>
    <xf numFmtId="0" fontId="3" fillId="3" borderId="15" xfId="0" applyFont="1" applyFill="1" applyBorder="1" applyAlignment="1">
      <alignment horizontal="center" vertical="center" wrapText="1"/>
    </xf>
    <xf numFmtId="0" fontId="0" fillId="0" borderId="6" xfId="0" applyFont="1" applyBorder="1"/>
    <xf numFmtId="0" fontId="3" fillId="3" borderId="0" xfId="0" applyFont="1" applyFill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5" xfId="0" applyNumberFormat="1" applyFont="1" applyBorder="1" applyAlignment="1">
      <alignment vertical="center"/>
    </xf>
    <xf numFmtId="0" fontId="1" fillId="3" borderId="17" xfId="0" applyFont="1" applyFill="1" applyBorder="1" applyAlignment="1">
      <alignment wrapText="1"/>
    </xf>
    <xf numFmtId="14" fontId="1" fillId="0" borderId="0" xfId="0" applyNumberFormat="1" applyFont="1" applyAlignment="1">
      <alignment vertical="center"/>
    </xf>
    <xf numFmtId="0" fontId="1" fillId="3" borderId="0" xfId="0" applyFont="1" applyFill="1" applyAlignment="1">
      <alignment wrapText="1"/>
    </xf>
    <xf numFmtId="14" fontId="1" fillId="0" borderId="6" xfId="0" applyNumberFormat="1" applyFont="1" applyBorder="1" applyAlignment="1">
      <alignment horizontal="center" vertical="center" wrapText="1"/>
    </xf>
    <xf numFmtId="0" fontId="1" fillId="4" borderId="16" xfId="0" applyFont="1" applyFill="1" applyBorder="1" applyAlignment="1">
      <alignment wrapText="1"/>
    </xf>
    <xf numFmtId="14" fontId="1" fillId="5" borderId="1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5" borderId="0" xfId="0" applyFont="1" applyFill="1" applyAlignment="1"/>
    <xf numFmtId="0" fontId="1" fillId="0" borderId="0" xfId="0" applyFont="1" applyAlignment="1">
      <alignment vertical="top" wrapText="1"/>
    </xf>
    <xf numFmtId="0" fontId="1" fillId="0" borderId="6" xfId="0" applyFont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14" fontId="1" fillId="3" borderId="18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4" fontId="1" fillId="3" borderId="19" xfId="0" applyNumberFormat="1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3" borderId="18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/>
    <xf numFmtId="14" fontId="1" fillId="3" borderId="19" xfId="0" applyNumberFormat="1" applyFont="1" applyFill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14" fontId="1" fillId="6" borderId="1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wrapText="1"/>
    </xf>
    <xf numFmtId="0" fontId="1" fillId="6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0" xfId="0" applyFont="1"/>
    <xf numFmtId="14" fontId="1" fillId="3" borderId="19" xfId="0" applyNumberFormat="1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3" borderId="0" xfId="0" applyNumberFormat="1" applyFont="1" applyFill="1" applyAlignment="1">
      <alignment vertical="center" wrapText="1"/>
    </xf>
    <xf numFmtId="0" fontId="4" fillId="5" borderId="0" xfId="0" applyFont="1" applyFill="1" applyAlignment="1"/>
    <xf numFmtId="14" fontId="1" fillId="3" borderId="19" xfId="0" applyNumberFormat="1" applyFont="1" applyFill="1" applyBorder="1" applyAlignment="1">
      <alignment vertical="center" wrapText="1"/>
    </xf>
    <xf numFmtId="14" fontId="4" fillId="5" borderId="0" xfId="0" applyNumberFormat="1" applyFont="1" applyFill="1" applyAlignment="1"/>
    <xf numFmtId="14" fontId="5" fillId="0" borderId="0" xfId="0" applyNumberFormat="1" applyFont="1"/>
    <xf numFmtId="14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9" borderId="17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14" fontId="1" fillId="5" borderId="0" xfId="0" applyNumberFormat="1" applyFont="1" applyFill="1" applyAlignment="1">
      <alignment horizontal="center" vertical="center" wrapText="1"/>
    </xf>
    <xf numFmtId="0" fontId="5" fillId="0" borderId="21" xfId="0" applyFont="1" applyBorder="1"/>
    <xf numFmtId="0" fontId="6" fillId="4" borderId="22" xfId="0" applyFont="1" applyFill="1" applyBorder="1" applyAlignment="1">
      <alignment horizontal="center" wrapText="1"/>
    </xf>
    <xf numFmtId="0" fontId="6" fillId="4" borderId="23" xfId="0" applyFont="1" applyFill="1" applyBorder="1" applyAlignment="1">
      <alignment horizontal="center" wrapText="1"/>
    </xf>
    <xf numFmtId="14" fontId="6" fillId="3" borderId="24" xfId="0" applyNumberFormat="1" applyFont="1" applyFill="1" applyBorder="1" applyAlignment="1">
      <alignment horizontal="center" wrapText="1"/>
    </xf>
    <xf numFmtId="0" fontId="6" fillId="3" borderId="25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14" fontId="5" fillId="3" borderId="0" xfId="0" applyNumberFormat="1" applyFont="1" applyFill="1"/>
    <xf numFmtId="0" fontId="5" fillId="0" borderId="0" xfId="0" applyFont="1" applyAlignment="1"/>
    <xf numFmtId="0" fontId="6" fillId="3" borderId="0" xfId="0" applyFont="1" applyFill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5" fillId="4" borderId="22" xfId="0" applyFont="1" applyFill="1" applyBorder="1"/>
    <xf numFmtId="0" fontId="5" fillId="4" borderId="23" xfId="0" applyFont="1" applyFill="1" applyBorder="1"/>
    <xf numFmtId="14" fontId="6" fillId="3" borderId="25" xfId="0" applyNumberFormat="1" applyFont="1" applyFill="1" applyBorder="1" applyAlignment="1">
      <alignment horizontal="center" wrapText="1"/>
    </xf>
    <xf numFmtId="0" fontId="6" fillId="3" borderId="24" xfId="0" applyFont="1" applyFill="1" applyBorder="1" applyAlignment="1">
      <alignment horizontal="center" wrapText="1"/>
    </xf>
    <xf numFmtId="14" fontId="0" fillId="0" borderId="5" xfId="0" applyNumberFormat="1" applyFont="1" applyBorder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5" fillId="0" borderId="6" xfId="0" applyFont="1" applyBorder="1"/>
    <xf numFmtId="14" fontId="5" fillId="0" borderId="6" xfId="0" applyNumberFormat="1" applyFont="1" applyBorder="1"/>
    <xf numFmtId="0" fontId="5" fillId="0" borderId="26" xfId="0" applyFont="1" applyBorder="1"/>
    <xf numFmtId="0" fontId="6" fillId="0" borderId="27" xfId="0" applyFont="1" applyBorder="1" applyAlignment="1">
      <alignment horizontal="center" wrapText="1"/>
    </xf>
    <xf numFmtId="0" fontId="5" fillId="0" borderId="0" xfId="0" applyFont="1"/>
    <xf numFmtId="176" fontId="5" fillId="0" borderId="0" xfId="0" applyNumberFormat="1" applyFont="1"/>
    <xf numFmtId="176" fontId="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5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14" fontId="1" fillId="11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1" fillId="5" borderId="0" xfId="0" applyNumberFormat="1" applyFont="1" applyFill="1" applyAlignment="1">
      <alignment vertical="center" wrapText="1"/>
    </xf>
    <xf numFmtId="0" fontId="0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6" borderId="17" xfId="0" applyFont="1" applyFill="1" applyBorder="1" applyAlignment="1">
      <alignment wrapText="1"/>
    </xf>
    <xf numFmtId="0" fontId="1" fillId="8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1" fillId="0" borderId="28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4" borderId="19" xfId="0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 vertical="center" wrapText="1"/>
    </xf>
    <xf numFmtId="14" fontId="1" fillId="14" borderId="0" xfId="0" applyNumberFormat="1" applyFont="1" applyFill="1" applyAlignment="1">
      <alignment horizontal="center" vertical="center" wrapText="1"/>
    </xf>
    <xf numFmtId="0" fontId="0" fillId="12" borderId="0" xfId="0" applyFont="1" applyFill="1" applyAlignment="1"/>
    <xf numFmtId="0" fontId="19" fillId="15" borderId="0" xfId="0" applyFont="1" applyFill="1" applyAlignment="1">
      <alignment horizontal="center" vertical="center" wrapText="1"/>
    </xf>
    <xf numFmtId="0" fontId="19" fillId="16" borderId="16" xfId="0" applyFont="1" applyFill="1" applyBorder="1" applyAlignment="1">
      <alignment horizontal="center" vertical="center" wrapText="1"/>
    </xf>
    <xf numFmtId="14" fontId="19" fillId="17" borderId="19" xfId="0" applyNumberFormat="1" applyFont="1" applyFill="1" applyBorder="1" applyAlignment="1">
      <alignment horizontal="center" vertical="center" wrapText="1"/>
    </xf>
    <xf numFmtId="14" fontId="20" fillId="17" borderId="0" xfId="0" applyNumberFormat="1" applyFont="1" applyFill="1" applyAlignment="1">
      <alignment horizontal="center" vertical="center" wrapText="1"/>
    </xf>
    <xf numFmtId="14" fontId="19" fillId="17" borderId="0" xfId="0" applyNumberFormat="1" applyFont="1" applyFill="1" applyAlignment="1">
      <alignment horizontal="center" vertical="center" wrapText="1"/>
    </xf>
    <xf numFmtId="0" fontId="19" fillId="17" borderId="0" xfId="0" applyFont="1" applyFill="1" applyAlignment="1">
      <alignment horizontal="center" vertical="center" wrapText="1"/>
    </xf>
    <xf numFmtId="0" fontId="21" fillId="15" borderId="0" xfId="0" applyFont="1" applyFill="1" applyAlignment="1"/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4" fontId="1" fillId="0" borderId="5" xfId="0" applyNumberFormat="1" applyFont="1" applyBorder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23" fillId="0" borderId="0" xfId="0" applyFont="1"/>
    <xf numFmtId="0" fontId="14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1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25" fillId="0" borderId="0" xfId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quotePrefix="1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55" fontId="3" fillId="3" borderId="15" xfId="0" applyNumberFormat="1" applyFont="1" applyFill="1" applyBorder="1" applyAlignment="1">
      <alignment horizontal="center" vertical="center" wrapText="1"/>
    </xf>
    <xf numFmtId="14" fontId="1" fillId="20" borderId="0" xfId="0" applyNumberFormat="1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14" fontId="2" fillId="19" borderId="0" xfId="0" applyNumberFormat="1" applyFont="1" applyFill="1" applyAlignment="1">
      <alignment horizontal="center" vertical="center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wrapText="1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/>
    <xf numFmtId="0" fontId="1" fillId="6" borderId="17" xfId="0" applyNumberFormat="1" applyFont="1" applyFill="1" applyBorder="1" applyAlignment="1">
      <alignment horizontal="center" vertical="center" wrapText="1"/>
    </xf>
    <xf numFmtId="0" fontId="5" fillId="0" borderId="0" xfId="0" applyNumberFormat="1" applyFont="1"/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/>
    <xf numFmtId="0" fontId="17" fillId="0" borderId="29" xfId="0" applyFont="1" applyBorder="1" applyAlignment="1"/>
    <xf numFmtId="6" fontId="1" fillId="0" borderId="30" xfId="0" applyNumberFormat="1" applyFont="1" applyBorder="1" applyAlignment="1">
      <alignment horizontal="center" vertical="center" wrapText="1"/>
    </xf>
    <xf numFmtId="0" fontId="17" fillId="0" borderId="0" xfId="0" applyFont="1" applyBorder="1" applyAlignment="1"/>
    <xf numFmtId="0" fontId="17" fillId="0" borderId="17" xfId="0" applyFont="1" applyBorder="1" applyAlignment="1"/>
    <xf numFmtId="0" fontId="0" fillId="0" borderId="17" xfId="0" applyFont="1" applyBorder="1" applyAlignment="1"/>
    <xf numFmtId="5" fontId="0" fillId="0" borderId="0" xfId="0" applyNumberFormat="1" applyFont="1" applyAlignment="1"/>
    <xf numFmtId="5" fontId="1" fillId="0" borderId="0" xfId="0" applyNumberFormat="1" applyFont="1" applyAlignment="1">
      <alignment horizontal="center" vertical="center" wrapText="1"/>
    </xf>
    <xf numFmtId="5" fontId="1" fillId="12" borderId="0" xfId="0" applyNumberFormat="1" applyFont="1" applyFill="1" applyAlignment="1">
      <alignment horizontal="center" vertical="center" wrapText="1"/>
    </xf>
    <xf numFmtId="5" fontId="1" fillId="0" borderId="0" xfId="0" applyNumberFormat="1" applyFont="1" applyAlignment="1">
      <alignment horizontal="center" vertical="center"/>
    </xf>
    <xf numFmtId="5" fontId="2" fillId="0" borderId="0" xfId="0" applyNumberFormat="1" applyFont="1" applyAlignment="1">
      <alignment horizontal="center" vertical="center"/>
    </xf>
    <xf numFmtId="5" fontId="1" fillId="20" borderId="0" xfId="0" applyNumberFormat="1" applyFont="1" applyFill="1" applyAlignment="1">
      <alignment horizontal="center" vertical="center" wrapText="1"/>
    </xf>
    <xf numFmtId="5" fontId="1" fillId="6" borderId="17" xfId="0" applyNumberFormat="1" applyFont="1" applyFill="1" applyBorder="1" applyAlignment="1">
      <alignment horizontal="center" vertical="center" wrapText="1"/>
    </xf>
    <xf numFmtId="5" fontId="1" fillId="0" borderId="0" xfId="0" applyNumberFormat="1" applyFont="1" applyAlignment="1">
      <alignment wrapText="1"/>
    </xf>
    <xf numFmtId="5" fontId="19" fillId="15" borderId="0" xfId="0" applyNumberFormat="1" applyFont="1" applyFill="1" applyAlignment="1">
      <alignment horizontal="center" vertical="center" wrapText="1"/>
    </xf>
    <xf numFmtId="5" fontId="1" fillId="8" borderId="0" xfId="0" applyNumberFormat="1" applyFont="1" applyFill="1" applyAlignment="1">
      <alignment horizontal="center" vertical="center" wrapText="1"/>
    </xf>
    <xf numFmtId="0" fontId="0" fillId="0" borderId="35" xfId="0" applyFont="1" applyBorder="1" applyAlignment="1"/>
    <xf numFmtId="0" fontId="0" fillId="0" borderId="32" xfId="0" applyFont="1" applyBorder="1" applyAlignment="1"/>
    <xf numFmtId="0" fontId="3" fillId="2" borderId="32" xfId="0" applyFont="1" applyFill="1" applyBorder="1" applyAlignment="1">
      <alignment horizontal="center" vertical="center" wrapText="1"/>
    </xf>
    <xf numFmtId="0" fontId="22" fillId="2" borderId="32" xfId="0" applyFont="1" applyFill="1" applyBorder="1" applyAlignment="1">
      <alignment horizontal="center" vertical="center" wrapText="1"/>
    </xf>
    <xf numFmtId="0" fontId="22" fillId="2" borderId="32" xfId="0" applyNumberFormat="1" applyFont="1" applyFill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17" fillId="0" borderId="32" xfId="0" applyFont="1" applyBorder="1" applyAlignment="1"/>
    <xf numFmtId="0" fontId="1" fillId="0" borderId="32" xfId="0" applyFont="1" applyBorder="1" applyAlignment="1">
      <alignment horizontal="center" vertical="center" wrapText="1"/>
    </xf>
    <xf numFmtId="6" fontId="1" fillId="0" borderId="32" xfId="0" applyNumberFormat="1" applyFont="1" applyBorder="1" applyAlignment="1">
      <alignment horizontal="center" vertical="center" wrapText="1"/>
    </xf>
    <xf numFmtId="0" fontId="1" fillId="0" borderId="32" xfId="0" applyNumberFormat="1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/>
    <xf numFmtId="0" fontId="23" fillId="0" borderId="32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0" fillId="0" borderId="36" xfId="0" applyFont="1" applyBorder="1" applyAlignment="1"/>
    <xf numFmtId="0" fontId="1" fillId="0" borderId="36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6" fontId="1" fillId="0" borderId="36" xfId="0" applyNumberFormat="1" applyFont="1" applyBorder="1" applyAlignment="1">
      <alignment horizontal="center" vertical="center" wrapText="1"/>
    </xf>
    <xf numFmtId="6" fontId="1" fillId="0" borderId="37" xfId="0" applyNumberFormat="1" applyFont="1" applyBorder="1" applyAlignment="1">
      <alignment horizontal="center" vertical="center" wrapText="1"/>
    </xf>
    <xf numFmtId="0" fontId="0" fillId="0" borderId="39" xfId="0" applyFont="1" applyBorder="1" applyAlignment="1"/>
    <xf numFmtId="6" fontId="1" fillId="0" borderId="34" xfId="0" applyNumberFormat="1" applyFont="1" applyBorder="1" applyAlignment="1">
      <alignment horizontal="center" vertical="center" wrapText="1"/>
    </xf>
    <xf numFmtId="6" fontId="1" fillId="0" borderId="40" xfId="0" applyNumberFormat="1" applyFont="1" applyBorder="1" applyAlignment="1">
      <alignment horizontal="center" vertical="center" wrapText="1"/>
    </xf>
    <xf numFmtId="0" fontId="17" fillId="0" borderId="36" xfId="0" applyFont="1" applyBorder="1" applyAlignment="1"/>
    <xf numFmtId="0" fontId="1" fillId="0" borderId="36" xfId="0" applyNumberFormat="1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6" fontId="1" fillId="0" borderId="42" xfId="0" applyNumberFormat="1" applyFont="1" applyBorder="1" applyAlignment="1">
      <alignment horizontal="center" vertical="center" wrapText="1"/>
    </xf>
    <xf numFmtId="6" fontId="1" fillId="21" borderId="37" xfId="0" applyNumberFormat="1" applyFont="1" applyFill="1" applyBorder="1" applyAlignment="1">
      <alignment vertical="center" wrapText="1"/>
    </xf>
    <xf numFmtId="6" fontId="1" fillId="21" borderId="34" xfId="0" applyNumberFormat="1" applyFont="1" applyFill="1" applyBorder="1" applyAlignment="1">
      <alignment vertical="center" wrapText="1"/>
    </xf>
    <xf numFmtId="6" fontId="1" fillId="21" borderId="30" xfId="0" applyNumberFormat="1" applyFont="1" applyFill="1" applyBorder="1" applyAlignment="1">
      <alignment vertical="center" wrapText="1"/>
    </xf>
    <xf numFmtId="0" fontId="0" fillId="21" borderId="35" xfId="0" applyFont="1" applyFill="1" applyBorder="1" applyAlignment="1">
      <alignment vertical="center"/>
    </xf>
    <xf numFmtId="0" fontId="17" fillId="21" borderId="33" xfId="0" applyFont="1" applyFill="1" applyBorder="1" applyAlignment="1">
      <alignment vertical="center"/>
    </xf>
    <xf numFmtId="0" fontId="17" fillId="21" borderId="41" xfId="0" applyFont="1" applyFill="1" applyBorder="1" applyAlignment="1">
      <alignment vertical="center"/>
    </xf>
    <xf numFmtId="0" fontId="17" fillId="21" borderId="38" xfId="0" applyFont="1" applyFill="1" applyBorder="1" applyAlignment="1">
      <alignment vertical="center"/>
    </xf>
    <xf numFmtId="6" fontId="1" fillId="0" borderId="0" xfId="0" applyNumberFormat="1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14" fontId="1" fillId="22" borderId="0" xfId="0" applyNumberFormat="1" applyFont="1" applyFill="1" applyAlignment="1">
      <alignment horizontal="center" vertical="center" wrapText="1"/>
    </xf>
    <xf numFmtId="0" fontId="1" fillId="22" borderId="0" xfId="0" applyFont="1" applyFill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center" vertical="center" wrapText="1"/>
    </xf>
    <xf numFmtId="0" fontId="0" fillId="19" borderId="0" xfId="0" applyFont="1" applyFill="1" applyAlignment="1"/>
    <xf numFmtId="0" fontId="3" fillId="3" borderId="7" xfId="0" applyFont="1" applyFill="1" applyBorder="1" applyAlignment="1">
      <alignment vertical="center" wrapText="1"/>
    </xf>
    <xf numFmtId="0" fontId="28" fillId="3" borderId="17" xfId="0" applyFont="1" applyFill="1" applyBorder="1" applyAlignment="1">
      <alignment vertical="center" wrapText="1"/>
    </xf>
    <xf numFmtId="0" fontId="1" fillId="4" borderId="48" xfId="0" applyFont="1" applyFill="1" applyBorder="1" applyAlignment="1">
      <alignment horizontal="center" vertical="center" wrapText="1"/>
    </xf>
    <xf numFmtId="0" fontId="1" fillId="4" borderId="49" xfId="0" applyFont="1" applyFill="1" applyBorder="1" applyAlignment="1">
      <alignment horizontal="center" vertical="center" wrapText="1"/>
    </xf>
    <xf numFmtId="0" fontId="1" fillId="4" borderId="50" xfId="0" applyFont="1" applyFill="1" applyBorder="1" applyAlignment="1">
      <alignment horizontal="center" vertical="center" wrapText="1"/>
    </xf>
    <xf numFmtId="14" fontId="1" fillId="23" borderId="0" xfId="0" applyNumberFormat="1" applyFont="1" applyFill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4" borderId="14" xfId="0" applyFont="1" applyFill="1" applyBorder="1" applyAlignment="1">
      <alignment horizontal="center" vertical="center" wrapText="1"/>
    </xf>
    <xf numFmtId="0" fontId="1" fillId="24" borderId="17" xfId="0" applyFont="1" applyFill="1" applyBorder="1" applyAlignment="1">
      <alignment wrapText="1"/>
    </xf>
    <xf numFmtId="14" fontId="1" fillId="24" borderId="18" xfId="0" applyNumberFormat="1" applyFont="1" applyFill="1" applyBorder="1" applyAlignment="1">
      <alignment horizontal="center" vertical="center" wrapText="1"/>
    </xf>
    <xf numFmtId="0" fontId="1" fillId="24" borderId="18" xfId="0" applyFont="1" applyFill="1" applyBorder="1" applyAlignment="1">
      <alignment vertical="center" wrapText="1"/>
    </xf>
    <xf numFmtId="14" fontId="1" fillId="24" borderId="18" xfId="0" applyNumberFormat="1" applyFont="1" applyFill="1" applyBorder="1" applyAlignment="1">
      <alignment vertical="center" wrapText="1"/>
    </xf>
    <xf numFmtId="14" fontId="19" fillId="24" borderId="18" xfId="0" applyNumberFormat="1" applyFont="1" applyFill="1" applyBorder="1" applyAlignment="1">
      <alignment horizontal="center" vertical="center" wrapText="1"/>
    </xf>
    <xf numFmtId="0" fontId="0" fillId="25" borderId="0" xfId="0" applyFont="1" applyFill="1" applyAlignment="1"/>
    <xf numFmtId="6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28" fillId="3" borderId="31" xfId="0" applyFont="1" applyFill="1" applyBorder="1" applyAlignment="1">
      <alignment horizontal="center" vertical="center" wrapText="1"/>
    </xf>
    <xf numFmtId="5" fontId="28" fillId="3" borderId="17" xfId="0" applyNumberFormat="1" applyFont="1" applyFill="1" applyBorder="1" applyAlignment="1">
      <alignment horizontal="center" vertical="center" wrapText="1"/>
    </xf>
    <xf numFmtId="0" fontId="28" fillId="3" borderId="46" xfId="0" applyFont="1" applyFill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3" xfId="0" applyFont="1" applyBorder="1"/>
    <xf numFmtId="0" fontId="1" fillId="22" borderId="0" xfId="0" applyFont="1" applyFill="1" applyAlignment="1">
      <alignment horizontal="center" vertical="center" wrapText="1"/>
    </xf>
    <xf numFmtId="0" fontId="0" fillId="21" borderId="0" xfId="0" applyFont="1" applyFill="1" applyAlignment="1"/>
    <xf numFmtId="0" fontId="28" fillId="3" borderId="17" xfId="0" applyFont="1" applyFill="1" applyBorder="1" applyAlignment="1">
      <alignment horizontal="center" vertical="center" wrapText="1"/>
    </xf>
    <xf numFmtId="17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7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26459</xdr:colOff>
      <xdr:row>30</xdr:row>
      <xdr:rowOff>222250</xdr:rowOff>
    </xdr:from>
    <xdr:to>
      <xdr:col>17</xdr:col>
      <xdr:colOff>26459</xdr:colOff>
      <xdr:row>32</xdr:row>
      <xdr:rowOff>48683</xdr:rowOff>
    </xdr:to>
    <xdr:sp macro="" textlink="">
      <xdr:nvSpPr>
        <xdr:cNvPr id="3113" name="Text Box 41" hidden="1">
          <a:extLst>
            <a:ext uri="{FF2B5EF4-FFF2-40B4-BE49-F238E27FC236}">
              <a16:creationId xmlns:a16="http://schemas.microsoft.com/office/drawing/2014/main" id="{BB56B90D-CD9D-43A4-9637-298F2FB5805E}"/>
            </a:ext>
          </a:extLst>
        </xdr:cNvPr>
        <xdr:cNvSpPr txBox="1">
          <a:spLocks noChangeArrowheads="1"/>
        </xdr:cNvSpPr>
      </xdr:nvSpPr>
      <xdr:spPr bwMode="auto">
        <a:xfrm>
          <a:off x="9553575" y="110013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24</xdr:row>
      <xdr:rowOff>169333</xdr:rowOff>
    </xdr:from>
    <xdr:to>
      <xdr:col>17</xdr:col>
      <xdr:colOff>26459</xdr:colOff>
      <xdr:row>25</xdr:row>
      <xdr:rowOff>355600</xdr:rowOff>
    </xdr:to>
    <xdr:sp macro="" textlink="">
      <xdr:nvSpPr>
        <xdr:cNvPr id="3105" name="Text Box 33" hidden="1">
          <a:extLst>
            <a:ext uri="{FF2B5EF4-FFF2-40B4-BE49-F238E27FC236}">
              <a16:creationId xmlns:a16="http://schemas.microsoft.com/office/drawing/2014/main" id="{C2FA4027-E10A-42E3-943E-DF4E505D3D30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24</xdr:row>
      <xdr:rowOff>169333</xdr:rowOff>
    </xdr:from>
    <xdr:to>
      <xdr:col>17</xdr:col>
      <xdr:colOff>26459</xdr:colOff>
      <xdr:row>25</xdr:row>
      <xdr:rowOff>355600</xdr:rowOff>
    </xdr:to>
    <xdr:sp macro="" textlink="">
      <xdr:nvSpPr>
        <xdr:cNvPr id="3100" name="Text Box 28" hidden="1">
          <a:extLst>
            <a:ext uri="{FF2B5EF4-FFF2-40B4-BE49-F238E27FC236}">
              <a16:creationId xmlns:a16="http://schemas.microsoft.com/office/drawing/2014/main" id="{94EDF4D5-78E1-479A-8EB4-46D9DEE00B12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18</xdr:row>
      <xdr:rowOff>63500</xdr:rowOff>
    </xdr:from>
    <xdr:to>
      <xdr:col>17</xdr:col>
      <xdr:colOff>26459</xdr:colOff>
      <xdr:row>22</xdr:row>
      <xdr:rowOff>186267</xdr:rowOff>
    </xdr:to>
    <xdr:sp macro="" textlink="">
      <xdr:nvSpPr>
        <xdr:cNvPr id="3099" name="Text Box 27" hidden="1">
          <a:extLst>
            <a:ext uri="{FF2B5EF4-FFF2-40B4-BE49-F238E27FC236}">
              <a16:creationId xmlns:a16="http://schemas.microsoft.com/office/drawing/2014/main" id="{8DE3DF67-CD41-40C1-B829-95685CCDD3A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26</xdr:row>
      <xdr:rowOff>52916</xdr:rowOff>
    </xdr:from>
    <xdr:to>
      <xdr:col>17</xdr:col>
      <xdr:colOff>26459</xdr:colOff>
      <xdr:row>27</xdr:row>
      <xdr:rowOff>239183</xdr:rowOff>
    </xdr:to>
    <xdr:sp macro="" textlink="">
      <xdr:nvSpPr>
        <xdr:cNvPr id="3096" name="Text Box 24" hidden="1">
          <a:extLst>
            <a:ext uri="{FF2B5EF4-FFF2-40B4-BE49-F238E27FC236}">
              <a16:creationId xmlns:a16="http://schemas.microsoft.com/office/drawing/2014/main" id="{91CEEBAD-59E7-4E5C-8922-56975ECE12B7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26</xdr:row>
      <xdr:rowOff>52916</xdr:rowOff>
    </xdr:from>
    <xdr:to>
      <xdr:col>17</xdr:col>
      <xdr:colOff>26459</xdr:colOff>
      <xdr:row>27</xdr:row>
      <xdr:rowOff>239183</xdr:rowOff>
    </xdr:to>
    <xdr:sp macro="" textlink="">
      <xdr:nvSpPr>
        <xdr:cNvPr id="3095" name="Text Box 23" hidden="1">
          <a:extLst>
            <a:ext uri="{FF2B5EF4-FFF2-40B4-BE49-F238E27FC236}">
              <a16:creationId xmlns:a16="http://schemas.microsoft.com/office/drawing/2014/main" id="{EA9BA293-C62B-4C73-9ED2-9FC4676A7739}"/>
            </a:ext>
          </a:extLst>
        </xdr:cNvPr>
        <xdr:cNvSpPr txBox="1">
          <a:spLocks noChangeArrowheads="1"/>
        </xdr:cNvSpPr>
      </xdr:nvSpPr>
      <xdr:spPr bwMode="auto">
        <a:xfrm>
          <a:off x="9553575" y="94011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13</xdr:row>
      <xdr:rowOff>243417</xdr:rowOff>
    </xdr:from>
    <xdr:to>
      <xdr:col>17</xdr:col>
      <xdr:colOff>26459</xdr:colOff>
      <xdr:row>18</xdr:row>
      <xdr:rowOff>6350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3F11F70B-7D63-44A2-A9A5-4D962BE6AB8A}"/>
            </a:ext>
          </a:extLst>
        </xdr:cNvPr>
        <xdr:cNvSpPr txBox="1">
          <a:spLocks noChangeArrowheads="1"/>
        </xdr:cNvSpPr>
      </xdr:nvSpPr>
      <xdr:spPr bwMode="auto">
        <a:xfrm>
          <a:off x="9553575" y="491490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24</xdr:row>
      <xdr:rowOff>169333</xdr:rowOff>
    </xdr:from>
    <xdr:to>
      <xdr:col>17</xdr:col>
      <xdr:colOff>26459</xdr:colOff>
      <xdr:row>25</xdr:row>
      <xdr:rowOff>355600</xdr:rowOff>
    </xdr:to>
    <xdr:sp macro="" textlink="">
      <xdr:nvSpPr>
        <xdr:cNvPr id="3092" name="Text Box 20" hidden="1">
          <a:extLst>
            <a:ext uri="{FF2B5EF4-FFF2-40B4-BE49-F238E27FC236}">
              <a16:creationId xmlns:a16="http://schemas.microsoft.com/office/drawing/2014/main" id="{919748D8-F0C9-41D6-A722-4EBF1138C785}"/>
            </a:ext>
          </a:extLst>
        </xdr:cNvPr>
        <xdr:cNvSpPr txBox="1">
          <a:spLocks noChangeArrowheads="1"/>
        </xdr:cNvSpPr>
      </xdr:nvSpPr>
      <xdr:spPr bwMode="auto">
        <a:xfrm>
          <a:off x="9553575" y="88011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18</xdr:row>
      <xdr:rowOff>63500</xdr:rowOff>
    </xdr:from>
    <xdr:to>
      <xdr:col>17</xdr:col>
      <xdr:colOff>26459</xdr:colOff>
      <xdr:row>22</xdr:row>
      <xdr:rowOff>186267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954BC4FE-0406-48F4-9F69-0E12745B168A}"/>
            </a:ext>
          </a:extLst>
        </xdr:cNvPr>
        <xdr:cNvSpPr txBox="1">
          <a:spLocks noChangeArrowheads="1"/>
        </xdr:cNvSpPr>
      </xdr:nvSpPr>
      <xdr:spPr bwMode="auto">
        <a:xfrm>
          <a:off x="9553575" y="6534150"/>
          <a:ext cx="33718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508000</xdr:rowOff>
    </xdr:from>
    <xdr:to>
      <xdr:col>17</xdr:col>
      <xdr:colOff>26459</xdr:colOff>
      <xdr:row>34</xdr:row>
      <xdr:rowOff>143934</xdr:rowOff>
    </xdr:to>
    <xdr:sp macro="" textlink="">
      <xdr:nvSpPr>
        <xdr:cNvPr id="3088" name="Text Box 16" hidden="1">
          <a:extLst>
            <a:ext uri="{FF2B5EF4-FFF2-40B4-BE49-F238E27FC236}">
              <a16:creationId xmlns:a16="http://schemas.microsoft.com/office/drawing/2014/main" id="{C44C3C58-35EA-44AB-9335-FD87CC32FA6D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306916</xdr:rowOff>
    </xdr:from>
    <xdr:to>
      <xdr:col>17</xdr:col>
      <xdr:colOff>26459</xdr:colOff>
      <xdr:row>33</xdr:row>
      <xdr:rowOff>302683</xdr:rowOff>
    </xdr:to>
    <xdr:sp macro="" textlink="">
      <xdr:nvSpPr>
        <xdr:cNvPr id="3087" name="Text Box 15" hidden="1">
          <a:extLst>
            <a:ext uri="{FF2B5EF4-FFF2-40B4-BE49-F238E27FC236}">
              <a16:creationId xmlns:a16="http://schemas.microsoft.com/office/drawing/2014/main" id="{C5EF9441-A08F-4030-9E36-D1D3BB1B5386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508000</xdr:rowOff>
    </xdr:from>
    <xdr:to>
      <xdr:col>17</xdr:col>
      <xdr:colOff>26459</xdr:colOff>
      <xdr:row>34</xdr:row>
      <xdr:rowOff>143934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A8A535E8-73C3-488F-8CD9-121570FED723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306916</xdr:rowOff>
    </xdr:from>
    <xdr:to>
      <xdr:col>17</xdr:col>
      <xdr:colOff>26459</xdr:colOff>
      <xdr:row>33</xdr:row>
      <xdr:rowOff>302683</xdr:rowOff>
    </xdr:to>
    <xdr:sp macro="" textlink="">
      <xdr:nvSpPr>
        <xdr:cNvPr id="3085" name="Text Box 13" hidden="1">
          <a:extLst>
            <a:ext uri="{FF2B5EF4-FFF2-40B4-BE49-F238E27FC236}">
              <a16:creationId xmlns:a16="http://schemas.microsoft.com/office/drawing/2014/main" id="{F2CCC5D5-45FB-401B-B4DB-B1B3915C7113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508000</xdr:rowOff>
    </xdr:from>
    <xdr:to>
      <xdr:col>17</xdr:col>
      <xdr:colOff>26459</xdr:colOff>
      <xdr:row>34</xdr:row>
      <xdr:rowOff>143934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5B2DCF75-A205-4EA5-B4F5-3B25A39601A1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306916</xdr:rowOff>
    </xdr:from>
    <xdr:to>
      <xdr:col>17</xdr:col>
      <xdr:colOff>26459</xdr:colOff>
      <xdr:row>33</xdr:row>
      <xdr:rowOff>302683</xdr:rowOff>
    </xdr:to>
    <xdr:sp macro="" textlink="">
      <xdr:nvSpPr>
        <xdr:cNvPr id="3083" name="Text Box 11" hidden="1">
          <a:extLst>
            <a:ext uri="{FF2B5EF4-FFF2-40B4-BE49-F238E27FC236}">
              <a16:creationId xmlns:a16="http://schemas.microsoft.com/office/drawing/2014/main" id="{948E5DA1-D6ED-4E6E-9E1F-9A2BCD430492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508000</xdr:rowOff>
    </xdr:from>
    <xdr:to>
      <xdr:col>17</xdr:col>
      <xdr:colOff>26459</xdr:colOff>
      <xdr:row>34</xdr:row>
      <xdr:rowOff>143934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3403F6F3-BED5-4A30-9F3B-F2874CDD0227}"/>
            </a:ext>
          </a:extLst>
        </xdr:cNvPr>
        <xdr:cNvSpPr txBox="1">
          <a:spLocks noChangeArrowheads="1"/>
        </xdr:cNvSpPr>
      </xdr:nvSpPr>
      <xdr:spPr bwMode="auto">
        <a:xfrm>
          <a:off x="9553575" y="1200150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306916</xdr:rowOff>
    </xdr:from>
    <xdr:to>
      <xdr:col>17</xdr:col>
      <xdr:colOff>26459</xdr:colOff>
      <xdr:row>33</xdr:row>
      <xdr:rowOff>302683</xdr:rowOff>
    </xdr:to>
    <xdr:sp macro="" textlink="">
      <xdr:nvSpPr>
        <xdr:cNvPr id="3081" name="Text Box 9" hidden="1">
          <a:extLst>
            <a:ext uri="{FF2B5EF4-FFF2-40B4-BE49-F238E27FC236}">
              <a16:creationId xmlns:a16="http://schemas.microsoft.com/office/drawing/2014/main" id="{49B2D436-1C05-4809-A419-58456A7006D8}"/>
            </a:ext>
          </a:extLst>
        </xdr:cNvPr>
        <xdr:cNvSpPr txBox="1">
          <a:spLocks noChangeArrowheads="1"/>
        </xdr:cNvSpPr>
      </xdr:nvSpPr>
      <xdr:spPr bwMode="auto">
        <a:xfrm>
          <a:off x="9553575" y="1180147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32</xdr:row>
      <xdr:rowOff>105833</xdr:rowOff>
    </xdr:from>
    <xdr:to>
      <xdr:col>17</xdr:col>
      <xdr:colOff>26459</xdr:colOff>
      <xdr:row>33</xdr:row>
      <xdr:rowOff>101600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AC70530C-C086-4FFA-B422-F51A716D8DA8}"/>
            </a:ext>
          </a:extLst>
        </xdr:cNvPr>
        <xdr:cNvSpPr txBox="1">
          <a:spLocks noChangeArrowheads="1"/>
        </xdr:cNvSpPr>
      </xdr:nvSpPr>
      <xdr:spPr bwMode="auto">
        <a:xfrm>
          <a:off x="9553575" y="116014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25</xdr:row>
      <xdr:rowOff>10584</xdr:rowOff>
    </xdr:from>
    <xdr:to>
      <xdr:col>17</xdr:col>
      <xdr:colOff>26459</xdr:colOff>
      <xdr:row>26</xdr:row>
      <xdr:rowOff>196850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86C088B5-1756-45B9-9AC0-53E0587494C7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25</xdr:row>
      <xdr:rowOff>10584</xdr:rowOff>
    </xdr:from>
    <xdr:to>
      <xdr:col>17</xdr:col>
      <xdr:colOff>26459</xdr:colOff>
      <xdr:row>26</xdr:row>
      <xdr:rowOff>196850</xdr:rowOff>
    </xdr:to>
    <xdr:sp macro="" textlink="">
      <xdr:nvSpPr>
        <xdr:cNvPr id="3077" name="Text Box 5" hidden="1">
          <a:extLst>
            <a:ext uri="{FF2B5EF4-FFF2-40B4-BE49-F238E27FC236}">
              <a16:creationId xmlns:a16="http://schemas.microsoft.com/office/drawing/2014/main" id="{EFA6D3B6-97F4-4800-A7E5-C4FFF6F86958}"/>
            </a:ext>
          </a:extLst>
        </xdr:cNvPr>
        <xdr:cNvSpPr txBox="1">
          <a:spLocks noChangeArrowheads="1"/>
        </xdr:cNvSpPr>
      </xdr:nvSpPr>
      <xdr:spPr bwMode="auto">
        <a:xfrm>
          <a:off x="9553575" y="9001125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</xdr:col>
      <xdr:colOff>26459</xdr:colOff>
      <xdr:row>36</xdr:row>
      <xdr:rowOff>84667</xdr:rowOff>
    </xdr:from>
    <xdr:to>
      <xdr:col>17</xdr:col>
      <xdr:colOff>26459</xdr:colOff>
      <xdr:row>37</xdr:row>
      <xdr:rowOff>270934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DC4D92E9-1A63-4367-950D-97CCCD1ADAF5}"/>
            </a:ext>
          </a:extLst>
        </xdr:cNvPr>
        <xdr:cNvSpPr txBox="1">
          <a:spLocks noChangeArrowheads="1"/>
        </xdr:cNvSpPr>
      </xdr:nvSpPr>
      <xdr:spPr bwMode="auto">
        <a:xfrm>
          <a:off x="9553575" y="13201650"/>
          <a:ext cx="3371850" cy="542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841375</xdr:colOff>
      <xdr:row>29</xdr:row>
      <xdr:rowOff>582083</xdr:rowOff>
    </xdr:from>
    <xdr:to>
      <xdr:col>14</xdr:col>
      <xdr:colOff>354542</xdr:colOff>
      <xdr:row>29</xdr:row>
      <xdr:rowOff>1128183</xdr:rowOff>
    </xdr:to>
    <xdr:sp macro="" textlink="">
      <xdr:nvSpPr>
        <xdr:cNvPr id="2" name="Text Box 41" hidden="1">
          <a:extLst>
            <a:ext uri="{FF2B5EF4-FFF2-40B4-BE49-F238E27FC236}">
              <a16:creationId xmlns:a16="http://schemas.microsoft.com/office/drawing/2014/main" id="{5A2AD44A-3B33-4EAA-A0C0-58C44A6733EA}"/>
            </a:ext>
          </a:extLst>
        </xdr:cNvPr>
        <xdr:cNvSpPr txBox="1">
          <a:spLocks noChangeArrowheads="1"/>
        </xdr:cNvSpPr>
      </xdr:nvSpPr>
      <xdr:spPr bwMode="auto">
        <a:xfrm>
          <a:off x="9553575" y="11078633"/>
          <a:ext cx="3371850" cy="546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24</xdr:row>
      <xdr:rowOff>169333</xdr:rowOff>
    </xdr:from>
    <xdr:to>
      <xdr:col>14</xdr:col>
      <xdr:colOff>354542</xdr:colOff>
      <xdr:row>25</xdr:row>
      <xdr:rowOff>355600</xdr:rowOff>
    </xdr:to>
    <xdr:sp macro="" textlink="">
      <xdr:nvSpPr>
        <xdr:cNvPr id="3" name="Text Box 33" hidden="1">
          <a:extLst>
            <a:ext uri="{FF2B5EF4-FFF2-40B4-BE49-F238E27FC236}">
              <a16:creationId xmlns:a16="http://schemas.microsoft.com/office/drawing/2014/main" id="{15B9B2AD-7D89-483F-8B39-B2E673A0E7BE}"/>
            </a:ext>
          </a:extLst>
        </xdr:cNvPr>
        <xdr:cNvSpPr txBox="1">
          <a:spLocks noChangeArrowheads="1"/>
        </xdr:cNvSpPr>
      </xdr:nvSpPr>
      <xdr:spPr bwMode="auto">
        <a:xfrm>
          <a:off x="9553575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24</xdr:row>
      <xdr:rowOff>169333</xdr:rowOff>
    </xdr:from>
    <xdr:to>
      <xdr:col>14</xdr:col>
      <xdr:colOff>354542</xdr:colOff>
      <xdr:row>25</xdr:row>
      <xdr:rowOff>355600</xdr:rowOff>
    </xdr:to>
    <xdr:sp macro="" textlink="">
      <xdr:nvSpPr>
        <xdr:cNvPr id="4" name="Text Box 28" hidden="1">
          <a:extLst>
            <a:ext uri="{FF2B5EF4-FFF2-40B4-BE49-F238E27FC236}">
              <a16:creationId xmlns:a16="http://schemas.microsoft.com/office/drawing/2014/main" id="{F220A8E7-0FC5-4860-88AC-A5657D485750}"/>
            </a:ext>
          </a:extLst>
        </xdr:cNvPr>
        <xdr:cNvSpPr txBox="1">
          <a:spLocks noChangeArrowheads="1"/>
        </xdr:cNvSpPr>
      </xdr:nvSpPr>
      <xdr:spPr bwMode="auto">
        <a:xfrm>
          <a:off x="9553575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18</xdr:row>
      <xdr:rowOff>63500</xdr:rowOff>
    </xdr:from>
    <xdr:to>
      <xdr:col>14</xdr:col>
      <xdr:colOff>354542</xdr:colOff>
      <xdr:row>22</xdr:row>
      <xdr:rowOff>186267</xdr:rowOff>
    </xdr:to>
    <xdr:sp macro="" textlink="">
      <xdr:nvSpPr>
        <xdr:cNvPr id="5" name="Text Box 27" hidden="1">
          <a:extLst>
            <a:ext uri="{FF2B5EF4-FFF2-40B4-BE49-F238E27FC236}">
              <a16:creationId xmlns:a16="http://schemas.microsoft.com/office/drawing/2014/main" id="{9AC19F1C-5431-4B8E-ACE3-4AF248B43ACF}"/>
            </a:ext>
          </a:extLst>
        </xdr:cNvPr>
        <xdr:cNvSpPr txBox="1">
          <a:spLocks noChangeArrowheads="1"/>
        </xdr:cNvSpPr>
      </xdr:nvSpPr>
      <xdr:spPr bwMode="auto">
        <a:xfrm>
          <a:off x="9553575" y="6578600"/>
          <a:ext cx="3371850" cy="157056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26</xdr:row>
      <xdr:rowOff>52916</xdr:rowOff>
    </xdr:from>
    <xdr:to>
      <xdr:col>14</xdr:col>
      <xdr:colOff>354542</xdr:colOff>
      <xdr:row>27</xdr:row>
      <xdr:rowOff>239183</xdr:rowOff>
    </xdr:to>
    <xdr:sp macro="" textlink="">
      <xdr:nvSpPr>
        <xdr:cNvPr id="6" name="Text Box 24" hidden="1">
          <a:extLst>
            <a:ext uri="{FF2B5EF4-FFF2-40B4-BE49-F238E27FC236}">
              <a16:creationId xmlns:a16="http://schemas.microsoft.com/office/drawing/2014/main" id="{BCD007B9-47C8-447D-B3A3-A9362A309A9B}"/>
            </a:ext>
          </a:extLst>
        </xdr:cNvPr>
        <xdr:cNvSpPr txBox="1">
          <a:spLocks noChangeArrowheads="1"/>
        </xdr:cNvSpPr>
      </xdr:nvSpPr>
      <xdr:spPr bwMode="auto">
        <a:xfrm>
          <a:off x="9553575" y="9463616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26</xdr:row>
      <xdr:rowOff>52916</xdr:rowOff>
    </xdr:from>
    <xdr:to>
      <xdr:col>14</xdr:col>
      <xdr:colOff>354542</xdr:colOff>
      <xdr:row>27</xdr:row>
      <xdr:rowOff>239183</xdr:rowOff>
    </xdr:to>
    <xdr:sp macro="" textlink="">
      <xdr:nvSpPr>
        <xdr:cNvPr id="7" name="Text Box 23" hidden="1">
          <a:extLst>
            <a:ext uri="{FF2B5EF4-FFF2-40B4-BE49-F238E27FC236}">
              <a16:creationId xmlns:a16="http://schemas.microsoft.com/office/drawing/2014/main" id="{C8A44C1B-C9B8-482F-AA14-4AED70836E35}"/>
            </a:ext>
          </a:extLst>
        </xdr:cNvPr>
        <xdr:cNvSpPr txBox="1">
          <a:spLocks noChangeArrowheads="1"/>
        </xdr:cNvSpPr>
      </xdr:nvSpPr>
      <xdr:spPr bwMode="auto">
        <a:xfrm>
          <a:off x="9553575" y="9463616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13</xdr:row>
      <xdr:rowOff>243417</xdr:rowOff>
    </xdr:from>
    <xdr:to>
      <xdr:col>14</xdr:col>
      <xdr:colOff>354542</xdr:colOff>
      <xdr:row>18</xdr:row>
      <xdr:rowOff>6350</xdr:rowOff>
    </xdr:to>
    <xdr:sp macro="" textlink="">
      <xdr:nvSpPr>
        <xdr:cNvPr id="8" name="Text Box 22" hidden="1">
          <a:extLst>
            <a:ext uri="{FF2B5EF4-FFF2-40B4-BE49-F238E27FC236}">
              <a16:creationId xmlns:a16="http://schemas.microsoft.com/office/drawing/2014/main" id="{7BDEFE5A-9844-4865-9AF1-2CB95BEBF592}"/>
            </a:ext>
          </a:extLst>
        </xdr:cNvPr>
        <xdr:cNvSpPr txBox="1">
          <a:spLocks noChangeArrowheads="1"/>
        </xdr:cNvSpPr>
      </xdr:nvSpPr>
      <xdr:spPr bwMode="auto">
        <a:xfrm>
          <a:off x="9553575" y="4948767"/>
          <a:ext cx="3371850" cy="157268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24</xdr:row>
      <xdr:rowOff>169333</xdr:rowOff>
    </xdr:from>
    <xdr:to>
      <xdr:col>14</xdr:col>
      <xdr:colOff>354542</xdr:colOff>
      <xdr:row>25</xdr:row>
      <xdr:rowOff>355600</xdr:rowOff>
    </xdr:to>
    <xdr:sp macro="" textlink="">
      <xdr:nvSpPr>
        <xdr:cNvPr id="9" name="Text Box 20" hidden="1">
          <a:extLst>
            <a:ext uri="{FF2B5EF4-FFF2-40B4-BE49-F238E27FC236}">
              <a16:creationId xmlns:a16="http://schemas.microsoft.com/office/drawing/2014/main" id="{3F9B9499-0DA6-4245-98D1-0807B1AC2320}"/>
            </a:ext>
          </a:extLst>
        </xdr:cNvPr>
        <xdr:cNvSpPr txBox="1">
          <a:spLocks noChangeArrowheads="1"/>
        </xdr:cNvSpPr>
      </xdr:nvSpPr>
      <xdr:spPr bwMode="auto">
        <a:xfrm>
          <a:off x="9553575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18</xdr:row>
      <xdr:rowOff>63500</xdr:rowOff>
    </xdr:from>
    <xdr:to>
      <xdr:col>14</xdr:col>
      <xdr:colOff>354542</xdr:colOff>
      <xdr:row>22</xdr:row>
      <xdr:rowOff>186267</xdr:rowOff>
    </xdr:to>
    <xdr:sp macro="" textlink="">
      <xdr:nvSpPr>
        <xdr:cNvPr id="10" name="Text Box 19" hidden="1">
          <a:extLst>
            <a:ext uri="{FF2B5EF4-FFF2-40B4-BE49-F238E27FC236}">
              <a16:creationId xmlns:a16="http://schemas.microsoft.com/office/drawing/2014/main" id="{883BBB34-0113-4434-8DED-D0323482D1D9}"/>
            </a:ext>
          </a:extLst>
        </xdr:cNvPr>
        <xdr:cNvSpPr txBox="1">
          <a:spLocks noChangeArrowheads="1"/>
        </xdr:cNvSpPr>
      </xdr:nvSpPr>
      <xdr:spPr bwMode="auto">
        <a:xfrm>
          <a:off x="9553575" y="6578600"/>
          <a:ext cx="3371850" cy="157056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31</xdr:row>
      <xdr:rowOff>63500</xdr:rowOff>
    </xdr:from>
    <xdr:to>
      <xdr:col>14</xdr:col>
      <xdr:colOff>354542</xdr:colOff>
      <xdr:row>32</xdr:row>
      <xdr:rowOff>249767</xdr:rowOff>
    </xdr:to>
    <xdr:sp macro="" textlink="">
      <xdr:nvSpPr>
        <xdr:cNvPr id="11" name="Text Box 16" hidden="1">
          <a:extLst>
            <a:ext uri="{FF2B5EF4-FFF2-40B4-BE49-F238E27FC236}">
              <a16:creationId xmlns:a16="http://schemas.microsoft.com/office/drawing/2014/main" id="{1F19B4AD-E21A-4E24-97C3-416D4EAB78E1}"/>
            </a:ext>
          </a:extLst>
        </xdr:cNvPr>
        <xdr:cNvSpPr txBox="1">
          <a:spLocks noChangeArrowheads="1"/>
        </xdr:cNvSpPr>
      </xdr:nvSpPr>
      <xdr:spPr bwMode="auto">
        <a:xfrm>
          <a:off x="9553575" y="12084050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30</xdr:row>
      <xdr:rowOff>222250</xdr:rowOff>
    </xdr:from>
    <xdr:to>
      <xdr:col>14</xdr:col>
      <xdr:colOff>354542</xdr:colOff>
      <xdr:row>32</xdr:row>
      <xdr:rowOff>48683</xdr:rowOff>
    </xdr:to>
    <xdr:sp macro="" textlink="">
      <xdr:nvSpPr>
        <xdr:cNvPr id="12" name="Text Box 15" hidden="1">
          <a:extLst>
            <a:ext uri="{FF2B5EF4-FFF2-40B4-BE49-F238E27FC236}">
              <a16:creationId xmlns:a16="http://schemas.microsoft.com/office/drawing/2014/main" id="{28895377-BF05-45D9-A6BA-06B97716B911}"/>
            </a:ext>
          </a:extLst>
        </xdr:cNvPr>
        <xdr:cNvSpPr txBox="1">
          <a:spLocks noChangeArrowheads="1"/>
        </xdr:cNvSpPr>
      </xdr:nvSpPr>
      <xdr:spPr bwMode="auto">
        <a:xfrm>
          <a:off x="9553575" y="11880850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31</xdr:row>
      <xdr:rowOff>63500</xdr:rowOff>
    </xdr:from>
    <xdr:to>
      <xdr:col>14</xdr:col>
      <xdr:colOff>354542</xdr:colOff>
      <xdr:row>32</xdr:row>
      <xdr:rowOff>249767</xdr:rowOff>
    </xdr:to>
    <xdr:sp macro="" textlink="">
      <xdr:nvSpPr>
        <xdr:cNvPr id="13" name="Text Box 14" hidden="1">
          <a:extLst>
            <a:ext uri="{FF2B5EF4-FFF2-40B4-BE49-F238E27FC236}">
              <a16:creationId xmlns:a16="http://schemas.microsoft.com/office/drawing/2014/main" id="{410499A3-8545-4ADC-9AB9-78CE6FEF23CF}"/>
            </a:ext>
          </a:extLst>
        </xdr:cNvPr>
        <xdr:cNvSpPr txBox="1">
          <a:spLocks noChangeArrowheads="1"/>
        </xdr:cNvSpPr>
      </xdr:nvSpPr>
      <xdr:spPr bwMode="auto">
        <a:xfrm>
          <a:off x="9553575" y="12084050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30</xdr:row>
      <xdr:rowOff>222250</xdr:rowOff>
    </xdr:from>
    <xdr:to>
      <xdr:col>14</xdr:col>
      <xdr:colOff>354542</xdr:colOff>
      <xdr:row>32</xdr:row>
      <xdr:rowOff>48683</xdr:rowOff>
    </xdr:to>
    <xdr:sp macro="" textlink="">
      <xdr:nvSpPr>
        <xdr:cNvPr id="14" name="Text Box 13" hidden="1">
          <a:extLst>
            <a:ext uri="{FF2B5EF4-FFF2-40B4-BE49-F238E27FC236}">
              <a16:creationId xmlns:a16="http://schemas.microsoft.com/office/drawing/2014/main" id="{154D18A2-08D6-4484-9071-03306A7B8B10}"/>
            </a:ext>
          </a:extLst>
        </xdr:cNvPr>
        <xdr:cNvSpPr txBox="1">
          <a:spLocks noChangeArrowheads="1"/>
        </xdr:cNvSpPr>
      </xdr:nvSpPr>
      <xdr:spPr bwMode="auto">
        <a:xfrm>
          <a:off x="9553575" y="11880850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31</xdr:row>
      <xdr:rowOff>63500</xdr:rowOff>
    </xdr:from>
    <xdr:to>
      <xdr:col>14</xdr:col>
      <xdr:colOff>354542</xdr:colOff>
      <xdr:row>32</xdr:row>
      <xdr:rowOff>249767</xdr:rowOff>
    </xdr:to>
    <xdr:sp macro="" textlink="">
      <xdr:nvSpPr>
        <xdr:cNvPr id="15" name="Text Box 12" hidden="1">
          <a:extLst>
            <a:ext uri="{FF2B5EF4-FFF2-40B4-BE49-F238E27FC236}">
              <a16:creationId xmlns:a16="http://schemas.microsoft.com/office/drawing/2014/main" id="{9C66D29F-54B3-4AE1-A7CD-26A90956A5A4}"/>
            </a:ext>
          </a:extLst>
        </xdr:cNvPr>
        <xdr:cNvSpPr txBox="1">
          <a:spLocks noChangeArrowheads="1"/>
        </xdr:cNvSpPr>
      </xdr:nvSpPr>
      <xdr:spPr bwMode="auto">
        <a:xfrm>
          <a:off x="9553575" y="12084050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30</xdr:row>
      <xdr:rowOff>222250</xdr:rowOff>
    </xdr:from>
    <xdr:to>
      <xdr:col>14</xdr:col>
      <xdr:colOff>354542</xdr:colOff>
      <xdr:row>32</xdr:row>
      <xdr:rowOff>48683</xdr:rowOff>
    </xdr:to>
    <xdr:sp macro="" textlink="">
      <xdr:nvSpPr>
        <xdr:cNvPr id="16" name="Text Box 11" hidden="1">
          <a:extLst>
            <a:ext uri="{FF2B5EF4-FFF2-40B4-BE49-F238E27FC236}">
              <a16:creationId xmlns:a16="http://schemas.microsoft.com/office/drawing/2014/main" id="{6A083D9F-99A2-4AA7-8D97-3CFEB0CB8F3B}"/>
            </a:ext>
          </a:extLst>
        </xdr:cNvPr>
        <xdr:cNvSpPr txBox="1">
          <a:spLocks noChangeArrowheads="1"/>
        </xdr:cNvSpPr>
      </xdr:nvSpPr>
      <xdr:spPr bwMode="auto">
        <a:xfrm>
          <a:off x="9553575" y="11880850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31</xdr:row>
      <xdr:rowOff>63500</xdr:rowOff>
    </xdr:from>
    <xdr:to>
      <xdr:col>14</xdr:col>
      <xdr:colOff>354542</xdr:colOff>
      <xdr:row>32</xdr:row>
      <xdr:rowOff>249767</xdr:rowOff>
    </xdr:to>
    <xdr:sp macro="" textlink="">
      <xdr:nvSpPr>
        <xdr:cNvPr id="17" name="Text Box 10" hidden="1">
          <a:extLst>
            <a:ext uri="{FF2B5EF4-FFF2-40B4-BE49-F238E27FC236}">
              <a16:creationId xmlns:a16="http://schemas.microsoft.com/office/drawing/2014/main" id="{D9E7BE1F-1ADC-4672-8C1C-E0E6BAB434BA}"/>
            </a:ext>
          </a:extLst>
        </xdr:cNvPr>
        <xdr:cNvSpPr txBox="1">
          <a:spLocks noChangeArrowheads="1"/>
        </xdr:cNvSpPr>
      </xdr:nvSpPr>
      <xdr:spPr bwMode="auto">
        <a:xfrm>
          <a:off x="9553575" y="12084050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30</xdr:row>
      <xdr:rowOff>222250</xdr:rowOff>
    </xdr:from>
    <xdr:to>
      <xdr:col>14</xdr:col>
      <xdr:colOff>354542</xdr:colOff>
      <xdr:row>32</xdr:row>
      <xdr:rowOff>48683</xdr:rowOff>
    </xdr:to>
    <xdr:sp macro="" textlink="">
      <xdr:nvSpPr>
        <xdr:cNvPr id="18" name="Text Box 9" hidden="1">
          <a:extLst>
            <a:ext uri="{FF2B5EF4-FFF2-40B4-BE49-F238E27FC236}">
              <a16:creationId xmlns:a16="http://schemas.microsoft.com/office/drawing/2014/main" id="{97BA2D93-09A6-4948-B929-A8432D8698C6}"/>
            </a:ext>
          </a:extLst>
        </xdr:cNvPr>
        <xdr:cNvSpPr txBox="1">
          <a:spLocks noChangeArrowheads="1"/>
        </xdr:cNvSpPr>
      </xdr:nvSpPr>
      <xdr:spPr bwMode="auto">
        <a:xfrm>
          <a:off x="9553575" y="11880850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30</xdr:row>
      <xdr:rowOff>21167</xdr:rowOff>
    </xdr:from>
    <xdr:to>
      <xdr:col>14</xdr:col>
      <xdr:colOff>354542</xdr:colOff>
      <xdr:row>31</xdr:row>
      <xdr:rowOff>207433</xdr:rowOff>
    </xdr:to>
    <xdr:sp macro="" textlink="">
      <xdr:nvSpPr>
        <xdr:cNvPr id="19" name="Text Box 7" hidden="1">
          <a:extLst>
            <a:ext uri="{FF2B5EF4-FFF2-40B4-BE49-F238E27FC236}">
              <a16:creationId xmlns:a16="http://schemas.microsoft.com/office/drawing/2014/main" id="{FA6F33F7-DF8F-4C77-AC82-A122E3071027}"/>
            </a:ext>
          </a:extLst>
        </xdr:cNvPr>
        <xdr:cNvSpPr txBox="1">
          <a:spLocks noChangeArrowheads="1"/>
        </xdr:cNvSpPr>
      </xdr:nvSpPr>
      <xdr:spPr bwMode="auto">
        <a:xfrm>
          <a:off x="9553575" y="11679767"/>
          <a:ext cx="3371850" cy="54821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25</xdr:row>
      <xdr:rowOff>10584</xdr:rowOff>
    </xdr:from>
    <xdr:to>
      <xdr:col>14</xdr:col>
      <xdr:colOff>354542</xdr:colOff>
      <xdr:row>26</xdr:row>
      <xdr:rowOff>196850</xdr:rowOff>
    </xdr:to>
    <xdr:sp macro="" textlink="">
      <xdr:nvSpPr>
        <xdr:cNvPr id="20" name="Text Box 6" hidden="1">
          <a:extLst>
            <a:ext uri="{FF2B5EF4-FFF2-40B4-BE49-F238E27FC236}">
              <a16:creationId xmlns:a16="http://schemas.microsoft.com/office/drawing/2014/main" id="{EBE6E871-F6E0-41F3-A793-59AFE622A7A4}"/>
            </a:ext>
          </a:extLst>
        </xdr:cNvPr>
        <xdr:cNvSpPr txBox="1">
          <a:spLocks noChangeArrowheads="1"/>
        </xdr:cNvSpPr>
      </xdr:nvSpPr>
      <xdr:spPr bwMode="auto">
        <a:xfrm>
          <a:off x="9553575" y="9059334"/>
          <a:ext cx="3371850" cy="54821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25</xdr:row>
      <xdr:rowOff>10584</xdr:rowOff>
    </xdr:from>
    <xdr:to>
      <xdr:col>14</xdr:col>
      <xdr:colOff>354542</xdr:colOff>
      <xdr:row>26</xdr:row>
      <xdr:rowOff>196850</xdr:rowOff>
    </xdr:to>
    <xdr:sp macro="" textlink="">
      <xdr:nvSpPr>
        <xdr:cNvPr id="21" name="Text Box 5" hidden="1">
          <a:extLst>
            <a:ext uri="{FF2B5EF4-FFF2-40B4-BE49-F238E27FC236}">
              <a16:creationId xmlns:a16="http://schemas.microsoft.com/office/drawing/2014/main" id="{C811B1A1-F97C-42E0-9E95-E34F8285DBD2}"/>
            </a:ext>
          </a:extLst>
        </xdr:cNvPr>
        <xdr:cNvSpPr txBox="1">
          <a:spLocks noChangeArrowheads="1"/>
        </xdr:cNvSpPr>
      </xdr:nvSpPr>
      <xdr:spPr bwMode="auto">
        <a:xfrm>
          <a:off x="9553575" y="9059334"/>
          <a:ext cx="3371850" cy="54821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</xdr:col>
      <xdr:colOff>841375</xdr:colOff>
      <xdr:row>34</xdr:row>
      <xdr:rowOff>190500</xdr:rowOff>
    </xdr:from>
    <xdr:to>
      <xdr:col>14</xdr:col>
      <xdr:colOff>354542</xdr:colOff>
      <xdr:row>36</xdr:row>
      <xdr:rowOff>16934</xdr:rowOff>
    </xdr:to>
    <xdr:sp macro="" textlink="">
      <xdr:nvSpPr>
        <xdr:cNvPr id="22" name="Text Box 1" hidden="1">
          <a:extLst>
            <a:ext uri="{FF2B5EF4-FFF2-40B4-BE49-F238E27FC236}">
              <a16:creationId xmlns:a16="http://schemas.microsoft.com/office/drawing/2014/main" id="{A1408C54-5198-4D95-85DD-7A9C059A9AC4}"/>
            </a:ext>
          </a:extLst>
        </xdr:cNvPr>
        <xdr:cNvSpPr txBox="1">
          <a:spLocks noChangeArrowheads="1"/>
        </xdr:cNvSpPr>
      </xdr:nvSpPr>
      <xdr:spPr bwMode="auto">
        <a:xfrm>
          <a:off x="9553575" y="13296900"/>
          <a:ext cx="3371850" cy="55033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470959</xdr:colOff>
      <xdr:row>30</xdr:row>
      <xdr:rowOff>296333</xdr:rowOff>
    </xdr:from>
    <xdr:to>
      <xdr:col>14</xdr:col>
      <xdr:colOff>947209</xdr:colOff>
      <xdr:row>32</xdr:row>
      <xdr:rowOff>143933</xdr:rowOff>
    </xdr:to>
    <xdr:sp macro="" textlink="">
      <xdr:nvSpPr>
        <xdr:cNvPr id="2" name="Text Box 41" hidden="1">
          <a:extLst>
            <a:ext uri="{FF2B5EF4-FFF2-40B4-BE49-F238E27FC236}">
              <a16:creationId xmlns:a16="http://schemas.microsoft.com/office/drawing/2014/main" id="{52980CE2-BB00-43AB-9280-1227CCC29AAF}"/>
            </a:ext>
          </a:extLst>
        </xdr:cNvPr>
        <xdr:cNvSpPr txBox="1">
          <a:spLocks noChangeArrowheads="1"/>
        </xdr:cNvSpPr>
      </xdr:nvSpPr>
      <xdr:spPr bwMode="auto">
        <a:xfrm>
          <a:off x="9551459" y="11080750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24</xdr:row>
      <xdr:rowOff>243416</xdr:rowOff>
    </xdr:from>
    <xdr:to>
      <xdr:col>14</xdr:col>
      <xdr:colOff>947209</xdr:colOff>
      <xdr:row>26</xdr:row>
      <xdr:rowOff>69850</xdr:rowOff>
    </xdr:to>
    <xdr:sp macro="" textlink="">
      <xdr:nvSpPr>
        <xdr:cNvPr id="3" name="Text Box 33" hidden="1">
          <a:extLst>
            <a:ext uri="{FF2B5EF4-FFF2-40B4-BE49-F238E27FC236}">
              <a16:creationId xmlns:a16="http://schemas.microsoft.com/office/drawing/2014/main" id="{498CED37-C5A5-4BD4-8DDE-8348F0644A47}"/>
            </a:ext>
          </a:extLst>
        </xdr:cNvPr>
        <xdr:cNvSpPr txBox="1">
          <a:spLocks noChangeArrowheads="1"/>
        </xdr:cNvSpPr>
      </xdr:nvSpPr>
      <xdr:spPr bwMode="auto">
        <a:xfrm>
          <a:off x="9551459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24</xdr:row>
      <xdr:rowOff>243416</xdr:rowOff>
    </xdr:from>
    <xdr:to>
      <xdr:col>14</xdr:col>
      <xdr:colOff>947209</xdr:colOff>
      <xdr:row>26</xdr:row>
      <xdr:rowOff>69850</xdr:rowOff>
    </xdr:to>
    <xdr:sp macro="" textlink="">
      <xdr:nvSpPr>
        <xdr:cNvPr id="4" name="Text Box 28" hidden="1">
          <a:extLst>
            <a:ext uri="{FF2B5EF4-FFF2-40B4-BE49-F238E27FC236}">
              <a16:creationId xmlns:a16="http://schemas.microsoft.com/office/drawing/2014/main" id="{5BA0CBBB-B8C1-4647-86BC-CAB948E78D9A}"/>
            </a:ext>
          </a:extLst>
        </xdr:cNvPr>
        <xdr:cNvSpPr txBox="1">
          <a:spLocks noChangeArrowheads="1"/>
        </xdr:cNvSpPr>
      </xdr:nvSpPr>
      <xdr:spPr bwMode="auto">
        <a:xfrm>
          <a:off x="9551459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18</xdr:row>
      <xdr:rowOff>137583</xdr:rowOff>
    </xdr:from>
    <xdr:to>
      <xdr:col>14</xdr:col>
      <xdr:colOff>947209</xdr:colOff>
      <xdr:row>22</xdr:row>
      <xdr:rowOff>260350</xdr:rowOff>
    </xdr:to>
    <xdr:sp macro="" textlink="">
      <xdr:nvSpPr>
        <xdr:cNvPr id="5" name="Text Box 27" hidden="1">
          <a:extLst>
            <a:ext uri="{FF2B5EF4-FFF2-40B4-BE49-F238E27FC236}">
              <a16:creationId xmlns:a16="http://schemas.microsoft.com/office/drawing/2014/main" id="{3CEAC69A-F469-4E2A-97DC-1CC4BF4F79FD}"/>
            </a:ext>
          </a:extLst>
        </xdr:cNvPr>
        <xdr:cNvSpPr txBox="1">
          <a:spLocks noChangeArrowheads="1"/>
        </xdr:cNvSpPr>
      </xdr:nvSpPr>
      <xdr:spPr bwMode="auto">
        <a:xfrm>
          <a:off x="9551459" y="6578600"/>
          <a:ext cx="3371850" cy="157056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26</xdr:row>
      <xdr:rowOff>127000</xdr:rowOff>
    </xdr:from>
    <xdr:to>
      <xdr:col>14</xdr:col>
      <xdr:colOff>947209</xdr:colOff>
      <xdr:row>27</xdr:row>
      <xdr:rowOff>313266</xdr:rowOff>
    </xdr:to>
    <xdr:sp macro="" textlink="">
      <xdr:nvSpPr>
        <xdr:cNvPr id="6" name="Text Box 24" hidden="1">
          <a:extLst>
            <a:ext uri="{FF2B5EF4-FFF2-40B4-BE49-F238E27FC236}">
              <a16:creationId xmlns:a16="http://schemas.microsoft.com/office/drawing/2014/main" id="{C4B89319-5138-4BEF-8B94-B8DD57B09EC5}"/>
            </a:ext>
          </a:extLst>
        </xdr:cNvPr>
        <xdr:cNvSpPr txBox="1">
          <a:spLocks noChangeArrowheads="1"/>
        </xdr:cNvSpPr>
      </xdr:nvSpPr>
      <xdr:spPr bwMode="auto">
        <a:xfrm>
          <a:off x="9551459" y="9463616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26</xdr:row>
      <xdr:rowOff>127000</xdr:rowOff>
    </xdr:from>
    <xdr:to>
      <xdr:col>14</xdr:col>
      <xdr:colOff>947209</xdr:colOff>
      <xdr:row>27</xdr:row>
      <xdr:rowOff>313266</xdr:rowOff>
    </xdr:to>
    <xdr:sp macro="" textlink="">
      <xdr:nvSpPr>
        <xdr:cNvPr id="7" name="Text Box 23" hidden="1">
          <a:extLst>
            <a:ext uri="{FF2B5EF4-FFF2-40B4-BE49-F238E27FC236}">
              <a16:creationId xmlns:a16="http://schemas.microsoft.com/office/drawing/2014/main" id="{AE99D033-DDA8-4B77-8796-32E929629155}"/>
            </a:ext>
          </a:extLst>
        </xdr:cNvPr>
        <xdr:cNvSpPr txBox="1">
          <a:spLocks noChangeArrowheads="1"/>
        </xdr:cNvSpPr>
      </xdr:nvSpPr>
      <xdr:spPr bwMode="auto">
        <a:xfrm>
          <a:off x="9551459" y="9463616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13</xdr:row>
      <xdr:rowOff>317500</xdr:rowOff>
    </xdr:from>
    <xdr:to>
      <xdr:col>14</xdr:col>
      <xdr:colOff>947209</xdr:colOff>
      <xdr:row>18</xdr:row>
      <xdr:rowOff>80433</xdr:rowOff>
    </xdr:to>
    <xdr:sp macro="" textlink="">
      <xdr:nvSpPr>
        <xdr:cNvPr id="8" name="Text Box 22" hidden="1">
          <a:extLst>
            <a:ext uri="{FF2B5EF4-FFF2-40B4-BE49-F238E27FC236}">
              <a16:creationId xmlns:a16="http://schemas.microsoft.com/office/drawing/2014/main" id="{EA363811-EB21-49F4-B940-0DD9470F3BBF}"/>
            </a:ext>
          </a:extLst>
        </xdr:cNvPr>
        <xdr:cNvSpPr txBox="1">
          <a:spLocks noChangeArrowheads="1"/>
        </xdr:cNvSpPr>
      </xdr:nvSpPr>
      <xdr:spPr bwMode="auto">
        <a:xfrm>
          <a:off x="9551459" y="4948767"/>
          <a:ext cx="3371850" cy="157268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24</xdr:row>
      <xdr:rowOff>243416</xdr:rowOff>
    </xdr:from>
    <xdr:to>
      <xdr:col>14</xdr:col>
      <xdr:colOff>947209</xdr:colOff>
      <xdr:row>26</xdr:row>
      <xdr:rowOff>69850</xdr:rowOff>
    </xdr:to>
    <xdr:sp macro="" textlink="">
      <xdr:nvSpPr>
        <xdr:cNvPr id="9" name="Text Box 20" hidden="1">
          <a:extLst>
            <a:ext uri="{FF2B5EF4-FFF2-40B4-BE49-F238E27FC236}">
              <a16:creationId xmlns:a16="http://schemas.microsoft.com/office/drawing/2014/main" id="{00C85C49-0213-45F2-A564-E0806BA71F46}"/>
            </a:ext>
          </a:extLst>
        </xdr:cNvPr>
        <xdr:cNvSpPr txBox="1">
          <a:spLocks noChangeArrowheads="1"/>
        </xdr:cNvSpPr>
      </xdr:nvSpPr>
      <xdr:spPr bwMode="auto">
        <a:xfrm>
          <a:off x="9551459" y="88561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18</xdr:row>
      <xdr:rowOff>137583</xdr:rowOff>
    </xdr:from>
    <xdr:to>
      <xdr:col>14</xdr:col>
      <xdr:colOff>947209</xdr:colOff>
      <xdr:row>22</xdr:row>
      <xdr:rowOff>260350</xdr:rowOff>
    </xdr:to>
    <xdr:sp macro="" textlink="">
      <xdr:nvSpPr>
        <xdr:cNvPr id="10" name="Text Box 19" hidden="1">
          <a:extLst>
            <a:ext uri="{FF2B5EF4-FFF2-40B4-BE49-F238E27FC236}">
              <a16:creationId xmlns:a16="http://schemas.microsoft.com/office/drawing/2014/main" id="{3035773F-6272-4116-B491-6BEF79DE8B90}"/>
            </a:ext>
          </a:extLst>
        </xdr:cNvPr>
        <xdr:cNvSpPr txBox="1">
          <a:spLocks noChangeArrowheads="1"/>
        </xdr:cNvSpPr>
      </xdr:nvSpPr>
      <xdr:spPr bwMode="auto">
        <a:xfrm>
          <a:off x="9551459" y="6578600"/>
          <a:ext cx="3371850" cy="157056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243417</xdr:rowOff>
    </xdr:from>
    <xdr:to>
      <xdr:col>14</xdr:col>
      <xdr:colOff>947209</xdr:colOff>
      <xdr:row>35</xdr:row>
      <xdr:rowOff>69850</xdr:rowOff>
    </xdr:to>
    <xdr:sp macro="" textlink="">
      <xdr:nvSpPr>
        <xdr:cNvPr id="11" name="Text Box 16" hidden="1">
          <a:extLst>
            <a:ext uri="{FF2B5EF4-FFF2-40B4-BE49-F238E27FC236}">
              <a16:creationId xmlns:a16="http://schemas.microsoft.com/office/drawing/2014/main" id="{D5A410CE-5FB2-460A-978D-A16A3196D362}"/>
            </a:ext>
          </a:extLst>
        </xdr:cNvPr>
        <xdr:cNvSpPr txBox="1">
          <a:spLocks noChangeArrowheads="1"/>
        </xdr:cNvSpPr>
      </xdr:nvSpPr>
      <xdr:spPr bwMode="auto">
        <a:xfrm>
          <a:off x="9551459" y="12092517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42333</xdr:rowOff>
    </xdr:from>
    <xdr:to>
      <xdr:col>14</xdr:col>
      <xdr:colOff>947209</xdr:colOff>
      <xdr:row>34</xdr:row>
      <xdr:rowOff>228600</xdr:rowOff>
    </xdr:to>
    <xdr:sp macro="" textlink="">
      <xdr:nvSpPr>
        <xdr:cNvPr id="12" name="Text Box 15" hidden="1">
          <a:extLst>
            <a:ext uri="{FF2B5EF4-FFF2-40B4-BE49-F238E27FC236}">
              <a16:creationId xmlns:a16="http://schemas.microsoft.com/office/drawing/2014/main" id="{84F5D6E1-FFFE-47C4-8FB0-9237DF974E02}"/>
            </a:ext>
          </a:extLst>
        </xdr:cNvPr>
        <xdr:cNvSpPr txBox="1">
          <a:spLocks noChangeArrowheads="1"/>
        </xdr:cNvSpPr>
      </xdr:nvSpPr>
      <xdr:spPr bwMode="auto">
        <a:xfrm>
          <a:off x="9551459" y="11889316"/>
          <a:ext cx="3371850" cy="55033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243417</xdr:rowOff>
    </xdr:from>
    <xdr:to>
      <xdr:col>14</xdr:col>
      <xdr:colOff>947209</xdr:colOff>
      <xdr:row>35</xdr:row>
      <xdr:rowOff>69850</xdr:rowOff>
    </xdr:to>
    <xdr:sp macro="" textlink="">
      <xdr:nvSpPr>
        <xdr:cNvPr id="13" name="Text Box 14" hidden="1">
          <a:extLst>
            <a:ext uri="{FF2B5EF4-FFF2-40B4-BE49-F238E27FC236}">
              <a16:creationId xmlns:a16="http://schemas.microsoft.com/office/drawing/2014/main" id="{ECDDA958-1BAB-49BF-B9BA-C6D025C4A573}"/>
            </a:ext>
          </a:extLst>
        </xdr:cNvPr>
        <xdr:cNvSpPr txBox="1">
          <a:spLocks noChangeArrowheads="1"/>
        </xdr:cNvSpPr>
      </xdr:nvSpPr>
      <xdr:spPr bwMode="auto">
        <a:xfrm>
          <a:off x="9551459" y="12092517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42333</xdr:rowOff>
    </xdr:from>
    <xdr:to>
      <xdr:col>14</xdr:col>
      <xdr:colOff>947209</xdr:colOff>
      <xdr:row>34</xdr:row>
      <xdr:rowOff>228600</xdr:rowOff>
    </xdr:to>
    <xdr:sp macro="" textlink="">
      <xdr:nvSpPr>
        <xdr:cNvPr id="14" name="Text Box 13" hidden="1">
          <a:extLst>
            <a:ext uri="{FF2B5EF4-FFF2-40B4-BE49-F238E27FC236}">
              <a16:creationId xmlns:a16="http://schemas.microsoft.com/office/drawing/2014/main" id="{B12C0935-7F6A-4F0B-8AC0-30CA8424A21D}"/>
            </a:ext>
          </a:extLst>
        </xdr:cNvPr>
        <xdr:cNvSpPr txBox="1">
          <a:spLocks noChangeArrowheads="1"/>
        </xdr:cNvSpPr>
      </xdr:nvSpPr>
      <xdr:spPr bwMode="auto">
        <a:xfrm>
          <a:off x="9551459" y="11889316"/>
          <a:ext cx="3371850" cy="55033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243417</xdr:rowOff>
    </xdr:from>
    <xdr:to>
      <xdr:col>14</xdr:col>
      <xdr:colOff>947209</xdr:colOff>
      <xdr:row>35</xdr:row>
      <xdr:rowOff>69850</xdr:rowOff>
    </xdr:to>
    <xdr:sp macro="" textlink="">
      <xdr:nvSpPr>
        <xdr:cNvPr id="15" name="Text Box 12" hidden="1">
          <a:extLst>
            <a:ext uri="{FF2B5EF4-FFF2-40B4-BE49-F238E27FC236}">
              <a16:creationId xmlns:a16="http://schemas.microsoft.com/office/drawing/2014/main" id="{A1CB98F4-4286-48AF-A183-433EE25F9560}"/>
            </a:ext>
          </a:extLst>
        </xdr:cNvPr>
        <xdr:cNvSpPr txBox="1">
          <a:spLocks noChangeArrowheads="1"/>
        </xdr:cNvSpPr>
      </xdr:nvSpPr>
      <xdr:spPr bwMode="auto">
        <a:xfrm>
          <a:off x="9551459" y="12092517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42333</xdr:rowOff>
    </xdr:from>
    <xdr:to>
      <xdr:col>14</xdr:col>
      <xdr:colOff>947209</xdr:colOff>
      <xdr:row>34</xdr:row>
      <xdr:rowOff>228600</xdr:rowOff>
    </xdr:to>
    <xdr:sp macro="" textlink="">
      <xdr:nvSpPr>
        <xdr:cNvPr id="16" name="Text Box 11" hidden="1">
          <a:extLst>
            <a:ext uri="{FF2B5EF4-FFF2-40B4-BE49-F238E27FC236}">
              <a16:creationId xmlns:a16="http://schemas.microsoft.com/office/drawing/2014/main" id="{9D10F7A6-04AD-4793-BE7A-E552E42AD938}"/>
            </a:ext>
          </a:extLst>
        </xdr:cNvPr>
        <xdr:cNvSpPr txBox="1">
          <a:spLocks noChangeArrowheads="1"/>
        </xdr:cNvSpPr>
      </xdr:nvSpPr>
      <xdr:spPr bwMode="auto">
        <a:xfrm>
          <a:off x="9551459" y="11889316"/>
          <a:ext cx="3371850" cy="55033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243417</xdr:rowOff>
    </xdr:from>
    <xdr:to>
      <xdr:col>14</xdr:col>
      <xdr:colOff>947209</xdr:colOff>
      <xdr:row>35</xdr:row>
      <xdr:rowOff>69850</xdr:rowOff>
    </xdr:to>
    <xdr:sp macro="" textlink="">
      <xdr:nvSpPr>
        <xdr:cNvPr id="17" name="Text Box 10" hidden="1">
          <a:extLst>
            <a:ext uri="{FF2B5EF4-FFF2-40B4-BE49-F238E27FC236}">
              <a16:creationId xmlns:a16="http://schemas.microsoft.com/office/drawing/2014/main" id="{6730F5B8-93C2-4EB1-9D53-DFBED8456AE3}"/>
            </a:ext>
          </a:extLst>
        </xdr:cNvPr>
        <xdr:cNvSpPr txBox="1">
          <a:spLocks noChangeArrowheads="1"/>
        </xdr:cNvSpPr>
      </xdr:nvSpPr>
      <xdr:spPr bwMode="auto">
        <a:xfrm>
          <a:off x="9551459" y="12092517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33</xdr:row>
      <xdr:rowOff>42333</xdr:rowOff>
    </xdr:from>
    <xdr:to>
      <xdr:col>14</xdr:col>
      <xdr:colOff>947209</xdr:colOff>
      <xdr:row>34</xdr:row>
      <xdr:rowOff>228600</xdr:rowOff>
    </xdr:to>
    <xdr:sp macro="" textlink="">
      <xdr:nvSpPr>
        <xdr:cNvPr id="18" name="Text Box 9" hidden="1">
          <a:extLst>
            <a:ext uri="{FF2B5EF4-FFF2-40B4-BE49-F238E27FC236}">
              <a16:creationId xmlns:a16="http://schemas.microsoft.com/office/drawing/2014/main" id="{8E5DD8C8-61AD-47AB-9483-A132EEC778B9}"/>
            </a:ext>
          </a:extLst>
        </xdr:cNvPr>
        <xdr:cNvSpPr txBox="1">
          <a:spLocks noChangeArrowheads="1"/>
        </xdr:cNvSpPr>
      </xdr:nvSpPr>
      <xdr:spPr bwMode="auto">
        <a:xfrm>
          <a:off x="9551459" y="11889316"/>
          <a:ext cx="3371850" cy="55033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32</xdr:row>
      <xdr:rowOff>201083</xdr:rowOff>
    </xdr:from>
    <xdr:to>
      <xdr:col>14</xdr:col>
      <xdr:colOff>947209</xdr:colOff>
      <xdr:row>34</xdr:row>
      <xdr:rowOff>27517</xdr:rowOff>
    </xdr:to>
    <xdr:sp macro="" textlink="">
      <xdr:nvSpPr>
        <xdr:cNvPr id="19" name="Text Box 7" hidden="1">
          <a:extLst>
            <a:ext uri="{FF2B5EF4-FFF2-40B4-BE49-F238E27FC236}">
              <a16:creationId xmlns:a16="http://schemas.microsoft.com/office/drawing/2014/main" id="{FAFFA101-6E44-46D6-9CB9-A027F3AF7DD6}"/>
            </a:ext>
          </a:extLst>
        </xdr:cNvPr>
        <xdr:cNvSpPr txBox="1">
          <a:spLocks noChangeArrowheads="1"/>
        </xdr:cNvSpPr>
      </xdr:nvSpPr>
      <xdr:spPr bwMode="auto">
        <a:xfrm>
          <a:off x="9551459" y="11688233"/>
          <a:ext cx="3371850" cy="548217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25</xdr:row>
      <xdr:rowOff>84667</xdr:rowOff>
    </xdr:from>
    <xdr:to>
      <xdr:col>14</xdr:col>
      <xdr:colOff>947209</xdr:colOff>
      <xdr:row>26</xdr:row>
      <xdr:rowOff>270934</xdr:rowOff>
    </xdr:to>
    <xdr:sp macro="" textlink="">
      <xdr:nvSpPr>
        <xdr:cNvPr id="20" name="Text Box 6" hidden="1">
          <a:extLst>
            <a:ext uri="{FF2B5EF4-FFF2-40B4-BE49-F238E27FC236}">
              <a16:creationId xmlns:a16="http://schemas.microsoft.com/office/drawing/2014/main" id="{6DED0F94-1869-4D98-981D-0994C48EC4CD}"/>
            </a:ext>
          </a:extLst>
        </xdr:cNvPr>
        <xdr:cNvSpPr txBox="1">
          <a:spLocks noChangeArrowheads="1"/>
        </xdr:cNvSpPr>
      </xdr:nvSpPr>
      <xdr:spPr bwMode="auto">
        <a:xfrm>
          <a:off x="9551459" y="9059334"/>
          <a:ext cx="3371850" cy="54821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25</xdr:row>
      <xdr:rowOff>84667</xdr:rowOff>
    </xdr:from>
    <xdr:to>
      <xdr:col>14</xdr:col>
      <xdr:colOff>947209</xdr:colOff>
      <xdr:row>26</xdr:row>
      <xdr:rowOff>270934</xdr:rowOff>
    </xdr:to>
    <xdr:sp macro="" textlink="">
      <xdr:nvSpPr>
        <xdr:cNvPr id="21" name="Text Box 5" hidden="1">
          <a:extLst>
            <a:ext uri="{FF2B5EF4-FFF2-40B4-BE49-F238E27FC236}">
              <a16:creationId xmlns:a16="http://schemas.microsoft.com/office/drawing/2014/main" id="{F00FC70B-116B-4A9E-83AA-1B6B1846F100}"/>
            </a:ext>
          </a:extLst>
        </xdr:cNvPr>
        <xdr:cNvSpPr txBox="1">
          <a:spLocks noChangeArrowheads="1"/>
        </xdr:cNvSpPr>
      </xdr:nvSpPr>
      <xdr:spPr bwMode="auto">
        <a:xfrm>
          <a:off x="9551459" y="9059334"/>
          <a:ext cx="3371850" cy="548216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11</xdr:col>
      <xdr:colOff>470959</xdr:colOff>
      <xdr:row>37</xdr:row>
      <xdr:rowOff>10584</xdr:rowOff>
    </xdr:from>
    <xdr:to>
      <xdr:col>14</xdr:col>
      <xdr:colOff>947209</xdr:colOff>
      <xdr:row>38</xdr:row>
      <xdr:rowOff>196850</xdr:rowOff>
    </xdr:to>
    <xdr:sp macro="" textlink="">
      <xdr:nvSpPr>
        <xdr:cNvPr id="22" name="Text Box 1" hidden="1">
          <a:extLst>
            <a:ext uri="{FF2B5EF4-FFF2-40B4-BE49-F238E27FC236}">
              <a16:creationId xmlns:a16="http://schemas.microsoft.com/office/drawing/2014/main" id="{D18BC6CC-9A41-456E-87ED-7CB50B550658}"/>
            </a:ext>
          </a:extLst>
        </xdr:cNvPr>
        <xdr:cNvSpPr txBox="1">
          <a:spLocks noChangeArrowheads="1"/>
        </xdr:cNvSpPr>
      </xdr:nvSpPr>
      <xdr:spPr bwMode="auto">
        <a:xfrm>
          <a:off x="9551459" y="13307484"/>
          <a:ext cx="3371850" cy="550333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miko.koga_01.13@docomo.ne.jp" TargetMode="External"/><Relationship Id="rId13" Type="http://schemas.openxmlformats.org/officeDocument/2006/relationships/hyperlink" Target="mailto:sieg7172@i.softbank.jp" TargetMode="External"/><Relationship Id="rId18" Type="http://schemas.openxmlformats.org/officeDocument/2006/relationships/hyperlink" Target="mailto:mahomaho._.16th.march@au.com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mailto:tokitan0317@docomo.ne.jp" TargetMode="External"/><Relationship Id="rId21" Type="http://schemas.openxmlformats.org/officeDocument/2006/relationships/hyperlink" Target="mailto:mond.yoko.s@gmail.com" TargetMode="External"/><Relationship Id="rId7" Type="http://schemas.openxmlformats.org/officeDocument/2006/relationships/hyperlink" Target="mailto:hiroshix55@hotmail.com" TargetMode="External"/><Relationship Id="rId12" Type="http://schemas.openxmlformats.org/officeDocument/2006/relationships/hyperlink" Target="mailto:tae05238@yahoo.co.jp" TargetMode="External"/><Relationship Id="rId17" Type="http://schemas.openxmlformats.org/officeDocument/2006/relationships/hyperlink" Target="mailto:mahomaho._.16th.march@au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tokitan0317@docomo.ne.jp" TargetMode="External"/><Relationship Id="rId16" Type="http://schemas.openxmlformats.org/officeDocument/2006/relationships/hyperlink" Target="mailto:sena_ren_0321@ezweb.ne.jp" TargetMode="External"/><Relationship Id="rId20" Type="http://schemas.openxmlformats.org/officeDocument/2006/relationships/hyperlink" Target="mailto:mond.yoko.s@gmail.com" TargetMode="External"/><Relationship Id="rId1" Type="http://schemas.openxmlformats.org/officeDocument/2006/relationships/hyperlink" Target="mailto:tokitan0317@docomo.ne.jp" TargetMode="External"/><Relationship Id="rId6" Type="http://schemas.openxmlformats.org/officeDocument/2006/relationships/hyperlink" Target="mailto:anncomet@hotmail.co.jp" TargetMode="External"/><Relationship Id="rId11" Type="http://schemas.openxmlformats.org/officeDocument/2006/relationships/hyperlink" Target="mailto:tae05238@yahoo.co.jp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calling200623@yahoo.co.jp" TargetMode="External"/><Relationship Id="rId15" Type="http://schemas.openxmlformats.org/officeDocument/2006/relationships/hyperlink" Target="mailto:das-hause-liebesgottin@docomo.ne.jp" TargetMode="External"/><Relationship Id="rId23" Type="http://schemas.openxmlformats.org/officeDocument/2006/relationships/hyperlink" Target="mailto:noamama.ifam@gmail.com" TargetMode="External"/><Relationship Id="rId10" Type="http://schemas.openxmlformats.org/officeDocument/2006/relationships/hyperlink" Target="mailto:norikonora3@yahoo.co.jp" TargetMode="External"/><Relationship Id="rId19" Type="http://schemas.openxmlformats.org/officeDocument/2006/relationships/hyperlink" Target="mailto:mond.yoko.s@gmail.com" TargetMode="External"/><Relationship Id="rId4" Type="http://schemas.openxmlformats.org/officeDocument/2006/relationships/hyperlink" Target="mailto:rukam-kat722.521@ezweb.ne.jp" TargetMode="External"/><Relationship Id="rId9" Type="http://schemas.openxmlformats.org/officeDocument/2006/relationships/hyperlink" Target="mailto:koyukin@docomo.ne.jp" TargetMode="External"/><Relationship Id="rId14" Type="http://schemas.openxmlformats.org/officeDocument/2006/relationships/hyperlink" Target="mailto:das-hause-liebesgottin@docomo.ne.jp" TargetMode="External"/><Relationship Id="rId22" Type="http://schemas.openxmlformats.org/officeDocument/2006/relationships/hyperlink" Target="mailto:pvmanh2008@gmail.com(&#29238;)" TargetMode="Externa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6"/>
  <sheetViews>
    <sheetView zoomScale="90" zoomScaleNormal="90" workbookViewId="0">
      <pane xSplit="2" ySplit="2" topLeftCell="C34" activePane="bottomRight" state="frozen"/>
      <selection pane="topRight" activeCell="C1" sqref="C1"/>
      <selection pane="bottomLeft" activeCell="A3" sqref="A3"/>
      <selection pane="bottomRight" activeCell="A38" sqref="A38"/>
    </sheetView>
  </sheetViews>
  <sheetFormatPr defaultColWidth="14.42578125" defaultRowHeight="28.5" customHeight="1"/>
  <cols>
    <col min="1" max="11" width="10.85546875" customWidth="1"/>
    <col min="12" max="12" width="12.5703125" bestFit="1" customWidth="1"/>
    <col min="13" max="15" width="10.85546875" customWidth="1"/>
  </cols>
  <sheetData>
    <row r="1" spans="1:15" ht="28.5" customHeight="1">
      <c r="A1" s="7" t="s">
        <v>1</v>
      </c>
      <c r="B1" s="8" t="s">
        <v>9</v>
      </c>
      <c r="C1" s="9" t="s">
        <v>10</v>
      </c>
      <c r="D1" s="9" t="s">
        <v>11</v>
      </c>
      <c r="E1" s="9" t="s">
        <v>12</v>
      </c>
      <c r="F1" s="9" t="s">
        <v>507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  <c r="M1" s="9" t="s">
        <v>19</v>
      </c>
      <c r="N1" s="11" t="s">
        <v>20</v>
      </c>
      <c r="O1" s="13" t="s">
        <v>21</v>
      </c>
    </row>
    <row r="2" spans="1:15" ht="28.5" customHeight="1">
      <c r="A2" s="3"/>
      <c r="B2" s="334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</row>
    <row r="3" spans="1:15" ht="28.5" customHeight="1">
      <c r="A3" s="12"/>
      <c r="B3" s="12"/>
      <c r="C3" s="12"/>
      <c r="D3" s="12"/>
      <c r="E3" s="12"/>
      <c r="F3" s="12"/>
      <c r="G3" s="12"/>
      <c r="H3" s="12"/>
      <c r="I3" s="12"/>
      <c r="J3" s="12" t="s">
        <v>22</v>
      </c>
      <c r="K3" s="12"/>
      <c r="L3" s="12"/>
      <c r="M3" s="12"/>
      <c r="N3" s="12"/>
      <c r="O3" s="12"/>
    </row>
    <row r="4" spans="1:15" ht="28.5" customHeight="1">
      <c r="A4" s="15" t="s">
        <v>23</v>
      </c>
      <c r="B4" s="16" t="s">
        <v>25</v>
      </c>
      <c r="C4" s="16" t="s">
        <v>28</v>
      </c>
      <c r="D4" s="16" t="s">
        <v>29</v>
      </c>
      <c r="E4" s="16"/>
      <c r="F4" s="16"/>
      <c r="G4" s="16"/>
      <c r="H4" s="16" t="s">
        <v>30</v>
      </c>
      <c r="I4" s="16" t="s">
        <v>31</v>
      </c>
      <c r="J4" s="143" t="s">
        <v>515</v>
      </c>
      <c r="K4" s="139">
        <v>7012</v>
      </c>
      <c r="L4" s="24"/>
      <c r="M4" s="24"/>
      <c r="N4" s="24"/>
      <c r="O4" s="16"/>
    </row>
    <row r="5" spans="1:15" ht="28.5" customHeight="1">
      <c r="A5" s="204" t="s">
        <v>589</v>
      </c>
      <c r="B5" s="16" t="s">
        <v>45</v>
      </c>
      <c r="C5" s="16" t="s">
        <v>46</v>
      </c>
      <c r="D5" s="16"/>
      <c r="E5" s="16" t="s">
        <v>47</v>
      </c>
      <c r="F5" s="16" t="s">
        <v>48</v>
      </c>
      <c r="G5" s="16"/>
      <c r="H5" s="16" t="s">
        <v>49</v>
      </c>
      <c r="I5" s="16" t="s">
        <v>31</v>
      </c>
      <c r="J5" s="190" t="s">
        <v>100</v>
      </c>
      <c r="K5" s="139">
        <v>17600</v>
      </c>
      <c r="L5" s="24"/>
      <c r="M5" s="24"/>
      <c r="N5" s="24"/>
      <c r="O5" s="15"/>
    </row>
    <row r="6" spans="1:15" s="211" customFormat="1" ht="28.5" customHeight="1">
      <c r="A6" s="213"/>
      <c r="B6" s="182" t="s">
        <v>614</v>
      </c>
      <c r="C6" s="213" t="s">
        <v>615</v>
      </c>
      <c r="D6" s="213" t="s">
        <v>616</v>
      </c>
      <c r="E6" s="213" t="s">
        <v>617</v>
      </c>
      <c r="F6" s="187" t="s">
        <v>618</v>
      </c>
      <c r="G6" s="213"/>
      <c r="H6" s="182" t="s">
        <v>619</v>
      </c>
      <c r="I6" s="182" t="s">
        <v>608</v>
      </c>
      <c r="J6" s="213" t="s">
        <v>100</v>
      </c>
      <c r="K6" s="210">
        <v>19980</v>
      </c>
      <c r="L6" s="162">
        <v>43754</v>
      </c>
      <c r="M6" s="162"/>
      <c r="N6" s="162"/>
      <c r="O6" s="182" t="s">
        <v>609</v>
      </c>
    </row>
    <row r="7" spans="1:15" ht="28.5" customHeight="1">
      <c r="A7" s="15" t="s">
        <v>60</v>
      </c>
      <c r="B7" s="16" t="s">
        <v>61</v>
      </c>
      <c r="C7" s="16" t="s">
        <v>62</v>
      </c>
      <c r="D7" s="16"/>
      <c r="E7" s="16" t="s">
        <v>63</v>
      </c>
      <c r="F7" s="16" t="s">
        <v>64</v>
      </c>
      <c r="G7" s="16"/>
      <c r="H7" s="16" t="s">
        <v>65</v>
      </c>
      <c r="I7" s="16" t="s">
        <v>31</v>
      </c>
      <c r="J7" s="16" t="s">
        <v>66</v>
      </c>
      <c r="K7" s="139">
        <v>8800</v>
      </c>
      <c r="L7" s="24"/>
      <c r="M7" s="24"/>
      <c r="N7" s="24"/>
      <c r="O7" s="16"/>
    </row>
    <row r="8" spans="1:15" s="215" customFormat="1" ht="28.5" customHeight="1">
      <c r="A8" s="217"/>
      <c r="B8" s="182" t="s">
        <v>635</v>
      </c>
      <c r="C8" s="217" t="s">
        <v>631</v>
      </c>
      <c r="D8" s="217"/>
      <c r="E8" s="217" t="s">
        <v>632</v>
      </c>
      <c r="F8" s="187" t="s">
        <v>633</v>
      </c>
      <c r="G8" s="217"/>
      <c r="H8" s="182" t="s">
        <v>634</v>
      </c>
      <c r="I8" s="217" t="s">
        <v>31</v>
      </c>
      <c r="J8" s="144" t="s">
        <v>721</v>
      </c>
      <c r="K8" s="214">
        <v>6600</v>
      </c>
      <c r="L8" s="162">
        <v>43766</v>
      </c>
      <c r="M8" s="162"/>
      <c r="N8" s="162"/>
      <c r="O8" s="217" t="s">
        <v>92</v>
      </c>
    </row>
    <row r="9" spans="1:15" ht="28.5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/>
      <c r="H9" s="16" t="s">
        <v>74</v>
      </c>
      <c r="I9" s="16" t="s">
        <v>31</v>
      </c>
      <c r="J9" s="15" t="s">
        <v>75</v>
      </c>
      <c r="K9" s="139">
        <v>11412</v>
      </c>
      <c r="L9" s="24"/>
      <c r="M9" s="24"/>
      <c r="N9" s="24"/>
      <c r="O9" s="16"/>
    </row>
    <row r="10" spans="1:15" s="320" customFormat="1" ht="28.5" customHeight="1">
      <c r="A10" s="322"/>
      <c r="B10" s="182" t="s">
        <v>714</v>
      </c>
      <c r="C10" s="322" t="s">
        <v>715</v>
      </c>
      <c r="D10" s="322" t="s">
        <v>716</v>
      </c>
      <c r="E10" s="322" t="s">
        <v>717</v>
      </c>
      <c r="F10" s="187" t="s">
        <v>718</v>
      </c>
      <c r="G10" s="322"/>
      <c r="H10" s="182" t="s">
        <v>719</v>
      </c>
      <c r="I10" s="182" t="s">
        <v>720</v>
      </c>
      <c r="J10" s="144" t="s">
        <v>641</v>
      </c>
      <c r="K10" s="319">
        <v>6050</v>
      </c>
      <c r="L10" s="162">
        <v>43866</v>
      </c>
      <c r="M10" s="162"/>
      <c r="N10" s="162"/>
      <c r="O10" s="322" t="s">
        <v>92</v>
      </c>
    </row>
    <row r="11" spans="1:15" ht="28.5" customHeight="1">
      <c r="A11" s="15" t="s">
        <v>77</v>
      </c>
      <c r="B11" s="16" t="s">
        <v>78</v>
      </c>
      <c r="C11" s="16" t="s">
        <v>79</v>
      </c>
      <c r="D11" s="16" t="s">
        <v>80</v>
      </c>
      <c r="E11" s="16" t="s">
        <v>81</v>
      </c>
      <c r="F11" s="16" t="s">
        <v>82</v>
      </c>
      <c r="G11" s="16"/>
      <c r="H11" s="16" t="s">
        <v>83</v>
      </c>
      <c r="I11" s="16" t="s">
        <v>31</v>
      </c>
      <c r="J11" s="16" t="s">
        <v>84</v>
      </c>
      <c r="K11" s="139">
        <v>8800</v>
      </c>
      <c r="L11" s="24"/>
      <c r="M11" s="24">
        <v>43800</v>
      </c>
      <c r="N11" s="24"/>
      <c r="O11" s="16"/>
    </row>
    <row r="12" spans="1:15" ht="28.5" customHeight="1">
      <c r="A12" s="15" t="s">
        <v>85</v>
      </c>
      <c r="B12" s="16" t="s">
        <v>86</v>
      </c>
      <c r="C12" s="16" t="s">
        <v>87</v>
      </c>
      <c r="D12" s="16"/>
      <c r="E12" s="16" t="s">
        <v>88</v>
      </c>
      <c r="F12" s="16" t="s">
        <v>89</v>
      </c>
      <c r="G12" s="16"/>
      <c r="H12" s="16" t="s">
        <v>90</v>
      </c>
      <c r="I12" s="16" t="s">
        <v>31</v>
      </c>
      <c r="J12" s="16" t="s">
        <v>91</v>
      </c>
      <c r="K12" s="139">
        <v>8800</v>
      </c>
      <c r="L12" s="24"/>
      <c r="M12" s="24"/>
      <c r="N12" s="24"/>
      <c r="O12" s="16" t="s">
        <v>92</v>
      </c>
    </row>
    <row r="13" spans="1:15" ht="28.5" customHeight="1">
      <c r="A13" s="15" t="s">
        <v>93</v>
      </c>
      <c r="B13" s="16" t="s">
        <v>94</v>
      </c>
      <c r="C13" s="16" t="s">
        <v>95</v>
      </c>
      <c r="D13" s="16" t="s">
        <v>96</v>
      </c>
      <c r="E13" s="15" t="s">
        <v>97</v>
      </c>
      <c r="F13" s="16" t="s">
        <v>98</v>
      </c>
      <c r="G13" s="16"/>
      <c r="H13" s="16" t="s">
        <v>99</v>
      </c>
      <c r="I13" s="16" t="s">
        <v>31</v>
      </c>
      <c r="J13" s="16" t="s">
        <v>100</v>
      </c>
      <c r="K13" s="139">
        <v>17600</v>
      </c>
      <c r="L13" s="24"/>
      <c r="M13" s="24"/>
      <c r="N13" s="24"/>
      <c r="O13" s="16"/>
    </row>
    <row r="14" spans="1:15" ht="28.5" customHeight="1">
      <c r="A14" s="15" t="s">
        <v>101</v>
      </c>
      <c r="B14" s="16" t="s">
        <v>102</v>
      </c>
      <c r="C14" s="16" t="s">
        <v>103</v>
      </c>
      <c r="D14" s="16"/>
      <c r="E14" s="16" t="s">
        <v>104</v>
      </c>
      <c r="F14" s="16" t="s">
        <v>105</v>
      </c>
      <c r="G14" s="16"/>
      <c r="H14" s="16" t="s">
        <v>106</v>
      </c>
      <c r="I14" s="16" t="s">
        <v>31</v>
      </c>
      <c r="J14" s="16" t="s">
        <v>58</v>
      </c>
      <c r="K14" s="139">
        <v>19800</v>
      </c>
      <c r="L14" s="24"/>
      <c r="M14" s="24"/>
      <c r="N14" s="24"/>
      <c r="O14" s="16" t="s">
        <v>92</v>
      </c>
    </row>
    <row r="15" spans="1:15" ht="28.5" customHeight="1">
      <c r="A15" s="15" t="s">
        <v>107</v>
      </c>
      <c r="B15" s="16" t="s">
        <v>108</v>
      </c>
      <c r="C15" s="16" t="s">
        <v>109</v>
      </c>
      <c r="D15" s="16"/>
      <c r="E15" s="16" t="s">
        <v>110</v>
      </c>
      <c r="F15" s="16" t="s">
        <v>111</v>
      </c>
      <c r="G15" s="16"/>
      <c r="H15" s="16" t="s">
        <v>112</v>
      </c>
      <c r="I15" s="16" t="s">
        <v>31</v>
      </c>
      <c r="J15" s="15" t="s">
        <v>113</v>
      </c>
      <c r="K15" s="139">
        <v>8800</v>
      </c>
      <c r="L15" s="24"/>
      <c r="M15" s="24"/>
      <c r="N15" s="24"/>
      <c r="O15" s="16"/>
    </row>
    <row r="16" spans="1:15" ht="28.5" customHeight="1">
      <c r="A16" s="15" t="s">
        <v>114</v>
      </c>
      <c r="B16" s="16" t="s">
        <v>115</v>
      </c>
      <c r="C16" s="16" t="s">
        <v>116</v>
      </c>
      <c r="D16" s="16"/>
      <c r="E16" s="16" t="s">
        <v>117</v>
      </c>
      <c r="F16" s="16"/>
      <c r="G16" s="16"/>
      <c r="H16" s="16" t="s">
        <v>118</v>
      </c>
      <c r="I16" s="16" t="s">
        <v>31</v>
      </c>
      <c r="J16" s="16" t="s">
        <v>100</v>
      </c>
      <c r="K16" s="139">
        <v>17600</v>
      </c>
      <c r="L16" s="24"/>
      <c r="M16" s="24"/>
      <c r="N16" s="24"/>
      <c r="O16" s="16"/>
    </row>
    <row r="17" spans="1:15" ht="28.5" customHeight="1">
      <c r="A17" s="204" t="s">
        <v>587</v>
      </c>
      <c r="B17" s="144" t="s">
        <v>517</v>
      </c>
      <c r="C17" s="15" t="s">
        <v>119</v>
      </c>
      <c r="D17" s="32" t="s">
        <v>121</v>
      </c>
      <c r="E17" s="32" t="s">
        <v>514</v>
      </c>
      <c r="F17" s="32" t="s">
        <v>513</v>
      </c>
      <c r="G17" s="34" t="s">
        <v>123</v>
      </c>
      <c r="H17" s="15" t="s">
        <v>125</v>
      </c>
      <c r="I17" s="16" t="s">
        <v>31</v>
      </c>
      <c r="J17" s="144" t="s">
        <v>638</v>
      </c>
      <c r="K17" s="139">
        <v>6050</v>
      </c>
      <c r="L17" s="36">
        <v>43807</v>
      </c>
      <c r="M17" s="24"/>
      <c r="N17" s="24"/>
      <c r="O17" s="16" t="s">
        <v>92</v>
      </c>
    </row>
    <row r="18" spans="1:15" ht="28.5" customHeight="1">
      <c r="A18" s="204" t="s">
        <v>586</v>
      </c>
      <c r="B18" s="16" t="s">
        <v>129</v>
      </c>
      <c r="C18" s="16" t="s">
        <v>130</v>
      </c>
      <c r="D18" s="16" t="s">
        <v>131</v>
      </c>
      <c r="E18" s="16" t="s">
        <v>132</v>
      </c>
      <c r="F18" s="16" t="s">
        <v>133</v>
      </c>
      <c r="G18" s="15" t="s">
        <v>134</v>
      </c>
      <c r="H18" s="16" t="s">
        <v>135</v>
      </c>
      <c r="I18" s="16" t="s">
        <v>31</v>
      </c>
      <c r="J18" s="144" t="s">
        <v>561</v>
      </c>
      <c r="K18" s="139">
        <v>10450</v>
      </c>
      <c r="L18" s="24"/>
      <c r="M18" s="24"/>
      <c r="N18" s="24"/>
      <c r="O18" s="16"/>
    </row>
    <row r="19" spans="1:15" ht="28.5" customHeight="1">
      <c r="A19" s="16"/>
      <c r="B19" s="16" t="s">
        <v>147</v>
      </c>
      <c r="C19" s="16" t="s">
        <v>149</v>
      </c>
      <c r="D19" s="16" t="s">
        <v>150</v>
      </c>
      <c r="E19" s="16" t="s">
        <v>151</v>
      </c>
      <c r="F19" s="16" t="s">
        <v>152</v>
      </c>
      <c r="G19" s="16"/>
      <c r="H19" s="16" t="s">
        <v>153</v>
      </c>
      <c r="I19" s="16" t="s">
        <v>31</v>
      </c>
      <c r="J19" s="15" t="s">
        <v>154</v>
      </c>
      <c r="K19" s="139">
        <v>9624</v>
      </c>
      <c r="L19" s="24"/>
      <c r="M19" s="24"/>
      <c r="N19" s="24"/>
      <c r="O19" s="16"/>
    </row>
    <row r="20" spans="1:15" ht="28.5" customHeight="1">
      <c r="A20" s="16"/>
      <c r="B20" s="16" t="s">
        <v>156</v>
      </c>
      <c r="C20" s="16" t="s">
        <v>157</v>
      </c>
      <c r="D20" s="16" t="s">
        <v>158</v>
      </c>
      <c r="E20" s="16" t="s">
        <v>159</v>
      </c>
      <c r="F20" s="16" t="s">
        <v>160</v>
      </c>
      <c r="G20" s="16"/>
      <c r="H20" s="16" t="s">
        <v>161</v>
      </c>
      <c r="I20" s="16" t="s">
        <v>31</v>
      </c>
      <c r="J20" s="16" t="s">
        <v>162</v>
      </c>
      <c r="K20" s="139">
        <v>8800</v>
      </c>
      <c r="L20" s="24"/>
      <c r="M20" s="24"/>
      <c r="N20" s="24"/>
      <c r="O20" s="16"/>
    </row>
    <row r="21" spans="1:15" ht="28.5" customHeight="1">
      <c r="A21" s="16"/>
      <c r="B21" s="140" t="s">
        <v>560</v>
      </c>
      <c r="C21" s="16" t="s">
        <v>164</v>
      </c>
      <c r="D21" s="16" t="s">
        <v>165</v>
      </c>
      <c r="E21" s="16"/>
      <c r="F21" s="16" t="s">
        <v>166</v>
      </c>
      <c r="G21" s="16"/>
      <c r="H21" s="16" t="s">
        <v>167</v>
      </c>
      <c r="I21" s="16" t="s">
        <v>31</v>
      </c>
      <c r="J21" s="16" t="s">
        <v>66</v>
      </c>
      <c r="K21" s="139">
        <v>8800</v>
      </c>
      <c r="L21" s="24"/>
      <c r="M21" s="24"/>
      <c r="N21" s="24"/>
      <c r="O21" s="16"/>
    </row>
    <row r="22" spans="1:15" ht="28.5" customHeight="1">
      <c r="A22" s="16"/>
      <c r="B22" s="16" t="s">
        <v>168</v>
      </c>
      <c r="C22" s="16" t="s">
        <v>169</v>
      </c>
      <c r="D22" s="16" t="s">
        <v>170</v>
      </c>
      <c r="E22" s="16" t="s">
        <v>171</v>
      </c>
      <c r="F22" s="16" t="s">
        <v>172</v>
      </c>
      <c r="G22" s="16"/>
      <c r="H22" s="16" t="s">
        <v>173</v>
      </c>
      <c r="I22" s="16" t="s">
        <v>31</v>
      </c>
      <c r="J22" s="144" t="s">
        <v>562</v>
      </c>
      <c r="K22" s="139">
        <v>5224</v>
      </c>
      <c r="L22" s="24"/>
      <c r="M22" s="24"/>
      <c r="N22" s="24"/>
      <c r="O22" s="16"/>
    </row>
    <row r="23" spans="1:15" s="229" customFormat="1" ht="28.5" customHeight="1">
      <c r="A23" s="231"/>
      <c r="B23" s="182" t="s">
        <v>647</v>
      </c>
      <c r="C23" s="231" t="s">
        <v>650</v>
      </c>
      <c r="D23" s="231"/>
      <c r="E23" s="231"/>
      <c r="F23" s="231"/>
      <c r="G23" s="231"/>
      <c r="H23" s="231"/>
      <c r="I23" s="231"/>
      <c r="J23" s="144" t="s">
        <v>641</v>
      </c>
      <c r="K23" s="228">
        <v>6600</v>
      </c>
      <c r="L23" s="162">
        <v>43796</v>
      </c>
      <c r="M23" s="162"/>
      <c r="N23" s="162"/>
      <c r="O23" s="231" t="s">
        <v>92</v>
      </c>
    </row>
    <row r="24" spans="1:15" s="295" customFormat="1" ht="28.5" customHeight="1">
      <c r="A24" s="297"/>
      <c r="B24" s="182" t="s">
        <v>678</v>
      </c>
      <c r="C24" s="297" t="s">
        <v>680</v>
      </c>
      <c r="D24" s="297" t="s">
        <v>681</v>
      </c>
      <c r="E24" s="297" t="s">
        <v>682</v>
      </c>
      <c r="F24" s="187" t="s">
        <v>683</v>
      </c>
      <c r="G24" s="297"/>
      <c r="H24" s="182" t="s">
        <v>684</v>
      </c>
      <c r="I24" s="297" t="s">
        <v>31</v>
      </c>
      <c r="J24" s="144" t="s">
        <v>685</v>
      </c>
      <c r="K24" s="294">
        <v>8800</v>
      </c>
      <c r="L24" s="162">
        <v>43845</v>
      </c>
      <c r="M24" s="162"/>
      <c r="N24" s="162"/>
      <c r="O24" s="301" t="s">
        <v>92</v>
      </c>
    </row>
    <row r="25" spans="1:15" s="299" customFormat="1" ht="28.5" customHeight="1">
      <c r="A25" s="301"/>
      <c r="B25" s="182" t="s">
        <v>691</v>
      </c>
      <c r="C25" s="301" t="s">
        <v>692</v>
      </c>
      <c r="D25" s="301" t="s">
        <v>681</v>
      </c>
      <c r="E25" s="301" t="s">
        <v>682</v>
      </c>
      <c r="F25" s="187" t="s">
        <v>683</v>
      </c>
      <c r="G25" s="301"/>
      <c r="H25" s="182" t="s">
        <v>684</v>
      </c>
      <c r="I25" s="301" t="s">
        <v>31</v>
      </c>
      <c r="J25" s="144" t="s">
        <v>693</v>
      </c>
      <c r="K25" s="298">
        <v>12100</v>
      </c>
      <c r="L25" s="162">
        <v>43851</v>
      </c>
      <c r="M25" s="162"/>
      <c r="N25" s="162"/>
      <c r="O25" s="301" t="s">
        <v>92</v>
      </c>
    </row>
    <row r="26" spans="1:15" s="299" customFormat="1" ht="28.5" customHeight="1">
      <c r="A26" s="301"/>
      <c r="B26" s="182" t="s">
        <v>694</v>
      </c>
      <c r="C26" s="301" t="s">
        <v>695</v>
      </c>
      <c r="D26" s="301" t="s">
        <v>681</v>
      </c>
      <c r="E26" s="301" t="s">
        <v>682</v>
      </c>
      <c r="F26" s="187" t="s">
        <v>683</v>
      </c>
      <c r="G26" s="301"/>
      <c r="H26" s="182" t="s">
        <v>684</v>
      </c>
      <c r="I26" s="301" t="s">
        <v>31</v>
      </c>
      <c r="J26" s="144" t="s">
        <v>693</v>
      </c>
      <c r="K26" s="298">
        <v>12100</v>
      </c>
      <c r="L26" s="162">
        <v>43851</v>
      </c>
      <c r="M26" s="162"/>
      <c r="N26" s="162"/>
      <c r="O26" s="301" t="s">
        <v>92</v>
      </c>
    </row>
    <row r="27" spans="1:15" s="295" customFormat="1" ht="28.5" customHeight="1">
      <c r="A27" s="297"/>
      <c r="B27" s="182" t="s">
        <v>672</v>
      </c>
      <c r="C27" s="297"/>
      <c r="D27" s="297"/>
      <c r="E27" s="297" t="s">
        <v>674</v>
      </c>
      <c r="F27" s="187" t="s">
        <v>675</v>
      </c>
      <c r="G27" s="297"/>
      <c r="H27" s="182" t="s">
        <v>676</v>
      </c>
      <c r="I27" s="297" t="s">
        <v>31</v>
      </c>
      <c r="J27" s="144" t="s">
        <v>641</v>
      </c>
      <c r="K27" s="294">
        <v>6050</v>
      </c>
      <c r="L27" s="162">
        <v>43845</v>
      </c>
      <c r="M27" s="162"/>
      <c r="N27" s="162"/>
      <c r="O27" s="297" t="s">
        <v>92</v>
      </c>
    </row>
    <row r="28" spans="1:15" s="295" customFormat="1" ht="28.5" customHeight="1">
      <c r="A28" s="297"/>
      <c r="B28" s="182" t="s">
        <v>673</v>
      </c>
      <c r="C28" s="297"/>
      <c r="D28" s="297"/>
      <c r="E28" s="297" t="s">
        <v>674</v>
      </c>
      <c r="F28" s="187" t="s">
        <v>675</v>
      </c>
      <c r="G28" s="297"/>
      <c r="H28" s="182" t="s">
        <v>676</v>
      </c>
      <c r="I28" s="297" t="s">
        <v>31</v>
      </c>
      <c r="J28" s="144" t="s">
        <v>641</v>
      </c>
      <c r="K28" s="294">
        <v>6050</v>
      </c>
      <c r="L28" s="162">
        <v>43845</v>
      </c>
      <c r="M28" s="162"/>
      <c r="N28" s="162"/>
      <c r="O28" s="297" t="s">
        <v>92</v>
      </c>
    </row>
    <row r="29" spans="1:15" s="207" customFormat="1" ht="28.5" customHeight="1">
      <c r="A29" s="209"/>
      <c r="B29" s="182" t="s">
        <v>628</v>
      </c>
      <c r="C29" s="209" t="s">
        <v>591</v>
      </c>
      <c r="D29" s="209" t="s">
        <v>598</v>
      </c>
      <c r="E29" s="209"/>
      <c r="F29" s="187" t="s">
        <v>599</v>
      </c>
      <c r="G29" s="209"/>
      <c r="H29" s="182" t="s">
        <v>600</v>
      </c>
      <c r="I29" s="182" t="s">
        <v>601</v>
      </c>
      <c r="J29" s="144" t="s">
        <v>602</v>
      </c>
      <c r="K29" s="206">
        <v>19800</v>
      </c>
      <c r="L29" s="162">
        <v>43734</v>
      </c>
      <c r="M29" s="162"/>
      <c r="N29" s="162"/>
      <c r="O29" s="213" t="s">
        <v>92</v>
      </c>
    </row>
    <row r="30" spans="1:15" ht="28.5" customHeight="1">
      <c r="A30" s="16"/>
      <c r="B30" s="16" t="s">
        <v>174</v>
      </c>
      <c r="C30" s="16" t="s">
        <v>175</v>
      </c>
      <c r="D30" s="16"/>
      <c r="E30" s="16" t="s">
        <v>176</v>
      </c>
      <c r="F30" s="16" t="s">
        <v>177</v>
      </c>
      <c r="G30" s="16"/>
      <c r="H30" s="16" t="s">
        <v>178</v>
      </c>
      <c r="I30" s="16" t="s">
        <v>31</v>
      </c>
      <c r="J30" s="16" t="s">
        <v>179</v>
      </c>
      <c r="K30" s="139">
        <v>9624</v>
      </c>
      <c r="M30" s="24"/>
      <c r="N30" s="24"/>
      <c r="O30" s="16"/>
    </row>
    <row r="31" spans="1:15" s="224" customFormat="1" ht="28.5" customHeight="1">
      <c r="A31" s="226"/>
      <c r="B31" s="182" t="s">
        <v>642</v>
      </c>
      <c r="C31" s="226" t="s">
        <v>640</v>
      </c>
      <c r="D31" s="226"/>
      <c r="E31" s="226" t="s">
        <v>176</v>
      </c>
      <c r="F31" s="226" t="s">
        <v>177</v>
      </c>
      <c r="G31" s="226"/>
      <c r="H31" s="226" t="s">
        <v>178</v>
      </c>
      <c r="I31" s="226" t="s">
        <v>31</v>
      </c>
      <c r="J31" s="144" t="s">
        <v>641</v>
      </c>
      <c r="K31" s="223">
        <v>6600</v>
      </c>
      <c r="L31" s="162">
        <v>43782</v>
      </c>
      <c r="M31" s="162"/>
      <c r="N31" s="162"/>
      <c r="O31" s="226" t="s">
        <v>92</v>
      </c>
    </row>
    <row r="32" spans="1:15" s="229" customFormat="1" ht="28.5" customHeight="1">
      <c r="A32" s="231"/>
      <c r="B32" s="182" t="s">
        <v>652</v>
      </c>
      <c r="C32" s="231"/>
      <c r="D32" s="231"/>
      <c r="E32" s="231"/>
      <c r="F32" s="231"/>
      <c r="G32" s="231"/>
      <c r="H32" s="231"/>
      <c r="I32" s="231" t="s">
        <v>31</v>
      </c>
      <c r="J32" s="231" t="s">
        <v>91</v>
      </c>
      <c r="K32" s="228">
        <v>8800</v>
      </c>
      <c r="L32" s="162">
        <v>43798</v>
      </c>
      <c r="M32" s="162"/>
      <c r="N32" s="162"/>
      <c r="O32" s="231"/>
    </row>
    <row r="33" spans="1:15" s="299" customFormat="1" ht="43.5" customHeight="1">
      <c r="A33" s="301"/>
      <c r="B33" s="182" t="s">
        <v>701</v>
      </c>
      <c r="C33" s="301" t="s">
        <v>700</v>
      </c>
      <c r="D33" s="301" t="s">
        <v>704</v>
      </c>
      <c r="E33" s="301" t="s">
        <v>702</v>
      </c>
      <c r="F33" s="187" t="s">
        <v>703</v>
      </c>
      <c r="G33" s="301"/>
      <c r="H33" s="182" t="s">
        <v>705</v>
      </c>
      <c r="I33" s="301" t="s">
        <v>31</v>
      </c>
      <c r="J33" s="144" t="s">
        <v>641</v>
      </c>
      <c r="K33" s="298">
        <v>6050</v>
      </c>
      <c r="L33" s="162">
        <v>43848</v>
      </c>
      <c r="M33" s="162"/>
      <c r="N33" s="162"/>
      <c r="O33" s="301" t="s">
        <v>92</v>
      </c>
    </row>
    <row r="34" spans="1:15" ht="28.5" customHeight="1">
      <c r="A34" s="16"/>
      <c r="B34" s="16" t="s">
        <v>180</v>
      </c>
      <c r="C34" s="16" t="s">
        <v>181</v>
      </c>
      <c r="D34" s="16" t="s">
        <v>182</v>
      </c>
      <c r="E34" s="16" t="s">
        <v>183</v>
      </c>
      <c r="F34" s="16"/>
      <c r="G34" s="16"/>
      <c r="H34" s="16" t="s">
        <v>184</v>
      </c>
      <c r="I34" s="16" t="s">
        <v>31</v>
      </c>
      <c r="J34" s="16" t="s">
        <v>100</v>
      </c>
      <c r="K34" s="139">
        <v>17600</v>
      </c>
      <c r="L34" s="162"/>
      <c r="M34" s="24"/>
      <c r="N34" s="24"/>
      <c r="O34" s="16"/>
    </row>
    <row r="35" spans="1:15" ht="28.5" customHeight="1">
      <c r="A35" s="16"/>
      <c r="B35" s="144" t="s">
        <v>518</v>
      </c>
      <c r="C35" s="16" t="s">
        <v>185</v>
      </c>
      <c r="D35" s="16"/>
      <c r="E35" s="16" t="s">
        <v>186</v>
      </c>
      <c r="F35" s="16" t="s">
        <v>187</v>
      </c>
      <c r="G35" s="16"/>
      <c r="H35" s="16" t="s">
        <v>188</v>
      </c>
      <c r="I35" s="16" t="s">
        <v>31</v>
      </c>
      <c r="J35" s="16" t="s">
        <v>189</v>
      </c>
      <c r="K35" s="139">
        <v>6600</v>
      </c>
      <c r="L35" s="24"/>
      <c r="M35" s="24"/>
      <c r="N35" s="24"/>
      <c r="O35" s="16" t="s">
        <v>92</v>
      </c>
    </row>
    <row r="36" spans="1:15" ht="28.5" customHeight="1">
      <c r="A36" s="16"/>
      <c r="B36" s="16" t="s">
        <v>197</v>
      </c>
      <c r="C36" s="16" t="s">
        <v>198</v>
      </c>
      <c r="D36" s="16" t="s">
        <v>199</v>
      </c>
      <c r="E36" s="16" t="s">
        <v>200</v>
      </c>
      <c r="F36" s="16"/>
      <c r="G36" s="16"/>
      <c r="H36" s="16" t="s">
        <v>201</v>
      </c>
      <c r="I36" s="16" t="s">
        <v>31</v>
      </c>
      <c r="J36" s="16" t="s">
        <v>66</v>
      </c>
      <c r="K36" s="205">
        <v>8800</v>
      </c>
      <c r="L36" s="24"/>
      <c r="M36" s="24"/>
      <c r="N36" s="24"/>
      <c r="O36" s="16"/>
    </row>
    <row r="37" spans="1:15" ht="28.5" customHeight="1">
      <c r="A37" s="16"/>
      <c r="B37" s="16" t="s">
        <v>213</v>
      </c>
      <c r="C37" s="16" t="s">
        <v>214</v>
      </c>
      <c r="D37" s="16" t="s">
        <v>215</v>
      </c>
      <c r="E37" s="16" t="s">
        <v>216</v>
      </c>
      <c r="F37" s="16" t="s">
        <v>217</v>
      </c>
      <c r="G37" s="16"/>
      <c r="H37" s="16" t="s">
        <v>218</v>
      </c>
      <c r="I37" s="16" t="s">
        <v>31</v>
      </c>
      <c r="J37" s="15" t="s">
        <v>219</v>
      </c>
      <c r="K37" s="139">
        <v>4400</v>
      </c>
      <c r="L37" s="24"/>
      <c r="M37" s="24"/>
      <c r="N37" s="24"/>
      <c r="O37" s="16"/>
    </row>
    <row r="38" spans="1:15" ht="27" customHeight="1">
      <c r="A38" s="16"/>
      <c r="B38" s="16" t="s">
        <v>242</v>
      </c>
      <c r="C38" s="15" t="s">
        <v>243</v>
      </c>
      <c r="D38" s="16" t="s">
        <v>244</v>
      </c>
      <c r="E38" s="16"/>
      <c r="F38" s="16"/>
      <c r="G38" s="16"/>
      <c r="H38" s="16" t="s">
        <v>245</v>
      </c>
      <c r="I38" s="16" t="s">
        <v>31</v>
      </c>
      <c r="J38" s="16" t="s">
        <v>100</v>
      </c>
      <c r="K38" s="293">
        <v>17600</v>
      </c>
      <c r="L38" s="24"/>
      <c r="M38" s="24"/>
      <c r="N38" s="24"/>
      <c r="O38" s="16"/>
    </row>
    <row r="39" spans="1:15" ht="28.5" customHeight="1">
      <c r="A39" s="16"/>
      <c r="B39" s="16" t="s">
        <v>246</v>
      </c>
      <c r="C39" s="16" t="s">
        <v>247</v>
      </c>
      <c r="D39" s="16"/>
      <c r="E39" s="16" t="s">
        <v>248</v>
      </c>
      <c r="F39" s="16"/>
      <c r="G39" s="16"/>
      <c r="H39" s="16" t="s">
        <v>249</v>
      </c>
      <c r="I39" s="16" t="s">
        <v>31</v>
      </c>
      <c r="J39" s="16" t="s">
        <v>91</v>
      </c>
      <c r="K39" s="205">
        <v>8800</v>
      </c>
      <c r="L39" s="24"/>
      <c r="M39" s="24"/>
      <c r="N39" s="24"/>
      <c r="O39" s="15"/>
    </row>
    <row r="40" spans="1:15" ht="28.5" customHeight="1">
      <c r="A40" s="16"/>
      <c r="B40" s="16" t="s">
        <v>250</v>
      </c>
      <c r="C40" s="16" t="s">
        <v>251</v>
      </c>
      <c r="D40" s="16" t="s">
        <v>252</v>
      </c>
      <c r="E40" s="16" t="s">
        <v>253</v>
      </c>
      <c r="F40" s="16"/>
      <c r="G40" s="16"/>
      <c r="H40" s="16" t="s">
        <v>256</v>
      </c>
      <c r="I40" s="16" t="s">
        <v>31</v>
      </c>
      <c r="J40" s="16" t="s">
        <v>66</v>
      </c>
      <c r="K40" s="227">
        <v>8800</v>
      </c>
      <c r="L40" s="24"/>
      <c r="M40" s="24"/>
      <c r="N40" s="24"/>
      <c r="O40" s="16"/>
    </row>
    <row r="41" spans="1:15" ht="28.5" customHeight="1">
      <c r="A41" s="16"/>
      <c r="B41" s="140" t="s">
        <v>538</v>
      </c>
      <c r="C41" s="16" t="s">
        <v>262</v>
      </c>
      <c r="D41" s="16"/>
      <c r="E41" s="16" t="s">
        <v>265</v>
      </c>
      <c r="F41" s="16" t="s">
        <v>267</v>
      </c>
      <c r="G41" s="16"/>
      <c r="H41" s="16" t="s">
        <v>268</v>
      </c>
      <c r="I41" s="16" t="s">
        <v>31</v>
      </c>
      <c r="J41" s="15" t="s">
        <v>272</v>
      </c>
      <c r="K41" s="139">
        <v>13200</v>
      </c>
      <c r="L41" s="24"/>
      <c r="M41" s="24"/>
      <c r="N41" s="24"/>
      <c r="O41" s="16"/>
    </row>
    <row r="42" spans="1:15" ht="28.5" customHeight="1">
      <c r="A42" s="16"/>
      <c r="B42" s="140" t="s">
        <v>646</v>
      </c>
      <c r="C42" s="16" t="s">
        <v>279</v>
      </c>
      <c r="D42" s="16" t="s">
        <v>280</v>
      </c>
      <c r="E42" s="16" t="s">
        <v>281</v>
      </c>
      <c r="F42" s="16" t="s">
        <v>282</v>
      </c>
      <c r="G42" s="16"/>
      <c r="H42" s="16" t="s">
        <v>283</v>
      </c>
      <c r="I42" s="16" t="s">
        <v>31</v>
      </c>
      <c r="J42" s="15" t="s">
        <v>284</v>
      </c>
      <c r="K42" s="227">
        <v>9900</v>
      </c>
      <c r="L42" s="24"/>
      <c r="M42" s="24"/>
      <c r="N42" s="24"/>
      <c r="O42" s="16"/>
    </row>
    <row r="43" spans="1:15" ht="28.5" customHeight="1">
      <c r="A43" s="16"/>
      <c r="B43" s="16" t="s">
        <v>286</v>
      </c>
      <c r="C43" s="56" t="s">
        <v>287</v>
      </c>
      <c r="D43" s="16"/>
      <c r="E43" s="16" t="s">
        <v>289</v>
      </c>
      <c r="F43" s="15" t="s">
        <v>290</v>
      </c>
      <c r="G43" s="16"/>
      <c r="H43" s="16" t="s">
        <v>291</v>
      </c>
      <c r="I43" s="16" t="s">
        <v>31</v>
      </c>
      <c r="J43" s="16" t="s">
        <v>292</v>
      </c>
      <c r="K43" s="332">
        <v>20900</v>
      </c>
      <c r="L43" s="24"/>
      <c r="M43" s="24"/>
      <c r="N43" s="24"/>
      <c r="O43" s="16"/>
    </row>
    <row r="44" spans="1:15" ht="28.5" customHeight="1">
      <c r="A44" s="16"/>
      <c r="B44" s="16" t="s">
        <v>294</v>
      </c>
      <c r="C44" s="56" t="s">
        <v>295</v>
      </c>
      <c r="D44" s="16"/>
      <c r="E44" s="16"/>
      <c r="F44" s="15" t="s">
        <v>290</v>
      </c>
      <c r="G44" s="16"/>
      <c r="H44" s="16"/>
      <c r="I44" s="16" t="s">
        <v>31</v>
      </c>
      <c r="J44" s="16" t="s">
        <v>292</v>
      </c>
      <c r="K44" s="333"/>
      <c r="L44" s="24"/>
      <c r="M44" s="24"/>
      <c r="N44" s="24"/>
      <c r="O44" s="16"/>
    </row>
    <row r="45" spans="1:15" ht="28.5" customHeight="1">
      <c r="A45" s="16"/>
      <c r="B45" s="16" t="s">
        <v>296</v>
      </c>
      <c r="C45" s="16" t="s">
        <v>297</v>
      </c>
      <c r="D45" s="16" t="s">
        <v>298</v>
      </c>
      <c r="E45" s="16" t="s">
        <v>299</v>
      </c>
      <c r="F45" s="16" t="s">
        <v>300</v>
      </c>
      <c r="G45" s="16"/>
      <c r="H45" s="16" t="s">
        <v>301</v>
      </c>
      <c r="I45" s="16" t="s">
        <v>31</v>
      </c>
      <c r="J45" s="15" t="s">
        <v>302</v>
      </c>
      <c r="K45" s="139">
        <v>13200</v>
      </c>
      <c r="L45" s="24"/>
      <c r="M45" s="24"/>
      <c r="N45" s="24"/>
      <c r="O45" s="16"/>
    </row>
    <row r="46" spans="1:15" ht="28.5" customHeight="1">
      <c r="A46" s="16"/>
      <c r="B46" s="16" t="s">
        <v>304</v>
      </c>
      <c r="C46" s="15" t="s">
        <v>305</v>
      </c>
      <c r="D46" s="16" t="s">
        <v>306</v>
      </c>
      <c r="E46" s="16" t="s">
        <v>725</v>
      </c>
      <c r="F46" s="190" t="s">
        <v>557</v>
      </c>
      <c r="G46" s="16"/>
      <c r="H46" s="16" t="s">
        <v>307</v>
      </c>
      <c r="I46" s="16" t="s">
        <v>31</v>
      </c>
      <c r="J46" s="144" t="s">
        <v>666</v>
      </c>
      <c r="K46" s="227">
        <v>4950</v>
      </c>
      <c r="L46" s="24"/>
      <c r="M46" s="24"/>
      <c r="N46" s="24"/>
      <c r="O46" s="16"/>
    </row>
    <row r="47" spans="1:15" ht="28.5" customHeight="1">
      <c r="A47" s="16"/>
      <c r="B47" s="16" t="s">
        <v>327</v>
      </c>
      <c r="C47" s="16" t="s">
        <v>328</v>
      </c>
      <c r="D47" s="16" t="s">
        <v>329</v>
      </c>
      <c r="E47" s="16" t="s">
        <v>330</v>
      </c>
      <c r="F47" s="16" t="s">
        <v>331</v>
      </c>
      <c r="G47" s="16"/>
      <c r="H47" s="16" t="s">
        <v>332</v>
      </c>
      <c r="I47" s="16" t="s">
        <v>31</v>
      </c>
      <c r="J47" s="16" t="s">
        <v>100</v>
      </c>
      <c r="K47" s="139">
        <v>13200</v>
      </c>
      <c r="L47" s="24"/>
      <c r="M47" s="24"/>
      <c r="N47" s="24"/>
      <c r="O47" s="16"/>
    </row>
    <row r="48" spans="1:15" ht="28.5" customHeight="1">
      <c r="A48" s="16"/>
      <c r="B48" s="16" t="s">
        <v>333</v>
      </c>
      <c r="C48" s="16" t="s">
        <v>334</v>
      </c>
      <c r="D48" s="16" t="s">
        <v>335</v>
      </c>
      <c r="E48" s="16" t="s">
        <v>336</v>
      </c>
      <c r="F48" s="16"/>
      <c r="G48" s="16"/>
      <c r="H48" s="16" t="s">
        <v>337</v>
      </c>
      <c r="I48" s="16" t="s">
        <v>31</v>
      </c>
      <c r="J48" s="144" t="s">
        <v>542</v>
      </c>
      <c r="K48" s="139">
        <v>9624</v>
      </c>
      <c r="L48" s="24"/>
      <c r="M48" s="24"/>
      <c r="N48" s="24"/>
      <c r="O48" s="16"/>
    </row>
    <row r="49" spans="1:15" ht="28.5" customHeight="1">
      <c r="A49" s="16"/>
      <c r="B49" s="15" t="s">
        <v>338</v>
      </c>
      <c r="C49" s="15" t="s">
        <v>339</v>
      </c>
      <c r="D49" s="12"/>
      <c r="E49" s="12"/>
      <c r="F49" s="12" t="s">
        <v>340</v>
      </c>
      <c r="G49" s="12"/>
      <c r="H49" s="16"/>
      <c r="I49" s="59" t="s">
        <v>342</v>
      </c>
      <c r="J49" s="16" t="s">
        <v>344</v>
      </c>
      <c r="K49" s="227">
        <v>8800</v>
      </c>
      <c r="L49" s="24">
        <v>43442</v>
      </c>
      <c r="M49" s="24"/>
      <c r="N49" s="24"/>
      <c r="O49" s="16" t="s">
        <v>92</v>
      </c>
    </row>
    <row r="50" spans="1:15" ht="28.5" customHeight="1">
      <c r="A50" s="16"/>
      <c r="B50" s="16" t="s">
        <v>346</v>
      </c>
      <c r="C50" s="15" t="s">
        <v>347</v>
      </c>
      <c r="D50" s="16"/>
      <c r="E50" s="16" t="s">
        <v>348</v>
      </c>
      <c r="F50" s="16" t="s">
        <v>349</v>
      </c>
      <c r="G50" s="16"/>
      <c r="H50" s="16" t="s">
        <v>350</v>
      </c>
      <c r="I50" s="16" t="s">
        <v>342</v>
      </c>
      <c r="J50" s="16" t="s">
        <v>344</v>
      </c>
      <c r="K50" s="227">
        <v>8800</v>
      </c>
      <c r="L50" s="36">
        <v>43374</v>
      </c>
      <c r="M50" s="24">
        <v>43865</v>
      </c>
      <c r="N50" s="24"/>
      <c r="O50" s="16" t="s">
        <v>92</v>
      </c>
    </row>
    <row r="51" spans="1:15" ht="28.5" customHeight="1">
      <c r="A51" s="16"/>
      <c r="B51" s="50" t="s">
        <v>351</v>
      </c>
      <c r="C51" s="50" t="s">
        <v>352</v>
      </c>
      <c r="D51" s="15" t="s">
        <v>237</v>
      </c>
      <c r="E51" s="15" t="s">
        <v>239</v>
      </c>
      <c r="F51" s="15" t="s">
        <v>240</v>
      </c>
      <c r="G51" s="16"/>
      <c r="H51" s="16"/>
      <c r="I51" s="16" t="s">
        <v>31</v>
      </c>
      <c r="J51" s="15" t="s">
        <v>277</v>
      </c>
      <c r="K51" s="139">
        <v>6600</v>
      </c>
      <c r="L51" s="36">
        <v>43556</v>
      </c>
      <c r="M51" s="24"/>
      <c r="N51" s="24"/>
      <c r="O51" s="16" t="s">
        <v>92</v>
      </c>
    </row>
    <row r="52" spans="1:15" ht="28.5" customHeight="1">
      <c r="A52" s="16"/>
      <c r="B52" s="50" t="s">
        <v>355</v>
      </c>
      <c r="C52" s="183" t="s">
        <v>540</v>
      </c>
      <c r="D52" s="16"/>
      <c r="E52" s="15" t="s">
        <v>357</v>
      </c>
      <c r="F52" s="15" t="s">
        <v>358</v>
      </c>
      <c r="G52" s="16"/>
      <c r="H52" s="16"/>
      <c r="I52" s="16" t="s">
        <v>31</v>
      </c>
      <c r="J52" s="15" t="s">
        <v>359</v>
      </c>
      <c r="K52" s="139">
        <v>6050</v>
      </c>
      <c r="L52" s="36">
        <v>43556</v>
      </c>
      <c r="M52" s="24"/>
      <c r="N52" s="24"/>
      <c r="O52" s="16" t="s">
        <v>92</v>
      </c>
    </row>
    <row r="53" spans="1:15" s="203" customFormat="1" ht="28.5" customHeight="1">
      <c r="A53" s="202"/>
      <c r="B53" s="182" t="s">
        <v>588</v>
      </c>
      <c r="C53" s="202"/>
      <c r="D53" s="202"/>
      <c r="E53" s="202"/>
      <c r="F53" s="202"/>
      <c r="G53" s="202"/>
      <c r="H53" s="202"/>
      <c r="I53" s="202"/>
      <c r="J53" s="202" t="s">
        <v>126</v>
      </c>
      <c r="K53" s="139">
        <v>6050</v>
      </c>
      <c r="L53" s="162"/>
      <c r="M53" s="162"/>
      <c r="N53" s="162"/>
      <c r="O53" s="202"/>
    </row>
    <row r="54" spans="1:15" s="185" customFormat="1" ht="28.5" customHeight="1">
      <c r="A54" s="184"/>
      <c r="B54" s="182" t="s">
        <v>552</v>
      </c>
      <c r="C54" s="184" t="s">
        <v>621</v>
      </c>
      <c r="D54" s="217" t="s">
        <v>623</v>
      </c>
      <c r="E54" s="184" t="s">
        <v>624</v>
      </c>
      <c r="F54" s="187" t="s">
        <v>625</v>
      </c>
      <c r="G54" s="184"/>
      <c r="H54" s="218" t="s">
        <v>626</v>
      </c>
      <c r="I54" s="184" t="s">
        <v>31</v>
      </c>
      <c r="J54" s="184" t="s">
        <v>359</v>
      </c>
      <c r="K54" s="139">
        <v>6050</v>
      </c>
      <c r="L54" s="162">
        <v>43645</v>
      </c>
      <c r="M54" s="162"/>
      <c r="N54" s="162"/>
      <c r="O54" s="184" t="s">
        <v>92</v>
      </c>
    </row>
    <row r="55" spans="1:15" s="185" customFormat="1" ht="28.5" customHeight="1">
      <c r="A55" s="184"/>
      <c r="B55" s="182" t="s">
        <v>553</v>
      </c>
      <c r="C55" s="184" t="s">
        <v>622</v>
      </c>
      <c r="D55" s="217" t="s">
        <v>623</v>
      </c>
      <c r="E55" s="217" t="s">
        <v>624</v>
      </c>
      <c r="F55" s="187" t="s">
        <v>625</v>
      </c>
      <c r="G55" s="217"/>
      <c r="H55" s="218" t="s">
        <v>626</v>
      </c>
      <c r="I55" s="184" t="s">
        <v>31</v>
      </c>
      <c r="J55" s="184" t="s">
        <v>359</v>
      </c>
      <c r="K55" s="139">
        <v>6050</v>
      </c>
      <c r="L55" s="162">
        <v>43645</v>
      </c>
      <c r="M55" s="162"/>
      <c r="N55" s="162"/>
      <c r="O55" s="184" t="s">
        <v>92</v>
      </c>
    </row>
    <row r="56" spans="1:15" ht="28.5" customHeight="1">
      <c r="A56" s="16"/>
      <c r="B56" s="182" t="s">
        <v>539</v>
      </c>
      <c r="C56" s="16" t="s">
        <v>541</v>
      </c>
      <c r="D56" s="16" t="s">
        <v>543</v>
      </c>
      <c r="E56" s="16" t="s">
        <v>544</v>
      </c>
      <c r="F56" s="187" t="s">
        <v>545</v>
      </c>
      <c r="G56" s="16"/>
      <c r="H56" s="16"/>
      <c r="I56" s="184" t="s">
        <v>31</v>
      </c>
      <c r="J56" s="182" t="s">
        <v>546</v>
      </c>
      <c r="K56" s="139">
        <v>9064</v>
      </c>
      <c r="L56" s="24">
        <v>43665</v>
      </c>
      <c r="M56" s="24"/>
      <c r="N56" s="24"/>
      <c r="O56" s="178" t="s">
        <v>92</v>
      </c>
    </row>
    <row r="57" spans="1:15" s="185" customFormat="1" ht="28.5" customHeight="1">
      <c r="A57" s="184"/>
      <c r="B57" s="182" t="s">
        <v>547</v>
      </c>
      <c r="C57" s="184" t="s">
        <v>548</v>
      </c>
      <c r="D57" s="184" t="s">
        <v>543</v>
      </c>
      <c r="E57" s="184" t="s">
        <v>544</v>
      </c>
      <c r="F57" s="187" t="s">
        <v>545</v>
      </c>
      <c r="G57" s="184"/>
      <c r="H57" s="184"/>
      <c r="I57" s="184" t="s">
        <v>31</v>
      </c>
      <c r="J57" s="182" t="s">
        <v>549</v>
      </c>
      <c r="K57" s="139">
        <v>12100</v>
      </c>
      <c r="L57" s="162">
        <v>43665</v>
      </c>
      <c r="M57" s="162"/>
      <c r="N57" s="162"/>
      <c r="O57" s="184" t="s">
        <v>92</v>
      </c>
    </row>
    <row r="58" spans="1:15" s="185" customFormat="1" ht="28.5" customHeight="1">
      <c r="A58" s="184"/>
      <c r="B58" s="182" t="s">
        <v>550</v>
      </c>
      <c r="C58" s="184" t="s">
        <v>551</v>
      </c>
      <c r="D58" s="184" t="s">
        <v>543</v>
      </c>
      <c r="E58" s="184" t="s">
        <v>544</v>
      </c>
      <c r="F58" s="187" t="s">
        <v>545</v>
      </c>
      <c r="G58" s="184"/>
      <c r="H58" s="184"/>
      <c r="I58" s="184" t="s">
        <v>31</v>
      </c>
      <c r="J58" s="182" t="s">
        <v>549</v>
      </c>
      <c r="K58" s="139">
        <v>12100</v>
      </c>
      <c r="L58" s="162">
        <v>43665</v>
      </c>
      <c r="M58" s="162"/>
      <c r="N58" s="162"/>
      <c r="O58" s="184" t="s">
        <v>92</v>
      </c>
    </row>
    <row r="59" spans="1:15" s="194" customFormat="1" ht="28.5" customHeight="1">
      <c r="A59" s="193"/>
      <c r="B59" s="182" t="s">
        <v>563</v>
      </c>
      <c r="C59" s="193" t="s">
        <v>564</v>
      </c>
      <c r="D59" s="193" t="s">
        <v>565</v>
      </c>
      <c r="E59" s="193" t="s">
        <v>566</v>
      </c>
      <c r="F59" s="187" t="s">
        <v>567</v>
      </c>
      <c r="G59" s="193"/>
      <c r="H59" s="182" t="s">
        <v>575</v>
      </c>
      <c r="I59" s="182" t="s">
        <v>568</v>
      </c>
      <c r="J59" s="182" t="s">
        <v>583</v>
      </c>
      <c r="K59" s="223">
        <v>6050</v>
      </c>
      <c r="L59" s="162">
        <v>43710</v>
      </c>
      <c r="M59" s="162"/>
      <c r="N59" s="162"/>
      <c r="O59" s="196" t="s">
        <v>92</v>
      </c>
    </row>
    <row r="60" spans="1:15" s="194" customFormat="1" ht="28.5" customHeight="1">
      <c r="A60" s="193"/>
      <c r="B60" s="182" t="s">
        <v>569</v>
      </c>
      <c r="C60" s="193" t="s">
        <v>570</v>
      </c>
      <c r="D60" s="193" t="s">
        <v>571</v>
      </c>
      <c r="E60" s="193"/>
      <c r="F60" s="187" t="s">
        <v>572</v>
      </c>
      <c r="G60" s="187" t="s">
        <v>573</v>
      </c>
      <c r="H60" s="182" t="s">
        <v>574</v>
      </c>
      <c r="I60" s="182" t="s">
        <v>568</v>
      </c>
      <c r="J60" s="182" t="s">
        <v>584</v>
      </c>
      <c r="K60" s="223">
        <v>6050</v>
      </c>
      <c r="L60" s="162">
        <v>43711</v>
      </c>
      <c r="M60" s="162"/>
      <c r="N60" s="162"/>
      <c r="O60" s="196" t="s">
        <v>92</v>
      </c>
    </row>
    <row r="61" spans="1:15" s="211" customFormat="1" ht="28.5" customHeight="1">
      <c r="A61" s="213"/>
      <c r="B61" s="182" t="s">
        <v>592</v>
      </c>
      <c r="C61" s="213" t="s">
        <v>593</v>
      </c>
      <c r="D61" s="213" t="s">
        <v>594</v>
      </c>
      <c r="E61" s="213"/>
      <c r="F61" s="187" t="s">
        <v>595</v>
      </c>
      <c r="G61" s="187"/>
      <c r="H61" s="182" t="s">
        <v>596</v>
      </c>
      <c r="I61" s="182" t="s">
        <v>597</v>
      </c>
      <c r="J61" s="182" t="s">
        <v>583</v>
      </c>
      <c r="K61" s="223">
        <v>6050</v>
      </c>
      <c r="L61" s="162">
        <v>43731</v>
      </c>
      <c r="M61" s="162"/>
      <c r="N61" s="162"/>
      <c r="O61" s="213" t="s">
        <v>92</v>
      </c>
    </row>
    <row r="62" spans="1:15" s="211" customFormat="1" ht="28.5" customHeight="1">
      <c r="A62" s="213"/>
      <c r="B62" s="182" t="s">
        <v>644</v>
      </c>
      <c r="C62" s="213" t="s">
        <v>612</v>
      </c>
      <c r="D62" s="213" t="s">
        <v>605</v>
      </c>
      <c r="E62" s="213"/>
      <c r="F62" s="187" t="s">
        <v>606</v>
      </c>
      <c r="G62" s="187"/>
      <c r="H62" s="182" t="s">
        <v>607</v>
      </c>
      <c r="I62" s="182" t="s">
        <v>608</v>
      </c>
      <c r="J62" s="182" t="s">
        <v>584</v>
      </c>
      <c r="K62" s="223">
        <v>6050</v>
      </c>
      <c r="L62" s="162">
        <v>43734</v>
      </c>
      <c r="M62" s="162"/>
      <c r="N62" s="162"/>
      <c r="O62" s="182" t="s">
        <v>609</v>
      </c>
    </row>
    <row r="63" spans="1:15" s="211" customFormat="1" ht="28.5" customHeight="1">
      <c r="A63" s="213"/>
      <c r="B63" s="182" t="s">
        <v>643</v>
      </c>
      <c r="C63" s="213" t="s">
        <v>611</v>
      </c>
      <c r="D63" s="213" t="s">
        <v>605</v>
      </c>
      <c r="E63" s="213"/>
      <c r="F63" s="187" t="s">
        <v>606</v>
      </c>
      <c r="G63" s="187"/>
      <c r="H63" s="182" t="s">
        <v>607</v>
      </c>
      <c r="I63" s="182" t="s">
        <v>608</v>
      </c>
      <c r="J63" s="182" t="s">
        <v>613</v>
      </c>
      <c r="K63" s="223">
        <v>6050</v>
      </c>
      <c r="L63" s="162">
        <v>43734</v>
      </c>
      <c r="M63" s="162"/>
      <c r="N63" s="162"/>
      <c r="O63" s="182" t="s">
        <v>609</v>
      </c>
    </row>
    <row r="64" spans="1:15" s="316" customFormat="1" ht="28.5" customHeight="1">
      <c r="A64" s="318"/>
      <c r="B64" s="182" t="s">
        <v>708</v>
      </c>
      <c r="C64" s="318" t="s">
        <v>709</v>
      </c>
      <c r="D64" s="318" t="s">
        <v>710</v>
      </c>
      <c r="E64" s="318"/>
      <c r="F64" s="187"/>
      <c r="G64" s="187"/>
      <c r="H64" s="182" t="s">
        <v>711</v>
      </c>
      <c r="I64" s="182" t="s">
        <v>712</v>
      </c>
      <c r="J64" s="182" t="s">
        <v>584</v>
      </c>
      <c r="K64" s="315">
        <v>19800</v>
      </c>
      <c r="L64" s="162">
        <v>43853</v>
      </c>
      <c r="M64" s="162"/>
      <c r="N64" s="162"/>
      <c r="O64" s="182" t="s">
        <v>609</v>
      </c>
    </row>
    <row r="65" spans="1:15" s="198" customFormat="1" ht="28.5" customHeight="1">
      <c r="A65" s="197"/>
      <c r="B65" s="182" t="s">
        <v>576</v>
      </c>
      <c r="C65" s="197" t="s">
        <v>577</v>
      </c>
      <c r="D65" s="197" t="s">
        <v>578</v>
      </c>
      <c r="E65" s="197" t="s">
        <v>579</v>
      </c>
      <c r="F65" s="187" t="s">
        <v>580</v>
      </c>
      <c r="G65" s="187"/>
      <c r="H65" s="182" t="s">
        <v>581</v>
      </c>
      <c r="I65" s="182" t="s">
        <v>582</v>
      </c>
      <c r="J65" s="182" t="s">
        <v>585</v>
      </c>
      <c r="K65" s="199" t="s">
        <v>190</v>
      </c>
      <c r="L65" s="162">
        <v>43717</v>
      </c>
      <c r="M65" s="162"/>
      <c r="N65" s="162"/>
      <c r="O65" s="199" t="s">
        <v>92</v>
      </c>
    </row>
    <row r="66" spans="1:15" ht="28.5" customHeight="1">
      <c r="A66" s="61"/>
      <c r="B66" s="62" t="s">
        <v>363</v>
      </c>
      <c r="C66" s="63"/>
      <c r="D66" s="63"/>
      <c r="E66" s="63"/>
      <c r="F66" s="63"/>
      <c r="G66" s="63"/>
      <c r="H66" s="63"/>
      <c r="I66" s="63"/>
      <c r="J66" s="63"/>
      <c r="K66" s="63"/>
      <c r="L66" s="64"/>
      <c r="M66" s="64"/>
      <c r="N66" s="64"/>
      <c r="O66" s="63"/>
    </row>
    <row r="67" spans="1:15" ht="28.5" customHeight="1">
      <c r="A67" s="12"/>
      <c r="B67" s="12" t="s">
        <v>366</v>
      </c>
      <c r="C67" s="32" t="s">
        <v>367</v>
      </c>
      <c r="D67" s="12" t="s">
        <v>368</v>
      </c>
      <c r="E67" s="12" t="s">
        <v>31</v>
      </c>
      <c r="F67" s="12" t="s">
        <v>369</v>
      </c>
      <c r="G67" s="12"/>
      <c r="H67" s="12"/>
      <c r="I67" s="12" t="s">
        <v>370</v>
      </c>
      <c r="J67" s="12" t="s">
        <v>371</v>
      </c>
      <c r="K67" s="65" t="s">
        <v>220</v>
      </c>
      <c r="L67" s="66"/>
      <c r="M67" s="66"/>
      <c r="N67" s="66"/>
      <c r="O67" s="12"/>
    </row>
    <row r="68" spans="1:15" ht="28.5" customHeight="1">
      <c r="A68" s="12"/>
      <c r="B68" s="12" t="s">
        <v>377</v>
      </c>
      <c r="C68" s="32" t="s">
        <v>379</v>
      </c>
      <c r="D68" s="12"/>
      <c r="E68" s="12" t="s">
        <v>31</v>
      </c>
      <c r="F68" s="12" t="s">
        <v>380</v>
      </c>
      <c r="G68" s="12" t="s">
        <v>381</v>
      </c>
      <c r="H68" s="12"/>
      <c r="I68" s="12" t="s">
        <v>382</v>
      </c>
      <c r="J68" s="12" t="s">
        <v>383</v>
      </c>
      <c r="K68" s="65" t="s">
        <v>136</v>
      </c>
      <c r="L68" s="66"/>
      <c r="M68" s="32" t="s">
        <v>384</v>
      </c>
      <c r="N68" s="32" t="s">
        <v>385</v>
      </c>
      <c r="O68" s="12"/>
    </row>
    <row r="69" spans="1:15" ht="28.5" customHeight="1">
      <c r="A69" s="12"/>
      <c r="B69" s="12" t="s">
        <v>386</v>
      </c>
      <c r="C69" s="32" t="s">
        <v>387</v>
      </c>
      <c r="D69" s="12"/>
      <c r="E69" s="12" t="s">
        <v>31</v>
      </c>
      <c r="F69" s="12" t="s">
        <v>388</v>
      </c>
      <c r="G69" s="12" t="s">
        <v>389</v>
      </c>
      <c r="H69" s="12"/>
      <c r="I69" s="12" t="s">
        <v>390</v>
      </c>
      <c r="J69" s="12" t="s">
        <v>91</v>
      </c>
      <c r="K69" s="65" t="s">
        <v>67</v>
      </c>
      <c r="L69" s="66"/>
      <c r="M69" s="66"/>
      <c r="N69" s="66"/>
      <c r="O69" s="12"/>
    </row>
    <row r="70" spans="1:15" ht="28.5" customHeight="1">
      <c r="A70" s="67"/>
      <c r="B70" s="63" t="s">
        <v>391</v>
      </c>
      <c r="C70" s="131" t="s">
        <v>392</v>
      </c>
      <c r="D70" s="63" t="s">
        <v>393</v>
      </c>
      <c r="E70" s="63" t="s">
        <v>394</v>
      </c>
      <c r="F70" s="63" t="s">
        <v>395</v>
      </c>
      <c r="G70" s="63"/>
      <c r="H70" s="63" t="s">
        <v>396</v>
      </c>
      <c r="I70" s="63" t="s">
        <v>31</v>
      </c>
      <c r="J70" s="63" t="s">
        <v>84</v>
      </c>
      <c r="K70" s="63"/>
      <c r="L70" s="64"/>
      <c r="M70" s="64"/>
      <c r="N70" s="64"/>
      <c r="O70" s="63"/>
    </row>
    <row r="71" spans="1:15" ht="28.5" customHeight="1">
      <c r="A71" s="69"/>
      <c r="B71" s="70" t="s">
        <v>399</v>
      </c>
      <c r="C71" s="129" t="s">
        <v>400</v>
      </c>
      <c r="D71" s="16" t="s">
        <v>401</v>
      </c>
      <c r="E71" s="16" t="s">
        <v>402</v>
      </c>
      <c r="F71" s="16" t="s">
        <v>403</v>
      </c>
      <c r="G71" s="16"/>
      <c r="H71" s="16" t="s">
        <v>404</v>
      </c>
      <c r="I71" s="16" t="s">
        <v>31</v>
      </c>
      <c r="J71" s="16" t="s">
        <v>84</v>
      </c>
      <c r="K71" s="16" t="s">
        <v>136</v>
      </c>
      <c r="L71" s="24"/>
      <c r="M71" s="24" t="s">
        <v>405</v>
      </c>
      <c r="N71" s="24"/>
      <c r="O71" s="16"/>
    </row>
    <row r="72" spans="1:15" ht="28.5" customHeight="1">
      <c r="A72" s="16"/>
      <c r="B72" s="71" t="s">
        <v>406</v>
      </c>
      <c r="C72" s="132" t="s">
        <v>407</v>
      </c>
      <c r="D72" s="71" t="s">
        <v>408</v>
      </c>
      <c r="E72" s="71" t="s">
        <v>409</v>
      </c>
      <c r="F72" s="71" t="s">
        <v>410</v>
      </c>
      <c r="G72" s="71"/>
      <c r="H72" s="71" t="s">
        <v>411</v>
      </c>
      <c r="I72" s="71" t="s">
        <v>31</v>
      </c>
      <c r="J72" s="71" t="s">
        <v>412</v>
      </c>
      <c r="K72" s="71" t="s">
        <v>285</v>
      </c>
      <c r="L72" s="24"/>
      <c r="M72" s="15" t="s">
        <v>413</v>
      </c>
      <c r="N72" s="15" t="s">
        <v>414</v>
      </c>
      <c r="O72" s="16" t="s">
        <v>92</v>
      </c>
    </row>
    <row r="73" spans="1:15" ht="28.5" customHeight="1">
      <c r="A73" s="16"/>
      <c r="B73" s="71" t="s">
        <v>415</v>
      </c>
      <c r="C73" s="132" t="s">
        <v>416</v>
      </c>
      <c r="D73" s="71"/>
      <c r="E73" s="71" t="s">
        <v>417</v>
      </c>
      <c r="F73" s="71" t="s">
        <v>418</v>
      </c>
      <c r="G73" s="71"/>
      <c r="H73" s="71" t="s">
        <v>419</v>
      </c>
      <c r="I73" s="71" t="s">
        <v>31</v>
      </c>
      <c r="J73" s="71" t="s">
        <v>91</v>
      </c>
      <c r="K73" s="71" t="s">
        <v>67</v>
      </c>
      <c r="L73" s="24"/>
      <c r="M73" s="15" t="s">
        <v>420</v>
      </c>
      <c r="N73" s="15" t="s">
        <v>421</v>
      </c>
      <c r="O73" s="16" t="s">
        <v>92</v>
      </c>
    </row>
    <row r="74" spans="1:15" ht="28.5" customHeight="1">
      <c r="A74" s="16"/>
      <c r="B74" s="16" t="s">
        <v>422</v>
      </c>
      <c r="C74" s="129" t="s">
        <v>423</v>
      </c>
      <c r="D74" s="16" t="s">
        <v>424</v>
      </c>
      <c r="E74" s="16"/>
      <c r="F74" s="16" t="s">
        <v>425</v>
      </c>
      <c r="G74" s="16"/>
      <c r="H74" s="16" t="s">
        <v>426</v>
      </c>
      <c r="I74" s="16" t="s">
        <v>31</v>
      </c>
      <c r="J74" s="16" t="s">
        <v>84</v>
      </c>
      <c r="K74" s="16" t="s">
        <v>67</v>
      </c>
      <c r="L74" s="24"/>
      <c r="M74" s="15" t="s">
        <v>420</v>
      </c>
      <c r="N74" s="15" t="s">
        <v>427</v>
      </c>
      <c r="O74" s="16"/>
    </row>
    <row r="75" spans="1:15" ht="28.5" customHeight="1">
      <c r="A75" s="16"/>
      <c r="B75" s="16" t="s">
        <v>428</v>
      </c>
      <c r="C75" s="129" t="s">
        <v>429</v>
      </c>
      <c r="D75" s="16" t="s">
        <v>430</v>
      </c>
      <c r="E75" s="16" t="s">
        <v>431</v>
      </c>
      <c r="F75" s="16" t="s">
        <v>432</v>
      </c>
      <c r="G75" s="16"/>
      <c r="H75" s="16" t="s">
        <v>433</v>
      </c>
      <c r="I75" s="16" t="s">
        <v>31</v>
      </c>
      <c r="J75" s="16" t="s">
        <v>434</v>
      </c>
      <c r="K75" s="16" t="s">
        <v>220</v>
      </c>
      <c r="L75" s="24"/>
      <c r="M75" s="24"/>
      <c r="N75" s="24"/>
      <c r="O75" s="16"/>
    </row>
    <row r="76" spans="1:15" ht="28.5" customHeight="1">
      <c r="A76" s="16"/>
      <c r="B76" s="16" t="s">
        <v>435</v>
      </c>
      <c r="C76" s="129" t="s">
        <v>436</v>
      </c>
      <c r="D76" s="16"/>
      <c r="E76" s="16" t="s">
        <v>437</v>
      </c>
      <c r="F76" s="16" t="s">
        <v>438</v>
      </c>
      <c r="G76" s="16"/>
      <c r="H76" s="16" t="s">
        <v>439</v>
      </c>
      <c r="I76" s="16" t="s">
        <v>31</v>
      </c>
      <c r="J76" s="16" t="s">
        <v>219</v>
      </c>
      <c r="K76" s="16" t="s">
        <v>220</v>
      </c>
      <c r="L76" s="24"/>
      <c r="M76" s="24"/>
      <c r="N76" s="24"/>
      <c r="O76" s="16"/>
    </row>
    <row r="77" spans="1:15" ht="28.5" customHeight="1">
      <c r="A77" s="73"/>
      <c r="B77" s="73" t="s">
        <v>440</v>
      </c>
      <c r="C77" s="96" t="s">
        <v>441</v>
      </c>
      <c r="D77" s="73" t="s">
        <v>442</v>
      </c>
      <c r="E77" s="73" t="s">
        <v>443</v>
      </c>
      <c r="F77" s="73" t="s">
        <v>444</v>
      </c>
      <c r="G77" s="73"/>
      <c r="H77" s="73" t="s">
        <v>445</v>
      </c>
      <c r="I77" s="73" t="s">
        <v>31</v>
      </c>
      <c r="J77" s="73" t="s">
        <v>91</v>
      </c>
      <c r="K77" s="73" t="s">
        <v>136</v>
      </c>
      <c r="L77" s="80"/>
      <c r="M77" s="81" t="s">
        <v>457</v>
      </c>
      <c r="N77" s="81" t="s">
        <v>459</v>
      </c>
      <c r="O77" s="73"/>
    </row>
    <row r="78" spans="1:15" ht="28.5" customHeight="1">
      <c r="A78" s="73"/>
      <c r="B78" s="73" t="s">
        <v>460</v>
      </c>
      <c r="C78" s="96" t="s">
        <v>461</v>
      </c>
      <c r="D78" s="82" t="s">
        <v>462</v>
      </c>
      <c r="E78" s="73" t="s">
        <v>463</v>
      </c>
      <c r="F78" s="73"/>
      <c r="G78" s="73"/>
      <c r="H78" s="73" t="s">
        <v>464</v>
      </c>
      <c r="I78" s="73" t="s">
        <v>31</v>
      </c>
      <c r="J78" s="73" t="s">
        <v>84</v>
      </c>
      <c r="K78" s="73" t="s">
        <v>67</v>
      </c>
      <c r="L78" s="80"/>
      <c r="M78" s="80"/>
      <c r="N78" s="80"/>
      <c r="O78" s="73"/>
    </row>
    <row r="79" spans="1:15" ht="28.5" customHeight="1">
      <c r="A79" s="16"/>
      <c r="B79" s="16" t="s">
        <v>466</v>
      </c>
      <c r="C79" s="129" t="s">
        <v>467</v>
      </c>
      <c r="E79" s="16" t="s">
        <v>468</v>
      </c>
      <c r="F79" s="16" t="s">
        <v>469</v>
      </c>
      <c r="G79" s="16"/>
      <c r="I79" s="16" t="s">
        <v>31</v>
      </c>
      <c r="J79" s="16" t="s">
        <v>470</v>
      </c>
      <c r="K79" s="16" t="s">
        <v>471</v>
      </c>
      <c r="L79" s="24"/>
      <c r="M79" s="24"/>
      <c r="N79" s="24"/>
      <c r="O79" s="16"/>
    </row>
    <row r="80" spans="1:15" ht="28.5" customHeight="1">
      <c r="A80" s="73"/>
      <c r="B80" s="73" t="s">
        <v>472</v>
      </c>
      <c r="C80" s="96" t="s">
        <v>473</v>
      </c>
      <c r="D80" s="73" t="s">
        <v>474</v>
      </c>
      <c r="E80" s="73" t="s">
        <v>475</v>
      </c>
      <c r="F80" s="73"/>
      <c r="G80" s="73"/>
      <c r="H80" s="73" t="s">
        <v>476</v>
      </c>
      <c r="I80" s="73" t="s">
        <v>31</v>
      </c>
      <c r="J80" s="73" t="s">
        <v>477</v>
      </c>
      <c r="K80" s="73" t="s">
        <v>67</v>
      </c>
      <c r="L80" s="80"/>
      <c r="M80" s="83" t="s">
        <v>478</v>
      </c>
      <c r="N80" s="83"/>
      <c r="O80" s="73"/>
    </row>
    <row r="81" spans="1:15" ht="28.5" customHeight="1">
      <c r="A81" s="16"/>
      <c r="B81" s="16" t="s">
        <v>480</v>
      </c>
      <c r="C81" s="129" t="s">
        <v>481</v>
      </c>
      <c r="D81" s="16"/>
      <c r="E81" s="16" t="s">
        <v>482</v>
      </c>
      <c r="F81" s="16" t="s">
        <v>483</v>
      </c>
      <c r="G81" s="16"/>
      <c r="H81" s="16" t="s">
        <v>484</v>
      </c>
      <c r="I81" s="16" t="s">
        <v>31</v>
      </c>
      <c r="J81" s="16" t="s">
        <v>50</v>
      </c>
      <c r="K81" s="16" t="s">
        <v>485</v>
      </c>
      <c r="L81" s="24"/>
      <c r="M81" s="15" t="s">
        <v>486</v>
      </c>
      <c r="N81" s="15"/>
      <c r="O81" s="16"/>
    </row>
    <row r="82" spans="1:15" ht="28.5" customHeight="1">
      <c r="A82" s="16"/>
      <c r="B82" s="16" t="s">
        <v>52</v>
      </c>
      <c r="C82" s="16" t="s">
        <v>53</v>
      </c>
      <c r="D82" s="16" t="s">
        <v>54</v>
      </c>
      <c r="E82" s="16" t="s">
        <v>55</v>
      </c>
      <c r="F82" s="16" t="s">
        <v>56</v>
      </c>
      <c r="G82" s="16"/>
      <c r="H82" s="16" t="s">
        <v>57</v>
      </c>
      <c r="I82" s="16" t="s">
        <v>31</v>
      </c>
      <c r="J82" s="16" t="s">
        <v>58</v>
      </c>
      <c r="K82" s="16" t="s">
        <v>59</v>
      </c>
      <c r="L82" s="24"/>
      <c r="M82" s="24">
        <v>43738</v>
      </c>
      <c r="N82" s="24"/>
      <c r="O82" s="16"/>
    </row>
    <row r="83" spans="1:15" ht="28.5" customHeight="1">
      <c r="A83" s="16"/>
      <c r="B83" s="16" t="s">
        <v>311</v>
      </c>
      <c r="C83" s="16" t="s">
        <v>313</v>
      </c>
      <c r="D83" s="16" t="s">
        <v>315</v>
      </c>
      <c r="E83" s="16" t="s">
        <v>317</v>
      </c>
      <c r="F83" s="16" t="s">
        <v>318</v>
      </c>
      <c r="G83" s="16"/>
      <c r="H83" s="16" t="s">
        <v>321</v>
      </c>
      <c r="I83" s="16" t="s">
        <v>31</v>
      </c>
      <c r="J83" s="16" t="s">
        <v>212</v>
      </c>
      <c r="K83" s="16" t="s">
        <v>67</v>
      </c>
      <c r="L83" s="24"/>
      <c r="M83" s="24">
        <v>43555</v>
      </c>
      <c r="N83" s="24"/>
      <c r="O83" s="16"/>
    </row>
    <row r="84" spans="1:15" ht="28.5" customHeight="1">
      <c r="A84" s="16"/>
      <c r="B84" s="16" t="s">
        <v>137</v>
      </c>
      <c r="C84" s="16" t="s">
        <v>138</v>
      </c>
      <c r="D84" s="16"/>
      <c r="E84" s="16" t="s">
        <v>139</v>
      </c>
      <c r="F84" s="38" t="s">
        <v>140</v>
      </c>
      <c r="G84" s="16"/>
      <c r="H84" s="16" t="s">
        <v>145</v>
      </c>
      <c r="I84" s="16" t="s">
        <v>31</v>
      </c>
      <c r="J84" s="16" t="s">
        <v>91</v>
      </c>
      <c r="K84" s="139">
        <v>8800</v>
      </c>
      <c r="L84" s="24"/>
      <c r="M84" s="24">
        <v>43677</v>
      </c>
      <c r="N84" s="163" t="s">
        <v>590</v>
      </c>
      <c r="O84" s="16"/>
    </row>
    <row r="85" spans="1:15" ht="28.5" customHeight="1">
      <c r="A85" s="16"/>
      <c r="B85" s="16" t="s">
        <v>191</v>
      </c>
      <c r="C85" s="16" t="s">
        <v>192</v>
      </c>
      <c r="D85" s="16"/>
      <c r="E85" s="16" t="s">
        <v>193</v>
      </c>
      <c r="F85" s="16" t="s">
        <v>194</v>
      </c>
      <c r="G85" s="16"/>
      <c r="H85" s="16" t="s">
        <v>195</v>
      </c>
      <c r="I85" s="16" t="s">
        <v>31</v>
      </c>
      <c r="J85" s="16" t="s">
        <v>196</v>
      </c>
      <c r="K85" s="16" t="s">
        <v>67</v>
      </c>
      <c r="L85" s="24"/>
      <c r="M85" s="24"/>
      <c r="N85" s="24"/>
      <c r="O85" s="16" t="s">
        <v>92</v>
      </c>
    </row>
    <row r="86" spans="1:15" ht="28.5" customHeight="1">
      <c r="A86" s="16"/>
      <c r="B86" s="16" t="s">
        <v>207</v>
      </c>
      <c r="C86" s="16" t="s">
        <v>208</v>
      </c>
      <c r="D86" s="16"/>
      <c r="E86" s="16" t="s">
        <v>209</v>
      </c>
      <c r="F86" s="16" t="s">
        <v>210</v>
      </c>
      <c r="G86" s="16"/>
      <c r="H86" s="16" t="s">
        <v>211</v>
      </c>
      <c r="I86" s="16" t="s">
        <v>31</v>
      </c>
      <c r="J86" s="16" t="s">
        <v>212</v>
      </c>
      <c r="K86" s="16" t="s">
        <v>67</v>
      </c>
      <c r="L86" s="24"/>
      <c r="M86" s="162">
        <v>43608</v>
      </c>
      <c r="N86" s="163" t="s">
        <v>522</v>
      </c>
      <c r="O86" s="16" t="s">
        <v>92</v>
      </c>
    </row>
    <row r="87" spans="1:15" ht="28.5" customHeight="1">
      <c r="A87" s="16"/>
      <c r="B87" s="16" t="s">
        <v>202</v>
      </c>
      <c r="C87" s="16" t="s">
        <v>203</v>
      </c>
      <c r="D87" s="16" t="s">
        <v>204</v>
      </c>
      <c r="E87" s="16" t="s">
        <v>205</v>
      </c>
      <c r="F87" s="16"/>
      <c r="G87" s="16"/>
      <c r="H87" s="16" t="s">
        <v>206</v>
      </c>
      <c r="I87" s="16" t="s">
        <v>31</v>
      </c>
      <c r="J87" s="16" t="s">
        <v>91</v>
      </c>
      <c r="K87" s="16" t="s">
        <v>67</v>
      </c>
      <c r="L87" s="24"/>
      <c r="M87" s="162">
        <v>43585</v>
      </c>
      <c r="N87" s="163" t="s">
        <v>523</v>
      </c>
      <c r="O87" s="16" t="s">
        <v>92</v>
      </c>
    </row>
    <row r="88" spans="1:15" ht="28.5" customHeight="1">
      <c r="A88" s="16"/>
      <c r="B88" s="15" t="s">
        <v>273</v>
      </c>
      <c r="C88" s="15" t="s">
        <v>274</v>
      </c>
      <c r="D88" s="16"/>
      <c r="E88" s="15" t="s">
        <v>275</v>
      </c>
      <c r="F88" s="15" t="s">
        <v>276</v>
      </c>
      <c r="G88" s="16"/>
      <c r="H88" s="16"/>
      <c r="I88" s="16" t="s">
        <v>31</v>
      </c>
      <c r="J88" s="15" t="s">
        <v>277</v>
      </c>
      <c r="K88" s="15" t="s">
        <v>190</v>
      </c>
      <c r="L88" s="162">
        <v>43580</v>
      </c>
      <c r="M88" s="24">
        <v>43677</v>
      </c>
      <c r="N88" s="24"/>
      <c r="O88" s="15" t="s">
        <v>92</v>
      </c>
    </row>
    <row r="89" spans="1:15" ht="28.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</row>
    <row r="90" spans="1:15" ht="28.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</row>
    <row r="91" spans="1:15" ht="28.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</row>
    <row r="92" spans="1:15" ht="28.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</row>
    <row r="93" spans="1:15" ht="28.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</row>
    <row r="94" spans="1:15" ht="28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</row>
    <row r="95" spans="1:15" ht="28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</row>
    <row r="96" spans="1:15" ht="28.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</row>
    <row r="97" spans="1:15" ht="28.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</row>
    <row r="98" spans="1:15" ht="28.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</row>
    <row r="99" spans="1:15" ht="28.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</row>
    <row r="100" spans="1:15" ht="28.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</row>
    <row r="101" spans="1:15" ht="28.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</row>
    <row r="102" spans="1:15" ht="28.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</row>
    <row r="103" spans="1:15" ht="28.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</row>
    <row r="104" spans="1:15" ht="28.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</row>
    <row r="105" spans="1:15" ht="28.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</row>
    <row r="106" spans="1:15" ht="28.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</row>
    <row r="107" spans="1:15" ht="28.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</row>
    <row r="108" spans="1:15" ht="28.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</row>
    <row r="109" spans="1:15" ht="28.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</row>
    <row r="110" spans="1:15" ht="28.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</row>
    <row r="111" spans="1:15" ht="28.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</row>
    <row r="112" spans="1:15" ht="28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</row>
    <row r="113" spans="1:15" ht="28.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</row>
    <row r="114" spans="1:15" ht="28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</row>
    <row r="115" spans="1:15" ht="28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</row>
    <row r="116" spans="1:15" ht="28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</row>
    <row r="117" spans="1:15" ht="28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</row>
    <row r="118" spans="1:15" ht="28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</row>
    <row r="119" spans="1:15" ht="28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</row>
    <row r="120" spans="1:15" ht="28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</row>
    <row r="121" spans="1:15" ht="28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</row>
    <row r="122" spans="1:15" ht="28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</row>
    <row r="123" spans="1:15" ht="28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</row>
    <row r="124" spans="1:15" ht="28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</row>
    <row r="125" spans="1:15" ht="28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</row>
    <row r="126" spans="1:15" ht="28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</row>
    <row r="127" spans="1:15" ht="28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</row>
    <row r="128" spans="1:15" ht="28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</row>
    <row r="129" spans="1:15" ht="28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</row>
    <row r="130" spans="1:15" ht="28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</row>
    <row r="131" spans="1:15" ht="28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</row>
    <row r="132" spans="1:15" ht="28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</row>
    <row r="133" spans="1:15" ht="28.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</row>
    <row r="134" spans="1:15" ht="28.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</row>
    <row r="135" spans="1:15" ht="28.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</row>
    <row r="136" spans="1:15" ht="28.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</row>
    <row r="137" spans="1:15" ht="28.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</row>
    <row r="138" spans="1:15" ht="28.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  <row r="139" spans="1:15" ht="28.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</row>
    <row r="140" spans="1:15" ht="28.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</row>
    <row r="141" spans="1:15" ht="28.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</row>
    <row r="142" spans="1:15" ht="28.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</row>
    <row r="143" spans="1:15" ht="28.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</row>
    <row r="144" spans="1:15" ht="28.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</row>
    <row r="145" spans="1:15" ht="28.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</row>
    <row r="146" spans="1:15" ht="28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</row>
    <row r="147" spans="1:15" ht="28.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</row>
    <row r="148" spans="1:15" ht="28.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</row>
    <row r="149" spans="1:15" ht="28.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</row>
    <row r="150" spans="1:15" ht="28.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</row>
    <row r="151" spans="1:15" ht="28.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</row>
    <row r="152" spans="1:15" ht="28.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</row>
    <row r="153" spans="1:15" ht="28.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</row>
    <row r="154" spans="1:15" ht="28.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  <row r="155" spans="1:15" ht="28.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</row>
    <row r="156" spans="1:15" ht="28.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</row>
    <row r="157" spans="1:15" ht="28.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</row>
    <row r="158" spans="1:15" ht="28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</row>
    <row r="159" spans="1:15" ht="28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</row>
    <row r="160" spans="1:15" ht="28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</row>
    <row r="161" spans="1:15" ht="28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</row>
    <row r="162" spans="1:15" ht="28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</row>
    <row r="163" spans="1:15" ht="28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</row>
    <row r="164" spans="1:15" ht="28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</row>
    <row r="165" spans="1:15" ht="28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</row>
    <row r="166" spans="1:15" ht="28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</row>
    <row r="167" spans="1:15" ht="28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</row>
    <row r="168" spans="1:15" ht="28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</row>
    <row r="169" spans="1:15" ht="28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</row>
    <row r="170" spans="1:15" ht="28.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</row>
    <row r="171" spans="1:15" ht="28.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</row>
    <row r="172" spans="1:15" ht="28.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</row>
    <row r="173" spans="1:15" ht="28.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</row>
    <row r="174" spans="1:15" ht="28.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</row>
    <row r="175" spans="1:15" ht="28.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</row>
    <row r="176" spans="1:15" ht="28.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</row>
    <row r="177" spans="1:15" ht="28.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</row>
    <row r="178" spans="1:15" ht="28.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</row>
    <row r="179" spans="1:15" ht="28.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</row>
    <row r="180" spans="1:15" ht="28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</row>
    <row r="181" spans="1:15" ht="28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</row>
    <row r="182" spans="1:15" ht="28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</row>
    <row r="183" spans="1:15" ht="28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</row>
    <row r="184" spans="1:15" ht="28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</row>
    <row r="185" spans="1:15" ht="28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</row>
    <row r="186" spans="1:15" ht="28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</row>
    <row r="187" spans="1:15" ht="28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</row>
    <row r="188" spans="1:15" ht="28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</row>
    <row r="189" spans="1:15" ht="28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</row>
    <row r="190" spans="1:15" ht="28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</row>
    <row r="191" spans="1:15" ht="28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</row>
    <row r="192" spans="1:15" ht="28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</row>
    <row r="193" spans="1:15" ht="28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</row>
    <row r="194" spans="1:15" ht="28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</row>
    <row r="195" spans="1:15" ht="28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</row>
    <row r="196" spans="1:15" ht="28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</row>
    <row r="197" spans="1:15" ht="28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</row>
    <row r="198" spans="1:15" ht="28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</row>
    <row r="199" spans="1:15" ht="28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</row>
    <row r="200" spans="1:15" ht="28.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</row>
    <row r="201" spans="1:15" ht="28.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</row>
    <row r="202" spans="1:15" ht="28.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</row>
    <row r="203" spans="1:15" ht="28.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</row>
    <row r="204" spans="1:15" ht="28.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</row>
    <row r="205" spans="1:15" ht="28.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</row>
    <row r="206" spans="1:15" ht="28.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</row>
    <row r="207" spans="1:15" ht="28.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</row>
    <row r="208" spans="1:15" ht="28.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</row>
    <row r="209" spans="1:15" ht="28.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</row>
    <row r="210" spans="1:15" ht="28.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</row>
    <row r="211" spans="1:15" ht="28.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</row>
    <row r="212" spans="1:15" ht="28.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</row>
    <row r="213" spans="1:15" ht="28.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</row>
    <row r="214" spans="1:15" ht="28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</row>
    <row r="215" spans="1:15" ht="28.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</row>
    <row r="216" spans="1:15" ht="28.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</row>
    <row r="217" spans="1:15" ht="28.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</row>
    <row r="218" spans="1:15" ht="28.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</row>
    <row r="219" spans="1:15" ht="28.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</row>
    <row r="220" spans="1:15" ht="28.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</row>
    <row r="221" spans="1:15" ht="28.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</row>
    <row r="222" spans="1:15" ht="28.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</row>
    <row r="223" spans="1:15" ht="28.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</row>
    <row r="224" spans="1:15" ht="28.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</row>
    <row r="225" spans="1:15" ht="28.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</row>
    <row r="226" spans="1:15" ht="28.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</row>
    <row r="227" spans="1:15" ht="28.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</row>
    <row r="228" spans="1:15" ht="28.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</row>
    <row r="229" spans="1:15" ht="28.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</row>
    <row r="230" spans="1:15" ht="28.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</row>
    <row r="231" spans="1:15" ht="28.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</row>
    <row r="232" spans="1:15" ht="28.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</row>
    <row r="233" spans="1:15" ht="28.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</row>
    <row r="234" spans="1:15" ht="28.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</row>
    <row r="235" spans="1:15" ht="28.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</row>
    <row r="236" spans="1:15" ht="28.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</row>
    <row r="237" spans="1:15" ht="28.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</row>
    <row r="238" spans="1:15" ht="28.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</row>
    <row r="239" spans="1:15" ht="28.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</row>
    <row r="240" spans="1:15" ht="28.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</row>
    <row r="241" spans="1:15" ht="28.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</row>
    <row r="242" spans="1:15" ht="28.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</row>
    <row r="243" spans="1:15" ht="28.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</row>
    <row r="244" spans="1:15" ht="28.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</row>
    <row r="245" spans="1:15" ht="28.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</row>
    <row r="246" spans="1:15" ht="28.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</row>
    <row r="247" spans="1:15" ht="28.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</row>
    <row r="248" spans="1:15" ht="28.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</row>
    <row r="249" spans="1:15" ht="28.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</row>
    <row r="250" spans="1:15" ht="28.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</row>
    <row r="251" spans="1:15" ht="28.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</row>
    <row r="252" spans="1:15" ht="28.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</row>
    <row r="253" spans="1:15" ht="28.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</row>
    <row r="254" spans="1:15" ht="28.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</row>
    <row r="255" spans="1:15" ht="28.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</row>
    <row r="256" spans="1:15" ht="28.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</row>
    <row r="257" spans="1:15" ht="28.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</row>
    <row r="258" spans="1:15" ht="28.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</row>
    <row r="259" spans="1:15" ht="28.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</row>
    <row r="260" spans="1:15" ht="28.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</row>
    <row r="261" spans="1:15" ht="28.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</row>
    <row r="262" spans="1:15" ht="28.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</row>
    <row r="263" spans="1:15" ht="28.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</row>
    <row r="264" spans="1:15" ht="28.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</row>
    <row r="265" spans="1:15" ht="28.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</row>
    <row r="266" spans="1:15" ht="28.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</row>
    <row r="267" spans="1:15" ht="28.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</row>
    <row r="268" spans="1:15" ht="28.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</row>
    <row r="269" spans="1:15" ht="28.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</row>
    <row r="270" spans="1:15" ht="28.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</row>
    <row r="271" spans="1:15" ht="28.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</row>
    <row r="272" spans="1:15" ht="28.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</row>
    <row r="273" spans="1:15" ht="28.5" customHeight="1">
      <c r="A273" s="43"/>
      <c r="B273" s="41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</row>
    <row r="274" spans="1:15" ht="28.5" customHeight="1">
      <c r="A274" s="43"/>
      <c r="B274" s="41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</row>
    <row r="275" spans="1:15" ht="28.5" customHeight="1">
      <c r="A275" s="43"/>
      <c r="B275" s="41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</row>
    <row r="276" spans="1:15" ht="28.5" customHeight="1">
      <c r="A276" s="43"/>
      <c r="B276" s="41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</row>
    <row r="277" spans="1:15" ht="28.5" customHeight="1">
      <c r="A277" s="43"/>
      <c r="B277" s="41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</row>
    <row r="278" spans="1:15" ht="28.5" customHeight="1">
      <c r="A278" s="43"/>
      <c r="B278" s="41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</row>
    <row r="279" spans="1:15" ht="28.5" customHeight="1">
      <c r="A279" s="43"/>
      <c r="B279" s="41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</row>
    <row r="280" spans="1:15" ht="28.5" customHeight="1">
      <c r="A280" s="43"/>
      <c r="B280" s="41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</row>
    <row r="281" spans="1:15" ht="28.5" customHeight="1">
      <c r="A281" s="43"/>
      <c r="B281" s="41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</row>
    <row r="282" spans="1:15" ht="28.5" customHeight="1">
      <c r="A282" s="43"/>
      <c r="B282" s="41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</row>
    <row r="283" spans="1:15" ht="28.5" customHeight="1">
      <c r="A283" s="43"/>
      <c r="B283" s="41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</row>
    <row r="284" spans="1:15" ht="28.5" customHeight="1">
      <c r="A284" s="43"/>
      <c r="B284" s="41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</row>
    <row r="285" spans="1:15" ht="28.5" customHeight="1">
      <c r="A285" s="43"/>
      <c r="B285" s="41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</row>
    <row r="286" spans="1:15" ht="28.5" customHeight="1">
      <c r="A286" s="43"/>
      <c r="B286" s="41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</row>
    <row r="287" spans="1:15" ht="28.5" customHeight="1">
      <c r="A287" s="43"/>
      <c r="B287" s="41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</row>
    <row r="288" spans="1:15" ht="28.5" customHeight="1">
      <c r="A288" s="43"/>
      <c r="B288" s="41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</row>
    <row r="289" spans="1:15" ht="28.5" customHeight="1">
      <c r="A289" s="43"/>
      <c r="B289" s="41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</row>
    <row r="290" spans="1:15" ht="28.5" customHeight="1">
      <c r="A290" s="43"/>
      <c r="B290" s="41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</row>
    <row r="291" spans="1:15" ht="28.5" customHeight="1">
      <c r="A291" s="43"/>
      <c r="B291" s="41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</row>
    <row r="292" spans="1:15" ht="28.5" customHeight="1">
      <c r="A292" s="43"/>
      <c r="B292" s="41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</row>
    <row r="293" spans="1:15" ht="28.5" customHeight="1">
      <c r="A293" s="43"/>
      <c r="B293" s="41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</row>
    <row r="294" spans="1:15" ht="28.5" customHeight="1">
      <c r="A294" s="43"/>
      <c r="B294" s="41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</row>
    <row r="295" spans="1:15" ht="28.5" customHeight="1">
      <c r="A295" s="43"/>
      <c r="B295" s="41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</row>
    <row r="296" spans="1:15" ht="28.5" customHeight="1">
      <c r="A296" s="43"/>
      <c r="B296" s="41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</row>
    <row r="297" spans="1:15" ht="28.5" customHeight="1">
      <c r="A297" s="43"/>
      <c r="B297" s="41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</row>
    <row r="298" spans="1:15" ht="28.5" customHeight="1">
      <c r="A298" s="43"/>
      <c r="B298" s="41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</row>
    <row r="299" spans="1:15" ht="28.5" customHeight="1">
      <c r="A299" s="43"/>
      <c r="B299" s="41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</row>
    <row r="300" spans="1:15" ht="28.5" customHeight="1">
      <c r="A300" s="43"/>
      <c r="B300" s="41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</row>
    <row r="301" spans="1:15" ht="28.5" customHeight="1">
      <c r="A301" s="43"/>
      <c r="B301" s="41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</row>
    <row r="302" spans="1:15" ht="28.5" customHeight="1">
      <c r="A302" s="43"/>
      <c r="B302" s="41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</row>
    <row r="303" spans="1:15" ht="28.5" customHeight="1">
      <c r="A303" s="43"/>
      <c r="B303" s="41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</row>
    <row r="304" spans="1:15" ht="28.5" customHeight="1">
      <c r="A304" s="43"/>
      <c r="B304" s="41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</row>
    <row r="305" spans="1:15" ht="28.5" customHeight="1">
      <c r="A305" s="43"/>
      <c r="B305" s="41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</row>
    <row r="306" spans="1:15" ht="28.5" customHeight="1">
      <c r="A306" s="43"/>
      <c r="B306" s="41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</row>
    <row r="307" spans="1:15" ht="28.5" customHeight="1">
      <c r="A307" s="43"/>
      <c r="B307" s="41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</row>
    <row r="308" spans="1:15" ht="28.5" customHeight="1">
      <c r="A308" s="43"/>
      <c r="B308" s="41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</row>
    <row r="309" spans="1:15" ht="28.5" customHeight="1">
      <c r="A309" s="43"/>
      <c r="B309" s="41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</row>
    <row r="310" spans="1:15" ht="28.5" customHeight="1">
      <c r="A310" s="43"/>
      <c r="B310" s="41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</row>
    <row r="311" spans="1:15" ht="28.5" customHeight="1">
      <c r="A311" s="43"/>
      <c r="B311" s="41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</row>
    <row r="312" spans="1:15" ht="28.5" customHeight="1">
      <c r="A312" s="43"/>
      <c r="B312" s="41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</row>
    <row r="313" spans="1:15" ht="28.5" customHeight="1">
      <c r="A313" s="43"/>
      <c r="B313" s="41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</row>
    <row r="314" spans="1:15" ht="28.5" customHeight="1">
      <c r="A314" s="43"/>
      <c r="B314" s="41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</row>
    <row r="315" spans="1:15" ht="28.5" customHeight="1">
      <c r="A315" s="43"/>
      <c r="B315" s="41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</row>
    <row r="316" spans="1:15" ht="28.5" customHeight="1">
      <c r="A316" s="43"/>
      <c r="B316" s="41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</row>
    <row r="317" spans="1:15" ht="28.5" customHeight="1">
      <c r="A317" s="43"/>
      <c r="B317" s="41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</row>
    <row r="318" spans="1:15" ht="28.5" customHeight="1">
      <c r="A318" s="43"/>
      <c r="B318" s="41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</row>
    <row r="319" spans="1:15" ht="28.5" customHeight="1">
      <c r="A319" s="43"/>
      <c r="B319" s="41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</row>
    <row r="320" spans="1:15" ht="28.5" customHeight="1">
      <c r="A320" s="43"/>
      <c r="B320" s="41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</row>
    <row r="321" spans="1:15" ht="28.5" customHeight="1">
      <c r="A321" s="43"/>
      <c r="B321" s="41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</row>
    <row r="322" spans="1:15" ht="28.5" customHeight="1">
      <c r="A322" s="43"/>
      <c r="B322" s="41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</row>
    <row r="323" spans="1:15" ht="28.5" customHeight="1">
      <c r="A323" s="43"/>
      <c r="B323" s="41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</row>
    <row r="324" spans="1:15" ht="28.5" customHeight="1">
      <c r="A324" s="43"/>
      <c r="B324" s="41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</row>
    <row r="325" spans="1:15" ht="28.5" customHeight="1">
      <c r="A325" s="43"/>
      <c r="B325" s="41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</row>
    <row r="326" spans="1:15" ht="28.5" customHeight="1">
      <c r="A326" s="43"/>
      <c r="B326" s="41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</row>
    <row r="327" spans="1:15" ht="28.5" customHeight="1">
      <c r="A327" s="43"/>
      <c r="B327" s="41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</row>
    <row r="328" spans="1:15" ht="28.5" customHeight="1">
      <c r="A328" s="43"/>
      <c r="B328" s="41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</row>
    <row r="329" spans="1:15" ht="28.5" customHeight="1">
      <c r="A329" s="43"/>
      <c r="B329" s="41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</row>
    <row r="330" spans="1:15" ht="28.5" customHeight="1">
      <c r="A330" s="43"/>
      <c r="B330" s="41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</row>
    <row r="331" spans="1:15" ht="28.5" customHeight="1">
      <c r="A331" s="43"/>
      <c r="B331" s="41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</row>
    <row r="332" spans="1:15" ht="28.5" customHeight="1">
      <c r="A332" s="43"/>
      <c r="B332" s="41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</row>
    <row r="333" spans="1:15" ht="28.5" customHeight="1">
      <c r="A333" s="43"/>
      <c r="B333" s="41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</row>
    <row r="334" spans="1:15" ht="28.5" customHeight="1">
      <c r="A334" s="43"/>
      <c r="B334" s="41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</row>
    <row r="335" spans="1:15" ht="28.5" customHeight="1">
      <c r="A335" s="43"/>
      <c r="B335" s="41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</row>
    <row r="336" spans="1:15" ht="28.5" customHeight="1">
      <c r="A336" s="43"/>
      <c r="B336" s="41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</row>
    <row r="337" spans="1:15" ht="28.5" customHeight="1">
      <c r="A337" s="43"/>
      <c r="B337" s="41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</row>
    <row r="338" spans="1:15" ht="28.5" customHeight="1">
      <c r="A338" s="43"/>
      <c r="B338" s="41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</row>
    <row r="339" spans="1:15" ht="28.5" customHeight="1">
      <c r="A339" s="43"/>
      <c r="B339" s="41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</row>
    <row r="340" spans="1:15" ht="28.5" customHeight="1">
      <c r="A340" s="43"/>
      <c r="B340" s="41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</row>
    <row r="341" spans="1:15" ht="28.5" customHeight="1">
      <c r="A341" s="43"/>
      <c r="B341" s="41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</row>
    <row r="342" spans="1:15" ht="28.5" customHeight="1">
      <c r="A342" s="43"/>
      <c r="B342" s="41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</row>
    <row r="343" spans="1:15" ht="28.5" customHeight="1">
      <c r="A343" s="43"/>
      <c r="B343" s="41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</row>
    <row r="344" spans="1:15" ht="28.5" customHeight="1">
      <c r="A344" s="43"/>
      <c r="B344" s="41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</row>
    <row r="345" spans="1:15" ht="28.5" customHeight="1">
      <c r="A345" s="43"/>
      <c r="B345" s="41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</row>
    <row r="346" spans="1:15" ht="28.5" customHeight="1">
      <c r="A346" s="43"/>
      <c r="B346" s="41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</row>
    <row r="347" spans="1:15" ht="28.5" customHeight="1">
      <c r="A347" s="43"/>
      <c r="B347" s="41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</row>
    <row r="348" spans="1:15" ht="28.5" customHeight="1">
      <c r="A348" s="43"/>
      <c r="B348" s="41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</row>
    <row r="349" spans="1:15" ht="28.5" customHeight="1">
      <c r="A349" s="43"/>
      <c r="B349" s="41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</row>
    <row r="350" spans="1:15" ht="28.5" customHeight="1">
      <c r="A350" s="43"/>
      <c r="B350" s="41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</row>
    <row r="351" spans="1:15" ht="28.5" customHeight="1">
      <c r="A351" s="43"/>
      <c r="B351" s="41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</row>
    <row r="352" spans="1:15" ht="28.5" customHeight="1">
      <c r="A352" s="43"/>
      <c r="B352" s="41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</row>
    <row r="353" spans="1:15" ht="28.5" customHeight="1">
      <c r="A353" s="43"/>
      <c r="B353" s="41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</row>
    <row r="354" spans="1:15" ht="28.5" customHeight="1">
      <c r="A354" s="43"/>
      <c r="B354" s="41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</row>
    <row r="355" spans="1:15" ht="28.5" customHeight="1">
      <c r="A355" s="43"/>
      <c r="B355" s="41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</row>
    <row r="356" spans="1:15" ht="28.5" customHeight="1">
      <c r="A356" s="43"/>
      <c r="B356" s="41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</row>
    <row r="357" spans="1:15" ht="28.5" customHeight="1">
      <c r="A357" s="43"/>
      <c r="B357" s="41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</row>
    <row r="358" spans="1:15" ht="28.5" customHeight="1">
      <c r="A358" s="43"/>
      <c r="B358" s="41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</row>
    <row r="359" spans="1:15" ht="28.5" customHeight="1">
      <c r="A359" s="43"/>
      <c r="B359" s="41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</row>
    <row r="360" spans="1:15" ht="28.5" customHeight="1">
      <c r="A360" s="43"/>
      <c r="B360" s="41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</row>
    <row r="361" spans="1:15" ht="28.5" customHeight="1">
      <c r="A361" s="43"/>
      <c r="B361" s="41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</row>
    <row r="362" spans="1:15" ht="28.5" customHeight="1">
      <c r="A362" s="43"/>
      <c r="B362" s="41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</row>
    <row r="363" spans="1:15" ht="28.5" customHeight="1">
      <c r="A363" s="43"/>
      <c r="B363" s="41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</row>
    <row r="364" spans="1:15" ht="28.5" customHeight="1">
      <c r="A364" s="43"/>
      <c r="B364" s="41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</row>
    <row r="365" spans="1:15" ht="28.5" customHeight="1">
      <c r="A365" s="43"/>
      <c r="B365" s="41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</row>
    <row r="366" spans="1:15" ht="28.5" customHeight="1">
      <c r="A366" s="43"/>
      <c r="B366" s="41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</row>
    <row r="367" spans="1:15" ht="28.5" customHeight="1">
      <c r="A367" s="43"/>
      <c r="B367" s="41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</row>
    <row r="368" spans="1:15" ht="28.5" customHeight="1">
      <c r="A368" s="43"/>
      <c r="B368" s="41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</row>
    <row r="369" spans="1:15" ht="28.5" customHeight="1">
      <c r="A369" s="43"/>
      <c r="B369" s="41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</row>
    <row r="370" spans="1:15" ht="28.5" customHeight="1">
      <c r="A370" s="43"/>
      <c r="B370" s="41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</row>
    <row r="371" spans="1:15" ht="28.5" customHeight="1">
      <c r="A371" s="43"/>
      <c r="B371" s="41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</row>
    <row r="372" spans="1:15" ht="28.5" customHeight="1">
      <c r="A372" s="43"/>
      <c r="B372" s="41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</row>
    <row r="373" spans="1:15" ht="28.5" customHeight="1">
      <c r="A373" s="43"/>
      <c r="B373" s="41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</row>
    <row r="374" spans="1:15" ht="28.5" customHeight="1">
      <c r="A374" s="43"/>
      <c r="B374" s="41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</row>
    <row r="375" spans="1:15" ht="28.5" customHeight="1">
      <c r="A375" s="43"/>
      <c r="B375" s="41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</row>
    <row r="376" spans="1:15" ht="28.5" customHeight="1">
      <c r="A376" s="43"/>
      <c r="B376" s="41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</row>
    <row r="377" spans="1:15" ht="28.5" customHeight="1">
      <c r="A377" s="43"/>
      <c r="B377" s="41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</row>
    <row r="378" spans="1:15" ht="28.5" customHeight="1">
      <c r="A378" s="43"/>
      <c r="B378" s="41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</row>
    <row r="379" spans="1:15" ht="28.5" customHeight="1">
      <c r="A379" s="43"/>
      <c r="B379" s="41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</row>
    <row r="380" spans="1:15" ht="28.5" customHeight="1">
      <c r="A380" s="43"/>
      <c r="B380" s="41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</row>
    <row r="381" spans="1:15" ht="28.5" customHeight="1">
      <c r="A381" s="43"/>
      <c r="B381" s="41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</row>
    <row r="382" spans="1:15" ht="28.5" customHeight="1">
      <c r="A382" s="43"/>
      <c r="B382" s="41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</row>
    <row r="383" spans="1:15" ht="28.5" customHeight="1">
      <c r="A383" s="43"/>
      <c r="B383" s="41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</row>
    <row r="384" spans="1:15" ht="28.5" customHeight="1">
      <c r="A384" s="43"/>
      <c r="B384" s="41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</row>
    <row r="385" spans="1:15" ht="28.5" customHeight="1">
      <c r="A385" s="43"/>
      <c r="B385" s="41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</row>
    <row r="386" spans="1:15" ht="28.5" customHeight="1">
      <c r="A386" s="43"/>
      <c r="B386" s="41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</row>
    <row r="387" spans="1:15" ht="28.5" customHeight="1">
      <c r="A387" s="43"/>
      <c r="B387" s="41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</row>
    <row r="388" spans="1:15" ht="28.5" customHeight="1">
      <c r="A388" s="43"/>
      <c r="B388" s="41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</row>
    <row r="389" spans="1:15" ht="28.5" customHeight="1">
      <c r="A389" s="43"/>
      <c r="B389" s="41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</row>
    <row r="390" spans="1:15" ht="28.5" customHeight="1">
      <c r="A390" s="43"/>
      <c r="B390" s="41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</row>
    <row r="391" spans="1:15" ht="28.5" customHeight="1">
      <c r="A391" s="43"/>
      <c r="B391" s="41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</row>
    <row r="392" spans="1:15" ht="28.5" customHeight="1">
      <c r="A392" s="43"/>
      <c r="B392" s="41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</row>
    <row r="393" spans="1:15" ht="28.5" customHeight="1">
      <c r="A393" s="43"/>
      <c r="B393" s="41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</row>
    <row r="394" spans="1:15" ht="28.5" customHeight="1">
      <c r="A394" s="43"/>
      <c r="B394" s="41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</row>
    <row r="395" spans="1:15" ht="28.5" customHeight="1">
      <c r="A395" s="43"/>
      <c r="B395" s="41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</row>
    <row r="396" spans="1:15" ht="28.5" customHeight="1">
      <c r="A396" s="43"/>
      <c r="B396" s="41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</row>
    <row r="397" spans="1:15" ht="28.5" customHeight="1">
      <c r="A397" s="43"/>
      <c r="B397" s="41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</row>
    <row r="398" spans="1:15" ht="28.5" customHeight="1">
      <c r="A398" s="43"/>
      <c r="B398" s="41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</row>
    <row r="399" spans="1:15" ht="28.5" customHeight="1">
      <c r="A399" s="43"/>
      <c r="B399" s="41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</row>
    <row r="400" spans="1:15" ht="28.5" customHeight="1">
      <c r="A400" s="43"/>
      <c r="B400" s="41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</row>
    <row r="401" spans="1:15" ht="28.5" customHeight="1">
      <c r="A401" s="43"/>
      <c r="B401" s="41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</row>
    <row r="402" spans="1:15" ht="28.5" customHeight="1">
      <c r="A402" s="43"/>
      <c r="B402" s="41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</row>
    <row r="403" spans="1:15" ht="28.5" customHeight="1">
      <c r="A403" s="43"/>
      <c r="B403" s="41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</row>
    <row r="404" spans="1:15" ht="28.5" customHeight="1">
      <c r="A404" s="43"/>
      <c r="B404" s="41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</row>
    <row r="405" spans="1:15" ht="28.5" customHeight="1">
      <c r="A405" s="43"/>
      <c r="B405" s="41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</row>
    <row r="406" spans="1:15" ht="28.5" customHeight="1">
      <c r="A406" s="43"/>
      <c r="B406" s="41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</row>
    <row r="407" spans="1:15" ht="28.5" customHeight="1">
      <c r="A407" s="43"/>
      <c r="B407" s="41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</row>
    <row r="408" spans="1:15" ht="28.5" customHeight="1">
      <c r="A408" s="43"/>
      <c r="B408" s="41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</row>
    <row r="409" spans="1:15" ht="28.5" customHeight="1">
      <c r="A409" s="43"/>
      <c r="B409" s="41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</row>
    <row r="410" spans="1:15" ht="28.5" customHeight="1">
      <c r="A410" s="43"/>
      <c r="B410" s="41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</row>
    <row r="411" spans="1:15" ht="28.5" customHeight="1">
      <c r="A411" s="43"/>
      <c r="B411" s="41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</row>
    <row r="412" spans="1:15" ht="28.5" customHeight="1">
      <c r="A412" s="43"/>
      <c r="B412" s="41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</row>
    <row r="413" spans="1:15" ht="28.5" customHeight="1">
      <c r="A413" s="43"/>
      <c r="B413" s="41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</row>
    <row r="414" spans="1:15" ht="28.5" customHeight="1">
      <c r="A414" s="43"/>
      <c r="B414" s="41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</row>
    <row r="415" spans="1:15" ht="28.5" customHeight="1">
      <c r="A415" s="43"/>
      <c r="B415" s="41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</row>
    <row r="416" spans="1:15" ht="28.5" customHeight="1">
      <c r="A416" s="43"/>
      <c r="B416" s="41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</row>
    <row r="417" spans="1:15" ht="28.5" customHeight="1">
      <c r="A417" s="43"/>
      <c r="B417" s="41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</row>
    <row r="418" spans="1:15" ht="28.5" customHeight="1">
      <c r="A418" s="43"/>
      <c r="B418" s="41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</row>
    <row r="419" spans="1:15" ht="28.5" customHeight="1">
      <c r="A419" s="43"/>
      <c r="B419" s="41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</row>
    <row r="420" spans="1:15" ht="28.5" customHeight="1">
      <c r="A420" s="43"/>
      <c r="B420" s="41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</row>
    <row r="421" spans="1:15" ht="28.5" customHeight="1">
      <c r="A421" s="43"/>
      <c r="B421" s="41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</row>
    <row r="422" spans="1:15" ht="28.5" customHeight="1">
      <c r="A422" s="43"/>
      <c r="B422" s="41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</row>
    <row r="423" spans="1:15" ht="28.5" customHeight="1">
      <c r="A423" s="43"/>
      <c r="B423" s="41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</row>
    <row r="424" spans="1:15" ht="28.5" customHeight="1">
      <c r="A424" s="43"/>
      <c r="B424" s="41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</row>
    <row r="425" spans="1:15" ht="28.5" customHeight="1">
      <c r="A425" s="43"/>
      <c r="B425" s="41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</row>
    <row r="426" spans="1:15" ht="28.5" customHeight="1">
      <c r="A426" s="43"/>
      <c r="B426" s="41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</row>
    <row r="427" spans="1:15" ht="28.5" customHeight="1">
      <c r="A427" s="43"/>
      <c r="B427" s="41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</row>
    <row r="428" spans="1:15" ht="28.5" customHeight="1">
      <c r="A428" s="43"/>
      <c r="B428" s="41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</row>
    <row r="429" spans="1:15" ht="28.5" customHeight="1">
      <c r="A429" s="43"/>
      <c r="B429" s="41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</row>
    <row r="430" spans="1:15" ht="28.5" customHeight="1">
      <c r="A430" s="43"/>
      <c r="B430" s="41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</row>
    <row r="431" spans="1:15" ht="28.5" customHeight="1">
      <c r="A431" s="43"/>
      <c r="B431" s="41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</row>
    <row r="432" spans="1:15" ht="28.5" customHeight="1">
      <c r="A432" s="43"/>
      <c r="B432" s="41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</row>
    <row r="433" spans="1:15" ht="28.5" customHeight="1">
      <c r="A433" s="43"/>
      <c r="B433" s="41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</row>
    <row r="434" spans="1:15" ht="28.5" customHeight="1">
      <c r="A434" s="43"/>
      <c r="B434" s="41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</row>
    <row r="435" spans="1:15" ht="28.5" customHeight="1">
      <c r="A435" s="43"/>
      <c r="B435" s="41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</row>
    <row r="436" spans="1:15" ht="28.5" customHeight="1">
      <c r="A436" s="43"/>
      <c r="B436" s="41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</row>
    <row r="437" spans="1:15" ht="28.5" customHeight="1">
      <c r="A437" s="43"/>
      <c r="B437" s="41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</row>
    <row r="438" spans="1:15" ht="28.5" customHeight="1">
      <c r="A438" s="43"/>
      <c r="B438" s="41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</row>
    <row r="439" spans="1:15" ht="28.5" customHeight="1">
      <c r="A439" s="43"/>
      <c r="B439" s="41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</row>
    <row r="440" spans="1:15" ht="28.5" customHeight="1">
      <c r="A440" s="43"/>
      <c r="B440" s="41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</row>
    <row r="441" spans="1:15" ht="28.5" customHeight="1">
      <c r="A441" s="43"/>
      <c r="B441" s="41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</row>
    <row r="442" spans="1:15" ht="28.5" customHeight="1">
      <c r="A442" s="43"/>
      <c r="B442" s="41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</row>
    <row r="443" spans="1:15" ht="28.5" customHeight="1">
      <c r="A443" s="43"/>
      <c r="B443" s="41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</row>
    <row r="444" spans="1:15" ht="28.5" customHeight="1">
      <c r="A444" s="43"/>
      <c r="B444" s="41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</row>
    <row r="445" spans="1:15" ht="28.5" customHeight="1">
      <c r="A445" s="43"/>
      <c r="B445" s="41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</row>
    <row r="446" spans="1:15" ht="28.5" customHeight="1">
      <c r="A446" s="43"/>
      <c r="B446" s="41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</row>
    <row r="447" spans="1:15" ht="28.5" customHeight="1">
      <c r="A447" s="43"/>
      <c r="B447" s="41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</row>
    <row r="448" spans="1:15" ht="28.5" customHeight="1">
      <c r="A448" s="43"/>
      <c r="B448" s="41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</row>
    <row r="449" spans="1:15" ht="28.5" customHeight="1">
      <c r="A449" s="43"/>
      <c r="B449" s="41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</row>
    <row r="450" spans="1:15" ht="28.5" customHeight="1">
      <c r="A450" s="43"/>
      <c r="B450" s="41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</row>
    <row r="451" spans="1:15" ht="28.5" customHeight="1">
      <c r="A451" s="43"/>
      <c r="B451" s="41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</row>
    <row r="452" spans="1:15" ht="28.5" customHeight="1">
      <c r="A452" s="43"/>
      <c r="B452" s="41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</row>
    <row r="453" spans="1:15" ht="28.5" customHeight="1">
      <c r="A453" s="43"/>
      <c r="B453" s="41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</row>
    <row r="454" spans="1:15" ht="28.5" customHeight="1">
      <c r="A454" s="43"/>
      <c r="B454" s="41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</row>
    <row r="455" spans="1:15" ht="28.5" customHeight="1">
      <c r="A455" s="43"/>
      <c r="B455" s="41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</row>
    <row r="456" spans="1:15" ht="28.5" customHeight="1">
      <c r="A456" s="43"/>
      <c r="B456" s="41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</row>
    <row r="457" spans="1:15" ht="28.5" customHeight="1">
      <c r="A457" s="43"/>
      <c r="B457" s="41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</row>
    <row r="458" spans="1:15" ht="28.5" customHeight="1">
      <c r="A458" s="43"/>
      <c r="B458" s="41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</row>
    <row r="459" spans="1:15" ht="28.5" customHeight="1">
      <c r="A459" s="43"/>
      <c r="B459" s="41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</row>
    <row r="460" spans="1:15" ht="28.5" customHeight="1">
      <c r="A460" s="43"/>
      <c r="B460" s="41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</row>
    <row r="461" spans="1:15" ht="28.5" customHeight="1">
      <c r="A461" s="43"/>
      <c r="B461" s="41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</row>
    <row r="462" spans="1:15" ht="28.5" customHeight="1">
      <c r="A462" s="43"/>
      <c r="B462" s="41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</row>
    <row r="463" spans="1:15" ht="28.5" customHeight="1">
      <c r="A463" s="43"/>
      <c r="B463" s="41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</row>
    <row r="464" spans="1:15" ht="28.5" customHeight="1">
      <c r="A464" s="43"/>
      <c r="B464" s="41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</row>
    <row r="465" spans="1:15" ht="28.5" customHeight="1">
      <c r="A465" s="43"/>
      <c r="B465" s="41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</row>
    <row r="466" spans="1:15" ht="28.5" customHeight="1">
      <c r="A466" s="43"/>
      <c r="B466" s="41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</row>
    <row r="467" spans="1:15" ht="28.5" customHeight="1">
      <c r="A467" s="43"/>
      <c r="B467" s="41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</row>
    <row r="468" spans="1:15" ht="28.5" customHeight="1">
      <c r="A468" s="43"/>
      <c r="B468" s="41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</row>
    <row r="469" spans="1:15" ht="28.5" customHeight="1">
      <c r="A469" s="43"/>
      <c r="B469" s="41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</row>
    <row r="470" spans="1:15" ht="28.5" customHeight="1">
      <c r="A470" s="43"/>
      <c r="B470" s="41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</row>
    <row r="471" spans="1:15" ht="28.5" customHeight="1">
      <c r="A471" s="43"/>
      <c r="B471" s="41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</row>
    <row r="472" spans="1:15" ht="28.5" customHeight="1">
      <c r="A472" s="43"/>
      <c r="B472" s="41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</row>
    <row r="473" spans="1:15" ht="28.5" customHeight="1">
      <c r="A473" s="43"/>
      <c r="B473" s="41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</row>
    <row r="474" spans="1:15" ht="28.5" customHeight="1">
      <c r="A474" s="43"/>
      <c r="B474" s="41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</row>
    <row r="475" spans="1:15" ht="28.5" customHeight="1">
      <c r="A475" s="43"/>
      <c r="B475" s="41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</row>
    <row r="476" spans="1:15" ht="28.5" customHeight="1">
      <c r="A476" s="43"/>
      <c r="B476" s="41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</row>
    <row r="477" spans="1:15" ht="28.5" customHeight="1">
      <c r="A477" s="43"/>
      <c r="B477" s="41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</row>
    <row r="478" spans="1:15" ht="28.5" customHeight="1">
      <c r="A478" s="43"/>
      <c r="B478" s="41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</row>
    <row r="479" spans="1:15" ht="28.5" customHeight="1">
      <c r="A479" s="43"/>
      <c r="B479" s="41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</row>
    <row r="480" spans="1:15" ht="28.5" customHeight="1">
      <c r="A480" s="43"/>
      <c r="B480" s="41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</row>
    <row r="481" spans="1:15" ht="28.5" customHeight="1">
      <c r="A481" s="43"/>
      <c r="B481" s="41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</row>
    <row r="482" spans="1:15" ht="28.5" customHeight="1">
      <c r="A482" s="43"/>
      <c r="B482" s="41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</row>
    <row r="483" spans="1:15" ht="28.5" customHeight="1">
      <c r="A483" s="43"/>
      <c r="B483" s="41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</row>
    <row r="484" spans="1:15" ht="28.5" customHeight="1">
      <c r="A484" s="43"/>
      <c r="B484" s="41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</row>
    <row r="485" spans="1:15" ht="28.5" customHeight="1">
      <c r="A485" s="43"/>
      <c r="B485" s="41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</row>
    <row r="486" spans="1:15" ht="28.5" customHeight="1">
      <c r="A486" s="43"/>
      <c r="B486" s="41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</row>
    <row r="487" spans="1:15" ht="28.5" customHeight="1">
      <c r="A487" s="43"/>
      <c r="B487" s="41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</row>
    <row r="488" spans="1:15" ht="28.5" customHeight="1">
      <c r="A488" s="43"/>
      <c r="B488" s="41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</row>
    <row r="489" spans="1:15" ht="28.5" customHeight="1">
      <c r="A489" s="43"/>
      <c r="B489" s="41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</row>
    <row r="490" spans="1:15" ht="28.5" customHeight="1">
      <c r="A490" s="43"/>
      <c r="B490" s="41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</row>
    <row r="491" spans="1:15" ht="28.5" customHeight="1">
      <c r="A491" s="43"/>
      <c r="B491" s="41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</row>
    <row r="492" spans="1:15" ht="28.5" customHeight="1">
      <c r="A492" s="43"/>
      <c r="B492" s="41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</row>
    <row r="493" spans="1:15" ht="28.5" customHeight="1">
      <c r="A493" s="43"/>
      <c r="B493" s="41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</row>
    <row r="494" spans="1:15" ht="28.5" customHeight="1">
      <c r="A494" s="43"/>
      <c r="B494" s="41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</row>
    <row r="495" spans="1:15" ht="28.5" customHeight="1">
      <c r="A495" s="43"/>
      <c r="B495" s="41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</row>
    <row r="496" spans="1:15" ht="28.5" customHeight="1">
      <c r="A496" s="43"/>
      <c r="B496" s="41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</row>
    <row r="497" spans="1:15" ht="28.5" customHeight="1">
      <c r="A497" s="43"/>
      <c r="B497" s="41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</row>
    <row r="498" spans="1:15" ht="28.5" customHeight="1">
      <c r="A498" s="43"/>
      <c r="B498" s="41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</row>
    <row r="499" spans="1:15" ht="28.5" customHeight="1">
      <c r="A499" s="43"/>
      <c r="B499" s="41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</row>
    <row r="500" spans="1:15" ht="28.5" customHeight="1">
      <c r="A500" s="43"/>
      <c r="B500" s="41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</row>
    <row r="501" spans="1:15" ht="28.5" customHeight="1">
      <c r="A501" s="43"/>
      <c r="B501" s="41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</row>
    <row r="502" spans="1:15" ht="28.5" customHeight="1">
      <c r="A502" s="43"/>
      <c r="B502" s="41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</row>
    <row r="503" spans="1:15" ht="28.5" customHeight="1">
      <c r="A503" s="43"/>
      <c r="B503" s="41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</row>
    <row r="504" spans="1:15" ht="28.5" customHeight="1">
      <c r="A504" s="43"/>
      <c r="B504" s="41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</row>
    <row r="505" spans="1:15" ht="28.5" customHeight="1">
      <c r="A505" s="43"/>
      <c r="B505" s="41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</row>
    <row r="506" spans="1:15" ht="28.5" customHeight="1">
      <c r="A506" s="43"/>
      <c r="B506" s="41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</row>
    <row r="507" spans="1:15" ht="28.5" customHeight="1">
      <c r="A507" s="43"/>
      <c r="B507" s="41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</row>
    <row r="508" spans="1:15" ht="28.5" customHeight="1">
      <c r="A508" s="43"/>
      <c r="B508" s="41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</row>
    <row r="509" spans="1:15" ht="28.5" customHeight="1">
      <c r="A509" s="43"/>
      <c r="B509" s="41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</row>
    <row r="510" spans="1:15" ht="28.5" customHeight="1">
      <c r="A510" s="43"/>
      <c r="B510" s="41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</row>
    <row r="511" spans="1:15" ht="28.5" customHeight="1">
      <c r="A511" s="43"/>
      <c r="B511" s="41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</row>
    <row r="512" spans="1:15" ht="28.5" customHeight="1">
      <c r="A512" s="43"/>
      <c r="B512" s="41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</row>
    <row r="513" spans="1:15" ht="28.5" customHeight="1">
      <c r="A513" s="43"/>
      <c r="B513" s="41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</row>
    <row r="514" spans="1:15" ht="28.5" customHeight="1">
      <c r="A514" s="43"/>
      <c r="B514" s="41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</row>
    <row r="515" spans="1:15" ht="28.5" customHeight="1">
      <c r="A515" s="43"/>
      <c r="B515" s="41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</row>
    <row r="516" spans="1:15" ht="28.5" customHeight="1">
      <c r="A516" s="43"/>
      <c r="B516" s="41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</row>
    <row r="517" spans="1:15" ht="28.5" customHeight="1">
      <c r="A517" s="43"/>
      <c r="B517" s="41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</row>
    <row r="518" spans="1:15" ht="28.5" customHeight="1">
      <c r="A518" s="43"/>
      <c r="B518" s="41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</row>
    <row r="519" spans="1:15" ht="28.5" customHeight="1">
      <c r="A519" s="43"/>
      <c r="B519" s="41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</row>
    <row r="520" spans="1:15" ht="28.5" customHeight="1">
      <c r="A520" s="43"/>
      <c r="B520" s="41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</row>
    <row r="521" spans="1:15" ht="28.5" customHeight="1">
      <c r="A521" s="43"/>
      <c r="B521" s="41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</row>
    <row r="522" spans="1:15" ht="28.5" customHeight="1">
      <c r="A522" s="43"/>
      <c r="B522" s="41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</row>
    <row r="523" spans="1:15" ht="28.5" customHeight="1">
      <c r="A523" s="43"/>
      <c r="B523" s="41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</row>
    <row r="524" spans="1:15" ht="28.5" customHeight="1">
      <c r="A524" s="43"/>
      <c r="B524" s="41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</row>
    <row r="525" spans="1:15" ht="28.5" customHeight="1">
      <c r="A525" s="43"/>
      <c r="B525" s="41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</row>
    <row r="526" spans="1:15" ht="28.5" customHeight="1">
      <c r="A526" s="43"/>
      <c r="B526" s="41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</row>
    <row r="527" spans="1:15" ht="28.5" customHeight="1">
      <c r="A527" s="43"/>
      <c r="B527" s="41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</row>
    <row r="528" spans="1:15" ht="28.5" customHeight="1">
      <c r="A528" s="43"/>
      <c r="B528" s="41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</row>
    <row r="529" spans="1:15" ht="28.5" customHeight="1">
      <c r="A529" s="43"/>
      <c r="B529" s="41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</row>
    <row r="530" spans="1:15" ht="28.5" customHeight="1">
      <c r="A530" s="43"/>
      <c r="B530" s="41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</row>
    <row r="531" spans="1:15" ht="28.5" customHeight="1">
      <c r="A531" s="43"/>
      <c r="B531" s="41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</row>
    <row r="532" spans="1:15" ht="28.5" customHeight="1">
      <c r="A532" s="43"/>
      <c r="B532" s="41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</row>
    <row r="533" spans="1:15" ht="28.5" customHeight="1">
      <c r="A533" s="43"/>
      <c r="B533" s="41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</row>
    <row r="534" spans="1:15" ht="28.5" customHeight="1">
      <c r="A534" s="43"/>
      <c r="B534" s="41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</row>
    <row r="535" spans="1:15" ht="28.5" customHeight="1">
      <c r="A535" s="43"/>
      <c r="B535" s="41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</row>
    <row r="536" spans="1:15" ht="28.5" customHeight="1">
      <c r="A536" s="43"/>
      <c r="B536" s="41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</row>
    <row r="537" spans="1:15" ht="28.5" customHeight="1">
      <c r="A537" s="43"/>
      <c r="B537" s="41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</row>
    <row r="538" spans="1:15" ht="28.5" customHeight="1">
      <c r="A538" s="43"/>
      <c r="B538" s="41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</row>
    <row r="539" spans="1:15" ht="28.5" customHeight="1">
      <c r="A539" s="43"/>
      <c r="B539" s="41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</row>
    <row r="540" spans="1:15" ht="28.5" customHeight="1">
      <c r="A540" s="43"/>
      <c r="B540" s="41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</row>
    <row r="541" spans="1:15" ht="28.5" customHeight="1">
      <c r="A541" s="43"/>
      <c r="B541" s="41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</row>
    <row r="542" spans="1:15" ht="28.5" customHeight="1">
      <c r="A542" s="43"/>
      <c r="B542" s="41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</row>
    <row r="543" spans="1:15" ht="28.5" customHeight="1">
      <c r="A543" s="43"/>
      <c r="B543" s="41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</row>
    <row r="544" spans="1:15" ht="28.5" customHeight="1">
      <c r="A544" s="43"/>
      <c r="B544" s="41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</row>
    <row r="545" spans="1:15" ht="28.5" customHeight="1">
      <c r="A545" s="43"/>
      <c r="B545" s="41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</row>
    <row r="546" spans="1:15" ht="28.5" customHeight="1">
      <c r="A546" s="43"/>
      <c r="B546" s="41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</row>
    <row r="547" spans="1:15" ht="28.5" customHeight="1">
      <c r="A547" s="43"/>
      <c r="B547" s="41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</row>
    <row r="548" spans="1:15" ht="28.5" customHeight="1">
      <c r="A548" s="43"/>
      <c r="B548" s="41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</row>
    <row r="549" spans="1:15" ht="28.5" customHeight="1">
      <c r="A549" s="43"/>
      <c r="B549" s="41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</row>
    <row r="550" spans="1:15" ht="28.5" customHeight="1">
      <c r="A550" s="43"/>
      <c r="B550" s="41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</row>
    <row r="551" spans="1:15" ht="28.5" customHeight="1">
      <c r="A551" s="43"/>
      <c r="B551" s="41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</row>
    <row r="552" spans="1:15" ht="28.5" customHeight="1">
      <c r="A552" s="43"/>
      <c r="B552" s="41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</row>
    <row r="553" spans="1:15" ht="28.5" customHeight="1">
      <c r="A553" s="43"/>
      <c r="B553" s="41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</row>
    <row r="554" spans="1:15" ht="28.5" customHeight="1">
      <c r="A554" s="43"/>
      <c r="B554" s="41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</row>
    <row r="555" spans="1:15" ht="28.5" customHeight="1">
      <c r="A555" s="43"/>
      <c r="B555" s="41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</row>
    <row r="556" spans="1:15" ht="28.5" customHeight="1">
      <c r="A556" s="43"/>
      <c r="B556" s="41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</row>
    <row r="557" spans="1:15" ht="28.5" customHeight="1">
      <c r="A557" s="43"/>
      <c r="B557" s="41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</row>
    <row r="558" spans="1:15" ht="28.5" customHeight="1">
      <c r="A558" s="43"/>
      <c r="B558" s="41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</row>
    <row r="559" spans="1:15" ht="28.5" customHeight="1">
      <c r="A559" s="43"/>
      <c r="B559" s="41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</row>
    <row r="560" spans="1:15" ht="28.5" customHeight="1">
      <c r="A560" s="43"/>
      <c r="B560" s="41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</row>
    <row r="561" spans="1:15" ht="28.5" customHeight="1">
      <c r="A561" s="43"/>
      <c r="B561" s="41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</row>
    <row r="562" spans="1:15" ht="28.5" customHeight="1">
      <c r="A562" s="43"/>
      <c r="B562" s="41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</row>
    <row r="563" spans="1:15" ht="28.5" customHeight="1">
      <c r="A563" s="43"/>
      <c r="B563" s="41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</row>
    <row r="564" spans="1:15" ht="28.5" customHeight="1">
      <c r="A564" s="43"/>
      <c r="B564" s="41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</row>
    <row r="565" spans="1:15" ht="28.5" customHeight="1">
      <c r="A565" s="43"/>
      <c r="B565" s="41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</row>
    <row r="566" spans="1:15" ht="28.5" customHeight="1">
      <c r="A566" s="43"/>
      <c r="B566" s="41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</row>
    <row r="567" spans="1:15" ht="28.5" customHeight="1">
      <c r="A567" s="43"/>
      <c r="B567" s="41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</row>
    <row r="568" spans="1:15" ht="28.5" customHeight="1">
      <c r="A568" s="43"/>
      <c r="B568" s="41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</row>
    <row r="569" spans="1:15" ht="28.5" customHeight="1">
      <c r="A569" s="43"/>
      <c r="B569" s="41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</row>
    <row r="570" spans="1:15" ht="28.5" customHeight="1">
      <c r="A570" s="43"/>
      <c r="B570" s="41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</row>
    <row r="571" spans="1:15" ht="28.5" customHeight="1">
      <c r="A571" s="43"/>
      <c r="B571" s="41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</row>
    <row r="572" spans="1:15" ht="28.5" customHeight="1">
      <c r="A572" s="43"/>
      <c r="B572" s="41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</row>
    <row r="573" spans="1:15" ht="28.5" customHeight="1">
      <c r="A573" s="43"/>
      <c r="B573" s="41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</row>
    <row r="574" spans="1:15" ht="28.5" customHeight="1">
      <c r="A574" s="43"/>
      <c r="B574" s="41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</row>
    <row r="575" spans="1:15" ht="28.5" customHeight="1">
      <c r="A575" s="43"/>
      <c r="B575" s="41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</row>
    <row r="576" spans="1:15" ht="28.5" customHeight="1">
      <c r="A576" s="43"/>
      <c r="B576" s="41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</row>
    <row r="577" spans="1:15" ht="28.5" customHeight="1">
      <c r="A577" s="43"/>
      <c r="B577" s="41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</row>
    <row r="578" spans="1:15" ht="28.5" customHeight="1">
      <c r="A578" s="43"/>
      <c r="B578" s="41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</row>
    <row r="579" spans="1:15" ht="28.5" customHeight="1">
      <c r="A579" s="43"/>
      <c r="B579" s="41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</row>
    <row r="580" spans="1:15" ht="28.5" customHeight="1">
      <c r="A580" s="43"/>
      <c r="B580" s="41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</row>
    <row r="581" spans="1:15" ht="28.5" customHeight="1">
      <c r="A581" s="43"/>
      <c r="B581" s="41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</row>
    <row r="582" spans="1:15" ht="28.5" customHeight="1">
      <c r="A582" s="43"/>
      <c r="B582" s="41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</row>
    <row r="583" spans="1:15" ht="28.5" customHeight="1">
      <c r="A583" s="43"/>
      <c r="B583" s="41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</row>
    <row r="584" spans="1:15" ht="28.5" customHeight="1">
      <c r="A584" s="43"/>
      <c r="B584" s="41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</row>
    <row r="585" spans="1:15" ht="28.5" customHeight="1">
      <c r="A585" s="43"/>
      <c r="B585" s="41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</row>
    <row r="586" spans="1:15" ht="28.5" customHeight="1">
      <c r="A586" s="43"/>
      <c r="B586" s="41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</row>
    <row r="587" spans="1:15" ht="28.5" customHeight="1">
      <c r="A587" s="43"/>
      <c r="B587" s="41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</row>
    <row r="588" spans="1:15" ht="28.5" customHeight="1">
      <c r="A588" s="43"/>
      <c r="B588" s="41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</row>
    <row r="589" spans="1:15" ht="28.5" customHeight="1">
      <c r="A589" s="43"/>
      <c r="B589" s="41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</row>
    <row r="590" spans="1:15" ht="28.5" customHeight="1">
      <c r="A590" s="43"/>
      <c r="B590" s="41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</row>
    <row r="591" spans="1:15" ht="28.5" customHeight="1">
      <c r="A591" s="43"/>
      <c r="B591" s="41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</row>
    <row r="592" spans="1:15" ht="28.5" customHeight="1">
      <c r="A592" s="43"/>
      <c r="B592" s="41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</row>
    <row r="593" spans="1:15" ht="28.5" customHeight="1">
      <c r="A593" s="43"/>
      <c r="B593" s="41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</row>
    <row r="594" spans="1:15" ht="28.5" customHeight="1">
      <c r="A594" s="43"/>
      <c r="B594" s="41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</row>
    <row r="595" spans="1:15" ht="28.5" customHeight="1">
      <c r="A595" s="43"/>
      <c r="B595" s="41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</row>
    <row r="596" spans="1:15" ht="28.5" customHeight="1">
      <c r="A596" s="43"/>
      <c r="B596" s="41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</row>
    <row r="597" spans="1:15" ht="28.5" customHeight="1">
      <c r="A597" s="43"/>
      <c r="B597" s="41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</row>
    <row r="598" spans="1:15" ht="28.5" customHeight="1">
      <c r="A598" s="43"/>
      <c r="B598" s="41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</row>
    <row r="599" spans="1:15" ht="28.5" customHeight="1">
      <c r="A599" s="43"/>
      <c r="B599" s="41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</row>
    <row r="600" spans="1:15" ht="28.5" customHeight="1">
      <c r="A600" s="43"/>
      <c r="B600" s="41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</row>
    <row r="601" spans="1:15" ht="28.5" customHeight="1">
      <c r="A601" s="43"/>
      <c r="B601" s="41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</row>
    <row r="602" spans="1:15" ht="28.5" customHeight="1">
      <c r="A602" s="43"/>
      <c r="B602" s="41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</row>
    <row r="603" spans="1:15" ht="28.5" customHeight="1">
      <c r="A603" s="43"/>
      <c r="B603" s="41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</row>
    <row r="604" spans="1:15" ht="28.5" customHeight="1">
      <c r="A604" s="43"/>
      <c r="B604" s="41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</row>
    <row r="605" spans="1:15" ht="28.5" customHeight="1">
      <c r="A605" s="43"/>
      <c r="B605" s="41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</row>
    <row r="606" spans="1:15" ht="28.5" customHeight="1">
      <c r="A606" s="43"/>
      <c r="B606" s="41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</row>
    <row r="607" spans="1:15" ht="28.5" customHeight="1">
      <c r="A607" s="43"/>
      <c r="B607" s="41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</row>
    <row r="608" spans="1:15" ht="28.5" customHeight="1">
      <c r="A608" s="43"/>
      <c r="B608" s="41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</row>
    <row r="609" spans="1:15" ht="28.5" customHeight="1">
      <c r="A609" s="43"/>
      <c r="B609" s="41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</row>
    <row r="610" spans="1:15" ht="28.5" customHeight="1">
      <c r="A610" s="43"/>
      <c r="B610" s="41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</row>
    <row r="611" spans="1:15" ht="28.5" customHeight="1">
      <c r="A611" s="43"/>
      <c r="B611" s="41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</row>
    <row r="612" spans="1:15" ht="28.5" customHeight="1">
      <c r="A612" s="43"/>
      <c r="B612" s="41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</row>
    <row r="613" spans="1:15" ht="28.5" customHeight="1">
      <c r="A613" s="43"/>
      <c r="B613" s="41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</row>
    <row r="614" spans="1:15" ht="28.5" customHeight="1">
      <c r="A614" s="43"/>
      <c r="B614" s="41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</row>
    <row r="615" spans="1:15" ht="28.5" customHeight="1">
      <c r="A615" s="43"/>
      <c r="B615" s="41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</row>
    <row r="616" spans="1:15" ht="28.5" customHeight="1">
      <c r="A616" s="43"/>
      <c r="B616" s="41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</row>
    <row r="617" spans="1:15" ht="28.5" customHeight="1">
      <c r="A617" s="43"/>
      <c r="B617" s="41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</row>
    <row r="618" spans="1:15" ht="28.5" customHeight="1">
      <c r="A618" s="43"/>
      <c r="B618" s="41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</row>
    <row r="619" spans="1:15" ht="28.5" customHeight="1">
      <c r="A619" s="43"/>
      <c r="B619" s="41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</row>
    <row r="620" spans="1:15" ht="28.5" customHeight="1">
      <c r="A620" s="43"/>
      <c r="B620" s="41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</row>
    <row r="621" spans="1:15" ht="28.5" customHeight="1">
      <c r="A621" s="43"/>
      <c r="B621" s="41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</row>
    <row r="622" spans="1:15" ht="28.5" customHeight="1">
      <c r="A622" s="43"/>
      <c r="B622" s="41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</row>
    <row r="623" spans="1:15" ht="28.5" customHeight="1">
      <c r="A623" s="43"/>
      <c r="B623" s="41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</row>
    <row r="624" spans="1:15" ht="28.5" customHeight="1">
      <c r="A624" s="43"/>
      <c r="B624" s="41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</row>
    <row r="625" spans="1:15" ht="28.5" customHeight="1">
      <c r="A625" s="43"/>
      <c r="B625" s="41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</row>
    <row r="626" spans="1:15" ht="28.5" customHeight="1">
      <c r="A626" s="43"/>
      <c r="B626" s="41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</row>
    <row r="627" spans="1:15" ht="28.5" customHeight="1">
      <c r="A627" s="43"/>
      <c r="B627" s="41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</row>
    <row r="628" spans="1:15" ht="28.5" customHeight="1">
      <c r="A628" s="43"/>
      <c r="B628" s="41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</row>
    <row r="629" spans="1:15" ht="28.5" customHeight="1">
      <c r="A629" s="43"/>
      <c r="B629" s="41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</row>
    <row r="630" spans="1:15" ht="28.5" customHeight="1">
      <c r="A630" s="43"/>
      <c r="B630" s="41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</row>
    <row r="631" spans="1:15" ht="28.5" customHeight="1">
      <c r="A631" s="43"/>
      <c r="B631" s="41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</row>
    <row r="632" spans="1:15" ht="28.5" customHeight="1">
      <c r="A632" s="43"/>
      <c r="B632" s="41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</row>
    <row r="633" spans="1:15" ht="28.5" customHeight="1">
      <c r="A633" s="43"/>
      <c r="B633" s="41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</row>
    <row r="634" spans="1:15" ht="28.5" customHeight="1">
      <c r="A634" s="43"/>
      <c r="B634" s="41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</row>
    <row r="635" spans="1:15" ht="28.5" customHeight="1">
      <c r="A635" s="43"/>
      <c r="B635" s="41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</row>
    <row r="636" spans="1:15" ht="28.5" customHeight="1">
      <c r="A636" s="43"/>
      <c r="B636" s="41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</row>
    <row r="637" spans="1:15" ht="28.5" customHeight="1">
      <c r="A637" s="43"/>
      <c r="B637" s="41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</row>
    <row r="638" spans="1:15" ht="28.5" customHeight="1">
      <c r="A638" s="43"/>
      <c r="B638" s="41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</row>
    <row r="639" spans="1:15" ht="28.5" customHeight="1">
      <c r="A639" s="43"/>
      <c r="B639" s="41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</row>
    <row r="640" spans="1:15" ht="28.5" customHeight="1">
      <c r="A640" s="43"/>
      <c r="B640" s="41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</row>
    <row r="641" spans="1:15" ht="28.5" customHeight="1">
      <c r="A641" s="43"/>
      <c r="B641" s="41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</row>
    <row r="642" spans="1:15" ht="28.5" customHeight="1">
      <c r="A642" s="43"/>
      <c r="B642" s="41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</row>
    <row r="643" spans="1:15" ht="28.5" customHeight="1">
      <c r="A643" s="43"/>
      <c r="B643" s="41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</row>
    <row r="644" spans="1:15" ht="28.5" customHeight="1">
      <c r="A644" s="43"/>
      <c r="B644" s="41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</row>
    <row r="645" spans="1:15" ht="28.5" customHeight="1">
      <c r="A645" s="43"/>
      <c r="B645" s="41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</row>
    <row r="646" spans="1:15" ht="28.5" customHeight="1">
      <c r="A646" s="43"/>
      <c r="B646" s="41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</row>
    <row r="647" spans="1:15" ht="28.5" customHeight="1">
      <c r="A647" s="43"/>
      <c r="B647" s="41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</row>
    <row r="648" spans="1:15" ht="28.5" customHeight="1">
      <c r="A648" s="43"/>
      <c r="B648" s="41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</row>
    <row r="649" spans="1:15" ht="28.5" customHeight="1">
      <c r="A649" s="43"/>
      <c r="B649" s="41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</row>
    <row r="650" spans="1:15" ht="28.5" customHeight="1">
      <c r="A650" s="43"/>
      <c r="B650" s="41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</row>
    <row r="651" spans="1:15" ht="28.5" customHeight="1">
      <c r="A651" s="43"/>
      <c r="B651" s="41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</row>
    <row r="652" spans="1:15" ht="28.5" customHeight="1">
      <c r="A652" s="43"/>
      <c r="B652" s="41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</row>
    <row r="653" spans="1:15" ht="28.5" customHeight="1">
      <c r="A653" s="43"/>
      <c r="B653" s="41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</row>
    <row r="654" spans="1:15" ht="28.5" customHeight="1">
      <c r="A654" s="43"/>
      <c r="B654" s="41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</row>
    <row r="655" spans="1:15" ht="28.5" customHeight="1">
      <c r="A655" s="43"/>
      <c r="B655" s="41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</row>
    <row r="656" spans="1:15" ht="28.5" customHeight="1">
      <c r="A656" s="43"/>
      <c r="B656" s="41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</row>
    <row r="657" spans="1:15" ht="28.5" customHeight="1">
      <c r="A657" s="43"/>
      <c r="B657" s="41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</row>
    <row r="658" spans="1:15" ht="28.5" customHeight="1">
      <c r="A658" s="43"/>
      <c r="B658" s="41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</row>
    <row r="659" spans="1:15" ht="28.5" customHeight="1">
      <c r="A659" s="43"/>
      <c r="B659" s="41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</row>
    <row r="660" spans="1:15" ht="28.5" customHeight="1">
      <c r="A660" s="43"/>
      <c r="B660" s="41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</row>
    <row r="661" spans="1:15" ht="28.5" customHeight="1">
      <c r="A661" s="43"/>
      <c r="B661" s="41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</row>
    <row r="662" spans="1:15" ht="28.5" customHeight="1">
      <c r="A662" s="43"/>
      <c r="B662" s="41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</row>
    <row r="663" spans="1:15" ht="28.5" customHeight="1">
      <c r="A663" s="43"/>
      <c r="B663" s="41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</row>
    <row r="664" spans="1:15" ht="28.5" customHeight="1">
      <c r="A664" s="43"/>
      <c r="B664" s="41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</row>
    <row r="665" spans="1:15" ht="28.5" customHeight="1">
      <c r="A665" s="43"/>
      <c r="B665" s="41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</row>
    <row r="666" spans="1:15" ht="28.5" customHeight="1">
      <c r="A666" s="43"/>
      <c r="B666" s="41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</row>
    <row r="667" spans="1:15" ht="28.5" customHeight="1">
      <c r="A667" s="43"/>
      <c r="B667" s="41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</row>
    <row r="668" spans="1:15" ht="28.5" customHeight="1">
      <c r="A668" s="43"/>
      <c r="B668" s="41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</row>
    <row r="669" spans="1:15" ht="28.5" customHeight="1">
      <c r="A669" s="43"/>
      <c r="B669" s="41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</row>
    <row r="670" spans="1:15" ht="28.5" customHeight="1">
      <c r="A670" s="43"/>
      <c r="B670" s="41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</row>
    <row r="671" spans="1:15" ht="28.5" customHeight="1">
      <c r="A671" s="43"/>
      <c r="B671" s="41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</row>
    <row r="672" spans="1:15" ht="28.5" customHeight="1">
      <c r="A672" s="43"/>
      <c r="B672" s="41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</row>
    <row r="673" spans="1:15" ht="28.5" customHeight="1">
      <c r="A673" s="43"/>
      <c r="B673" s="41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</row>
    <row r="674" spans="1:15" ht="28.5" customHeight="1">
      <c r="A674" s="43"/>
      <c r="B674" s="41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</row>
    <row r="675" spans="1:15" ht="28.5" customHeight="1">
      <c r="A675" s="43"/>
      <c r="B675" s="41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</row>
    <row r="676" spans="1:15" ht="28.5" customHeight="1">
      <c r="A676" s="43"/>
      <c r="B676" s="41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</row>
    <row r="677" spans="1:15" ht="28.5" customHeight="1">
      <c r="A677" s="43"/>
      <c r="B677" s="41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</row>
    <row r="678" spans="1:15" ht="28.5" customHeight="1">
      <c r="A678" s="43"/>
      <c r="B678" s="41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</row>
    <row r="679" spans="1:15" ht="28.5" customHeight="1">
      <c r="A679" s="43"/>
      <c r="B679" s="41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</row>
    <row r="680" spans="1:15" ht="28.5" customHeight="1">
      <c r="A680" s="43"/>
      <c r="B680" s="41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</row>
    <row r="681" spans="1:15" ht="28.5" customHeight="1">
      <c r="A681" s="43"/>
      <c r="B681" s="41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</row>
    <row r="682" spans="1:15" ht="28.5" customHeight="1">
      <c r="A682" s="43"/>
      <c r="B682" s="41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</row>
    <row r="683" spans="1:15" ht="28.5" customHeight="1">
      <c r="A683" s="43"/>
      <c r="B683" s="41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</row>
    <row r="684" spans="1:15" ht="28.5" customHeight="1">
      <c r="A684" s="43"/>
      <c r="B684" s="41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</row>
    <row r="685" spans="1:15" ht="28.5" customHeight="1">
      <c r="A685" s="43"/>
      <c r="B685" s="41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</row>
    <row r="686" spans="1:15" ht="28.5" customHeight="1">
      <c r="A686" s="43"/>
      <c r="B686" s="41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</row>
    <row r="687" spans="1:15" ht="28.5" customHeight="1">
      <c r="A687" s="43"/>
      <c r="B687" s="41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</row>
    <row r="688" spans="1:15" ht="28.5" customHeight="1">
      <c r="A688" s="43"/>
      <c r="B688" s="41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</row>
    <row r="689" spans="1:15" ht="28.5" customHeight="1">
      <c r="A689" s="43"/>
      <c r="B689" s="41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</row>
    <row r="690" spans="1:15" ht="28.5" customHeight="1">
      <c r="A690" s="43"/>
      <c r="B690" s="41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</row>
    <row r="691" spans="1:15" ht="28.5" customHeight="1">
      <c r="A691" s="43"/>
      <c r="B691" s="41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</row>
    <row r="692" spans="1:15" ht="28.5" customHeight="1">
      <c r="A692" s="43"/>
      <c r="B692" s="41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</row>
    <row r="693" spans="1:15" ht="28.5" customHeight="1">
      <c r="A693" s="43"/>
      <c r="B693" s="41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</row>
    <row r="694" spans="1:15" ht="28.5" customHeight="1">
      <c r="A694" s="43"/>
      <c r="B694" s="41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</row>
    <row r="695" spans="1:15" ht="28.5" customHeight="1">
      <c r="A695" s="43"/>
      <c r="B695" s="41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</row>
    <row r="696" spans="1:15" ht="28.5" customHeight="1">
      <c r="A696" s="43"/>
      <c r="B696" s="41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</row>
    <row r="697" spans="1:15" ht="28.5" customHeight="1">
      <c r="A697" s="43"/>
      <c r="B697" s="41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</row>
    <row r="698" spans="1:15" ht="28.5" customHeight="1">
      <c r="A698" s="43"/>
      <c r="B698" s="41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</row>
    <row r="699" spans="1:15" ht="28.5" customHeight="1">
      <c r="A699" s="43"/>
      <c r="B699" s="41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</row>
    <row r="700" spans="1:15" ht="28.5" customHeight="1">
      <c r="A700" s="43"/>
      <c r="B700" s="41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</row>
    <row r="701" spans="1:15" ht="28.5" customHeight="1">
      <c r="A701" s="43"/>
      <c r="B701" s="41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</row>
    <row r="702" spans="1:15" ht="28.5" customHeight="1">
      <c r="A702" s="43"/>
      <c r="B702" s="41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</row>
    <row r="703" spans="1:15" ht="28.5" customHeight="1">
      <c r="A703" s="43"/>
      <c r="B703" s="41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</row>
    <row r="704" spans="1:15" ht="28.5" customHeight="1">
      <c r="A704" s="43"/>
      <c r="B704" s="41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</row>
    <row r="705" spans="1:15" ht="28.5" customHeight="1">
      <c r="A705" s="43"/>
      <c r="B705" s="41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</row>
    <row r="706" spans="1:15" ht="28.5" customHeight="1">
      <c r="A706" s="43"/>
      <c r="B706" s="41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</row>
    <row r="707" spans="1:15" ht="28.5" customHeight="1">
      <c r="A707" s="43"/>
      <c r="B707" s="41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</row>
    <row r="708" spans="1:15" ht="28.5" customHeight="1">
      <c r="A708" s="43"/>
      <c r="B708" s="41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</row>
    <row r="709" spans="1:15" ht="28.5" customHeight="1">
      <c r="A709" s="43"/>
      <c r="B709" s="41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</row>
    <row r="710" spans="1:15" ht="28.5" customHeight="1">
      <c r="A710" s="43"/>
      <c r="B710" s="41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</row>
    <row r="711" spans="1:15" ht="28.5" customHeight="1">
      <c r="A711" s="43"/>
      <c r="B711" s="41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</row>
    <row r="712" spans="1:15" ht="28.5" customHeight="1">
      <c r="A712" s="43"/>
      <c r="B712" s="41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</row>
    <row r="713" spans="1:15" ht="28.5" customHeight="1">
      <c r="A713" s="43"/>
      <c r="B713" s="41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</row>
    <row r="714" spans="1:15" ht="28.5" customHeight="1">
      <c r="A714" s="43"/>
      <c r="B714" s="41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</row>
    <row r="715" spans="1:15" ht="28.5" customHeight="1">
      <c r="A715" s="43"/>
      <c r="B715" s="41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</row>
    <row r="716" spans="1:15" ht="28.5" customHeight="1">
      <c r="A716" s="43"/>
      <c r="B716" s="41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</row>
    <row r="717" spans="1:15" ht="28.5" customHeight="1">
      <c r="A717" s="43"/>
      <c r="B717" s="41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</row>
    <row r="718" spans="1:15" ht="28.5" customHeight="1">
      <c r="A718" s="43"/>
      <c r="B718" s="41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</row>
    <row r="719" spans="1:15" ht="28.5" customHeight="1">
      <c r="A719" s="43"/>
      <c r="B719" s="41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</row>
    <row r="720" spans="1:15" ht="28.5" customHeight="1">
      <c r="A720" s="43"/>
      <c r="B720" s="41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</row>
    <row r="721" spans="1:15" ht="28.5" customHeight="1">
      <c r="A721" s="43"/>
      <c r="B721" s="41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</row>
    <row r="722" spans="1:15" ht="28.5" customHeight="1">
      <c r="A722" s="43"/>
      <c r="B722" s="41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</row>
    <row r="723" spans="1:15" ht="28.5" customHeight="1">
      <c r="A723" s="43"/>
      <c r="B723" s="41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</row>
    <row r="724" spans="1:15" ht="28.5" customHeight="1">
      <c r="A724" s="43"/>
      <c r="B724" s="41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</row>
    <row r="725" spans="1:15" ht="28.5" customHeight="1">
      <c r="A725" s="43"/>
      <c r="B725" s="41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</row>
    <row r="726" spans="1:15" ht="28.5" customHeight="1">
      <c r="A726" s="43"/>
      <c r="B726" s="41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</row>
    <row r="727" spans="1:15" ht="28.5" customHeight="1">
      <c r="A727" s="43"/>
      <c r="B727" s="41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</row>
    <row r="728" spans="1:15" ht="28.5" customHeight="1">
      <c r="A728" s="43"/>
      <c r="B728" s="41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</row>
    <row r="729" spans="1:15" ht="28.5" customHeight="1">
      <c r="A729" s="43"/>
      <c r="B729" s="41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</row>
    <row r="730" spans="1:15" ht="28.5" customHeight="1">
      <c r="A730" s="43"/>
      <c r="B730" s="41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</row>
    <row r="731" spans="1:15" ht="28.5" customHeight="1">
      <c r="A731" s="43"/>
      <c r="B731" s="41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</row>
    <row r="732" spans="1:15" ht="28.5" customHeight="1">
      <c r="A732" s="43"/>
      <c r="B732" s="41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</row>
    <row r="733" spans="1:15" ht="28.5" customHeight="1">
      <c r="A733" s="43"/>
      <c r="B733" s="41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</row>
    <row r="734" spans="1:15" ht="28.5" customHeight="1">
      <c r="A734" s="43"/>
      <c r="B734" s="41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</row>
    <row r="735" spans="1:15" ht="28.5" customHeight="1">
      <c r="A735" s="43"/>
      <c r="B735" s="41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</row>
    <row r="736" spans="1:15" ht="28.5" customHeight="1">
      <c r="A736" s="43"/>
      <c r="B736" s="41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</row>
    <row r="737" spans="1:15" ht="28.5" customHeight="1">
      <c r="A737" s="43"/>
      <c r="B737" s="41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</row>
    <row r="738" spans="1:15" ht="28.5" customHeight="1">
      <c r="A738" s="43"/>
      <c r="B738" s="41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</row>
    <row r="739" spans="1:15" ht="28.5" customHeight="1">
      <c r="A739" s="43"/>
      <c r="B739" s="41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</row>
    <row r="740" spans="1:15" ht="28.5" customHeight="1">
      <c r="A740" s="43"/>
      <c r="B740" s="41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</row>
    <row r="741" spans="1:15" ht="28.5" customHeight="1">
      <c r="A741" s="43"/>
      <c r="B741" s="41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</row>
    <row r="742" spans="1:15" ht="28.5" customHeight="1">
      <c r="A742" s="43"/>
      <c r="B742" s="41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</row>
    <row r="743" spans="1:15" ht="28.5" customHeight="1">
      <c r="A743" s="43"/>
      <c r="B743" s="41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</row>
    <row r="744" spans="1:15" ht="28.5" customHeight="1">
      <c r="A744" s="43"/>
      <c r="B744" s="41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</row>
    <row r="745" spans="1:15" ht="28.5" customHeight="1">
      <c r="A745" s="43"/>
      <c r="B745" s="41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</row>
    <row r="746" spans="1:15" ht="28.5" customHeight="1">
      <c r="A746" s="43"/>
      <c r="B746" s="41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</row>
    <row r="747" spans="1:15" ht="28.5" customHeight="1">
      <c r="A747" s="43"/>
      <c r="B747" s="41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</row>
    <row r="748" spans="1:15" ht="28.5" customHeight="1">
      <c r="A748" s="43"/>
      <c r="B748" s="41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</row>
    <row r="749" spans="1:15" ht="28.5" customHeight="1">
      <c r="A749" s="43"/>
      <c r="B749" s="41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</row>
    <row r="750" spans="1:15" ht="28.5" customHeight="1">
      <c r="A750" s="43"/>
      <c r="B750" s="41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</row>
    <row r="751" spans="1:15" ht="28.5" customHeight="1">
      <c r="A751" s="43"/>
      <c r="B751" s="41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</row>
    <row r="752" spans="1:15" ht="28.5" customHeight="1">
      <c r="A752" s="43"/>
      <c r="B752" s="41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</row>
    <row r="753" spans="1:15" ht="28.5" customHeight="1">
      <c r="A753" s="43"/>
      <c r="B753" s="41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</row>
    <row r="754" spans="1:15" ht="28.5" customHeight="1">
      <c r="A754" s="43"/>
      <c r="B754" s="41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</row>
    <row r="755" spans="1:15" ht="28.5" customHeight="1">
      <c r="A755" s="43"/>
      <c r="B755" s="41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</row>
    <row r="756" spans="1:15" ht="28.5" customHeight="1">
      <c r="A756" s="43"/>
      <c r="B756" s="41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</row>
    <row r="757" spans="1:15" ht="28.5" customHeight="1">
      <c r="A757" s="43"/>
      <c r="B757" s="41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</row>
    <row r="758" spans="1:15" ht="28.5" customHeight="1">
      <c r="A758" s="43"/>
      <c r="B758" s="41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</row>
    <row r="759" spans="1:15" ht="28.5" customHeight="1">
      <c r="A759" s="43"/>
      <c r="B759" s="41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</row>
    <row r="760" spans="1:15" ht="28.5" customHeight="1">
      <c r="A760" s="43"/>
      <c r="B760" s="41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</row>
    <row r="761" spans="1:15" ht="28.5" customHeight="1">
      <c r="A761" s="43"/>
      <c r="B761" s="41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</row>
    <row r="762" spans="1:15" ht="28.5" customHeight="1">
      <c r="A762" s="43"/>
      <c r="B762" s="41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</row>
    <row r="763" spans="1:15" ht="28.5" customHeight="1">
      <c r="A763" s="43"/>
      <c r="B763" s="41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</row>
    <row r="764" spans="1:15" ht="28.5" customHeight="1">
      <c r="A764" s="43"/>
      <c r="B764" s="41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</row>
    <row r="765" spans="1:15" ht="28.5" customHeight="1">
      <c r="A765" s="43"/>
      <c r="B765" s="41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</row>
    <row r="766" spans="1:15" ht="28.5" customHeight="1">
      <c r="A766" s="43"/>
      <c r="B766" s="41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</row>
    <row r="767" spans="1:15" ht="28.5" customHeight="1">
      <c r="A767" s="43"/>
      <c r="B767" s="41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</row>
    <row r="768" spans="1:15" ht="28.5" customHeight="1">
      <c r="A768" s="43"/>
      <c r="B768" s="41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</row>
    <row r="769" spans="1:15" ht="28.5" customHeight="1">
      <c r="A769" s="43"/>
      <c r="B769" s="41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</row>
    <row r="770" spans="1:15" ht="28.5" customHeight="1">
      <c r="A770" s="43"/>
      <c r="B770" s="41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</row>
    <row r="771" spans="1:15" ht="28.5" customHeight="1">
      <c r="A771" s="43"/>
      <c r="B771" s="41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</row>
    <row r="772" spans="1:15" ht="28.5" customHeight="1">
      <c r="A772" s="43"/>
      <c r="B772" s="41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</row>
    <row r="773" spans="1:15" ht="28.5" customHeight="1">
      <c r="A773" s="43"/>
      <c r="B773" s="41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</row>
    <row r="774" spans="1:15" ht="28.5" customHeight="1">
      <c r="A774" s="43"/>
      <c r="B774" s="41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</row>
    <row r="775" spans="1:15" ht="28.5" customHeight="1">
      <c r="A775" s="43"/>
      <c r="B775" s="41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</row>
    <row r="776" spans="1:15" ht="28.5" customHeight="1">
      <c r="A776" s="43"/>
      <c r="B776" s="41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</row>
    <row r="777" spans="1:15" ht="28.5" customHeight="1">
      <c r="A777" s="43"/>
      <c r="B777" s="41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</row>
    <row r="778" spans="1:15" ht="28.5" customHeight="1">
      <c r="A778" s="43"/>
      <c r="B778" s="41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</row>
    <row r="779" spans="1:15" ht="28.5" customHeight="1">
      <c r="A779" s="43"/>
      <c r="B779" s="41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</row>
    <row r="780" spans="1:15" ht="28.5" customHeight="1">
      <c r="A780" s="43"/>
      <c r="B780" s="41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</row>
    <row r="781" spans="1:15" ht="28.5" customHeight="1">
      <c r="A781" s="43"/>
      <c r="B781" s="41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</row>
    <row r="782" spans="1:15" ht="28.5" customHeight="1">
      <c r="A782" s="43"/>
      <c r="B782" s="41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</row>
    <row r="783" spans="1:15" ht="28.5" customHeight="1">
      <c r="A783" s="43"/>
      <c r="B783" s="41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</row>
    <row r="784" spans="1:15" ht="28.5" customHeight="1">
      <c r="A784" s="43"/>
      <c r="B784" s="41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</row>
    <row r="785" spans="1:15" ht="28.5" customHeight="1">
      <c r="A785" s="43"/>
      <c r="B785" s="41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</row>
    <row r="786" spans="1:15" ht="28.5" customHeight="1">
      <c r="A786" s="43"/>
      <c r="B786" s="41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</row>
    <row r="787" spans="1:15" ht="28.5" customHeight="1">
      <c r="A787" s="43"/>
      <c r="B787" s="41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</row>
    <row r="788" spans="1:15" ht="28.5" customHeight="1">
      <c r="A788" s="43"/>
      <c r="B788" s="41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</row>
    <row r="789" spans="1:15" ht="28.5" customHeight="1">
      <c r="A789" s="43"/>
      <c r="B789" s="41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</row>
    <row r="790" spans="1:15" ht="28.5" customHeight="1">
      <c r="A790" s="43"/>
      <c r="B790" s="41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</row>
    <row r="791" spans="1:15" ht="28.5" customHeight="1">
      <c r="A791" s="43"/>
      <c r="B791" s="41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</row>
    <row r="792" spans="1:15" ht="28.5" customHeight="1">
      <c r="A792" s="43"/>
      <c r="B792" s="41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</row>
    <row r="793" spans="1:15" ht="28.5" customHeight="1">
      <c r="A793" s="43"/>
      <c r="B793" s="41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</row>
    <row r="794" spans="1:15" ht="28.5" customHeight="1">
      <c r="A794" s="43"/>
      <c r="B794" s="41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</row>
    <row r="795" spans="1:15" ht="28.5" customHeight="1">
      <c r="A795" s="43"/>
      <c r="B795" s="41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</row>
    <row r="796" spans="1:15" ht="28.5" customHeight="1">
      <c r="A796" s="43"/>
      <c r="B796" s="41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</row>
    <row r="797" spans="1:15" ht="28.5" customHeight="1">
      <c r="A797" s="43"/>
      <c r="B797" s="41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</row>
    <row r="798" spans="1:15" ht="28.5" customHeight="1">
      <c r="A798" s="43"/>
      <c r="B798" s="41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</row>
    <row r="799" spans="1:15" ht="28.5" customHeight="1">
      <c r="A799" s="43"/>
      <c r="B799" s="41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</row>
    <row r="800" spans="1:15" ht="28.5" customHeight="1">
      <c r="A800" s="43"/>
      <c r="B800" s="41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</row>
    <row r="801" spans="1:15" ht="28.5" customHeight="1">
      <c r="A801" s="43"/>
      <c r="B801" s="41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</row>
    <row r="802" spans="1:15" ht="28.5" customHeight="1">
      <c r="A802" s="43"/>
      <c r="B802" s="41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</row>
    <row r="803" spans="1:15" ht="28.5" customHeight="1">
      <c r="A803" s="43"/>
      <c r="B803" s="41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</row>
    <row r="804" spans="1:15" ht="28.5" customHeight="1">
      <c r="A804" s="43"/>
      <c r="B804" s="41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</row>
    <row r="805" spans="1:15" ht="28.5" customHeight="1">
      <c r="A805" s="43"/>
      <c r="B805" s="41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</row>
    <row r="806" spans="1:15" ht="28.5" customHeight="1">
      <c r="A806" s="43"/>
      <c r="B806" s="41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</row>
    <row r="807" spans="1:15" ht="28.5" customHeight="1">
      <c r="A807" s="43"/>
      <c r="B807" s="41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</row>
    <row r="808" spans="1:15" ht="28.5" customHeight="1">
      <c r="A808" s="43"/>
      <c r="B808" s="41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</row>
    <row r="809" spans="1:15" ht="28.5" customHeight="1">
      <c r="A809" s="43"/>
      <c r="B809" s="41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</row>
    <row r="810" spans="1:15" ht="28.5" customHeight="1">
      <c r="A810" s="43"/>
      <c r="B810" s="41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</row>
    <row r="811" spans="1:15" ht="28.5" customHeight="1">
      <c r="A811" s="43"/>
      <c r="B811" s="41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</row>
    <row r="812" spans="1:15" ht="28.5" customHeight="1">
      <c r="A812" s="43"/>
      <c r="B812" s="41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</row>
    <row r="813" spans="1:15" ht="28.5" customHeight="1">
      <c r="A813" s="43"/>
      <c r="B813" s="41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</row>
    <row r="814" spans="1:15" ht="28.5" customHeight="1">
      <c r="A814" s="43"/>
      <c r="B814" s="41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</row>
    <row r="815" spans="1:15" ht="28.5" customHeight="1">
      <c r="A815" s="43"/>
      <c r="B815" s="41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</row>
    <row r="816" spans="1:15" ht="28.5" customHeight="1">
      <c r="A816" s="43"/>
      <c r="B816" s="41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</row>
    <row r="817" spans="1:15" ht="28.5" customHeight="1">
      <c r="A817" s="43"/>
      <c r="B817" s="41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</row>
    <row r="818" spans="1:15" ht="28.5" customHeight="1">
      <c r="A818" s="43"/>
      <c r="B818" s="41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</row>
    <row r="819" spans="1:15" ht="28.5" customHeight="1">
      <c r="A819" s="43"/>
      <c r="B819" s="41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</row>
    <row r="820" spans="1:15" ht="28.5" customHeight="1">
      <c r="A820" s="43"/>
      <c r="B820" s="41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</row>
    <row r="821" spans="1:15" ht="28.5" customHeight="1">
      <c r="A821" s="43"/>
      <c r="B821" s="41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</row>
    <row r="822" spans="1:15" ht="28.5" customHeight="1">
      <c r="A822" s="43"/>
      <c r="B822" s="41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</row>
    <row r="823" spans="1:15" ht="28.5" customHeight="1">
      <c r="A823" s="43"/>
      <c r="B823" s="41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</row>
    <row r="824" spans="1:15" ht="28.5" customHeight="1">
      <c r="A824" s="43"/>
      <c r="B824" s="41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</row>
    <row r="825" spans="1:15" ht="28.5" customHeight="1">
      <c r="A825" s="43"/>
      <c r="B825" s="41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</row>
    <row r="826" spans="1:15" ht="28.5" customHeight="1">
      <c r="A826" s="43"/>
      <c r="B826" s="41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</row>
    <row r="827" spans="1:15" ht="28.5" customHeight="1">
      <c r="A827" s="43"/>
      <c r="B827" s="41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</row>
    <row r="828" spans="1:15" ht="28.5" customHeight="1">
      <c r="A828" s="43"/>
      <c r="B828" s="41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</row>
    <row r="829" spans="1:15" ht="28.5" customHeight="1">
      <c r="A829" s="43"/>
      <c r="B829" s="41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</row>
    <row r="830" spans="1:15" ht="28.5" customHeight="1">
      <c r="A830" s="43"/>
      <c r="B830" s="41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</row>
    <row r="831" spans="1:15" ht="28.5" customHeight="1">
      <c r="A831" s="43"/>
      <c r="B831" s="41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</row>
    <row r="832" spans="1:15" ht="28.5" customHeight="1">
      <c r="A832" s="43"/>
      <c r="B832" s="41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</row>
    <row r="833" spans="1:15" ht="28.5" customHeight="1">
      <c r="A833" s="43"/>
      <c r="B833" s="41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</row>
    <row r="834" spans="1:15" ht="28.5" customHeight="1">
      <c r="A834" s="43"/>
      <c r="B834" s="41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</row>
    <row r="835" spans="1:15" ht="28.5" customHeight="1">
      <c r="A835" s="43"/>
      <c r="B835" s="41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</row>
    <row r="836" spans="1:15" ht="28.5" customHeight="1">
      <c r="A836" s="43"/>
      <c r="B836" s="41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</row>
    <row r="837" spans="1:15" ht="28.5" customHeight="1">
      <c r="A837" s="43"/>
      <c r="B837" s="41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</row>
    <row r="838" spans="1:15" ht="28.5" customHeight="1">
      <c r="A838" s="43"/>
      <c r="B838" s="41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</row>
    <row r="839" spans="1:15" ht="28.5" customHeight="1">
      <c r="A839" s="43"/>
      <c r="B839" s="41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</row>
    <row r="840" spans="1:15" ht="28.5" customHeight="1">
      <c r="A840" s="43"/>
      <c r="B840" s="41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</row>
    <row r="841" spans="1:15" ht="28.5" customHeight="1">
      <c r="A841" s="43"/>
      <c r="B841" s="41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</row>
    <row r="842" spans="1:15" ht="28.5" customHeight="1">
      <c r="A842" s="43"/>
      <c r="B842" s="41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</row>
    <row r="843" spans="1:15" ht="28.5" customHeight="1">
      <c r="A843" s="43"/>
      <c r="B843" s="41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</row>
    <row r="844" spans="1:15" ht="28.5" customHeight="1">
      <c r="A844" s="43"/>
      <c r="B844" s="41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</row>
    <row r="845" spans="1:15" ht="28.5" customHeight="1">
      <c r="A845" s="43"/>
      <c r="B845" s="41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</row>
    <row r="846" spans="1:15" ht="28.5" customHeight="1">
      <c r="A846" s="43"/>
      <c r="B846" s="41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</row>
    <row r="847" spans="1:15" ht="28.5" customHeight="1">
      <c r="A847" s="43"/>
      <c r="B847" s="41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</row>
    <row r="848" spans="1:15" ht="28.5" customHeight="1">
      <c r="A848" s="43"/>
      <c r="B848" s="41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</row>
    <row r="849" spans="1:15" ht="28.5" customHeight="1">
      <c r="A849" s="43"/>
      <c r="B849" s="41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</row>
    <row r="850" spans="1:15" ht="28.5" customHeight="1">
      <c r="A850" s="43"/>
      <c r="B850" s="41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</row>
    <row r="851" spans="1:15" ht="28.5" customHeight="1">
      <c r="A851" s="43"/>
      <c r="B851" s="41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</row>
    <row r="852" spans="1:15" ht="28.5" customHeight="1">
      <c r="A852" s="43"/>
      <c r="B852" s="41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</row>
    <row r="853" spans="1:15" ht="28.5" customHeight="1">
      <c r="A853" s="43"/>
      <c r="B853" s="41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</row>
    <row r="854" spans="1:15" ht="28.5" customHeight="1">
      <c r="A854" s="43"/>
      <c r="B854" s="41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</row>
    <row r="855" spans="1:15" ht="28.5" customHeight="1">
      <c r="A855" s="43"/>
      <c r="B855" s="41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</row>
    <row r="856" spans="1:15" ht="28.5" customHeight="1">
      <c r="A856" s="43"/>
      <c r="B856" s="41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</row>
    <row r="857" spans="1:15" ht="28.5" customHeight="1">
      <c r="A857" s="43"/>
      <c r="B857" s="41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</row>
    <row r="858" spans="1:15" ht="28.5" customHeight="1">
      <c r="A858" s="43"/>
      <c r="B858" s="41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</row>
    <row r="859" spans="1:15" ht="28.5" customHeight="1">
      <c r="A859" s="43"/>
      <c r="B859" s="41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</row>
    <row r="860" spans="1:15" ht="28.5" customHeight="1">
      <c r="A860" s="43"/>
      <c r="B860" s="41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</row>
    <row r="861" spans="1:15" ht="28.5" customHeight="1">
      <c r="A861" s="43"/>
      <c r="B861" s="41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</row>
    <row r="862" spans="1:15" ht="28.5" customHeight="1">
      <c r="A862" s="43"/>
      <c r="B862" s="41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</row>
    <row r="863" spans="1:15" ht="28.5" customHeight="1">
      <c r="A863" s="43"/>
      <c r="B863" s="41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</row>
    <row r="864" spans="1:15" ht="28.5" customHeight="1">
      <c r="A864" s="43"/>
      <c r="B864" s="41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</row>
    <row r="865" spans="1:15" ht="28.5" customHeight="1">
      <c r="A865" s="43"/>
      <c r="B865" s="41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</row>
    <row r="866" spans="1:15" ht="28.5" customHeight="1">
      <c r="A866" s="43"/>
      <c r="B866" s="41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</row>
    <row r="867" spans="1:15" ht="28.5" customHeight="1">
      <c r="A867" s="43"/>
      <c r="B867" s="41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</row>
    <row r="868" spans="1:15" ht="28.5" customHeight="1">
      <c r="A868" s="43"/>
      <c r="B868" s="41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</row>
    <row r="869" spans="1:15" ht="28.5" customHeight="1">
      <c r="A869" s="43"/>
      <c r="B869" s="41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</row>
    <row r="870" spans="1:15" ht="28.5" customHeight="1">
      <c r="A870" s="43"/>
      <c r="B870" s="41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</row>
    <row r="871" spans="1:15" ht="28.5" customHeight="1">
      <c r="A871" s="43"/>
      <c r="B871" s="41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</row>
    <row r="872" spans="1:15" ht="28.5" customHeight="1">
      <c r="A872" s="43"/>
      <c r="B872" s="41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</row>
    <row r="873" spans="1:15" ht="28.5" customHeight="1">
      <c r="A873" s="43"/>
      <c r="B873" s="41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</row>
    <row r="874" spans="1:15" ht="28.5" customHeight="1">
      <c r="A874" s="43"/>
      <c r="B874" s="41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</row>
    <row r="875" spans="1:15" ht="28.5" customHeight="1">
      <c r="A875" s="43"/>
      <c r="B875" s="41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</row>
    <row r="876" spans="1:15" ht="28.5" customHeight="1">
      <c r="A876" s="43"/>
      <c r="B876" s="41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</row>
    <row r="877" spans="1:15" ht="28.5" customHeight="1">
      <c r="A877" s="43"/>
      <c r="B877" s="41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</row>
    <row r="878" spans="1:15" ht="28.5" customHeight="1">
      <c r="A878" s="43"/>
      <c r="B878" s="41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</row>
    <row r="879" spans="1:15" ht="28.5" customHeight="1">
      <c r="A879" s="43"/>
      <c r="B879" s="41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</row>
    <row r="880" spans="1:15" ht="28.5" customHeight="1">
      <c r="A880" s="43"/>
      <c r="B880" s="41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</row>
    <row r="881" spans="1:15" ht="28.5" customHeight="1">
      <c r="A881" s="43"/>
      <c r="B881" s="41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</row>
    <row r="882" spans="1:15" ht="28.5" customHeight="1">
      <c r="A882" s="43"/>
      <c r="B882" s="41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</row>
    <row r="883" spans="1:15" ht="28.5" customHeight="1">
      <c r="A883" s="43"/>
      <c r="B883" s="41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</row>
    <row r="884" spans="1:15" ht="28.5" customHeight="1">
      <c r="A884" s="43"/>
      <c r="B884" s="41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</row>
    <row r="885" spans="1:15" ht="28.5" customHeight="1">
      <c r="A885" s="43"/>
      <c r="B885" s="41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</row>
    <row r="886" spans="1:15" ht="28.5" customHeight="1">
      <c r="A886" s="43"/>
      <c r="B886" s="41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</row>
    <row r="887" spans="1:15" ht="28.5" customHeight="1">
      <c r="A887" s="43"/>
      <c r="B887" s="41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</row>
    <row r="888" spans="1:15" ht="28.5" customHeight="1">
      <c r="A888" s="43"/>
      <c r="B888" s="41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</row>
    <row r="889" spans="1:15" ht="28.5" customHeight="1">
      <c r="A889" s="43"/>
      <c r="B889" s="41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</row>
    <row r="890" spans="1:15" ht="28.5" customHeight="1">
      <c r="A890" s="43"/>
      <c r="B890" s="41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</row>
    <row r="891" spans="1:15" ht="28.5" customHeight="1">
      <c r="A891" s="43"/>
      <c r="B891" s="41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</row>
    <row r="892" spans="1:15" ht="28.5" customHeight="1">
      <c r="A892" s="43"/>
      <c r="B892" s="41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</row>
    <row r="893" spans="1:15" ht="28.5" customHeight="1">
      <c r="A893" s="43"/>
      <c r="B893" s="41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</row>
    <row r="894" spans="1:15" ht="28.5" customHeight="1">
      <c r="A894" s="43"/>
      <c r="B894" s="41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</row>
    <row r="895" spans="1:15" ht="28.5" customHeight="1">
      <c r="A895" s="43"/>
      <c r="B895" s="41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</row>
    <row r="896" spans="1:15" ht="28.5" customHeight="1">
      <c r="A896" s="43"/>
      <c r="B896" s="41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</row>
    <row r="897" spans="1:15" ht="28.5" customHeight="1">
      <c r="A897" s="43"/>
      <c r="B897" s="41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</row>
    <row r="898" spans="1:15" ht="28.5" customHeight="1">
      <c r="A898" s="43"/>
      <c r="B898" s="41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</row>
    <row r="899" spans="1:15" ht="28.5" customHeight="1">
      <c r="A899" s="43"/>
      <c r="B899" s="41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</row>
    <row r="900" spans="1:15" ht="28.5" customHeight="1">
      <c r="A900" s="43"/>
      <c r="B900" s="41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</row>
    <row r="901" spans="1:15" ht="28.5" customHeight="1">
      <c r="A901" s="43"/>
      <c r="B901" s="41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</row>
    <row r="902" spans="1:15" ht="28.5" customHeight="1">
      <c r="A902" s="43"/>
      <c r="B902" s="41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</row>
    <row r="903" spans="1:15" ht="28.5" customHeight="1">
      <c r="A903" s="43"/>
      <c r="B903" s="41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</row>
    <row r="904" spans="1:15" ht="28.5" customHeight="1">
      <c r="A904" s="43"/>
      <c r="B904" s="41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</row>
    <row r="905" spans="1:15" ht="28.5" customHeight="1">
      <c r="A905" s="43"/>
      <c r="B905" s="41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</row>
    <row r="906" spans="1:15" ht="28.5" customHeight="1">
      <c r="A906" s="43"/>
      <c r="B906" s="41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</row>
    <row r="907" spans="1:15" ht="28.5" customHeight="1">
      <c r="A907" s="43"/>
      <c r="B907" s="41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</row>
    <row r="908" spans="1:15" ht="28.5" customHeight="1">
      <c r="A908" s="43"/>
      <c r="B908" s="41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</row>
    <row r="909" spans="1:15" ht="28.5" customHeight="1">
      <c r="A909" s="43"/>
      <c r="B909" s="41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</row>
    <row r="910" spans="1:15" ht="28.5" customHeight="1">
      <c r="A910" s="43"/>
      <c r="B910" s="41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</row>
    <row r="911" spans="1:15" ht="28.5" customHeight="1">
      <c r="A911" s="43"/>
      <c r="B911" s="41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</row>
    <row r="912" spans="1:15" ht="28.5" customHeight="1">
      <c r="A912" s="43"/>
      <c r="B912" s="41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</row>
    <row r="913" spans="1:15" ht="28.5" customHeight="1">
      <c r="A913" s="43"/>
      <c r="B913" s="41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</row>
    <row r="914" spans="1:15" ht="28.5" customHeight="1">
      <c r="A914" s="43"/>
      <c r="B914" s="41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</row>
    <row r="915" spans="1:15" ht="28.5" customHeight="1">
      <c r="A915" s="43"/>
      <c r="B915" s="41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</row>
    <row r="916" spans="1:15" ht="28.5" customHeight="1">
      <c r="A916" s="43"/>
      <c r="B916" s="41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</row>
    <row r="917" spans="1:15" ht="28.5" customHeight="1">
      <c r="A917" s="43"/>
      <c r="B917" s="41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</row>
    <row r="918" spans="1:15" ht="28.5" customHeight="1">
      <c r="A918" s="43"/>
      <c r="B918" s="41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</row>
    <row r="919" spans="1:15" ht="28.5" customHeight="1">
      <c r="A919" s="43"/>
      <c r="B919" s="41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</row>
    <row r="920" spans="1:15" ht="28.5" customHeight="1">
      <c r="A920" s="43"/>
      <c r="B920" s="41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</row>
    <row r="921" spans="1:15" ht="28.5" customHeight="1">
      <c r="A921" s="43"/>
      <c r="B921" s="41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</row>
    <row r="922" spans="1:15" ht="28.5" customHeight="1">
      <c r="A922" s="43"/>
      <c r="B922" s="41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</row>
    <row r="923" spans="1:15" ht="28.5" customHeight="1">
      <c r="A923" s="43"/>
      <c r="B923" s="41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</row>
    <row r="924" spans="1:15" ht="28.5" customHeight="1">
      <c r="A924" s="43"/>
      <c r="B924" s="41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</row>
    <row r="925" spans="1:15" ht="28.5" customHeight="1">
      <c r="A925" s="43"/>
      <c r="B925" s="41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</row>
    <row r="926" spans="1:15" ht="28.5" customHeight="1">
      <c r="A926" s="43"/>
      <c r="B926" s="41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</row>
    <row r="927" spans="1:15" ht="28.5" customHeight="1">
      <c r="A927" s="43"/>
      <c r="B927" s="41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</row>
    <row r="928" spans="1:15" ht="28.5" customHeight="1">
      <c r="A928" s="43"/>
      <c r="B928" s="41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</row>
    <row r="929" spans="1:15" ht="28.5" customHeight="1">
      <c r="A929" s="43"/>
      <c r="B929" s="41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</row>
    <row r="930" spans="1:15" ht="28.5" customHeight="1">
      <c r="A930" s="43"/>
      <c r="B930" s="41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</row>
    <row r="931" spans="1:15" ht="28.5" customHeight="1">
      <c r="A931" s="43"/>
      <c r="B931" s="41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</row>
    <row r="932" spans="1:15" ht="28.5" customHeight="1">
      <c r="A932" s="43"/>
      <c r="B932" s="41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</row>
    <row r="933" spans="1:15" ht="28.5" customHeight="1">
      <c r="A933" s="43"/>
      <c r="B933" s="41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</row>
    <row r="934" spans="1:15" ht="28.5" customHeight="1">
      <c r="A934" s="43"/>
      <c r="B934" s="41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</row>
    <row r="935" spans="1:15" ht="28.5" customHeight="1">
      <c r="A935" s="43"/>
      <c r="B935" s="41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</row>
    <row r="936" spans="1:15" ht="28.5" customHeight="1">
      <c r="A936" s="43"/>
      <c r="B936" s="41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</row>
    <row r="937" spans="1:15" ht="28.5" customHeight="1">
      <c r="A937" s="43"/>
      <c r="B937" s="41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</row>
    <row r="938" spans="1:15" ht="28.5" customHeight="1">
      <c r="A938" s="43"/>
      <c r="B938" s="41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</row>
    <row r="939" spans="1:15" ht="28.5" customHeight="1">
      <c r="A939" s="43"/>
      <c r="B939" s="41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</row>
    <row r="940" spans="1:15" ht="28.5" customHeight="1">
      <c r="A940" s="43"/>
      <c r="B940" s="41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</row>
    <row r="941" spans="1:15" ht="28.5" customHeight="1">
      <c r="A941" s="43"/>
      <c r="B941" s="41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</row>
    <row r="942" spans="1:15" ht="28.5" customHeight="1">
      <c r="A942" s="43"/>
      <c r="B942" s="41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</row>
    <row r="943" spans="1:15" ht="28.5" customHeight="1">
      <c r="A943" s="43"/>
      <c r="B943" s="41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</row>
    <row r="944" spans="1:15" ht="28.5" customHeight="1">
      <c r="A944" s="43"/>
      <c r="B944" s="41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</row>
    <row r="945" spans="1:15" ht="28.5" customHeight="1">
      <c r="A945" s="43"/>
      <c r="B945" s="41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</row>
    <row r="946" spans="1:15" ht="28.5" customHeight="1">
      <c r="A946" s="43"/>
      <c r="B946" s="41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</row>
    <row r="947" spans="1:15" ht="28.5" customHeight="1">
      <c r="A947" s="43"/>
      <c r="B947" s="41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</row>
    <row r="948" spans="1:15" ht="28.5" customHeight="1">
      <c r="A948" s="43"/>
      <c r="B948" s="41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</row>
    <row r="949" spans="1:15" ht="28.5" customHeight="1">
      <c r="A949" s="43"/>
      <c r="B949" s="41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</row>
    <row r="950" spans="1:15" ht="28.5" customHeight="1">
      <c r="A950" s="43"/>
      <c r="B950" s="41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</row>
    <row r="951" spans="1:15" ht="28.5" customHeight="1">
      <c r="A951" s="43"/>
      <c r="B951" s="41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</row>
    <row r="952" spans="1:15" ht="28.5" customHeight="1">
      <c r="A952" s="43"/>
      <c r="B952" s="41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</row>
    <row r="953" spans="1:15" ht="28.5" customHeight="1">
      <c r="A953" s="43"/>
      <c r="B953" s="41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</row>
    <row r="954" spans="1:15" ht="28.5" customHeight="1">
      <c r="A954" s="43"/>
      <c r="B954" s="41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</row>
    <row r="955" spans="1:15" ht="28.5" customHeight="1">
      <c r="A955" s="43"/>
      <c r="B955" s="41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</row>
    <row r="956" spans="1:15" ht="28.5" customHeight="1">
      <c r="A956" s="43"/>
      <c r="B956" s="41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</row>
    <row r="957" spans="1:15" ht="28.5" customHeight="1">
      <c r="A957" s="43"/>
      <c r="B957" s="41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</row>
    <row r="958" spans="1:15" ht="28.5" customHeight="1">
      <c r="A958" s="43"/>
      <c r="B958" s="41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</row>
    <row r="959" spans="1:15" ht="28.5" customHeight="1">
      <c r="A959" s="43"/>
      <c r="B959" s="41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</row>
    <row r="960" spans="1:15" ht="28.5" customHeight="1">
      <c r="A960" s="43"/>
      <c r="B960" s="41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</row>
    <row r="961" spans="1:15" ht="28.5" customHeight="1">
      <c r="A961" s="43"/>
      <c r="B961" s="41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</row>
    <row r="962" spans="1:15" ht="28.5" customHeight="1">
      <c r="A962" s="43"/>
      <c r="B962" s="41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</row>
    <row r="963" spans="1:15" ht="28.5" customHeight="1">
      <c r="A963" s="43"/>
      <c r="B963" s="41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</row>
    <row r="964" spans="1:15" ht="28.5" customHeight="1">
      <c r="A964" s="43"/>
      <c r="B964" s="41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</row>
    <row r="965" spans="1:15" ht="28.5" customHeight="1">
      <c r="A965" s="43"/>
      <c r="B965" s="41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</row>
    <row r="966" spans="1:15" ht="28.5" customHeight="1">
      <c r="A966" s="43"/>
      <c r="B966" s="41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</row>
    <row r="967" spans="1:15" ht="28.5" customHeight="1">
      <c r="A967" s="43"/>
      <c r="B967" s="41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</row>
    <row r="968" spans="1:15" ht="28.5" customHeight="1">
      <c r="A968" s="43"/>
      <c r="B968" s="41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</row>
    <row r="969" spans="1:15" ht="28.5" customHeight="1">
      <c r="A969" s="43"/>
      <c r="B969" s="41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</row>
    <row r="970" spans="1:15" ht="28.5" customHeight="1">
      <c r="A970" s="43"/>
      <c r="B970" s="41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</row>
    <row r="971" spans="1:15" ht="28.5" customHeight="1">
      <c r="A971" s="43"/>
      <c r="B971" s="41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</row>
    <row r="972" spans="1:15" ht="28.5" customHeight="1">
      <c r="A972" s="43"/>
      <c r="B972" s="41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</row>
    <row r="973" spans="1:15" ht="28.5" customHeight="1">
      <c r="A973" s="43"/>
      <c r="B973" s="41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</row>
    <row r="974" spans="1:15" ht="28.5" customHeight="1">
      <c r="A974" s="43"/>
      <c r="B974" s="41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</row>
    <row r="975" spans="1:15" ht="28.5" customHeight="1">
      <c r="A975" s="43"/>
      <c r="B975" s="41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</row>
    <row r="976" spans="1:15" ht="28.5" customHeight="1">
      <c r="A976" s="43"/>
      <c r="B976" s="41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</row>
    <row r="977" spans="1:15" ht="28.5" customHeight="1">
      <c r="A977" s="43"/>
      <c r="B977" s="41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</row>
    <row r="978" spans="1:15" ht="28.5" customHeight="1">
      <c r="A978" s="43"/>
      <c r="B978" s="41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</row>
    <row r="979" spans="1:15" ht="28.5" customHeight="1">
      <c r="A979" s="43"/>
      <c r="B979" s="41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</row>
    <row r="980" spans="1:15" ht="28.5" customHeight="1">
      <c r="A980" s="43"/>
      <c r="B980" s="41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</row>
    <row r="981" spans="1:15" ht="28.5" customHeight="1">
      <c r="A981" s="43"/>
      <c r="B981" s="41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</row>
    <row r="982" spans="1:15" ht="28.5" customHeight="1">
      <c r="A982" s="43"/>
      <c r="B982" s="41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</row>
    <row r="983" spans="1:15" ht="28.5" customHeight="1">
      <c r="A983" s="43"/>
      <c r="B983" s="41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</row>
    <row r="984" spans="1:15" ht="28.5" customHeight="1">
      <c r="A984" s="43"/>
      <c r="B984" s="41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</row>
    <row r="985" spans="1:15" ht="28.5" customHeight="1">
      <c r="A985" s="43"/>
      <c r="B985" s="41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</row>
    <row r="986" spans="1:15" ht="28.5" customHeight="1">
      <c r="A986" s="43"/>
      <c r="B986" s="41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</row>
    <row r="987" spans="1:15" ht="28.5" customHeight="1">
      <c r="A987" s="43"/>
      <c r="B987" s="41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</row>
    <row r="988" spans="1:15" ht="28.5" customHeight="1">
      <c r="A988" s="43"/>
      <c r="B988" s="41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</row>
    <row r="989" spans="1:15" ht="28.5" customHeight="1">
      <c r="A989" s="43"/>
      <c r="B989" s="41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</row>
    <row r="990" spans="1:15" ht="28.5" customHeight="1">
      <c r="A990" s="43"/>
      <c r="B990" s="41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</row>
    <row r="991" spans="1:15" ht="28.5" customHeight="1">
      <c r="A991" s="43"/>
      <c r="B991" s="41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</row>
    <row r="992" spans="1:15" ht="28.5" customHeight="1">
      <c r="A992" s="43"/>
      <c r="B992" s="41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</row>
    <row r="993" spans="1:15" ht="28.5" customHeight="1">
      <c r="A993" s="43"/>
      <c r="B993" s="41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</row>
    <row r="994" spans="1:15" ht="28.5" customHeight="1">
      <c r="A994" s="43"/>
      <c r="B994" s="41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</row>
    <row r="995" spans="1:15" ht="28.5" customHeight="1">
      <c r="A995" s="43"/>
      <c r="B995" s="41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</row>
    <row r="996" spans="1:15" ht="28.5" customHeight="1">
      <c r="A996" s="43"/>
      <c r="B996" s="41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</row>
    <row r="997" spans="1:15" ht="28.5" customHeight="1">
      <c r="A997" s="43"/>
      <c r="B997" s="41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</row>
    <row r="998" spans="1:15" ht="28.5" customHeight="1">
      <c r="A998" s="43"/>
      <c r="B998" s="41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</row>
    <row r="999" spans="1:15" ht="28.5" customHeight="1">
      <c r="A999" s="43"/>
      <c r="B999" s="41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</row>
    <row r="1000" spans="1:15" ht="28.5" customHeight="1">
      <c r="A1000" s="43"/>
      <c r="B1000" s="41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</row>
    <row r="1001" spans="1:15" ht="28.5" customHeight="1">
      <c r="A1001" s="43"/>
      <c r="B1001" s="41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</row>
    <row r="1002" spans="1:15" ht="28.5" customHeight="1">
      <c r="A1002" s="43"/>
      <c r="B1002" s="41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</row>
    <row r="1003" spans="1:15" ht="28.5" customHeight="1">
      <c r="A1003" s="43"/>
      <c r="B1003" s="41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</row>
    <row r="1004" spans="1:15" ht="28.5" customHeight="1">
      <c r="A1004" s="43"/>
      <c r="B1004" s="41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</row>
    <row r="1005" spans="1:15" ht="28.5" customHeight="1">
      <c r="A1005" s="43"/>
      <c r="B1005" s="41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</row>
    <row r="1006" spans="1:15" ht="28.5" customHeight="1">
      <c r="A1006" s="43"/>
      <c r="B1006" s="41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</row>
  </sheetData>
  <mergeCells count="2">
    <mergeCell ref="K43:K44"/>
    <mergeCell ref="B2:O2"/>
  </mergeCells>
  <phoneticPr fontId="10"/>
  <hyperlinks>
    <hyperlink ref="F56" r:id="rId1" xr:uid="{017A95CE-81CC-4163-9236-0BEE13C16E5E}"/>
    <hyperlink ref="F57" r:id="rId2" xr:uid="{EDF6CB39-EC6E-4FDC-94EB-7360C5D472CB}"/>
    <hyperlink ref="F58" r:id="rId3" xr:uid="{A3A527F9-418D-470E-8CC1-0707B1985B34}"/>
    <hyperlink ref="F46" r:id="rId4" xr:uid="{C93D65D3-4DE2-4EFD-A255-0314F0D837E4}"/>
    <hyperlink ref="F59" r:id="rId5" xr:uid="{1E1D29D2-C71F-4908-A6F4-236B4239A6FA}"/>
    <hyperlink ref="F60" r:id="rId6" xr:uid="{FBC3AEDE-B483-4E42-89C3-90A218AAA0F7}"/>
    <hyperlink ref="G60" r:id="rId7" xr:uid="{0DC408D9-F96F-4656-8B16-ECD74BE96BDA}"/>
    <hyperlink ref="F65" r:id="rId8" xr:uid="{C7548B0B-6617-4435-AA6B-52748E32D58F}"/>
    <hyperlink ref="F61" r:id="rId9" xr:uid="{77EC846A-E53C-4B13-A958-2C22268ECBB6}"/>
    <hyperlink ref="F29" r:id="rId10" xr:uid="{DA975BB0-5C19-4A0B-A717-F6A3D0149203}"/>
    <hyperlink ref="F62" r:id="rId11" xr:uid="{AC48A500-2396-4858-9018-061F49D92388}"/>
    <hyperlink ref="F63" r:id="rId12" xr:uid="{90114774-1487-4198-9D10-8CB63D598358}"/>
    <hyperlink ref="F6" r:id="rId13" xr:uid="{8AAB81D8-9167-47B6-A32F-CD42287D9F3A}"/>
    <hyperlink ref="F54" r:id="rId14" xr:uid="{4EFCA2E5-D6F8-4838-98D2-A3393F478EA6}"/>
    <hyperlink ref="F55" r:id="rId15" xr:uid="{A097C91C-D72C-468F-B1F1-00C833E74925}"/>
    <hyperlink ref="F8" r:id="rId16" xr:uid="{E191D070-EE63-4A3A-A203-CC8E3F649B9C}"/>
    <hyperlink ref="F27" r:id="rId17" xr:uid="{350C4B16-AD2E-45C9-AC02-3661AFAD148A}"/>
    <hyperlink ref="F28" r:id="rId18" xr:uid="{AA1403EA-D447-4C8F-805E-39CDD3B011D6}"/>
    <hyperlink ref="F24" r:id="rId19" xr:uid="{2836421E-A167-4F62-8725-72CFECE20C57}"/>
    <hyperlink ref="F25" r:id="rId20" xr:uid="{FE409FC0-D624-490F-ADD4-4AC431918126}"/>
    <hyperlink ref="F26" r:id="rId21" xr:uid="{412BC55F-6B8F-4B4B-A539-94AD9233ED86}"/>
    <hyperlink ref="F33" r:id="rId22" xr:uid="{10C8D32A-F5CC-4630-A81F-43D48A9580E7}"/>
    <hyperlink ref="F10" r:id="rId23" xr:uid="{BE8D4705-60FD-4402-B06F-93F18771979E}"/>
  </hyperlinks>
  <pageMargins left="0.7" right="0.7" top="0.75" bottom="0.75" header="0" footer="0"/>
  <pageSetup paperSize="9" orientation="portrait" r:id="rId24"/>
  <drawing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AI82"/>
  <sheetViews>
    <sheetView workbookViewId="0">
      <pane xSplit="2" ySplit="2" topLeftCell="I3" activePane="bottomRight" state="frozen"/>
      <selection pane="topRight" activeCell="C1" sqref="C1"/>
      <selection pane="bottomLeft" activeCell="A3" sqref="A3"/>
      <selection pane="bottomRight" activeCell="B19" sqref="B19"/>
    </sheetView>
  </sheetViews>
  <sheetFormatPr defaultColWidth="14.42578125" defaultRowHeight="15" customHeight="1"/>
  <cols>
    <col min="1" max="1" width="5.42578125" bestFit="1" customWidth="1"/>
    <col min="3" max="3" width="11" style="215" bestFit="1" customWidth="1"/>
    <col min="4" max="4" width="10.42578125" style="248" customWidth="1"/>
    <col min="6" max="6" width="7.140625" style="299" bestFit="1" customWidth="1"/>
    <col min="9" max="10" width="14.42578125" style="331"/>
    <col min="20" max="21" width="14.42578125" style="185"/>
    <col min="22" max="23" width="14.42578125" style="191"/>
    <col min="25" max="25" width="14.42578125" style="160"/>
  </cols>
  <sheetData>
    <row r="1" spans="1:26" ht="25.5">
      <c r="C1" s="336" t="s">
        <v>637</v>
      </c>
      <c r="D1" s="337"/>
      <c r="E1" s="309" t="s">
        <v>0</v>
      </c>
      <c r="F1" s="310" t="s">
        <v>690</v>
      </c>
      <c r="G1" s="338" t="s">
        <v>689</v>
      </c>
      <c r="H1" s="339"/>
      <c r="I1" s="325" t="s">
        <v>24</v>
      </c>
      <c r="J1" s="325" t="s">
        <v>26</v>
      </c>
      <c r="K1" s="18" t="s">
        <v>27</v>
      </c>
      <c r="L1" s="20" t="s">
        <v>32</v>
      </c>
      <c r="M1" s="20" t="s">
        <v>33</v>
      </c>
      <c r="N1" s="20" t="s">
        <v>34</v>
      </c>
      <c r="O1" s="20" t="s">
        <v>35</v>
      </c>
      <c r="P1" s="20" t="s">
        <v>36</v>
      </c>
      <c r="Q1" s="20" t="s">
        <v>37</v>
      </c>
      <c r="R1" s="20" t="s">
        <v>38</v>
      </c>
      <c r="S1" s="20" t="s">
        <v>39</v>
      </c>
      <c r="T1" s="20" t="s">
        <v>554</v>
      </c>
      <c r="U1" s="20" t="s">
        <v>555</v>
      </c>
      <c r="V1" s="219">
        <v>43770</v>
      </c>
      <c r="W1" s="20" t="s">
        <v>558</v>
      </c>
      <c r="X1" s="22" t="s">
        <v>40</v>
      </c>
      <c r="Y1" s="164" t="s">
        <v>524</v>
      </c>
      <c r="Z1" s="242"/>
    </row>
    <row r="2" spans="1:26">
      <c r="E2" s="23" t="s">
        <v>41</v>
      </c>
      <c r="F2" s="23"/>
      <c r="G2" s="23" t="s">
        <v>43</v>
      </c>
      <c r="H2" s="23" t="s">
        <v>44</v>
      </c>
      <c r="I2" s="326"/>
      <c r="J2" s="326"/>
      <c r="K2" s="26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6" ht="15.75" thickBot="1">
      <c r="B3" s="127" t="s">
        <v>9</v>
      </c>
      <c r="E3" s="30"/>
      <c r="F3" s="30"/>
      <c r="G3" s="30"/>
      <c r="H3" s="30"/>
      <c r="I3" s="326"/>
      <c r="J3" s="326"/>
      <c r="K3" s="26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6" ht="15.75" thickBot="1">
      <c r="A4" s="15"/>
      <c r="B4" s="16" t="s">
        <v>25</v>
      </c>
      <c r="C4" s="217"/>
      <c r="D4" s="249"/>
      <c r="E4" s="39" t="s">
        <v>120</v>
      </c>
      <c r="F4" s="39"/>
      <c r="G4" s="39" t="s">
        <v>120</v>
      </c>
      <c r="H4" s="39"/>
      <c r="I4" s="327">
        <v>43739</v>
      </c>
      <c r="J4" s="327">
        <v>43768</v>
      </c>
      <c r="K4" s="44">
        <v>43800</v>
      </c>
      <c r="L4" s="46" t="s">
        <v>222</v>
      </c>
      <c r="M4" s="47" t="s">
        <v>223</v>
      </c>
      <c r="N4" s="47" t="s">
        <v>223</v>
      </c>
      <c r="O4" s="60">
        <v>43559</v>
      </c>
      <c r="P4" s="60">
        <v>43589</v>
      </c>
      <c r="Q4" s="179">
        <v>43620</v>
      </c>
      <c r="R4" s="179">
        <v>43650</v>
      </c>
      <c r="S4" s="179">
        <v>43681</v>
      </c>
      <c r="T4" s="179">
        <v>43712</v>
      </c>
      <c r="U4" s="179">
        <v>43742</v>
      </c>
      <c r="V4" s="179">
        <v>43773</v>
      </c>
      <c r="W4" s="179">
        <v>43803</v>
      </c>
      <c r="X4" s="47">
        <v>1</v>
      </c>
      <c r="Y4" s="161">
        <v>1</v>
      </c>
    </row>
    <row r="5" spans="1:26" ht="15.75" thickBot="1">
      <c r="A5" s="16"/>
      <c r="B5" s="16" t="s">
        <v>45</v>
      </c>
      <c r="C5" s="217"/>
      <c r="D5" s="249"/>
      <c r="E5" s="39" t="s">
        <v>120</v>
      </c>
      <c r="F5" s="39"/>
      <c r="G5" s="39"/>
      <c r="H5" s="39"/>
      <c r="I5" s="327">
        <v>43739</v>
      </c>
      <c r="J5" s="327">
        <v>43768</v>
      </c>
      <c r="K5" s="49" t="s">
        <v>224</v>
      </c>
      <c r="L5" s="47" t="s">
        <v>229</v>
      </c>
      <c r="M5" s="47" t="s">
        <v>229</v>
      </c>
      <c r="N5" s="47" t="s">
        <v>148</v>
      </c>
      <c r="O5" s="145">
        <v>43601</v>
      </c>
      <c r="P5" s="60">
        <v>43589</v>
      </c>
      <c r="Q5" s="179">
        <v>43620</v>
      </c>
      <c r="R5" s="179">
        <v>43650</v>
      </c>
      <c r="S5" s="179">
        <v>43681</v>
      </c>
      <c r="T5" s="179">
        <v>43712</v>
      </c>
      <c r="U5" s="179">
        <v>43742</v>
      </c>
      <c r="V5" s="179">
        <v>43773</v>
      </c>
      <c r="W5" s="179">
        <v>43803</v>
      </c>
      <c r="X5" s="47">
        <v>1</v>
      </c>
      <c r="Y5" s="161">
        <v>1</v>
      </c>
    </row>
    <row r="6" spans="1:26" s="211" customFormat="1" ht="15.75" thickBot="1">
      <c r="A6" s="213"/>
      <c r="B6" s="182" t="s">
        <v>620</v>
      </c>
      <c r="C6" s="162">
        <v>43754</v>
      </c>
      <c r="D6" s="249">
        <v>16500</v>
      </c>
      <c r="E6" s="39"/>
      <c r="F6" s="39"/>
      <c r="G6" s="39"/>
      <c r="H6" s="39"/>
      <c r="I6" s="327"/>
      <c r="J6" s="327"/>
      <c r="K6" s="51"/>
      <c r="L6" s="181"/>
      <c r="M6" s="181"/>
      <c r="N6" s="181"/>
      <c r="O6" s="181"/>
      <c r="P6" s="181"/>
      <c r="Q6" s="181"/>
      <c r="R6" s="181"/>
      <c r="S6" s="181"/>
      <c r="T6" s="181"/>
      <c r="U6" s="179">
        <v>43754</v>
      </c>
      <c r="V6" s="179">
        <v>43775</v>
      </c>
      <c r="W6" s="179">
        <v>43803</v>
      </c>
      <c r="X6" s="212"/>
      <c r="Y6" s="212">
        <v>1</v>
      </c>
    </row>
    <row r="7" spans="1:26" ht="15.75" thickBot="1">
      <c r="A7" s="15"/>
      <c r="B7" s="16" t="s">
        <v>61</v>
      </c>
      <c r="C7" s="217"/>
      <c r="D7" s="249"/>
      <c r="E7" s="39" t="s">
        <v>120</v>
      </c>
      <c r="F7" s="39"/>
      <c r="G7" s="39" t="s">
        <v>120</v>
      </c>
      <c r="H7" s="39"/>
      <c r="I7" s="327">
        <v>43739</v>
      </c>
      <c r="J7" s="327">
        <v>43768</v>
      </c>
      <c r="K7" s="49" t="s">
        <v>224</v>
      </c>
      <c r="L7" s="47" t="s">
        <v>223</v>
      </c>
      <c r="M7" s="47" t="s">
        <v>223</v>
      </c>
      <c r="N7" s="47" t="s">
        <v>271</v>
      </c>
      <c r="O7" s="60">
        <v>43559</v>
      </c>
      <c r="P7" s="60">
        <v>43589</v>
      </c>
      <c r="Q7" s="179">
        <v>43620</v>
      </c>
      <c r="R7" s="179">
        <v>43650</v>
      </c>
      <c r="S7" s="179">
        <v>43681</v>
      </c>
      <c r="T7" s="179"/>
      <c r="U7" s="179">
        <v>43742</v>
      </c>
      <c r="V7" s="179">
        <v>43773</v>
      </c>
      <c r="W7" s="179">
        <v>43803</v>
      </c>
      <c r="X7" s="47">
        <v>1</v>
      </c>
      <c r="Y7" s="161">
        <v>1</v>
      </c>
    </row>
    <row r="8" spans="1:26" s="215" customFormat="1" ht="15.75" thickBot="1">
      <c r="A8" s="217"/>
      <c r="B8" s="182" t="s">
        <v>636</v>
      </c>
      <c r="C8" s="162">
        <v>43770</v>
      </c>
      <c r="D8" s="249">
        <v>16500</v>
      </c>
      <c r="E8" s="39"/>
      <c r="F8" s="39"/>
      <c r="G8" s="39"/>
      <c r="H8" s="39"/>
      <c r="I8" s="327"/>
      <c r="J8" s="327"/>
      <c r="K8" s="49"/>
      <c r="L8" s="216"/>
      <c r="M8" s="216"/>
      <c r="N8" s="216"/>
      <c r="O8" s="179"/>
      <c r="P8" s="179"/>
      <c r="Q8" s="179"/>
      <c r="R8" s="179"/>
      <c r="S8" s="179"/>
      <c r="T8" s="179"/>
      <c r="U8" s="179"/>
      <c r="V8" s="179">
        <v>43770</v>
      </c>
      <c r="W8" s="179">
        <v>43770</v>
      </c>
      <c r="X8" s="216"/>
      <c r="Y8" s="216">
        <v>1</v>
      </c>
    </row>
    <row r="9" spans="1:26" ht="15.75" thickBot="1">
      <c r="A9" s="15"/>
      <c r="B9" s="16" t="s">
        <v>69</v>
      </c>
      <c r="C9" s="217"/>
      <c r="D9" s="249"/>
      <c r="E9" s="39" t="s">
        <v>120</v>
      </c>
      <c r="F9" s="39"/>
      <c r="G9" s="39" t="s">
        <v>120</v>
      </c>
      <c r="H9" s="39"/>
      <c r="I9" s="327">
        <v>43739</v>
      </c>
      <c r="J9" s="327">
        <v>43768</v>
      </c>
      <c r="K9" s="49" t="s">
        <v>224</v>
      </c>
      <c r="L9" s="54">
        <v>43477</v>
      </c>
      <c r="M9" s="47" t="s">
        <v>223</v>
      </c>
      <c r="N9" s="47" t="s">
        <v>271</v>
      </c>
      <c r="O9" s="60">
        <v>43559</v>
      </c>
      <c r="P9" s="60">
        <v>43589</v>
      </c>
      <c r="Q9" s="179">
        <v>43620</v>
      </c>
      <c r="R9" s="179">
        <v>43650</v>
      </c>
      <c r="S9" s="179">
        <v>43681</v>
      </c>
      <c r="T9" s="179">
        <v>43712</v>
      </c>
      <c r="U9" s="179">
        <v>43742</v>
      </c>
      <c r="V9" s="179">
        <v>43773</v>
      </c>
      <c r="W9" s="179">
        <v>43803</v>
      </c>
      <c r="X9" s="47">
        <v>1</v>
      </c>
      <c r="Y9" s="161">
        <v>1</v>
      </c>
    </row>
    <row r="10" spans="1:26" ht="15.75" thickBot="1">
      <c r="A10" s="15"/>
      <c r="B10" s="16" t="s">
        <v>78</v>
      </c>
      <c r="C10" s="217"/>
      <c r="D10" s="249"/>
      <c r="E10" s="39" t="s">
        <v>120</v>
      </c>
      <c r="F10" s="39"/>
      <c r="G10" s="39" t="s">
        <v>120</v>
      </c>
      <c r="H10" s="39"/>
      <c r="I10" s="327">
        <v>43739</v>
      </c>
      <c r="J10" s="327">
        <v>43768</v>
      </c>
      <c r="K10" s="49" t="s">
        <v>224</v>
      </c>
      <c r="L10" s="47" t="s">
        <v>223</v>
      </c>
      <c r="M10" s="47" t="s">
        <v>223</v>
      </c>
      <c r="N10" s="47" t="s">
        <v>271</v>
      </c>
      <c r="O10" s="60">
        <v>43559</v>
      </c>
      <c r="P10" s="60">
        <v>43589</v>
      </c>
      <c r="Q10" s="179">
        <v>43620</v>
      </c>
      <c r="R10" s="179">
        <v>43650</v>
      </c>
      <c r="S10" s="179">
        <v>43681</v>
      </c>
      <c r="T10" s="179">
        <v>43712</v>
      </c>
      <c r="U10" s="179">
        <v>43742</v>
      </c>
      <c r="V10" s="179">
        <v>43773</v>
      </c>
      <c r="W10" s="180" t="s">
        <v>512</v>
      </c>
      <c r="X10" s="47">
        <v>1</v>
      </c>
      <c r="Y10" s="161">
        <v>1</v>
      </c>
    </row>
    <row r="11" spans="1:26" ht="15.75" thickBot="1">
      <c r="A11" s="15"/>
      <c r="B11" s="16" t="s">
        <v>86</v>
      </c>
      <c r="C11" s="217"/>
      <c r="D11" s="249"/>
      <c r="E11" s="39"/>
      <c r="F11" s="39"/>
      <c r="G11" s="39" t="s">
        <v>120</v>
      </c>
      <c r="H11" s="39" t="s">
        <v>120</v>
      </c>
      <c r="I11" s="327">
        <v>43762</v>
      </c>
      <c r="J11" s="327">
        <v>43804</v>
      </c>
      <c r="K11" s="44">
        <v>43818</v>
      </c>
      <c r="L11" s="47" t="s">
        <v>223</v>
      </c>
      <c r="M11" s="47" t="s">
        <v>223</v>
      </c>
      <c r="N11" s="47" t="s">
        <v>271</v>
      </c>
      <c r="O11" s="60">
        <v>43559</v>
      </c>
      <c r="P11" s="60">
        <v>43589</v>
      </c>
      <c r="Q11" s="179">
        <v>43620</v>
      </c>
      <c r="R11" s="179">
        <v>43650</v>
      </c>
      <c r="S11" s="179">
        <v>43681</v>
      </c>
      <c r="T11" s="179">
        <v>43712</v>
      </c>
      <c r="U11" s="179">
        <v>43742</v>
      </c>
      <c r="V11" s="179">
        <v>43773</v>
      </c>
      <c r="W11" s="179">
        <v>43803</v>
      </c>
      <c r="X11" s="47">
        <v>1</v>
      </c>
      <c r="Y11" s="161">
        <v>1</v>
      </c>
    </row>
    <row r="12" spans="1:26" ht="15.75" thickBot="1">
      <c r="A12" s="15"/>
      <c r="B12" s="140" t="s">
        <v>533</v>
      </c>
      <c r="C12" s="217"/>
      <c r="D12" s="249"/>
      <c r="E12" s="39"/>
      <c r="F12" s="39"/>
      <c r="G12" s="39" t="s">
        <v>120</v>
      </c>
      <c r="H12" s="39" t="s">
        <v>120</v>
      </c>
      <c r="I12" s="327">
        <v>43745</v>
      </c>
      <c r="J12" s="58" t="s">
        <v>259</v>
      </c>
      <c r="K12" s="58" t="s">
        <v>259</v>
      </c>
      <c r="L12" s="47" t="s">
        <v>223</v>
      </c>
      <c r="M12" s="47" t="s">
        <v>223</v>
      </c>
      <c r="N12" s="47" t="s">
        <v>271</v>
      </c>
      <c r="O12" s="60">
        <v>43559</v>
      </c>
      <c r="P12" s="60">
        <v>43589</v>
      </c>
      <c r="Q12" s="179">
        <v>43620</v>
      </c>
      <c r="R12" s="179">
        <v>43650</v>
      </c>
      <c r="S12" s="179">
        <v>43681</v>
      </c>
      <c r="T12" s="179">
        <v>43712</v>
      </c>
      <c r="U12" s="179">
        <v>43742</v>
      </c>
      <c r="V12" s="179">
        <v>43773</v>
      </c>
      <c r="W12" s="179">
        <v>43803</v>
      </c>
      <c r="X12" s="47">
        <v>1</v>
      </c>
      <c r="Y12" s="161">
        <v>1</v>
      </c>
    </row>
    <row r="13" spans="1:26" ht="15.75" thickBot="1">
      <c r="A13" s="15"/>
      <c r="B13" s="16" t="s">
        <v>102</v>
      </c>
      <c r="C13" s="217"/>
      <c r="D13" s="249"/>
      <c r="E13" s="39"/>
      <c r="F13" s="39"/>
      <c r="G13" s="39" t="s">
        <v>120</v>
      </c>
      <c r="H13" s="39" t="s">
        <v>120</v>
      </c>
      <c r="I13" s="327">
        <v>43742</v>
      </c>
      <c r="J13" s="327">
        <v>43763</v>
      </c>
      <c r="K13" s="44">
        <v>43812</v>
      </c>
      <c r="L13" s="47" t="s">
        <v>225</v>
      </c>
      <c r="M13" s="47" t="s">
        <v>229</v>
      </c>
      <c r="N13" s="47" t="s">
        <v>271</v>
      </c>
      <c r="O13" s="60">
        <v>43559</v>
      </c>
      <c r="P13" s="60">
        <v>43589</v>
      </c>
      <c r="Q13" s="179">
        <v>43620</v>
      </c>
      <c r="R13" s="179">
        <v>43650</v>
      </c>
      <c r="S13" s="179">
        <v>43681</v>
      </c>
      <c r="T13" s="179">
        <v>43712</v>
      </c>
      <c r="U13" s="179">
        <v>43742</v>
      </c>
      <c r="V13" s="179">
        <v>43773</v>
      </c>
      <c r="W13" s="179">
        <v>43803</v>
      </c>
      <c r="X13" s="47">
        <v>0</v>
      </c>
      <c r="Y13" s="161">
        <v>0</v>
      </c>
    </row>
    <row r="14" spans="1:26" ht="15.75" thickBot="1">
      <c r="A14" s="15"/>
      <c r="B14" s="16" t="s">
        <v>108</v>
      </c>
      <c r="C14" s="217"/>
      <c r="D14" s="249"/>
      <c r="E14" s="39"/>
      <c r="F14" s="39"/>
      <c r="G14" s="39" t="s">
        <v>120</v>
      </c>
      <c r="H14" s="39" t="s">
        <v>120</v>
      </c>
      <c r="I14" s="327">
        <v>43770</v>
      </c>
      <c r="J14" s="327">
        <v>43805</v>
      </c>
      <c r="K14" s="44">
        <v>43819</v>
      </c>
      <c r="L14" s="47" t="s">
        <v>223</v>
      </c>
      <c r="M14" s="47" t="s">
        <v>223</v>
      </c>
      <c r="N14" s="133" t="s">
        <v>521</v>
      </c>
      <c r="O14" s="135">
        <v>43601</v>
      </c>
      <c r="P14" s="135">
        <v>43601</v>
      </c>
      <c r="Q14" s="179">
        <v>43620</v>
      </c>
      <c r="R14" s="179">
        <v>43650</v>
      </c>
      <c r="S14" s="179">
        <v>43681</v>
      </c>
      <c r="T14" s="179">
        <v>43755</v>
      </c>
      <c r="U14" s="179">
        <v>43755</v>
      </c>
      <c r="V14" s="179">
        <v>43773</v>
      </c>
      <c r="W14" s="179">
        <v>43804</v>
      </c>
      <c r="X14" s="47">
        <v>1</v>
      </c>
      <c r="Y14" s="161">
        <v>1</v>
      </c>
    </row>
    <row r="15" spans="1:26" ht="15.75" thickBot="1">
      <c r="A15" s="15"/>
      <c r="B15" s="16" t="s">
        <v>115</v>
      </c>
      <c r="C15" s="217"/>
      <c r="D15" s="249"/>
      <c r="E15" s="39" t="s">
        <v>120</v>
      </c>
      <c r="F15" s="39"/>
      <c r="G15" s="39" t="s">
        <v>120</v>
      </c>
      <c r="H15" s="39"/>
      <c r="I15" s="327">
        <v>43739</v>
      </c>
      <c r="J15" s="327">
        <v>43768</v>
      </c>
      <c r="K15" s="49" t="s">
        <v>224</v>
      </c>
      <c r="L15" s="47" t="s">
        <v>223</v>
      </c>
      <c r="M15" s="47" t="s">
        <v>223</v>
      </c>
      <c r="N15" s="47" t="s">
        <v>271</v>
      </c>
      <c r="O15" s="60">
        <v>43559</v>
      </c>
      <c r="P15" s="60">
        <v>43589</v>
      </c>
      <c r="Q15" s="179">
        <v>43620</v>
      </c>
      <c r="R15" s="179">
        <v>43650</v>
      </c>
      <c r="S15" s="179">
        <v>43681</v>
      </c>
      <c r="T15" s="179">
        <v>43712</v>
      </c>
      <c r="U15" s="179">
        <v>43742</v>
      </c>
      <c r="V15" s="179">
        <v>43773</v>
      </c>
      <c r="W15" s="179">
        <v>43803</v>
      </c>
      <c r="X15" s="47">
        <v>1</v>
      </c>
      <c r="Y15" s="177">
        <v>1</v>
      </c>
    </row>
    <row r="16" spans="1:26" ht="15.75" thickBot="1">
      <c r="A16" s="15"/>
      <c r="B16" s="15" t="s">
        <v>343</v>
      </c>
      <c r="C16" s="162">
        <v>43489</v>
      </c>
      <c r="D16" s="249">
        <v>15000</v>
      </c>
      <c r="E16" s="39"/>
      <c r="F16" s="39"/>
      <c r="G16" s="39"/>
      <c r="H16" s="39"/>
      <c r="I16" s="327"/>
      <c r="J16" s="327"/>
      <c r="K16" s="44"/>
      <c r="L16" s="181"/>
      <c r="M16" s="46">
        <v>43489</v>
      </c>
      <c r="N16" s="46">
        <v>43524</v>
      </c>
      <c r="O16" s="60">
        <v>43559</v>
      </c>
      <c r="P16" s="60">
        <v>43589</v>
      </c>
      <c r="Q16" s="179">
        <v>43620</v>
      </c>
      <c r="R16" s="179">
        <v>43650</v>
      </c>
      <c r="S16" s="179">
        <v>43681</v>
      </c>
      <c r="T16" s="179">
        <v>43712</v>
      </c>
      <c r="U16" s="179">
        <v>43742</v>
      </c>
      <c r="V16" s="179">
        <v>43773</v>
      </c>
      <c r="W16" s="179">
        <v>43803</v>
      </c>
      <c r="X16" s="46"/>
      <c r="Y16" s="177">
        <v>1</v>
      </c>
    </row>
    <row r="17" spans="1:25" ht="15.75" thickBot="1">
      <c r="A17" s="16"/>
      <c r="B17" s="16" t="s">
        <v>129</v>
      </c>
      <c r="C17" s="217"/>
      <c r="D17" s="249"/>
      <c r="E17" s="39" t="s">
        <v>120</v>
      </c>
      <c r="F17" s="39"/>
      <c r="G17" s="39" t="s">
        <v>120</v>
      </c>
      <c r="H17" s="39"/>
      <c r="I17" s="327">
        <v>43739</v>
      </c>
      <c r="J17" s="327">
        <v>43768</v>
      </c>
      <c r="K17" s="49" t="s">
        <v>224</v>
      </c>
      <c r="L17" s="47" t="s">
        <v>223</v>
      </c>
      <c r="M17" s="47" t="s">
        <v>223</v>
      </c>
      <c r="N17" s="47" t="s">
        <v>271</v>
      </c>
      <c r="O17" s="60">
        <v>43559</v>
      </c>
      <c r="P17" s="60">
        <v>43589</v>
      </c>
      <c r="Q17" s="179">
        <v>43620</v>
      </c>
      <c r="R17" s="179">
        <v>43650</v>
      </c>
      <c r="S17" s="179">
        <v>43681</v>
      </c>
      <c r="T17" s="179">
        <v>43712</v>
      </c>
      <c r="U17" s="179">
        <v>43742</v>
      </c>
      <c r="V17" s="179">
        <v>43773</v>
      </c>
      <c r="W17" s="179">
        <v>43803</v>
      </c>
      <c r="X17" s="47">
        <v>1</v>
      </c>
      <c r="Y17" s="177">
        <v>1</v>
      </c>
    </row>
    <row r="18" spans="1:25" ht="15.75" thickBot="1">
      <c r="A18" s="16"/>
      <c r="B18" s="16" t="s">
        <v>137</v>
      </c>
      <c r="C18" s="217"/>
      <c r="D18" s="249"/>
      <c r="E18" s="39" t="s">
        <v>120</v>
      </c>
      <c r="F18" s="39"/>
      <c r="G18" s="39" t="s">
        <v>120</v>
      </c>
      <c r="H18" s="39"/>
      <c r="I18" s="327">
        <v>43739</v>
      </c>
      <c r="J18" s="327">
        <v>43768</v>
      </c>
      <c r="K18" s="49" t="s">
        <v>224</v>
      </c>
      <c r="L18" s="47" t="s">
        <v>259</v>
      </c>
      <c r="M18" s="47" t="s">
        <v>259</v>
      </c>
      <c r="N18" s="60"/>
      <c r="O18" s="60">
        <v>43558</v>
      </c>
      <c r="P18" s="60">
        <v>43589</v>
      </c>
      <c r="Q18" s="179">
        <v>43620</v>
      </c>
      <c r="R18" s="179">
        <v>43650</v>
      </c>
      <c r="S18" s="180" t="s">
        <v>512</v>
      </c>
      <c r="T18" s="181"/>
      <c r="U18" s="181"/>
      <c r="V18" s="181"/>
      <c r="W18" s="181"/>
      <c r="X18" s="47">
        <v>1</v>
      </c>
      <c r="Y18" s="177">
        <v>1</v>
      </c>
    </row>
    <row r="19" spans="1:25" ht="15.75" thickBot="1">
      <c r="A19" s="16"/>
      <c r="B19" s="16" t="s">
        <v>147</v>
      </c>
      <c r="C19" s="217"/>
      <c r="D19" s="249"/>
      <c r="E19" s="39" t="s">
        <v>120</v>
      </c>
      <c r="F19" s="39"/>
      <c r="G19" s="39" t="s">
        <v>120</v>
      </c>
      <c r="H19" s="39"/>
      <c r="I19" s="327">
        <v>43739</v>
      </c>
      <c r="J19" s="327">
        <v>43768</v>
      </c>
      <c r="K19" s="49" t="s">
        <v>224</v>
      </c>
      <c r="L19" s="47" t="s">
        <v>223</v>
      </c>
      <c r="M19" s="47" t="s">
        <v>223</v>
      </c>
      <c r="N19" s="47" t="s">
        <v>271</v>
      </c>
      <c r="O19" s="60">
        <v>43559</v>
      </c>
      <c r="P19" s="60">
        <v>43589</v>
      </c>
      <c r="Q19" s="179">
        <v>43620</v>
      </c>
      <c r="R19" s="179">
        <v>43650</v>
      </c>
      <c r="S19" s="179">
        <v>43681</v>
      </c>
      <c r="T19" s="179">
        <v>43712</v>
      </c>
      <c r="U19" s="179">
        <v>43742</v>
      </c>
      <c r="V19" s="179">
        <v>43773</v>
      </c>
      <c r="W19" s="179">
        <v>43803</v>
      </c>
      <c r="X19" s="47">
        <v>1</v>
      </c>
      <c r="Y19" s="177">
        <v>1</v>
      </c>
    </row>
    <row r="20" spans="1:25" ht="15.75" thickBot="1">
      <c r="A20" s="16"/>
      <c r="B20" s="16" t="s">
        <v>156</v>
      </c>
      <c r="C20" s="217"/>
      <c r="D20" s="249"/>
      <c r="E20" s="39" t="s">
        <v>120</v>
      </c>
      <c r="F20" s="39"/>
      <c r="G20" s="39" t="s">
        <v>120</v>
      </c>
      <c r="H20" s="39"/>
      <c r="I20" s="327">
        <v>43739</v>
      </c>
      <c r="J20" s="327">
        <v>43768</v>
      </c>
      <c r="K20" s="49" t="s">
        <v>224</v>
      </c>
      <c r="L20" s="47" t="s">
        <v>223</v>
      </c>
      <c r="M20" s="47" t="s">
        <v>223</v>
      </c>
      <c r="N20" s="47" t="s">
        <v>271</v>
      </c>
      <c r="O20" s="60">
        <v>43559</v>
      </c>
      <c r="P20" s="60">
        <v>43589</v>
      </c>
      <c r="Q20" s="179">
        <v>43620</v>
      </c>
      <c r="R20" s="179">
        <v>43650</v>
      </c>
      <c r="S20" s="179">
        <v>43681</v>
      </c>
      <c r="T20" s="179">
        <v>43712</v>
      </c>
      <c r="U20" s="179">
        <v>43742</v>
      </c>
      <c r="V20" s="179">
        <v>43773</v>
      </c>
      <c r="W20" s="179">
        <v>43803</v>
      </c>
      <c r="X20" s="47">
        <v>1</v>
      </c>
      <c r="Y20" s="177">
        <v>1</v>
      </c>
    </row>
    <row r="21" spans="1:25" ht="15.75" thickBot="1">
      <c r="A21" s="16"/>
      <c r="B21" s="16" t="s">
        <v>163</v>
      </c>
      <c r="C21" s="217"/>
      <c r="D21" s="249"/>
      <c r="E21" s="39" t="s">
        <v>120</v>
      </c>
      <c r="F21" s="39"/>
      <c r="G21" s="39" t="s">
        <v>120</v>
      </c>
      <c r="H21" s="39"/>
      <c r="I21" s="327">
        <v>43739</v>
      </c>
      <c r="J21" s="327">
        <v>43768</v>
      </c>
      <c r="K21" s="49" t="s">
        <v>224</v>
      </c>
      <c r="L21" s="47" t="s">
        <v>223</v>
      </c>
      <c r="M21" s="47" t="s">
        <v>223</v>
      </c>
      <c r="N21" s="47" t="s">
        <v>271</v>
      </c>
      <c r="O21" s="60">
        <v>43559</v>
      </c>
      <c r="P21" s="60">
        <v>43589</v>
      </c>
      <c r="Q21" s="179">
        <v>43620</v>
      </c>
      <c r="R21" s="179">
        <v>43650</v>
      </c>
      <c r="S21" s="179">
        <v>43681</v>
      </c>
      <c r="T21" s="179">
        <v>43712</v>
      </c>
      <c r="U21" s="179">
        <v>43742</v>
      </c>
      <c r="V21" s="179">
        <v>43773</v>
      </c>
      <c r="W21" s="179">
        <v>43803</v>
      </c>
      <c r="X21" s="47">
        <v>1</v>
      </c>
      <c r="Y21" s="177">
        <v>1</v>
      </c>
    </row>
    <row r="22" spans="1:25" ht="15.75" thickBot="1">
      <c r="A22" s="16"/>
      <c r="B22" s="16" t="s">
        <v>168</v>
      </c>
      <c r="C22" s="217"/>
      <c r="D22" s="249"/>
      <c r="E22" s="39"/>
      <c r="F22" s="39"/>
      <c r="G22" s="39" t="s">
        <v>120</v>
      </c>
      <c r="H22" s="39" t="s">
        <v>120</v>
      </c>
      <c r="I22" s="327">
        <v>43727</v>
      </c>
      <c r="J22" s="327">
        <v>43762</v>
      </c>
      <c r="K22" s="44">
        <v>43790</v>
      </c>
      <c r="L22" s="47" t="s">
        <v>225</v>
      </c>
      <c r="M22" s="47" t="s">
        <v>223</v>
      </c>
      <c r="N22" s="47" t="s">
        <v>271</v>
      </c>
      <c r="O22" s="60">
        <v>43559</v>
      </c>
      <c r="P22" s="60">
        <v>43589</v>
      </c>
      <c r="Q22" s="179">
        <v>43620</v>
      </c>
      <c r="R22" s="179">
        <v>43650</v>
      </c>
      <c r="S22" s="179">
        <v>43681</v>
      </c>
      <c r="T22" s="179">
        <v>43712</v>
      </c>
      <c r="U22" s="179">
        <v>43742</v>
      </c>
      <c r="V22" s="179">
        <v>43773</v>
      </c>
      <c r="W22" s="179">
        <v>43803</v>
      </c>
      <c r="X22" s="47">
        <v>1</v>
      </c>
      <c r="Y22" s="177">
        <v>1</v>
      </c>
    </row>
    <row r="23" spans="1:25" s="229" customFormat="1" ht="15.75" thickBot="1">
      <c r="A23" s="231"/>
      <c r="B23" s="143" t="s">
        <v>648</v>
      </c>
      <c r="C23" s="162">
        <v>43796</v>
      </c>
      <c r="D23" s="249">
        <v>16500</v>
      </c>
      <c r="E23" s="39"/>
      <c r="F23" s="39"/>
      <c r="G23" s="39"/>
      <c r="H23" s="39"/>
      <c r="I23" s="327"/>
      <c r="J23" s="327"/>
      <c r="K23" s="54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79">
        <v>43796</v>
      </c>
      <c r="W23" s="179">
        <v>43803</v>
      </c>
      <c r="X23" s="230"/>
      <c r="Y23" s="230">
        <v>1</v>
      </c>
    </row>
    <row r="24" spans="1:25" s="207" customFormat="1" ht="24.75" thickBot="1">
      <c r="A24" s="182" t="s">
        <v>630</v>
      </c>
      <c r="B24" s="182" t="s">
        <v>629</v>
      </c>
      <c r="C24" s="162">
        <v>43734</v>
      </c>
      <c r="D24" s="249"/>
      <c r="E24" s="39"/>
      <c r="F24" s="39"/>
      <c r="G24" s="39"/>
      <c r="H24" s="39"/>
      <c r="I24" s="327"/>
      <c r="J24" s="327"/>
      <c r="K24" s="54"/>
      <c r="L24" s="181"/>
      <c r="M24" s="181"/>
      <c r="N24" s="181"/>
      <c r="O24" s="181"/>
      <c r="P24" s="181"/>
      <c r="Q24" s="181"/>
      <c r="R24" s="181"/>
      <c r="S24" s="181"/>
      <c r="T24" s="181"/>
      <c r="U24" s="179">
        <v>43734</v>
      </c>
      <c r="V24" s="179">
        <v>43762</v>
      </c>
      <c r="W24" s="179">
        <v>43818</v>
      </c>
      <c r="X24" s="208"/>
      <c r="Y24" s="208">
        <v>1</v>
      </c>
    </row>
    <row r="25" spans="1:25" ht="15.75" thickBot="1">
      <c r="A25" s="16"/>
      <c r="B25" s="16" t="s">
        <v>174</v>
      </c>
      <c r="C25" s="217"/>
      <c r="D25" s="249"/>
      <c r="E25" s="39"/>
      <c r="F25" s="39"/>
      <c r="G25" s="39" t="s">
        <v>120</v>
      </c>
      <c r="H25" s="39"/>
      <c r="I25" s="327">
        <v>43739</v>
      </c>
      <c r="J25" s="327">
        <v>43768</v>
      </c>
      <c r="K25" s="49" t="s">
        <v>224</v>
      </c>
      <c r="L25" s="60"/>
      <c r="M25" s="60"/>
      <c r="N25" s="47" t="s">
        <v>271</v>
      </c>
      <c r="O25" s="60">
        <v>43559</v>
      </c>
      <c r="P25" s="60">
        <v>43589</v>
      </c>
      <c r="Q25" s="179">
        <v>43620</v>
      </c>
      <c r="R25" s="179">
        <v>43650</v>
      </c>
      <c r="S25" s="179">
        <v>43681</v>
      </c>
      <c r="T25" s="179">
        <v>43712</v>
      </c>
      <c r="U25" s="179">
        <v>43742</v>
      </c>
      <c r="V25" s="179">
        <v>43773</v>
      </c>
      <c r="W25" s="179">
        <v>43803</v>
      </c>
      <c r="X25" s="60"/>
      <c r="Y25" s="177">
        <v>1</v>
      </c>
    </row>
    <row r="26" spans="1:25" s="224" customFormat="1" ht="15.75" thickBot="1">
      <c r="A26" s="226"/>
      <c r="B26" s="182" t="s">
        <v>639</v>
      </c>
      <c r="C26" s="226"/>
      <c r="D26" s="249"/>
      <c r="E26" s="39"/>
      <c r="F26" s="39"/>
      <c r="G26" s="39"/>
      <c r="H26" s="39"/>
      <c r="I26" s="327"/>
      <c r="J26" s="327"/>
      <c r="K26" s="49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79">
        <v>43782</v>
      </c>
      <c r="W26" s="179">
        <v>43782</v>
      </c>
      <c r="X26" s="179"/>
      <c r="Y26" s="225">
        <v>1</v>
      </c>
    </row>
    <row r="27" spans="1:25" s="229" customFormat="1" ht="15.75" thickBot="1">
      <c r="A27" s="231"/>
      <c r="B27" s="182" t="s">
        <v>652</v>
      </c>
      <c r="C27" s="231"/>
      <c r="D27" s="249"/>
      <c r="E27" s="39"/>
      <c r="F27" s="39"/>
      <c r="G27" s="39"/>
      <c r="H27" s="39"/>
      <c r="I27" s="327"/>
      <c r="J27" s="327"/>
      <c r="K27" s="49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79">
        <v>43801</v>
      </c>
      <c r="X27" s="179"/>
      <c r="Y27" s="230">
        <v>1</v>
      </c>
    </row>
    <row r="28" spans="1:25" ht="15.75" thickBot="1">
      <c r="A28" s="16"/>
      <c r="B28" s="16" t="s">
        <v>180</v>
      </c>
      <c r="C28" s="217"/>
      <c r="D28" s="249"/>
      <c r="E28" s="39"/>
      <c r="F28" s="39"/>
      <c r="G28" s="39" t="s">
        <v>120</v>
      </c>
      <c r="H28" s="39" t="s">
        <v>120</v>
      </c>
      <c r="I28" s="327">
        <v>43730</v>
      </c>
      <c r="J28" s="327">
        <v>43784</v>
      </c>
      <c r="K28" s="44">
        <v>43811</v>
      </c>
      <c r="L28" s="54">
        <v>43474</v>
      </c>
      <c r="M28" s="46">
        <v>43491</v>
      </c>
      <c r="N28" s="47" t="s">
        <v>271</v>
      </c>
      <c r="O28" s="60">
        <v>43559</v>
      </c>
      <c r="P28" s="60">
        <v>43589</v>
      </c>
      <c r="Q28" s="179">
        <v>43620</v>
      </c>
      <c r="R28" s="179">
        <v>43650</v>
      </c>
      <c r="S28" s="179">
        <v>43681</v>
      </c>
      <c r="T28" s="179">
        <v>43712</v>
      </c>
      <c r="U28" s="179">
        <v>43742</v>
      </c>
      <c r="V28" s="179">
        <v>43773</v>
      </c>
      <c r="W28" s="179">
        <v>43803</v>
      </c>
      <c r="X28" s="47">
        <v>1</v>
      </c>
      <c r="Y28" s="177">
        <v>1</v>
      </c>
    </row>
    <row r="29" spans="1:25" ht="15.75" thickBot="1">
      <c r="A29" s="16"/>
      <c r="B29" s="16" t="s">
        <v>364</v>
      </c>
      <c r="C29" s="217"/>
      <c r="D29" s="249"/>
      <c r="E29" s="39"/>
      <c r="F29" s="39"/>
      <c r="G29" s="39" t="s">
        <v>120</v>
      </c>
      <c r="H29" s="39" t="s">
        <v>120</v>
      </c>
      <c r="I29" s="328" t="s">
        <v>365</v>
      </c>
      <c r="J29" s="328" t="s">
        <v>365</v>
      </c>
      <c r="K29" s="44">
        <v>43485</v>
      </c>
      <c r="L29" s="47" t="s">
        <v>223</v>
      </c>
      <c r="M29" s="47" t="s">
        <v>223</v>
      </c>
      <c r="N29" s="47" t="s">
        <v>271</v>
      </c>
      <c r="O29" s="60">
        <v>43559</v>
      </c>
      <c r="P29" s="60">
        <v>43589</v>
      </c>
      <c r="Q29" s="179">
        <v>43620</v>
      </c>
      <c r="R29" s="179">
        <v>43650</v>
      </c>
      <c r="S29" s="179">
        <v>43681</v>
      </c>
      <c r="T29" s="179">
        <v>43712</v>
      </c>
      <c r="U29" s="179">
        <v>43742</v>
      </c>
      <c r="V29" s="179">
        <v>43773</v>
      </c>
      <c r="W29" s="179">
        <v>43803</v>
      </c>
      <c r="X29" s="47">
        <v>1</v>
      </c>
      <c r="Y29" s="177">
        <v>1</v>
      </c>
    </row>
    <row r="30" spans="1:25" ht="15.75" thickBot="1">
      <c r="A30" s="16"/>
      <c r="B30" s="16" t="s">
        <v>191</v>
      </c>
      <c r="C30" s="217"/>
      <c r="D30" s="249"/>
      <c r="E30" s="39"/>
      <c r="F30" s="39"/>
      <c r="G30" s="39" t="s">
        <v>120</v>
      </c>
      <c r="H30" s="39" t="s">
        <v>120</v>
      </c>
      <c r="I30" s="327">
        <v>43741</v>
      </c>
      <c r="J30" s="327">
        <v>43790</v>
      </c>
      <c r="K30" s="47" t="s">
        <v>223</v>
      </c>
      <c r="L30" s="47" t="s">
        <v>223</v>
      </c>
      <c r="M30" s="60"/>
      <c r="N30" s="47" t="s">
        <v>271</v>
      </c>
      <c r="O30" s="60">
        <v>43559</v>
      </c>
      <c r="P30" s="60">
        <v>43589</v>
      </c>
      <c r="Q30" s="180" t="s">
        <v>512</v>
      </c>
      <c r="R30" s="181"/>
      <c r="S30" s="181"/>
      <c r="T30" s="181"/>
      <c r="U30" s="181"/>
      <c r="V30" s="181"/>
      <c r="W30" s="181"/>
      <c r="X30" s="47">
        <v>1</v>
      </c>
      <c r="Y30" s="161">
        <v>0</v>
      </c>
    </row>
    <row r="31" spans="1:25" ht="15.75" thickBot="1">
      <c r="A31" s="16"/>
      <c r="B31" s="16" t="s">
        <v>197</v>
      </c>
      <c r="C31" s="217"/>
      <c r="D31" s="249"/>
      <c r="E31" s="39" t="s">
        <v>120</v>
      </c>
      <c r="F31" s="39"/>
      <c r="G31" s="39" t="s">
        <v>120</v>
      </c>
      <c r="H31" s="39"/>
      <c r="I31" s="327">
        <v>43739</v>
      </c>
      <c r="J31" s="327">
        <v>43768</v>
      </c>
      <c r="K31" s="49" t="s">
        <v>224</v>
      </c>
      <c r="L31" s="47" t="s">
        <v>259</v>
      </c>
      <c r="M31" s="46" t="s">
        <v>259</v>
      </c>
      <c r="N31" s="47" t="s">
        <v>271</v>
      </c>
      <c r="O31" s="60">
        <v>43559</v>
      </c>
      <c r="P31" s="60">
        <v>43589</v>
      </c>
      <c r="Q31" s="179">
        <v>43620</v>
      </c>
      <c r="R31" s="179">
        <v>43650</v>
      </c>
      <c r="S31" s="179">
        <v>43681</v>
      </c>
      <c r="T31" s="179">
        <v>43712</v>
      </c>
      <c r="U31" s="179">
        <v>43742</v>
      </c>
      <c r="V31" s="179">
        <v>43773</v>
      </c>
      <c r="W31" s="179">
        <v>43803</v>
      </c>
      <c r="X31" s="240">
        <v>1</v>
      </c>
      <c r="Y31" s="177">
        <v>1</v>
      </c>
    </row>
    <row r="32" spans="1:25" ht="15.75" thickBot="1">
      <c r="A32" s="16"/>
      <c r="B32" s="16" t="s">
        <v>202</v>
      </c>
      <c r="C32" s="217"/>
      <c r="D32" s="249"/>
      <c r="E32" s="39"/>
      <c r="F32" s="39"/>
      <c r="G32" s="39" t="s">
        <v>120</v>
      </c>
      <c r="H32" s="39" t="s">
        <v>120</v>
      </c>
      <c r="I32" s="327">
        <v>43740</v>
      </c>
      <c r="J32" s="327">
        <v>43789</v>
      </c>
      <c r="K32" s="49" t="s">
        <v>353</v>
      </c>
      <c r="L32" s="47" t="s">
        <v>223</v>
      </c>
      <c r="M32" s="47" t="s">
        <v>223</v>
      </c>
      <c r="N32" s="47" t="s">
        <v>271</v>
      </c>
      <c r="O32" s="60">
        <v>43559</v>
      </c>
      <c r="P32" s="180" t="s">
        <v>512</v>
      </c>
      <c r="Q32" s="180"/>
      <c r="R32" s="181"/>
      <c r="S32" s="181"/>
      <c r="T32" s="181"/>
      <c r="U32" s="181"/>
      <c r="V32" s="181"/>
      <c r="W32" s="181"/>
      <c r="X32" s="47">
        <v>1</v>
      </c>
      <c r="Y32" s="177">
        <v>0</v>
      </c>
    </row>
    <row r="33" spans="1:25" ht="21.75" customHeight="1" thickBot="1">
      <c r="A33" s="16"/>
      <c r="B33" s="16" t="s">
        <v>207</v>
      </c>
      <c r="C33" s="217"/>
      <c r="D33" s="249"/>
      <c r="E33" s="39"/>
      <c r="F33" s="39"/>
      <c r="G33" s="39" t="s">
        <v>120</v>
      </c>
      <c r="H33" s="39" t="s">
        <v>120</v>
      </c>
      <c r="I33" s="327">
        <v>43741</v>
      </c>
      <c r="J33" s="327">
        <v>43770</v>
      </c>
      <c r="K33" s="44"/>
      <c r="L33" s="47" t="s">
        <v>223</v>
      </c>
      <c r="M33" s="60"/>
      <c r="N33" s="47" t="s">
        <v>271</v>
      </c>
      <c r="O33" s="60">
        <v>43559</v>
      </c>
      <c r="P33" s="60">
        <v>43589</v>
      </c>
      <c r="Q33" s="180" t="s">
        <v>512</v>
      </c>
      <c r="R33" s="181"/>
      <c r="S33" s="181"/>
      <c r="T33" s="181"/>
      <c r="U33" s="181"/>
      <c r="V33" s="181"/>
      <c r="W33" s="181"/>
      <c r="X33" s="47">
        <v>1</v>
      </c>
      <c r="Y33" s="177">
        <v>0</v>
      </c>
    </row>
    <row r="34" spans="1:25" s="152" customFormat="1" ht="15.75" thickBot="1">
      <c r="A34" s="146"/>
      <c r="B34" s="147" t="s">
        <v>520</v>
      </c>
      <c r="C34" s="146"/>
      <c r="D34" s="250"/>
      <c r="E34" s="148" t="s">
        <v>120</v>
      </c>
      <c r="F34" s="148"/>
      <c r="G34" s="148" t="s">
        <v>120</v>
      </c>
      <c r="H34" s="148"/>
      <c r="I34" s="327">
        <v>43768</v>
      </c>
      <c r="J34" s="327">
        <v>43768</v>
      </c>
      <c r="K34" s="149" t="s">
        <v>224</v>
      </c>
      <c r="L34" s="150" t="s">
        <v>223</v>
      </c>
      <c r="M34" s="150" t="s">
        <v>223</v>
      </c>
      <c r="N34" s="150" t="s">
        <v>271</v>
      </c>
      <c r="O34" s="151">
        <v>43559</v>
      </c>
      <c r="P34" s="151">
        <v>43589</v>
      </c>
      <c r="Q34" s="151">
        <v>43620</v>
      </c>
      <c r="R34" s="151">
        <v>43650</v>
      </c>
      <c r="S34" s="151">
        <v>43681</v>
      </c>
      <c r="T34" s="151">
        <v>43712</v>
      </c>
      <c r="U34" s="151">
        <v>43742</v>
      </c>
      <c r="V34" s="151">
        <v>43773</v>
      </c>
      <c r="W34" s="150"/>
      <c r="X34" s="150">
        <v>1</v>
      </c>
      <c r="Y34" s="150"/>
    </row>
    <row r="35" spans="1:25" ht="15.75" thickBot="1">
      <c r="A35" s="16"/>
      <c r="B35" s="140" t="s">
        <v>519</v>
      </c>
      <c r="C35" s="217"/>
      <c r="D35" s="249"/>
      <c r="E35" s="39"/>
      <c r="F35" s="39"/>
      <c r="G35" s="39" t="s">
        <v>120</v>
      </c>
      <c r="H35" s="39"/>
      <c r="I35" s="327">
        <v>43763</v>
      </c>
      <c r="J35" s="327">
        <v>43803</v>
      </c>
      <c r="K35" s="44">
        <v>43819</v>
      </c>
      <c r="L35" s="47" t="s">
        <v>223</v>
      </c>
      <c r="M35" s="47" t="s">
        <v>223</v>
      </c>
      <c r="N35" s="47" t="s">
        <v>271</v>
      </c>
      <c r="O35" s="133" t="s">
        <v>510</v>
      </c>
      <c r="P35" s="135">
        <v>43608</v>
      </c>
      <c r="Q35" s="179">
        <v>43620</v>
      </c>
      <c r="R35" s="179">
        <v>43650</v>
      </c>
      <c r="S35" s="179">
        <v>43681</v>
      </c>
      <c r="T35" s="179">
        <v>43712</v>
      </c>
      <c r="U35" s="179">
        <v>43742</v>
      </c>
      <c r="V35" s="179">
        <v>43773</v>
      </c>
      <c r="W35" s="179">
        <v>43803</v>
      </c>
      <c r="X35" s="47">
        <v>1</v>
      </c>
      <c r="Y35" s="161"/>
    </row>
    <row r="36" spans="1:25" ht="15.75" thickBot="1">
      <c r="A36" s="182" t="s">
        <v>630</v>
      </c>
      <c r="B36" s="16" t="s">
        <v>246</v>
      </c>
      <c r="C36" s="217"/>
      <c r="D36" s="249"/>
      <c r="E36" s="39"/>
      <c r="F36" s="39"/>
      <c r="G36" s="39" t="s">
        <v>120</v>
      </c>
      <c r="H36" s="39" t="s">
        <v>120</v>
      </c>
      <c r="I36" s="329"/>
      <c r="J36" s="329"/>
      <c r="K36" s="74"/>
      <c r="L36" s="47"/>
      <c r="M36" s="47"/>
      <c r="N36" s="76"/>
      <c r="O36" s="130"/>
      <c r="P36" s="47"/>
      <c r="Q36" s="47"/>
      <c r="R36" s="47"/>
      <c r="S36" s="47"/>
      <c r="T36" s="186"/>
      <c r="U36" s="186"/>
      <c r="V36" s="192"/>
      <c r="W36" s="192"/>
      <c r="X36" s="47">
        <v>1</v>
      </c>
      <c r="Y36" s="161"/>
    </row>
    <row r="37" spans="1:25" ht="15.75" thickBot="1">
      <c r="A37" s="182" t="s">
        <v>630</v>
      </c>
      <c r="B37" s="16" t="s">
        <v>250</v>
      </c>
      <c r="C37" s="217"/>
      <c r="D37" s="249"/>
      <c r="E37" s="39"/>
      <c r="F37" s="39"/>
      <c r="G37" s="39"/>
      <c r="H37" s="39" t="s">
        <v>120</v>
      </c>
      <c r="I37" s="327">
        <v>43741</v>
      </c>
      <c r="J37" s="327">
        <v>43804</v>
      </c>
      <c r="K37" s="78">
        <v>43481</v>
      </c>
      <c r="L37" s="46">
        <v>43502</v>
      </c>
      <c r="M37" s="46">
        <v>43509</v>
      </c>
      <c r="N37" s="47" t="s">
        <v>378</v>
      </c>
      <c r="O37" s="60">
        <v>43572</v>
      </c>
      <c r="P37" s="60">
        <v>43593</v>
      </c>
      <c r="Q37" s="179">
        <v>43621</v>
      </c>
      <c r="R37" s="179">
        <v>43649</v>
      </c>
      <c r="S37" s="179">
        <v>43719</v>
      </c>
      <c r="T37" s="179">
        <v>43719</v>
      </c>
      <c r="U37" s="179">
        <v>43740</v>
      </c>
      <c r="V37" s="179">
        <v>43775</v>
      </c>
      <c r="W37" s="192"/>
      <c r="X37" s="47">
        <v>1</v>
      </c>
      <c r="Y37" s="161">
        <v>1</v>
      </c>
    </row>
    <row r="38" spans="1:25" ht="15.75" thickBot="1">
      <c r="A38" s="16"/>
      <c r="B38" s="140" t="s">
        <v>559</v>
      </c>
      <c r="C38" s="217"/>
      <c r="D38" s="249"/>
      <c r="E38" s="39" t="s">
        <v>120</v>
      </c>
      <c r="F38" s="39"/>
      <c r="G38" s="39" t="s">
        <v>120</v>
      </c>
      <c r="H38" s="39"/>
      <c r="I38" s="327">
        <v>43739</v>
      </c>
      <c r="J38" s="327">
        <v>43768</v>
      </c>
      <c r="K38" s="49" t="s">
        <v>224</v>
      </c>
      <c r="L38" s="47" t="s">
        <v>223</v>
      </c>
      <c r="M38" s="175">
        <v>43500</v>
      </c>
      <c r="N38" s="47" t="s">
        <v>271</v>
      </c>
      <c r="O38" s="60">
        <v>43559</v>
      </c>
      <c r="P38" s="60">
        <v>43589</v>
      </c>
      <c r="Q38" s="179">
        <v>43620</v>
      </c>
      <c r="R38" s="179">
        <v>43650</v>
      </c>
      <c r="S38" s="179">
        <v>43681</v>
      </c>
      <c r="T38" s="179">
        <v>43712</v>
      </c>
      <c r="U38" s="179">
        <v>43742</v>
      </c>
      <c r="V38" s="179">
        <v>43773</v>
      </c>
      <c r="W38" s="179">
        <v>43803</v>
      </c>
      <c r="X38" s="47">
        <v>1</v>
      </c>
      <c r="Y38" s="161"/>
    </row>
    <row r="39" spans="1:25" ht="15.75" thickBot="1">
      <c r="A39" s="16"/>
      <c r="B39" s="15" t="s">
        <v>273</v>
      </c>
      <c r="C39" s="217"/>
      <c r="D39" s="249"/>
      <c r="E39" s="39"/>
      <c r="F39" s="39"/>
      <c r="G39" s="39"/>
      <c r="H39" s="39"/>
      <c r="I39" s="327"/>
      <c r="J39" s="327"/>
      <c r="K39" s="49"/>
      <c r="L39" s="181"/>
      <c r="M39" s="181"/>
      <c r="N39" s="181"/>
      <c r="O39" s="60">
        <v>43594</v>
      </c>
      <c r="P39" s="60">
        <v>43594</v>
      </c>
      <c r="Q39" s="60">
        <v>43594</v>
      </c>
      <c r="R39" s="60">
        <v>43594</v>
      </c>
      <c r="S39" s="180" t="s">
        <v>512</v>
      </c>
      <c r="T39" s="180"/>
      <c r="U39" s="181"/>
      <c r="V39" s="181"/>
      <c r="W39" s="181"/>
      <c r="X39" s="47"/>
      <c r="Y39" s="161"/>
    </row>
    <row r="40" spans="1:25" ht="15.75" thickBot="1">
      <c r="A40" s="16"/>
      <c r="B40" s="16" t="s">
        <v>278</v>
      </c>
      <c r="C40" s="217"/>
      <c r="D40" s="249"/>
      <c r="E40" s="39" t="s">
        <v>120</v>
      </c>
      <c r="F40" s="39"/>
      <c r="G40" s="39" t="s">
        <v>120</v>
      </c>
      <c r="H40" s="39"/>
      <c r="I40" s="327">
        <v>43739</v>
      </c>
      <c r="J40" s="327">
        <v>43768</v>
      </c>
      <c r="K40" s="49" t="s">
        <v>224</v>
      </c>
      <c r="L40" s="47" t="s">
        <v>223</v>
      </c>
      <c r="M40" s="47" t="s">
        <v>223</v>
      </c>
      <c r="N40" s="47" t="s">
        <v>271</v>
      </c>
      <c r="O40" s="60">
        <v>43559</v>
      </c>
      <c r="P40" s="60">
        <v>43589</v>
      </c>
      <c r="Q40" s="179">
        <v>43620</v>
      </c>
      <c r="R40" s="179">
        <v>43650</v>
      </c>
      <c r="S40" s="179">
        <v>43681</v>
      </c>
      <c r="T40" s="179">
        <v>43712</v>
      </c>
      <c r="U40" s="179">
        <v>43742</v>
      </c>
      <c r="V40" s="179">
        <v>43773</v>
      </c>
      <c r="W40" s="179">
        <v>43803</v>
      </c>
      <c r="X40" s="47">
        <v>1</v>
      </c>
      <c r="Y40" s="161"/>
    </row>
    <row r="41" spans="1:25" ht="15.75" thickBot="1">
      <c r="A41" s="16"/>
      <c r="B41" s="16" t="s">
        <v>286</v>
      </c>
      <c r="C41" s="56"/>
      <c r="D41" s="251"/>
      <c r="E41" s="39" t="s">
        <v>120</v>
      </c>
      <c r="F41" s="39"/>
      <c r="G41" s="39" t="s">
        <v>120</v>
      </c>
      <c r="H41" s="39"/>
      <c r="I41" s="327">
        <v>43739</v>
      </c>
      <c r="J41" s="327">
        <v>43768</v>
      </c>
      <c r="K41" s="49" t="s">
        <v>224</v>
      </c>
      <c r="L41" s="47" t="s">
        <v>223</v>
      </c>
      <c r="M41" s="47" t="s">
        <v>223</v>
      </c>
      <c r="N41" s="47" t="s">
        <v>271</v>
      </c>
      <c r="O41" s="60">
        <v>43559</v>
      </c>
      <c r="P41" s="60">
        <v>43589</v>
      </c>
      <c r="Q41" s="179">
        <v>43620</v>
      </c>
      <c r="R41" s="179">
        <v>43650</v>
      </c>
      <c r="S41" s="179">
        <v>43681</v>
      </c>
      <c r="T41" s="179">
        <v>43712</v>
      </c>
      <c r="U41" s="179">
        <v>43742</v>
      </c>
      <c r="V41" s="179">
        <v>43799</v>
      </c>
      <c r="W41" s="179">
        <v>43803</v>
      </c>
      <c r="X41" s="335">
        <v>1</v>
      </c>
      <c r="Y41" s="335"/>
    </row>
    <row r="42" spans="1:25" ht="15.75" thickBot="1">
      <c r="A42" s="16"/>
      <c r="B42" s="16" t="s">
        <v>294</v>
      </c>
      <c r="C42" s="56"/>
      <c r="D42" s="251"/>
      <c r="E42" s="39" t="s">
        <v>120</v>
      </c>
      <c r="F42" s="39"/>
      <c r="G42" s="39" t="s">
        <v>120</v>
      </c>
      <c r="H42" s="39"/>
      <c r="I42" s="327">
        <v>43739</v>
      </c>
      <c r="J42" s="327">
        <v>43768</v>
      </c>
      <c r="K42" s="49" t="s">
        <v>224</v>
      </c>
      <c r="L42" s="47" t="s">
        <v>223</v>
      </c>
      <c r="M42" s="47" t="s">
        <v>223</v>
      </c>
      <c r="N42" s="47" t="s">
        <v>271</v>
      </c>
      <c r="O42" s="60">
        <v>43559</v>
      </c>
      <c r="P42" s="60">
        <v>43589</v>
      </c>
      <c r="Q42" s="179">
        <v>43620</v>
      </c>
      <c r="R42" s="179">
        <v>43650</v>
      </c>
      <c r="S42" s="179">
        <v>43681</v>
      </c>
      <c r="T42" s="179">
        <v>43712</v>
      </c>
      <c r="U42" s="179">
        <v>43742</v>
      </c>
      <c r="V42" s="179">
        <v>43799</v>
      </c>
      <c r="W42" s="179">
        <v>43803</v>
      </c>
      <c r="X42" s="333"/>
      <c r="Y42" s="333"/>
    </row>
    <row r="43" spans="1:25" ht="15.75" thickBot="1">
      <c r="A43" s="16"/>
      <c r="B43" s="16" t="s">
        <v>556</v>
      </c>
      <c r="C43" s="217"/>
      <c r="D43" s="249"/>
      <c r="E43" s="39" t="s">
        <v>120</v>
      </c>
      <c r="F43" s="39"/>
      <c r="G43" s="39" t="s">
        <v>120</v>
      </c>
      <c r="H43" s="39"/>
      <c r="I43" s="327">
        <v>43739</v>
      </c>
      <c r="J43" s="327">
        <v>43768</v>
      </c>
      <c r="K43" s="49" t="s">
        <v>224</v>
      </c>
      <c r="L43" s="47" t="s">
        <v>223</v>
      </c>
      <c r="M43" s="47" t="s">
        <v>223</v>
      </c>
      <c r="N43" s="47" t="s">
        <v>271</v>
      </c>
      <c r="O43" s="60">
        <v>43559</v>
      </c>
      <c r="P43" s="60">
        <v>43589</v>
      </c>
      <c r="Q43" s="179">
        <v>43620</v>
      </c>
      <c r="R43" s="179">
        <v>43650</v>
      </c>
      <c r="S43" s="179">
        <v>43681</v>
      </c>
      <c r="T43" s="179">
        <v>43712</v>
      </c>
      <c r="U43" s="179">
        <v>43742</v>
      </c>
      <c r="V43" s="179">
        <v>43773</v>
      </c>
      <c r="W43" s="179">
        <v>43803</v>
      </c>
      <c r="X43" s="47">
        <v>1</v>
      </c>
      <c r="Y43" s="161"/>
    </row>
    <row r="44" spans="1:25" ht="15.75" thickBot="1">
      <c r="A44" s="16"/>
      <c r="B44" s="16" t="s">
        <v>304</v>
      </c>
      <c r="C44" s="217"/>
      <c r="D44" s="249"/>
      <c r="E44" s="39" t="s">
        <v>120</v>
      </c>
      <c r="F44" s="39"/>
      <c r="G44" s="39" t="s">
        <v>120</v>
      </c>
      <c r="H44" s="39"/>
      <c r="I44" s="327">
        <v>43739</v>
      </c>
      <c r="J44" s="327">
        <v>43768</v>
      </c>
      <c r="K44" s="49" t="s">
        <v>224</v>
      </c>
      <c r="L44" s="47" t="s">
        <v>223</v>
      </c>
      <c r="M44" s="47" t="s">
        <v>223</v>
      </c>
      <c r="N44" s="47" t="s">
        <v>271</v>
      </c>
      <c r="O44" s="60">
        <v>43559</v>
      </c>
      <c r="P44" s="60">
        <v>43589</v>
      </c>
      <c r="Q44" s="179">
        <v>43620</v>
      </c>
      <c r="R44" s="179">
        <v>43650</v>
      </c>
      <c r="S44" s="179">
        <v>43681</v>
      </c>
      <c r="T44" s="179">
        <v>43742</v>
      </c>
      <c r="U44" s="179">
        <v>43742</v>
      </c>
      <c r="V44" s="179">
        <v>43773</v>
      </c>
      <c r="W44" s="179">
        <v>43803</v>
      </c>
      <c r="X44" s="47">
        <v>1</v>
      </c>
      <c r="Y44" s="161"/>
    </row>
    <row r="45" spans="1:25" ht="15.75" thickBot="1">
      <c r="A45" s="16"/>
      <c r="B45" s="140" t="s">
        <v>534</v>
      </c>
      <c r="C45" s="217"/>
      <c r="D45" s="249"/>
      <c r="E45" s="39" t="s">
        <v>120</v>
      </c>
      <c r="F45" s="39"/>
      <c r="G45" s="39" t="s">
        <v>120</v>
      </c>
      <c r="H45" s="39"/>
      <c r="I45" s="327">
        <v>43739</v>
      </c>
      <c r="J45" s="327">
        <v>43768</v>
      </c>
      <c r="K45" s="49" t="s">
        <v>224</v>
      </c>
      <c r="L45" s="47" t="s">
        <v>223</v>
      </c>
      <c r="M45" s="47" t="s">
        <v>223</v>
      </c>
      <c r="N45" s="47" t="s">
        <v>271</v>
      </c>
      <c r="O45" s="60">
        <v>43559</v>
      </c>
      <c r="P45" s="60">
        <v>43589</v>
      </c>
      <c r="Q45" s="179">
        <v>43620</v>
      </c>
      <c r="R45" s="179">
        <v>43650</v>
      </c>
      <c r="S45" s="179">
        <v>43681</v>
      </c>
      <c r="T45" s="179">
        <v>43712</v>
      </c>
      <c r="U45" s="179">
        <v>43742</v>
      </c>
      <c r="V45" s="179">
        <v>43773</v>
      </c>
      <c r="W45" s="179">
        <v>43803</v>
      </c>
      <c r="X45" s="47">
        <v>1</v>
      </c>
      <c r="Y45" s="161"/>
    </row>
    <row r="46" spans="1:25" ht="15.75" thickBot="1">
      <c r="A46" s="16"/>
      <c r="B46" s="140" t="s">
        <v>532</v>
      </c>
      <c r="C46" s="217"/>
      <c r="D46" s="249"/>
      <c r="E46" s="39" t="s">
        <v>120</v>
      </c>
      <c r="F46" s="39"/>
      <c r="G46" s="39" t="s">
        <v>120</v>
      </c>
      <c r="H46" s="39"/>
      <c r="I46" s="327">
        <v>43739</v>
      </c>
      <c r="J46" s="327">
        <v>43768</v>
      </c>
      <c r="K46" s="49" t="s">
        <v>224</v>
      </c>
      <c r="L46" s="47" t="s">
        <v>223</v>
      </c>
      <c r="M46" s="47" t="s">
        <v>223</v>
      </c>
      <c r="N46" s="47" t="s">
        <v>271</v>
      </c>
      <c r="O46" s="60">
        <v>43559</v>
      </c>
      <c r="P46" s="60">
        <v>43589</v>
      </c>
      <c r="Q46" s="179">
        <v>43620</v>
      </c>
      <c r="R46" s="179">
        <v>43650</v>
      </c>
      <c r="S46" s="179">
        <v>43681</v>
      </c>
      <c r="T46" s="179">
        <v>43712</v>
      </c>
      <c r="U46" s="179">
        <v>43742</v>
      </c>
      <c r="V46" s="179">
        <v>43773</v>
      </c>
      <c r="W46" s="179">
        <v>43803</v>
      </c>
      <c r="X46" s="47">
        <v>1</v>
      </c>
      <c r="Y46" s="161"/>
    </row>
    <row r="47" spans="1:25" ht="15.75" thickBot="1">
      <c r="A47" s="182" t="s">
        <v>630</v>
      </c>
      <c r="B47" s="15" t="s">
        <v>338</v>
      </c>
      <c r="C47" s="217"/>
      <c r="D47" s="249"/>
      <c r="E47" s="39"/>
      <c r="F47" s="39"/>
      <c r="G47" s="39"/>
      <c r="H47" s="39" t="s">
        <v>120</v>
      </c>
      <c r="I47" s="327"/>
      <c r="J47" s="327"/>
      <c r="K47" s="44"/>
      <c r="L47" s="46">
        <v>43474</v>
      </c>
      <c r="M47" s="46">
        <v>43502</v>
      </c>
      <c r="N47" s="46" t="s">
        <v>263</v>
      </c>
      <c r="O47" s="60">
        <v>43556</v>
      </c>
      <c r="P47" s="60">
        <v>43593</v>
      </c>
      <c r="Q47" s="179">
        <v>43621</v>
      </c>
      <c r="R47" s="179">
        <v>43649</v>
      </c>
      <c r="S47" s="179">
        <v>43698</v>
      </c>
      <c r="T47" s="179">
        <v>43725</v>
      </c>
      <c r="U47" s="179">
        <v>43745</v>
      </c>
      <c r="V47" s="179">
        <v>43773</v>
      </c>
      <c r="W47" s="179">
        <v>43787</v>
      </c>
      <c r="X47" s="47">
        <v>1</v>
      </c>
      <c r="Y47" s="161">
        <v>1</v>
      </c>
    </row>
    <row r="48" spans="1:25" ht="15.75" thickBot="1">
      <c r="A48" s="182" t="s">
        <v>630</v>
      </c>
      <c r="B48" s="140" t="s">
        <v>535</v>
      </c>
      <c r="C48" s="217"/>
      <c r="D48" s="249"/>
      <c r="E48" s="39"/>
      <c r="F48" s="39"/>
      <c r="G48" s="39"/>
      <c r="H48" s="39" t="s">
        <v>120</v>
      </c>
      <c r="I48" s="327">
        <v>43757</v>
      </c>
      <c r="J48" s="327">
        <v>43771</v>
      </c>
      <c r="K48" s="44">
        <v>43810</v>
      </c>
      <c r="L48" s="46">
        <v>43476</v>
      </c>
      <c r="M48" s="47" t="s">
        <v>487</v>
      </c>
      <c r="N48" s="47" t="s">
        <v>319</v>
      </c>
      <c r="O48" s="60">
        <v>43567</v>
      </c>
      <c r="P48" s="60">
        <v>43595</v>
      </c>
      <c r="Q48" s="46">
        <v>43637</v>
      </c>
      <c r="R48" s="46">
        <v>43655</v>
      </c>
      <c r="S48" s="46">
        <v>43683</v>
      </c>
      <c r="T48" s="175">
        <v>43711</v>
      </c>
      <c r="U48" s="179">
        <v>43767</v>
      </c>
      <c r="V48" s="179">
        <v>43781</v>
      </c>
      <c r="W48" s="179">
        <v>43809</v>
      </c>
      <c r="X48" s="46"/>
      <c r="Y48" s="240">
        <v>1</v>
      </c>
    </row>
    <row r="49" spans="1:35" ht="15.75" thickBot="1">
      <c r="A49" s="16"/>
      <c r="B49" s="50" t="s">
        <v>221</v>
      </c>
      <c r="C49" s="221">
        <v>43568</v>
      </c>
      <c r="D49" s="252">
        <v>15000</v>
      </c>
      <c r="E49" s="39"/>
      <c r="F49" s="39"/>
      <c r="G49" s="39"/>
      <c r="H49" s="39" t="s">
        <v>120</v>
      </c>
      <c r="I49" s="327"/>
      <c r="J49" s="327"/>
      <c r="K49" s="44"/>
      <c r="L49" s="181"/>
      <c r="M49" s="181"/>
      <c r="N49" s="181"/>
      <c r="O49" s="60">
        <v>43568</v>
      </c>
      <c r="P49" s="60">
        <v>43568</v>
      </c>
      <c r="Q49" s="46">
        <v>43568</v>
      </c>
      <c r="R49" s="179">
        <v>43650</v>
      </c>
      <c r="S49" s="179">
        <v>43681</v>
      </c>
      <c r="T49" s="179">
        <v>43712</v>
      </c>
      <c r="U49" s="179">
        <v>43742</v>
      </c>
      <c r="V49" s="179">
        <v>43773</v>
      </c>
      <c r="W49" s="179">
        <v>43803</v>
      </c>
      <c r="X49" s="46"/>
      <c r="Y49" s="240">
        <v>1</v>
      </c>
      <c r="Z49" s="84"/>
      <c r="AA49" s="84"/>
      <c r="AB49" s="84"/>
      <c r="AC49" s="84"/>
      <c r="AD49" s="84"/>
      <c r="AE49" s="84"/>
      <c r="AF49" s="84"/>
      <c r="AG49" s="84"/>
      <c r="AH49" s="84"/>
      <c r="AI49" s="84"/>
    </row>
    <row r="50" spans="1:35" s="173" customFormat="1" ht="27.75" customHeight="1" thickBot="1">
      <c r="A50" s="172"/>
      <c r="B50" s="84" t="s">
        <v>355</v>
      </c>
      <c r="C50" s="221">
        <v>43546</v>
      </c>
      <c r="D50" s="252">
        <v>15000</v>
      </c>
      <c r="E50" s="39"/>
      <c r="F50" s="39" t="s">
        <v>120</v>
      </c>
      <c r="G50" s="39"/>
      <c r="H50" s="39" t="s">
        <v>120</v>
      </c>
      <c r="I50" s="327"/>
      <c r="J50" s="327"/>
      <c r="K50" s="54"/>
      <c r="L50" s="181"/>
      <c r="M50" s="181"/>
      <c r="N50" s="181"/>
      <c r="O50" s="145">
        <v>43546</v>
      </c>
      <c r="P50" s="145">
        <v>43546</v>
      </c>
      <c r="Q50" s="145">
        <v>43546</v>
      </c>
      <c r="R50" s="179">
        <v>43650</v>
      </c>
      <c r="S50" s="179">
        <v>43681</v>
      </c>
      <c r="T50" s="179">
        <v>43712</v>
      </c>
      <c r="U50" s="179">
        <v>43742</v>
      </c>
      <c r="V50" s="179">
        <v>43773</v>
      </c>
      <c r="W50" s="179">
        <v>43803</v>
      </c>
      <c r="X50" s="145"/>
      <c r="Y50" s="174">
        <v>1</v>
      </c>
      <c r="Z50" s="84"/>
      <c r="AA50" s="84"/>
      <c r="AB50" s="84"/>
      <c r="AC50" s="84"/>
      <c r="AD50" s="84"/>
      <c r="AE50" s="84"/>
      <c r="AF50" s="84"/>
      <c r="AG50" s="84"/>
      <c r="AH50" s="84"/>
      <c r="AI50" s="84"/>
    </row>
    <row r="51" spans="1:35" ht="15.75" thickBot="1">
      <c r="A51" s="16"/>
      <c r="B51" s="176" t="s">
        <v>536</v>
      </c>
      <c r="C51" s="222">
        <v>43603</v>
      </c>
      <c r="D51" s="252">
        <v>15000</v>
      </c>
      <c r="E51" s="39"/>
      <c r="F51" s="39" t="s">
        <v>120</v>
      </c>
      <c r="G51" s="39"/>
      <c r="H51" s="39" t="s">
        <v>120</v>
      </c>
      <c r="I51" s="327"/>
      <c r="J51" s="327"/>
      <c r="K51" s="44"/>
      <c r="L51" s="181"/>
      <c r="M51" s="181"/>
      <c r="N51" s="181"/>
      <c r="O51" s="181"/>
      <c r="P51" s="181"/>
      <c r="Q51" s="60">
        <v>43603</v>
      </c>
      <c r="R51" s="46">
        <v>43603</v>
      </c>
      <c r="S51" s="46">
        <v>43603</v>
      </c>
      <c r="T51" s="179">
        <v>43712</v>
      </c>
      <c r="U51" s="179">
        <v>43742</v>
      </c>
      <c r="V51" s="179">
        <v>43773</v>
      </c>
      <c r="W51" s="179">
        <v>43803</v>
      </c>
      <c r="X51" s="46"/>
      <c r="Y51" s="161">
        <v>1</v>
      </c>
      <c r="Z51" s="84"/>
      <c r="AA51" s="84"/>
      <c r="AB51" s="84"/>
      <c r="AC51" s="84"/>
      <c r="AD51" s="84"/>
      <c r="AE51" s="84"/>
      <c r="AF51" s="84"/>
      <c r="AG51" s="84"/>
      <c r="AH51" s="84"/>
      <c r="AI51" s="84"/>
    </row>
    <row r="52" spans="1:35" s="185" customFormat="1" ht="15.75" thickBot="1">
      <c r="A52" s="184"/>
      <c r="B52" s="182" t="s">
        <v>552</v>
      </c>
      <c r="C52" s="220">
        <v>43645</v>
      </c>
      <c r="D52" s="252">
        <v>15000</v>
      </c>
      <c r="E52" s="188"/>
      <c r="F52" s="311" t="s">
        <v>120</v>
      </c>
      <c r="G52" s="312"/>
      <c r="H52" s="313"/>
      <c r="I52" s="327"/>
      <c r="J52" s="327"/>
      <c r="K52" s="54"/>
      <c r="L52" s="181"/>
      <c r="M52" s="181"/>
      <c r="N52" s="181"/>
      <c r="O52" s="181"/>
      <c r="P52" s="181"/>
      <c r="Q52" s="181"/>
      <c r="R52" s="175">
        <v>43645</v>
      </c>
      <c r="S52" s="175">
        <v>43645</v>
      </c>
      <c r="T52" s="175">
        <v>43645</v>
      </c>
      <c r="U52" s="179">
        <v>43757</v>
      </c>
      <c r="V52" s="179">
        <v>43799</v>
      </c>
      <c r="W52" s="179">
        <v>43820</v>
      </c>
      <c r="X52" s="175"/>
      <c r="Y52" s="186">
        <v>1</v>
      </c>
      <c r="Z52" s="84"/>
      <c r="AA52" s="84"/>
      <c r="AB52" s="84"/>
      <c r="AC52" s="84"/>
      <c r="AD52" s="84"/>
      <c r="AE52" s="84"/>
      <c r="AF52" s="84"/>
      <c r="AG52" s="84"/>
      <c r="AH52" s="84"/>
      <c r="AI52" s="84"/>
    </row>
    <row r="53" spans="1:35" s="185" customFormat="1" ht="15.75" thickBot="1">
      <c r="A53" s="184"/>
      <c r="B53" s="182" t="s">
        <v>553</v>
      </c>
      <c r="C53" s="220">
        <v>43645</v>
      </c>
      <c r="D53" s="252">
        <v>15000</v>
      </c>
      <c r="E53" s="188"/>
      <c r="F53" s="311" t="s">
        <v>120</v>
      </c>
      <c r="G53" s="312"/>
      <c r="H53" s="313"/>
      <c r="I53" s="327"/>
      <c r="J53" s="327"/>
      <c r="K53" s="54"/>
      <c r="L53" s="181"/>
      <c r="M53" s="181"/>
      <c r="N53" s="181"/>
      <c r="O53" s="181"/>
      <c r="P53" s="181"/>
      <c r="Q53" s="181"/>
      <c r="R53" s="175">
        <v>43645</v>
      </c>
      <c r="S53" s="175">
        <v>43645</v>
      </c>
      <c r="T53" s="175">
        <v>43645</v>
      </c>
      <c r="U53" s="175">
        <v>43757</v>
      </c>
      <c r="V53" s="179">
        <v>43799</v>
      </c>
      <c r="W53" s="179">
        <v>43820</v>
      </c>
      <c r="X53" s="175"/>
      <c r="Y53" s="186">
        <v>1</v>
      </c>
      <c r="Z53" s="84"/>
      <c r="AA53" s="84"/>
      <c r="AB53" s="84"/>
      <c r="AC53" s="84"/>
      <c r="AD53" s="84"/>
      <c r="AE53" s="84"/>
      <c r="AF53" s="84"/>
      <c r="AG53" s="84"/>
      <c r="AH53" s="84"/>
      <c r="AI53" s="84"/>
    </row>
    <row r="54" spans="1:35" s="185" customFormat="1" ht="15.75" thickBot="1">
      <c r="A54" s="184"/>
      <c r="B54" s="182" t="s">
        <v>539</v>
      </c>
      <c r="C54" s="220">
        <v>43665</v>
      </c>
      <c r="D54" s="252">
        <v>7560</v>
      </c>
      <c r="E54" s="188"/>
      <c r="F54" s="311"/>
      <c r="G54" s="312"/>
      <c r="H54" s="313"/>
      <c r="I54" s="327"/>
      <c r="J54" s="327"/>
      <c r="K54" s="54"/>
      <c r="L54" s="181"/>
      <c r="M54" s="181"/>
      <c r="N54" s="181"/>
      <c r="O54" s="181"/>
      <c r="P54" s="181"/>
      <c r="Q54" s="181"/>
      <c r="R54" s="175">
        <v>43665</v>
      </c>
      <c r="S54" s="175">
        <v>43682</v>
      </c>
      <c r="T54" s="175">
        <v>43710</v>
      </c>
      <c r="U54" s="179">
        <v>43742</v>
      </c>
      <c r="V54" s="179">
        <v>43773</v>
      </c>
      <c r="W54" s="179">
        <v>43803</v>
      </c>
      <c r="X54" s="175"/>
      <c r="Y54" s="186">
        <v>1</v>
      </c>
      <c r="Z54" s="84"/>
      <c r="AA54" s="84"/>
      <c r="AB54" s="84"/>
      <c r="AC54" s="84"/>
      <c r="AD54" s="84"/>
      <c r="AE54" s="84"/>
      <c r="AF54" s="84"/>
      <c r="AG54" s="84"/>
      <c r="AH54" s="84"/>
      <c r="AI54" s="84"/>
    </row>
    <row r="55" spans="1:35" s="185" customFormat="1" ht="15.75" thickBot="1">
      <c r="A55" s="184"/>
      <c r="B55" s="182" t="s">
        <v>547</v>
      </c>
      <c r="C55" s="220">
        <v>43682</v>
      </c>
      <c r="D55" s="252">
        <v>7560</v>
      </c>
      <c r="E55" s="188"/>
      <c r="F55" s="311" t="s">
        <v>120</v>
      </c>
      <c r="G55" s="312"/>
      <c r="H55" s="313"/>
      <c r="I55" s="327"/>
      <c r="J55" s="327"/>
      <c r="K55" s="54"/>
      <c r="L55" s="181"/>
      <c r="M55" s="181"/>
      <c r="N55" s="181"/>
      <c r="O55" s="181"/>
      <c r="P55" s="181"/>
      <c r="Q55" s="181"/>
      <c r="R55" s="181"/>
      <c r="S55" s="179">
        <v>43682</v>
      </c>
      <c r="T55" s="179">
        <v>43710</v>
      </c>
      <c r="U55" s="179">
        <v>43742</v>
      </c>
      <c r="V55" s="179">
        <v>43773</v>
      </c>
      <c r="W55" s="179">
        <v>43803</v>
      </c>
      <c r="X55" s="175"/>
      <c r="Y55" s="189">
        <v>1</v>
      </c>
      <c r="Z55" s="84"/>
      <c r="AA55" s="84"/>
      <c r="AB55" s="84"/>
      <c r="AC55" s="84"/>
      <c r="AD55" s="84"/>
      <c r="AE55" s="84"/>
      <c r="AF55" s="84"/>
      <c r="AG55" s="84"/>
      <c r="AH55" s="84"/>
      <c r="AI55" s="84"/>
    </row>
    <row r="56" spans="1:35" s="185" customFormat="1" ht="15.75" thickBot="1">
      <c r="A56" s="184"/>
      <c r="B56" s="182" t="s">
        <v>550</v>
      </c>
      <c r="C56" s="220">
        <v>43682</v>
      </c>
      <c r="D56" s="252">
        <v>7560</v>
      </c>
      <c r="E56" s="188"/>
      <c r="F56" s="311" t="s">
        <v>120</v>
      </c>
      <c r="G56" s="312"/>
      <c r="H56" s="313"/>
      <c r="I56" s="327"/>
      <c r="J56" s="327"/>
      <c r="K56" s="54"/>
      <c r="L56" s="181"/>
      <c r="M56" s="181"/>
      <c r="N56" s="181"/>
      <c r="O56" s="181"/>
      <c r="P56" s="181"/>
      <c r="Q56" s="181"/>
      <c r="R56" s="181"/>
      <c r="S56" s="179">
        <v>43682</v>
      </c>
      <c r="T56" s="179">
        <v>43710</v>
      </c>
      <c r="U56" s="179">
        <v>43742</v>
      </c>
      <c r="V56" s="179">
        <v>43773</v>
      </c>
      <c r="W56" s="179">
        <v>43803</v>
      </c>
      <c r="X56" s="175"/>
      <c r="Y56" s="189">
        <v>1</v>
      </c>
      <c r="Z56" s="84"/>
      <c r="AA56" s="84"/>
      <c r="AB56" s="84"/>
      <c r="AC56" s="84"/>
      <c r="AD56" s="84"/>
      <c r="AE56" s="84"/>
      <c r="AF56" s="84"/>
      <c r="AG56" s="84"/>
      <c r="AH56" s="84"/>
      <c r="AI56" s="84"/>
    </row>
    <row r="57" spans="1:35" ht="15.75" thickBot="1">
      <c r="A57" s="193"/>
      <c r="B57" s="182" t="s">
        <v>563</v>
      </c>
      <c r="C57" s="220">
        <v>43710</v>
      </c>
      <c r="D57" s="253">
        <v>15000</v>
      </c>
      <c r="E57" s="85"/>
      <c r="F57" s="311" t="s">
        <v>120</v>
      </c>
      <c r="G57" s="312"/>
      <c r="H57" s="313"/>
      <c r="I57" s="329"/>
      <c r="J57" s="329"/>
      <c r="K57" s="74"/>
      <c r="L57" s="181"/>
      <c r="M57" s="181"/>
      <c r="N57" s="181"/>
      <c r="O57" s="181"/>
      <c r="P57" s="181"/>
      <c r="Q57" s="181"/>
      <c r="R57" s="181"/>
      <c r="S57" s="181"/>
      <c r="T57" s="179">
        <v>43710</v>
      </c>
      <c r="U57" s="179">
        <v>43710</v>
      </c>
      <c r="V57" s="179">
        <v>43710</v>
      </c>
      <c r="W57" s="179">
        <v>43803</v>
      </c>
      <c r="X57" s="76"/>
      <c r="Y57" s="195">
        <v>1</v>
      </c>
    </row>
    <row r="58" spans="1:35" ht="15.75" thickBot="1">
      <c r="A58" s="193"/>
      <c r="B58" s="182" t="s">
        <v>569</v>
      </c>
      <c r="C58" s="162">
        <v>43711</v>
      </c>
      <c r="D58" s="252">
        <v>15000</v>
      </c>
      <c r="E58" s="86"/>
      <c r="F58" s="311" t="s">
        <v>120</v>
      </c>
      <c r="G58" s="312"/>
      <c r="H58" s="313"/>
      <c r="I58" s="329"/>
      <c r="J58" s="329"/>
      <c r="K58" s="74"/>
      <c r="L58" s="181"/>
      <c r="M58" s="181"/>
      <c r="N58" s="181"/>
      <c r="O58" s="181"/>
      <c r="P58" s="181"/>
      <c r="Q58" s="181"/>
      <c r="R58" s="181"/>
      <c r="S58" s="181"/>
      <c r="T58" s="179">
        <v>43711</v>
      </c>
      <c r="U58" s="179">
        <v>43711</v>
      </c>
      <c r="V58" s="179">
        <v>43711</v>
      </c>
      <c r="W58" s="179">
        <v>43803</v>
      </c>
      <c r="X58" s="76"/>
      <c r="Y58" s="195">
        <v>1</v>
      </c>
    </row>
    <row r="59" spans="1:35" s="211" customFormat="1" ht="15.75" thickBot="1">
      <c r="A59" s="213"/>
      <c r="B59" s="182" t="s">
        <v>603</v>
      </c>
      <c r="C59" s="162">
        <v>43731</v>
      </c>
      <c r="D59" s="252">
        <v>15000</v>
      </c>
      <c r="E59" s="86"/>
      <c r="F59" s="311" t="s">
        <v>120</v>
      </c>
      <c r="G59" s="312"/>
      <c r="H59" s="313"/>
      <c r="I59" s="329"/>
      <c r="J59" s="329"/>
      <c r="K59" s="78"/>
      <c r="L59" s="181"/>
      <c r="M59" s="181"/>
      <c r="N59" s="181"/>
      <c r="O59" s="181"/>
      <c r="P59" s="181"/>
      <c r="Q59" s="181"/>
      <c r="R59" s="181"/>
      <c r="S59" s="181"/>
      <c r="T59" s="179">
        <v>43731</v>
      </c>
      <c r="U59" s="179">
        <v>43731</v>
      </c>
      <c r="V59" s="179">
        <v>43731</v>
      </c>
      <c r="W59" s="179">
        <v>43803</v>
      </c>
      <c r="X59" s="76"/>
      <c r="Y59" s="212">
        <v>1</v>
      </c>
    </row>
    <row r="60" spans="1:35" s="211" customFormat="1" ht="15.75" thickBot="1">
      <c r="A60" s="213"/>
      <c r="B60" s="182" t="s">
        <v>604</v>
      </c>
      <c r="C60" s="162">
        <v>43734</v>
      </c>
      <c r="D60" s="252">
        <v>15000</v>
      </c>
      <c r="E60" s="86"/>
      <c r="F60" s="311" t="s">
        <v>120</v>
      </c>
      <c r="G60" s="312"/>
      <c r="H60" s="313"/>
      <c r="I60" s="329"/>
      <c r="J60" s="329"/>
      <c r="K60" s="78"/>
      <c r="L60" s="181"/>
      <c r="M60" s="181"/>
      <c r="N60" s="181"/>
      <c r="O60" s="181"/>
      <c r="P60" s="181"/>
      <c r="Q60" s="181"/>
      <c r="R60" s="181"/>
      <c r="S60" s="181"/>
      <c r="T60" s="179">
        <v>43734</v>
      </c>
      <c r="U60" s="179">
        <v>43734</v>
      </c>
      <c r="V60" s="179">
        <v>43734</v>
      </c>
      <c r="W60" s="179">
        <v>43816</v>
      </c>
      <c r="X60" s="76"/>
      <c r="Y60" s="212">
        <v>1</v>
      </c>
    </row>
    <row r="61" spans="1:35" s="211" customFormat="1" ht="15.75" thickBot="1">
      <c r="A61" s="213"/>
      <c r="B61" s="182" t="s">
        <v>610</v>
      </c>
      <c r="C61" s="162">
        <v>43734</v>
      </c>
      <c r="D61" s="252">
        <v>10800</v>
      </c>
      <c r="E61" s="86"/>
      <c r="F61" s="311" t="s">
        <v>120</v>
      </c>
      <c r="G61" s="312"/>
      <c r="H61" s="313"/>
      <c r="I61" s="329"/>
      <c r="J61" s="329"/>
      <c r="K61" s="78"/>
      <c r="L61" s="181"/>
      <c r="M61" s="181"/>
      <c r="N61" s="181"/>
      <c r="O61" s="181"/>
      <c r="P61" s="181"/>
      <c r="Q61" s="181"/>
      <c r="R61" s="181"/>
      <c r="S61" s="181"/>
      <c r="T61" s="179">
        <v>43734</v>
      </c>
      <c r="U61" s="179">
        <v>43734</v>
      </c>
      <c r="V61" s="179">
        <v>43734</v>
      </c>
      <c r="W61" s="179">
        <v>43816</v>
      </c>
      <c r="X61" s="76"/>
      <c r="Y61" s="240">
        <v>1</v>
      </c>
    </row>
    <row r="62" spans="1:35" s="211" customFormat="1" ht="15.75" thickBot="1">
      <c r="A62" s="213"/>
      <c r="B62" s="182"/>
      <c r="C62" s="217"/>
      <c r="D62" s="249"/>
      <c r="E62" s="86"/>
      <c r="F62" s="311"/>
      <c r="G62" s="312"/>
      <c r="H62" s="313"/>
      <c r="I62" s="329"/>
      <c r="J62" s="329"/>
      <c r="K62" s="78"/>
      <c r="L62" s="76"/>
      <c r="M62" s="76"/>
      <c r="N62" s="76"/>
      <c r="O62" s="76"/>
      <c r="P62" s="76"/>
      <c r="Q62" s="76"/>
      <c r="R62" s="76"/>
      <c r="S62" s="76"/>
      <c r="T62" s="179"/>
      <c r="U62" s="179"/>
      <c r="V62" s="179"/>
      <c r="W62" s="76"/>
      <c r="X62" s="76"/>
      <c r="Y62" s="212"/>
    </row>
    <row r="63" spans="1:35" s="200" customFormat="1" ht="15.75" thickBot="1">
      <c r="A63" s="199"/>
      <c r="B63" s="182" t="s">
        <v>576</v>
      </c>
      <c r="C63" s="217"/>
      <c r="D63" s="249"/>
      <c r="E63" s="86"/>
      <c r="F63" s="86"/>
      <c r="G63" s="86"/>
      <c r="H63" s="86"/>
      <c r="I63" s="329"/>
      <c r="J63" s="329"/>
      <c r="K63" s="78"/>
      <c r="L63" s="76"/>
      <c r="M63" s="76"/>
      <c r="N63" s="76"/>
      <c r="O63" s="76"/>
      <c r="P63" s="76"/>
      <c r="Q63" s="76"/>
      <c r="R63" s="76"/>
      <c r="S63" s="76"/>
      <c r="T63" s="179"/>
      <c r="U63" s="179"/>
      <c r="V63" s="179"/>
      <c r="W63" s="76"/>
      <c r="X63" s="76"/>
      <c r="Y63" s="201"/>
    </row>
    <row r="64" spans="1:35" ht="15.75" thickBot="1">
      <c r="A64" s="61"/>
      <c r="B64" s="62" t="s">
        <v>363</v>
      </c>
      <c r="C64" s="63"/>
      <c r="D64" s="254"/>
      <c r="E64" s="63"/>
      <c r="F64" s="63"/>
      <c r="G64" s="63"/>
      <c r="H64" s="63"/>
      <c r="I64" s="329"/>
      <c r="J64" s="329"/>
      <c r="K64" s="74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</row>
    <row r="65" spans="1:35" ht="15.75" thickBot="1">
      <c r="A65" s="12"/>
      <c r="B65" s="168" t="s">
        <v>531</v>
      </c>
      <c r="C65" s="32"/>
      <c r="D65" s="255"/>
      <c r="E65" s="12" t="s">
        <v>120</v>
      </c>
      <c r="F65" s="32"/>
      <c r="G65" s="12"/>
      <c r="H65" s="12"/>
      <c r="I65" s="329"/>
      <c r="J65" s="327"/>
      <c r="K65" s="44"/>
      <c r="L65" s="60"/>
      <c r="M65" s="60"/>
      <c r="N65" s="60"/>
      <c r="O65" s="60"/>
      <c r="P65" s="60"/>
      <c r="Q65" s="60"/>
      <c r="R65" s="60"/>
      <c r="S65" s="60"/>
      <c r="T65" s="175"/>
      <c r="U65" s="175"/>
      <c r="V65" s="179"/>
      <c r="W65" s="179"/>
      <c r="X65" s="60"/>
      <c r="Y65" s="145"/>
    </row>
    <row r="66" spans="1:35" ht="15.75" thickBot="1">
      <c r="A66" s="12"/>
      <c r="B66" s="12" t="s">
        <v>377</v>
      </c>
      <c r="C66" s="32"/>
      <c r="D66" s="255"/>
      <c r="E66" s="12" t="s">
        <v>120</v>
      </c>
      <c r="F66" s="32"/>
      <c r="G66" s="12"/>
      <c r="H66" s="12"/>
      <c r="I66" s="327">
        <v>43739</v>
      </c>
      <c r="J66" s="327"/>
      <c r="K66" s="44"/>
      <c r="L66" s="60"/>
      <c r="M66" s="60"/>
      <c r="N66" s="60"/>
      <c r="O66" s="60"/>
      <c r="P66" s="60"/>
      <c r="Q66" s="60"/>
      <c r="R66" s="60"/>
      <c r="S66" s="60"/>
      <c r="T66" s="175"/>
      <c r="U66" s="175"/>
      <c r="V66" s="179"/>
      <c r="W66" s="179"/>
      <c r="X66" s="60"/>
      <c r="Y66" s="145"/>
    </row>
    <row r="67" spans="1:35" s="159" customFormat="1" ht="15.75" thickBot="1">
      <c r="A67" s="153"/>
      <c r="B67" s="153" t="s">
        <v>386</v>
      </c>
      <c r="C67" s="153"/>
      <c r="D67" s="256"/>
      <c r="E67" s="154"/>
      <c r="F67" s="154"/>
      <c r="G67" s="154" t="s">
        <v>120</v>
      </c>
      <c r="H67" s="154" t="s">
        <v>120</v>
      </c>
      <c r="I67" s="330">
        <v>43750</v>
      </c>
      <c r="J67" s="330">
        <v>43777</v>
      </c>
      <c r="K67" s="155"/>
      <c r="L67" s="155"/>
      <c r="M67" s="156"/>
      <c r="N67" s="157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</row>
    <row r="68" spans="1:35" ht="15.75" hidden="1" thickBot="1">
      <c r="A68" s="67"/>
      <c r="B68" s="63" t="s">
        <v>391</v>
      </c>
      <c r="C68" s="63"/>
      <c r="D68" s="63"/>
      <c r="E68" s="39" t="s">
        <v>120</v>
      </c>
      <c r="F68" s="39"/>
      <c r="G68" s="39"/>
      <c r="H68" s="39"/>
      <c r="I68" s="42">
        <v>43739</v>
      </c>
      <c r="J68" s="42">
        <v>43768</v>
      </c>
      <c r="K68" s="44"/>
      <c r="L68" s="60"/>
      <c r="M68" s="60"/>
      <c r="N68" s="60"/>
      <c r="O68" s="60"/>
      <c r="P68" s="60"/>
      <c r="Q68" s="60"/>
      <c r="R68" s="60"/>
      <c r="S68" s="60"/>
      <c r="T68" s="175"/>
      <c r="U68" s="175"/>
      <c r="V68" s="179"/>
      <c r="W68" s="179"/>
      <c r="X68" s="60"/>
      <c r="Y68" s="145"/>
    </row>
    <row r="69" spans="1:35" ht="15.75" thickBot="1">
      <c r="A69" s="69"/>
      <c r="B69" s="70" t="s">
        <v>399</v>
      </c>
      <c r="C69" s="217"/>
      <c r="D69" s="249"/>
      <c r="E69" s="87"/>
      <c r="F69" s="87"/>
      <c r="G69" s="87"/>
      <c r="H69" s="87" t="s">
        <v>120</v>
      </c>
      <c r="I69" s="327">
        <v>43755</v>
      </c>
      <c r="J69" s="327">
        <v>43782</v>
      </c>
      <c r="K69" s="44">
        <v>43810</v>
      </c>
      <c r="L69" s="60"/>
      <c r="M69" s="60"/>
      <c r="N69" s="60"/>
      <c r="O69" s="60"/>
      <c r="P69" s="60"/>
      <c r="Q69" s="60"/>
      <c r="R69" s="60"/>
      <c r="S69" s="60"/>
      <c r="T69" s="175"/>
      <c r="U69" s="175"/>
      <c r="V69" s="179"/>
      <c r="W69" s="179"/>
      <c r="X69" s="60"/>
      <c r="Y69" s="145"/>
    </row>
    <row r="70" spans="1:35" ht="15.75" thickBot="1">
      <c r="A70" s="16"/>
      <c r="B70" s="166" t="s">
        <v>526</v>
      </c>
      <c r="C70" s="71"/>
      <c r="D70" s="257"/>
      <c r="E70" s="39" t="s">
        <v>120</v>
      </c>
      <c r="F70" s="39"/>
      <c r="G70" s="39" t="s">
        <v>120</v>
      </c>
      <c r="H70" s="39" t="s">
        <v>120</v>
      </c>
      <c r="I70" s="327">
        <v>43739</v>
      </c>
      <c r="J70" s="327">
        <v>43768</v>
      </c>
      <c r="K70" s="49" t="s">
        <v>224</v>
      </c>
      <c r="L70" s="60"/>
      <c r="M70" s="60"/>
      <c r="N70" s="60"/>
      <c r="O70" s="60"/>
      <c r="P70" s="60"/>
      <c r="Q70" s="60"/>
      <c r="R70" s="60"/>
      <c r="S70" s="60"/>
      <c r="T70" s="175"/>
      <c r="U70" s="175"/>
      <c r="V70" s="179"/>
      <c r="W70" s="179"/>
      <c r="X70" s="60"/>
      <c r="Y70" s="145"/>
    </row>
    <row r="71" spans="1:35" ht="15.75" thickBot="1">
      <c r="A71" s="16"/>
      <c r="B71" s="16" t="s">
        <v>415</v>
      </c>
      <c r="C71" s="217"/>
      <c r="D71" s="249"/>
      <c r="E71" s="39"/>
      <c r="F71" s="39"/>
      <c r="G71" s="39" t="s">
        <v>120</v>
      </c>
      <c r="H71" s="39" t="s">
        <v>120</v>
      </c>
      <c r="I71" s="327">
        <v>43734</v>
      </c>
      <c r="J71" s="327">
        <v>43758</v>
      </c>
      <c r="K71" s="44">
        <v>43790</v>
      </c>
      <c r="L71" s="46">
        <v>43474</v>
      </c>
      <c r="M71" s="47" t="s">
        <v>223</v>
      </c>
      <c r="N71" s="47" t="s">
        <v>492</v>
      </c>
      <c r="O71" s="47"/>
      <c r="P71" s="47"/>
      <c r="Q71" s="47"/>
      <c r="R71" s="47"/>
      <c r="S71" s="47"/>
      <c r="T71" s="186"/>
      <c r="U71" s="186"/>
      <c r="V71" s="192"/>
      <c r="W71" s="192"/>
      <c r="X71" s="47">
        <v>1</v>
      </c>
      <c r="Y71" s="161"/>
    </row>
    <row r="72" spans="1:35" ht="15.75" hidden="1" thickBot="1">
      <c r="A72" s="16"/>
      <c r="B72" s="16" t="s">
        <v>422</v>
      </c>
      <c r="C72" s="217"/>
      <c r="D72" s="232"/>
      <c r="E72" s="39" t="s">
        <v>120</v>
      </c>
      <c r="F72" s="39"/>
      <c r="G72" s="39" t="s">
        <v>120</v>
      </c>
      <c r="H72" s="39"/>
      <c r="I72" s="42">
        <v>43739</v>
      </c>
      <c r="J72" s="42">
        <v>43768</v>
      </c>
      <c r="K72" s="49" t="s">
        <v>224</v>
      </c>
      <c r="L72" s="47" t="s">
        <v>223</v>
      </c>
      <c r="M72" s="47" t="s">
        <v>223</v>
      </c>
      <c r="N72" s="47" t="s">
        <v>492</v>
      </c>
      <c r="O72" s="47"/>
      <c r="P72" s="47"/>
      <c r="Q72" s="47"/>
      <c r="R72" s="47"/>
      <c r="S72" s="47"/>
      <c r="T72" s="186"/>
      <c r="U72" s="186"/>
      <c r="V72" s="192"/>
      <c r="W72" s="192"/>
      <c r="X72" s="47">
        <v>1</v>
      </c>
      <c r="Y72" s="161"/>
    </row>
    <row r="73" spans="1:35" ht="15.75" hidden="1" thickBot="1">
      <c r="A73" s="16"/>
      <c r="B73" s="16" t="s">
        <v>428</v>
      </c>
      <c r="C73" s="217"/>
      <c r="D73" s="232"/>
      <c r="E73" s="39" t="s">
        <v>120</v>
      </c>
      <c r="F73" s="39"/>
      <c r="G73" s="39"/>
      <c r="H73" s="39"/>
      <c r="I73" s="42">
        <v>43739</v>
      </c>
      <c r="J73" s="42">
        <v>43768</v>
      </c>
      <c r="K73" s="49" t="s">
        <v>224</v>
      </c>
      <c r="L73" s="47" t="s">
        <v>492</v>
      </c>
      <c r="M73" s="47"/>
      <c r="N73" s="47"/>
      <c r="O73" s="60"/>
      <c r="P73" s="60"/>
      <c r="Q73" s="60"/>
      <c r="R73" s="60"/>
      <c r="S73" s="60"/>
      <c r="T73" s="175"/>
      <c r="U73" s="175"/>
      <c r="V73" s="179"/>
      <c r="W73" s="179"/>
      <c r="X73" s="60"/>
      <c r="Y73" s="145"/>
    </row>
    <row r="74" spans="1:35" ht="15.75" hidden="1" thickBot="1">
      <c r="A74" s="16"/>
      <c r="B74" s="140" t="s">
        <v>527</v>
      </c>
      <c r="C74" s="217"/>
      <c r="D74" s="232"/>
      <c r="E74" s="39" t="s">
        <v>120</v>
      </c>
      <c r="F74" s="39"/>
      <c r="G74" s="39" t="s">
        <v>120</v>
      </c>
      <c r="H74" s="39"/>
      <c r="I74" s="42">
        <v>43739</v>
      </c>
      <c r="J74" s="42">
        <v>43768</v>
      </c>
      <c r="K74" s="49" t="s">
        <v>224</v>
      </c>
      <c r="L74" s="47" t="s">
        <v>223</v>
      </c>
      <c r="M74" s="47" t="s">
        <v>492</v>
      </c>
      <c r="N74" s="47"/>
      <c r="O74" s="47"/>
      <c r="P74" s="47"/>
      <c r="Q74" s="47"/>
      <c r="R74" s="47"/>
      <c r="S74" s="47"/>
      <c r="T74" s="186"/>
      <c r="U74" s="186"/>
      <c r="V74" s="192"/>
      <c r="W74" s="192"/>
      <c r="X74" s="47">
        <v>1</v>
      </c>
      <c r="Y74" s="161"/>
    </row>
    <row r="75" spans="1:35" ht="15.75" hidden="1" thickBot="1">
      <c r="A75" s="73"/>
      <c r="B75" s="167" t="s">
        <v>530</v>
      </c>
      <c r="C75" s="89"/>
      <c r="D75" s="89"/>
      <c r="E75" s="90" t="s">
        <v>120</v>
      </c>
      <c r="F75" s="90"/>
      <c r="G75" s="90" t="s">
        <v>120</v>
      </c>
      <c r="H75" s="91"/>
      <c r="I75" s="92">
        <v>43768</v>
      </c>
      <c r="J75" s="92">
        <v>43768</v>
      </c>
      <c r="K75" s="93" t="s">
        <v>224</v>
      </c>
      <c r="L75" s="94" t="s">
        <v>492</v>
      </c>
      <c r="M75" s="95"/>
      <c r="N75" s="94"/>
      <c r="O75" s="94"/>
      <c r="P75" s="94"/>
      <c r="Q75" s="94"/>
      <c r="R75" s="94"/>
      <c r="S75" s="94"/>
      <c r="T75" s="97"/>
      <c r="U75" s="97"/>
      <c r="V75" s="97"/>
      <c r="W75" s="97"/>
      <c r="X75" s="94">
        <v>1</v>
      </c>
      <c r="Y75" s="97"/>
      <c r="Z75" s="96"/>
      <c r="AA75" s="96"/>
      <c r="AB75" s="96"/>
      <c r="AC75" s="96"/>
      <c r="AD75" s="96"/>
      <c r="AE75" s="96"/>
      <c r="AF75" s="96"/>
      <c r="AG75" s="96"/>
      <c r="AH75" s="96"/>
      <c r="AI75" s="96"/>
    </row>
    <row r="76" spans="1:35" ht="15.75" hidden="1" thickBot="1">
      <c r="A76" s="16"/>
      <c r="B76" s="140" t="s">
        <v>529</v>
      </c>
      <c r="C76" s="217"/>
      <c r="D76" s="232"/>
      <c r="E76" s="39" t="s">
        <v>120</v>
      </c>
      <c r="F76" s="39"/>
      <c r="G76" s="39" t="s">
        <v>120</v>
      </c>
      <c r="H76" s="39"/>
      <c r="I76" s="42">
        <v>43739</v>
      </c>
      <c r="J76" s="42">
        <v>43768</v>
      </c>
      <c r="K76" s="49" t="s">
        <v>224</v>
      </c>
      <c r="L76" s="60"/>
      <c r="M76" s="97" t="s">
        <v>354</v>
      </c>
      <c r="N76" s="47" t="s">
        <v>492</v>
      </c>
      <c r="O76" s="60"/>
      <c r="P76" s="60"/>
      <c r="Q76" s="60"/>
      <c r="R76" s="60"/>
      <c r="S76" s="60"/>
      <c r="T76" s="175"/>
      <c r="U76" s="175"/>
      <c r="V76" s="179"/>
      <c r="W76" s="179"/>
      <c r="X76" s="60"/>
      <c r="Y76" s="145"/>
    </row>
    <row r="77" spans="1:35" ht="15.75" hidden="1" thickBot="1">
      <c r="A77" s="73"/>
      <c r="B77" s="73" t="s">
        <v>466</v>
      </c>
      <c r="C77" s="98"/>
      <c r="D77" s="98"/>
      <c r="E77" s="99"/>
      <c r="F77" s="99"/>
      <c r="G77" s="99" t="s">
        <v>120</v>
      </c>
      <c r="H77" s="100"/>
      <c r="I77" s="92">
        <v>43763</v>
      </c>
      <c r="J77" s="92">
        <v>43803</v>
      </c>
      <c r="K77" s="101">
        <v>43819</v>
      </c>
      <c r="L77" s="94" t="s">
        <v>223</v>
      </c>
      <c r="M77" s="94" t="s">
        <v>223</v>
      </c>
      <c r="N77" s="94" t="s">
        <v>492</v>
      </c>
      <c r="O77" s="94"/>
      <c r="P77" s="94"/>
      <c r="Q77" s="94"/>
      <c r="R77" s="94"/>
      <c r="S77" s="94"/>
      <c r="T77" s="97"/>
      <c r="U77" s="97"/>
      <c r="V77" s="97"/>
      <c r="W77" s="97"/>
      <c r="X77" s="94">
        <v>1</v>
      </c>
      <c r="Y77" s="97"/>
      <c r="Z77" s="96"/>
      <c r="AA77" s="96"/>
      <c r="AB77" s="96"/>
      <c r="AC77" s="96"/>
      <c r="AD77" s="96"/>
      <c r="AE77" s="96"/>
      <c r="AF77" s="96"/>
      <c r="AG77" s="96"/>
      <c r="AH77" s="96"/>
      <c r="AI77" s="96"/>
    </row>
    <row r="78" spans="1:35" ht="15.75" thickBot="1">
      <c r="A78" s="16"/>
      <c r="B78" s="16" t="s">
        <v>472</v>
      </c>
      <c r="C78" s="217"/>
      <c r="D78" s="249"/>
      <c r="E78" s="39"/>
      <c r="F78" s="39"/>
      <c r="G78" s="39"/>
      <c r="H78" s="39" t="s">
        <v>120</v>
      </c>
      <c r="I78" s="327">
        <v>43755</v>
      </c>
      <c r="J78" s="327">
        <v>43791</v>
      </c>
      <c r="K78" s="44">
        <v>43818</v>
      </c>
      <c r="L78" s="47" t="s">
        <v>492</v>
      </c>
      <c r="M78" s="47"/>
      <c r="N78" s="47"/>
      <c r="O78" s="60"/>
      <c r="P78" s="60"/>
      <c r="Q78" s="60"/>
      <c r="R78" s="60"/>
      <c r="S78" s="60"/>
      <c r="T78" s="175"/>
      <c r="U78" s="175"/>
      <c r="V78" s="179"/>
      <c r="W78" s="179"/>
      <c r="X78" s="60"/>
      <c r="Y78" s="145"/>
    </row>
    <row r="79" spans="1:35" ht="15.75" hidden="1" thickBot="1">
      <c r="A79" s="73"/>
      <c r="B79" s="73" t="s">
        <v>480</v>
      </c>
      <c r="C79" s="89"/>
      <c r="D79" s="89"/>
      <c r="E79" s="90" t="s">
        <v>120</v>
      </c>
      <c r="F79" s="90"/>
      <c r="G79" s="90"/>
      <c r="H79" s="91"/>
      <c r="I79" s="92">
        <v>43739</v>
      </c>
      <c r="J79" s="92">
        <v>43768</v>
      </c>
      <c r="K79" s="102" t="s">
        <v>259</v>
      </c>
      <c r="L79" s="102" t="s">
        <v>259</v>
      </c>
      <c r="M79" s="93" t="s">
        <v>259</v>
      </c>
      <c r="N79" s="94" t="s">
        <v>492</v>
      </c>
      <c r="O79" s="94"/>
      <c r="P79" s="94"/>
      <c r="Q79" s="94"/>
      <c r="R79" s="94"/>
      <c r="S79" s="94"/>
      <c r="T79" s="97"/>
      <c r="U79" s="97"/>
      <c r="V79" s="97"/>
      <c r="W79" s="97"/>
      <c r="X79" s="94">
        <v>1</v>
      </c>
      <c r="Y79" s="97"/>
      <c r="Z79" s="96"/>
      <c r="AA79" s="96"/>
      <c r="AB79" s="96"/>
      <c r="AC79" s="96"/>
      <c r="AD79" s="96"/>
      <c r="AE79" s="96"/>
      <c r="AF79" s="96"/>
      <c r="AG79" s="96"/>
      <c r="AH79" s="96"/>
      <c r="AI79" s="96"/>
    </row>
    <row r="80" spans="1:35" ht="15.75" thickBot="1">
      <c r="A80" s="182" t="s">
        <v>630</v>
      </c>
      <c r="B80" s="16" t="s">
        <v>52</v>
      </c>
      <c r="C80" s="217"/>
      <c r="D80" s="249"/>
      <c r="E80" s="39"/>
      <c r="F80" s="39"/>
      <c r="G80" s="39"/>
      <c r="H80" s="39" t="s">
        <v>120</v>
      </c>
      <c r="I80" s="327">
        <v>43763</v>
      </c>
      <c r="J80" s="327">
        <v>43791</v>
      </c>
      <c r="K80" s="51">
        <v>43447</v>
      </c>
      <c r="L80" s="52" t="s">
        <v>233</v>
      </c>
      <c r="M80" s="47" t="s">
        <v>235</v>
      </c>
      <c r="N80" s="47" t="s">
        <v>227</v>
      </c>
      <c r="O80" s="60">
        <v>43580</v>
      </c>
      <c r="P80" s="60">
        <v>43615</v>
      </c>
      <c r="Q80" s="179">
        <v>43643</v>
      </c>
      <c r="R80" s="179">
        <v>43671</v>
      </c>
      <c r="S80" s="179">
        <v>43706</v>
      </c>
      <c r="T80" s="179">
        <v>43727</v>
      </c>
      <c r="U80" s="180" t="s">
        <v>627</v>
      </c>
      <c r="V80" s="181"/>
      <c r="W80" s="181"/>
      <c r="X80" s="47">
        <v>1</v>
      </c>
      <c r="Y80" s="161">
        <v>1</v>
      </c>
    </row>
    <row r="81" spans="1:25" s="159" customFormat="1" ht="15.75" thickBot="1">
      <c r="A81" s="153"/>
      <c r="B81" s="153" t="s">
        <v>311</v>
      </c>
      <c r="C81" s="153"/>
      <c r="D81" s="256"/>
      <c r="E81" s="154"/>
      <c r="F81" s="154"/>
      <c r="G81" s="154"/>
      <c r="H81" s="154" t="s">
        <v>120</v>
      </c>
      <c r="I81" s="330">
        <v>43735</v>
      </c>
      <c r="J81" s="330">
        <v>43763</v>
      </c>
      <c r="K81" s="155">
        <v>43811</v>
      </c>
      <c r="L81" s="155">
        <v>43474</v>
      </c>
      <c r="M81" s="156" t="s">
        <v>512</v>
      </c>
      <c r="N81" s="157"/>
      <c r="O81" s="158"/>
      <c r="P81" s="158"/>
      <c r="Q81" s="158"/>
      <c r="R81" s="158"/>
      <c r="S81" s="158"/>
      <c r="T81" s="158"/>
      <c r="U81" s="158"/>
      <c r="V81" s="158"/>
      <c r="W81" s="158"/>
      <c r="X81" s="158">
        <v>1</v>
      </c>
      <c r="Y81" s="158"/>
    </row>
    <row r="82" spans="1:25" ht="15" customHeight="1">
      <c r="A82" s="182" t="s">
        <v>630</v>
      </c>
      <c r="B82" s="324" t="s">
        <v>529</v>
      </c>
      <c r="L82" s="179">
        <v>43508</v>
      </c>
      <c r="M82" s="179">
        <v>43508</v>
      </c>
      <c r="N82" s="323" t="s">
        <v>492</v>
      </c>
    </row>
  </sheetData>
  <autoFilter ref="H1:H79" xr:uid="{1C2E3046-ABF4-9E4E-8068-DD7C8DAA9CDF}">
    <filterColumn colId="0">
      <filters>
        <filter val="〇"/>
      </filters>
    </filterColumn>
  </autoFilter>
  <mergeCells count="4">
    <mergeCell ref="X41:X42"/>
    <mergeCell ref="Y41:Y42"/>
    <mergeCell ref="C1:D1"/>
    <mergeCell ref="G1:H1"/>
  </mergeCells>
  <phoneticPr fontId="10"/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E28AA-ED84-4942-B052-21834E0B1D6A}">
  <sheetPr filterMode="1">
    <outlinePr summaryBelow="0" summaryRight="0"/>
  </sheetPr>
  <dimension ref="A1:AE82"/>
  <sheetViews>
    <sheetView tabSelected="1" workbookViewId="0">
      <pane xSplit="2" ySplit="2" topLeftCell="C42" activePane="bottomRight" state="frozen"/>
      <selection pane="topRight" activeCell="C1" sqref="C1"/>
      <selection pane="bottomLeft" activeCell="A3" sqref="A3"/>
      <selection pane="bottomRight" activeCell="B52" sqref="B52"/>
    </sheetView>
  </sheetViews>
  <sheetFormatPr defaultColWidth="14.42578125" defaultRowHeight="15" customHeight="1"/>
  <cols>
    <col min="1" max="1" width="5.42578125" style="215" bestFit="1" customWidth="1"/>
    <col min="2" max="3" width="14.42578125" style="215"/>
    <col min="4" max="4" width="9.85546875" style="215" bestFit="1" customWidth="1"/>
    <col min="5" max="5" width="9.85546875" style="320" customWidth="1"/>
    <col min="6" max="16384" width="14.42578125" style="215"/>
  </cols>
  <sheetData>
    <row r="1" spans="1:21" ht="25.5">
      <c r="D1" s="336" t="s">
        <v>724</v>
      </c>
      <c r="E1" s="344"/>
      <c r="F1" s="340"/>
      <c r="G1" s="341"/>
      <c r="H1" s="219">
        <v>43831</v>
      </c>
      <c r="I1" s="219">
        <v>43862</v>
      </c>
      <c r="J1" s="219">
        <v>43891</v>
      </c>
      <c r="K1" s="219">
        <v>43922</v>
      </c>
      <c r="L1" s="219">
        <v>43952</v>
      </c>
      <c r="M1" s="219">
        <v>43983</v>
      </c>
      <c r="N1" s="219">
        <v>44013</v>
      </c>
      <c r="O1" s="219">
        <v>44044</v>
      </c>
      <c r="P1" s="219">
        <v>44075</v>
      </c>
      <c r="Q1" s="219">
        <v>44105</v>
      </c>
      <c r="R1" s="219">
        <v>44136</v>
      </c>
      <c r="S1" s="219">
        <v>44166</v>
      </c>
      <c r="T1" s="22" t="s">
        <v>40</v>
      </c>
      <c r="U1" s="164" t="s">
        <v>524</v>
      </c>
    </row>
    <row r="2" spans="1:21">
      <c r="F2" s="23" t="s">
        <v>43</v>
      </c>
      <c r="G2" s="23" t="s">
        <v>44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>
      <c r="B3" s="127" t="s">
        <v>9</v>
      </c>
      <c r="C3" s="215" t="s">
        <v>10</v>
      </c>
      <c r="F3" s="30"/>
      <c r="G3" s="3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</row>
    <row r="4" spans="1:21">
      <c r="A4" s="217" t="s">
        <v>23</v>
      </c>
      <c r="B4" s="217" t="s">
        <v>25</v>
      </c>
      <c r="C4" s="217" t="s">
        <v>28</v>
      </c>
      <c r="D4" s="217"/>
      <c r="E4" s="322"/>
      <c r="F4" s="39" t="s">
        <v>120</v>
      </c>
      <c r="G4" s="39"/>
      <c r="H4" s="179">
        <v>43834</v>
      </c>
      <c r="I4" s="216"/>
      <c r="J4" s="216"/>
      <c r="K4" s="179"/>
      <c r="L4" s="179"/>
      <c r="M4" s="179"/>
      <c r="N4" s="179"/>
      <c r="O4" s="179"/>
      <c r="P4" s="179"/>
      <c r="Q4" s="179"/>
      <c r="R4" s="216"/>
      <c r="S4" s="216"/>
      <c r="T4" s="216">
        <v>1</v>
      </c>
      <c r="U4" s="216"/>
    </row>
    <row r="5" spans="1:21">
      <c r="A5" s="217"/>
      <c r="B5" s="217" t="s">
        <v>45</v>
      </c>
      <c r="C5" s="217" t="s">
        <v>46</v>
      </c>
      <c r="D5" s="217"/>
      <c r="E5" s="322"/>
      <c r="F5" s="39"/>
      <c r="G5" s="39"/>
      <c r="H5" s="179">
        <v>43834</v>
      </c>
      <c r="I5" s="216"/>
      <c r="J5" s="216"/>
      <c r="K5" s="179"/>
      <c r="L5" s="179"/>
      <c r="M5" s="179"/>
      <c r="N5" s="179"/>
      <c r="O5" s="179"/>
      <c r="P5" s="179"/>
      <c r="Q5" s="179"/>
      <c r="R5" s="216"/>
      <c r="S5" s="216"/>
      <c r="T5" s="317">
        <v>1</v>
      </c>
      <c r="U5" s="216"/>
    </row>
    <row r="6" spans="1:21">
      <c r="A6" s="217"/>
      <c r="B6" s="182" t="s">
        <v>614</v>
      </c>
      <c r="C6" s="217"/>
      <c r="D6" s="217"/>
      <c r="E6" s="322"/>
      <c r="F6" s="39"/>
      <c r="G6" s="39"/>
      <c r="H6" s="179">
        <v>43838</v>
      </c>
      <c r="I6" s="179">
        <v>43880</v>
      </c>
      <c r="J6" s="216"/>
      <c r="K6" s="179"/>
      <c r="L6" s="179"/>
      <c r="M6" s="179"/>
      <c r="N6" s="179"/>
      <c r="O6" s="179"/>
      <c r="P6" s="179"/>
      <c r="Q6" s="179"/>
      <c r="R6" s="179"/>
      <c r="S6" s="179"/>
      <c r="T6" s="317">
        <v>1</v>
      </c>
      <c r="U6" s="216"/>
    </row>
    <row r="7" spans="1:21" ht="25.5">
      <c r="A7" s="217" t="s">
        <v>60</v>
      </c>
      <c r="B7" s="217" t="s">
        <v>61</v>
      </c>
      <c r="C7" s="217" t="s">
        <v>62</v>
      </c>
      <c r="D7" s="217"/>
      <c r="E7" s="322"/>
      <c r="F7" s="39" t="s">
        <v>120</v>
      </c>
      <c r="G7" s="39"/>
      <c r="H7" s="179">
        <v>43834</v>
      </c>
      <c r="I7" s="216"/>
      <c r="J7" s="216"/>
      <c r="K7" s="179"/>
      <c r="L7" s="179"/>
      <c r="M7" s="179"/>
      <c r="N7" s="179"/>
      <c r="O7" s="179"/>
      <c r="P7" s="179"/>
      <c r="Q7" s="179"/>
      <c r="R7" s="216"/>
      <c r="S7" s="216"/>
      <c r="T7" s="317">
        <v>1</v>
      </c>
      <c r="U7" s="216"/>
    </row>
    <row r="8" spans="1:21">
      <c r="A8" s="217"/>
      <c r="B8" s="182" t="s">
        <v>636</v>
      </c>
      <c r="C8" s="217"/>
      <c r="D8" s="217"/>
      <c r="E8" s="322"/>
      <c r="F8" s="39"/>
      <c r="G8" s="39"/>
      <c r="H8" s="179">
        <v>43770</v>
      </c>
      <c r="I8" s="216"/>
      <c r="J8" s="216"/>
      <c r="K8" s="179"/>
      <c r="L8" s="179"/>
      <c r="M8" s="179"/>
      <c r="N8" s="179"/>
      <c r="O8" s="179"/>
      <c r="P8" s="179"/>
      <c r="Q8" s="179"/>
      <c r="R8" s="216"/>
      <c r="S8" s="216"/>
      <c r="T8" s="317">
        <v>1</v>
      </c>
      <c r="U8" s="216"/>
    </row>
    <row r="9" spans="1:21">
      <c r="A9" s="217" t="s">
        <v>68</v>
      </c>
      <c r="B9" s="217" t="s">
        <v>69</v>
      </c>
      <c r="C9" s="217" t="s">
        <v>70</v>
      </c>
      <c r="D9" s="217"/>
      <c r="E9" s="322"/>
      <c r="F9" s="39" t="s">
        <v>120</v>
      </c>
      <c r="G9" s="39"/>
      <c r="H9" s="179">
        <v>43834</v>
      </c>
      <c r="I9" s="216"/>
      <c r="J9" s="216"/>
      <c r="K9" s="179"/>
      <c r="L9" s="179"/>
      <c r="M9" s="179"/>
      <c r="N9" s="179"/>
      <c r="O9" s="179"/>
      <c r="P9" s="179"/>
      <c r="Q9" s="179"/>
      <c r="R9" s="216"/>
      <c r="S9" s="216"/>
      <c r="T9" s="317">
        <v>1</v>
      </c>
      <c r="U9" s="216"/>
    </row>
    <row r="10" spans="1:21" s="320" customFormat="1">
      <c r="A10" s="322"/>
      <c r="B10" s="182" t="s">
        <v>722</v>
      </c>
      <c r="C10" s="322" t="s">
        <v>723</v>
      </c>
      <c r="D10" s="162">
        <v>43866</v>
      </c>
      <c r="E10" s="319">
        <v>16500</v>
      </c>
      <c r="F10" s="39"/>
      <c r="G10" s="39"/>
      <c r="H10" s="179"/>
      <c r="I10" s="179">
        <v>43866</v>
      </c>
      <c r="J10" s="179">
        <v>43866</v>
      </c>
      <c r="K10" s="179">
        <v>43866</v>
      </c>
      <c r="L10" s="179"/>
      <c r="M10" s="179"/>
      <c r="N10" s="179"/>
      <c r="O10" s="179"/>
      <c r="P10" s="179"/>
      <c r="Q10" s="179"/>
      <c r="R10" s="321"/>
      <c r="S10" s="321"/>
      <c r="T10" s="321">
        <v>1</v>
      </c>
      <c r="U10" s="321"/>
    </row>
    <row r="11" spans="1:21">
      <c r="A11" s="217" t="s">
        <v>77</v>
      </c>
      <c r="B11" s="217" t="s">
        <v>78</v>
      </c>
      <c r="C11" s="217" t="s">
        <v>79</v>
      </c>
      <c r="D11" s="217"/>
      <c r="E11" s="322"/>
      <c r="F11" s="39" t="s">
        <v>120</v>
      </c>
      <c r="G11" s="39"/>
      <c r="H11" s="216"/>
      <c r="I11" s="216"/>
      <c r="J11" s="216"/>
      <c r="K11" s="179"/>
      <c r="L11" s="179"/>
      <c r="M11" s="179"/>
      <c r="N11" s="179"/>
      <c r="O11" s="179"/>
      <c r="P11" s="179"/>
      <c r="Q11" s="179"/>
      <c r="R11" s="216"/>
      <c r="S11" s="216"/>
      <c r="T11" s="317">
        <v>1</v>
      </c>
      <c r="U11" s="216"/>
    </row>
    <row r="12" spans="1:21">
      <c r="A12" s="217" t="s">
        <v>85</v>
      </c>
      <c r="B12" s="217" t="s">
        <v>86</v>
      </c>
      <c r="C12" s="217" t="s">
        <v>87</v>
      </c>
      <c r="D12" s="217"/>
      <c r="E12" s="322"/>
      <c r="F12" s="39" t="s">
        <v>120</v>
      </c>
      <c r="G12" s="39" t="s">
        <v>120</v>
      </c>
      <c r="H12" s="179">
        <v>43834</v>
      </c>
      <c r="I12" s="216"/>
      <c r="J12" s="216"/>
      <c r="K12" s="179"/>
      <c r="L12" s="179"/>
      <c r="M12" s="179"/>
      <c r="N12" s="179"/>
      <c r="O12" s="179"/>
      <c r="P12" s="179"/>
      <c r="Q12" s="179"/>
      <c r="R12" s="216"/>
      <c r="S12" s="216"/>
      <c r="T12" s="317">
        <v>1</v>
      </c>
      <c r="U12" s="216"/>
    </row>
    <row r="13" spans="1:21">
      <c r="A13" s="217" t="s">
        <v>93</v>
      </c>
      <c r="B13" s="140" t="s">
        <v>533</v>
      </c>
      <c r="C13" s="217" t="s">
        <v>95</v>
      </c>
      <c r="D13" s="217"/>
      <c r="E13" s="322"/>
      <c r="F13" s="39" t="s">
        <v>120</v>
      </c>
      <c r="G13" s="39" t="s">
        <v>120</v>
      </c>
      <c r="H13" s="179">
        <v>43834</v>
      </c>
      <c r="I13" s="216"/>
      <c r="J13" s="216"/>
      <c r="K13" s="179"/>
      <c r="L13" s="179"/>
      <c r="M13" s="179"/>
      <c r="N13" s="179"/>
      <c r="O13" s="179"/>
      <c r="P13" s="179"/>
      <c r="Q13" s="179"/>
      <c r="R13" s="216"/>
      <c r="S13" s="216"/>
      <c r="T13" s="317">
        <v>1</v>
      </c>
      <c r="U13" s="216"/>
    </row>
    <row r="14" spans="1:21">
      <c r="A14" s="217" t="s">
        <v>101</v>
      </c>
      <c r="B14" s="217" t="s">
        <v>102</v>
      </c>
      <c r="C14" s="217" t="s">
        <v>103</v>
      </c>
      <c r="D14" s="217"/>
      <c r="E14" s="322"/>
      <c r="F14" s="39" t="s">
        <v>120</v>
      </c>
      <c r="G14" s="39" t="s">
        <v>120</v>
      </c>
      <c r="H14" s="179">
        <v>43834</v>
      </c>
      <c r="I14" s="216"/>
      <c r="J14" s="216"/>
      <c r="K14" s="179"/>
      <c r="L14" s="179"/>
      <c r="M14" s="179"/>
      <c r="N14" s="179"/>
      <c r="O14" s="179"/>
      <c r="P14" s="179"/>
      <c r="Q14" s="179"/>
      <c r="R14" s="216"/>
      <c r="S14" s="216"/>
      <c r="T14" s="317">
        <v>1</v>
      </c>
      <c r="U14" s="216"/>
    </row>
    <row r="15" spans="1:21">
      <c r="A15" s="217" t="s">
        <v>107</v>
      </c>
      <c r="B15" s="217" t="s">
        <v>108</v>
      </c>
      <c r="C15" s="217" t="s">
        <v>109</v>
      </c>
      <c r="D15" s="217"/>
      <c r="E15" s="322"/>
      <c r="F15" s="39" t="s">
        <v>120</v>
      </c>
      <c r="G15" s="39" t="s">
        <v>120</v>
      </c>
      <c r="H15" s="179">
        <v>43860</v>
      </c>
      <c r="I15" s="216"/>
      <c r="J15" s="133"/>
      <c r="K15" s="179"/>
      <c r="L15" s="179"/>
      <c r="M15" s="179"/>
      <c r="N15" s="179"/>
      <c r="O15" s="179"/>
      <c r="P15" s="179"/>
      <c r="Q15" s="179"/>
      <c r="R15" s="216"/>
      <c r="S15" s="216"/>
      <c r="T15" s="317">
        <v>1</v>
      </c>
      <c r="U15" s="216"/>
    </row>
    <row r="16" spans="1:21" ht="25.5">
      <c r="A16" s="217" t="s">
        <v>114</v>
      </c>
      <c r="B16" s="217" t="s">
        <v>115</v>
      </c>
      <c r="C16" s="217" t="s">
        <v>116</v>
      </c>
      <c r="D16" s="217"/>
      <c r="E16" s="322"/>
      <c r="F16" s="39" t="s">
        <v>120</v>
      </c>
      <c r="G16" s="39"/>
      <c r="H16" s="179">
        <v>43834</v>
      </c>
      <c r="I16" s="216"/>
      <c r="J16" s="216"/>
      <c r="K16" s="179"/>
      <c r="L16" s="179"/>
      <c r="M16" s="179"/>
      <c r="N16" s="179"/>
      <c r="O16" s="179"/>
      <c r="P16" s="179"/>
      <c r="Q16" s="179"/>
      <c r="R16" s="216"/>
      <c r="S16" s="216"/>
      <c r="T16" s="317">
        <v>1</v>
      </c>
      <c r="U16" s="216"/>
    </row>
    <row r="17" spans="1:21">
      <c r="A17" s="217"/>
      <c r="B17" s="217" t="s">
        <v>343</v>
      </c>
      <c r="C17" s="217" t="s">
        <v>119</v>
      </c>
      <c r="D17" s="217"/>
      <c r="E17" s="322"/>
      <c r="F17" s="39"/>
      <c r="G17" s="39"/>
      <c r="H17" s="179">
        <v>43834</v>
      </c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317">
        <v>1</v>
      </c>
      <c r="U17" s="216"/>
    </row>
    <row r="18" spans="1:21" ht="25.5">
      <c r="A18" s="217"/>
      <c r="B18" s="217" t="s">
        <v>129</v>
      </c>
      <c r="C18" s="217" t="s">
        <v>130</v>
      </c>
      <c r="D18" s="217"/>
      <c r="E18" s="322"/>
      <c r="F18" s="39" t="s">
        <v>120</v>
      </c>
      <c r="G18" s="39"/>
      <c r="H18" s="179">
        <v>43834</v>
      </c>
      <c r="I18" s="216"/>
      <c r="J18" s="216"/>
      <c r="K18" s="179"/>
      <c r="L18" s="179"/>
      <c r="M18" s="179"/>
      <c r="N18" s="179"/>
      <c r="O18" s="179"/>
      <c r="P18" s="179"/>
      <c r="Q18" s="179"/>
      <c r="R18" s="216"/>
      <c r="S18" s="216"/>
      <c r="T18" s="317">
        <v>1</v>
      </c>
      <c r="U18" s="216"/>
    </row>
    <row r="19" spans="1:21">
      <c r="A19" s="217"/>
      <c r="B19" s="217" t="s">
        <v>147</v>
      </c>
      <c r="C19" s="217" t="s">
        <v>149</v>
      </c>
      <c r="D19" s="217"/>
      <c r="E19" s="322"/>
      <c r="F19" s="39" t="s">
        <v>120</v>
      </c>
      <c r="G19" s="39"/>
      <c r="H19" s="179">
        <v>43834</v>
      </c>
      <c r="I19" s="216"/>
      <c r="J19" s="216"/>
      <c r="K19" s="179"/>
      <c r="L19" s="179"/>
      <c r="M19" s="179"/>
      <c r="N19" s="179"/>
      <c r="O19" s="179"/>
      <c r="P19" s="179"/>
      <c r="Q19" s="179"/>
      <c r="R19" s="216"/>
      <c r="S19" s="216"/>
      <c r="T19" s="317">
        <v>1</v>
      </c>
      <c r="U19" s="216"/>
    </row>
    <row r="20" spans="1:21">
      <c r="A20" s="217"/>
      <c r="B20" s="217" t="s">
        <v>156</v>
      </c>
      <c r="C20" s="217" t="s">
        <v>157</v>
      </c>
      <c r="D20" s="217"/>
      <c r="E20" s="322"/>
      <c r="F20" s="39" t="s">
        <v>120</v>
      </c>
      <c r="G20" s="39"/>
      <c r="H20" s="179">
        <v>43834</v>
      </c>
      <c r="I20" s="216"/>
      <c r="J20" s="216"/>
      <c r="K20" s="179"/>
      <c r="L20" s="179"/>
      <c r="M20" s="179"/>
      <c r="N20" s="179"/>
      <c r="O20" s="179"/>
      <c r="P20" s="179"/>
      <c r="Q20" s="179"/>
      <c r="R20" s="216"/>
      <c r="S20" s="216"/>
      <c r="T20" s="317">
        <v>1</v>
      </c>
      <c r="U20" s="216"/>
    </row>
    <row r="21" spans="1:21">
      <c r="A21" s="217"/>
      <c r="B21" s="217" t="s">
        <v>163</v>
      </c>
      <c r="C21" s="217" t="s">
        <v>164</v>
      </c>
      <c r="D21" s="217"/>
      <c r="E21" s="322"/>
      <c r="F21" s="39" t="s">
        <v>120</v>
      </c>
      <c r="G21" s="39"/>
      <c r="H21" s="179">
        <v>43834</v>
      </c>
      <c r="I21" s="216"/>
      <c r="J21" s="216"/>
      <c r="K21" s="179"/>
      <c r="L21" s="179"/>
      <c r="M21" s="179"/>
      <c r="N21" s="179"/>
      <c r="O21" s="179"/>
      <c r="P21" s="179"/>
      <c r="Q21" s="179"/>
      <c r="R21" s="216"/>
      <c r="S21" s="216"/>
      <c r="T21" s="317">
        <v>1</v>
      </c>
      <c r="U21" s="216"/>
    </row>
    <row r="22" spans="1:21">
      <c r="A22" s="217"/>
      <c r="B22" s="217" t="s">
        <v>168</v>
      </c>
      <c r="C22" s="217" t="s">
        <v>169</v>
      </c>
      <c r="D22" s="217"/>
      <c r="E22" s="322"/>
      <c r="F22" s="39" t="s">
        <v>120</v>
      </c>
      <c r="G22" s="39" t="s">
        <v>120</v>
      </c>
      <c r="H22" s="179">
        <v>43834</v>
      </c>
      <c r="I22" s="216"/>
      <c r="J22" s="216"/>
      <c r="K22" s="179"/>
      <c r="L22" s="179"/>
      <c r="M22" s="179"/>
      <c r="N22" s="179"/>
      <c r="O22" s="179"/>
      <c r="P22" s="179"/>
      <c r="Q22" s="179"/>
      <c r="R22" s="216"/>
      <c r="S22" s="216"/>
      <c r="T22" s="317">
        <v>1</v>
      </c>
      <c r="U22" s="216"/>
    </row>
    <row r="23" spans="1:21" s="229" customFormat="1">
      <c r="A23" s="231"/>
      <c r="B23" s="218" t="s">
        <v>649</v>
      </c>
      <c r="C23" s="231" t="s">
        <v>651</v>
      </c>
      <c r="D23" s="231"/>
      <c r="E23" s="322"/>
      <c r="F23" s="39"/>
      <c r="G23" s="39"/>
      <c r="H23" s="179">
        <v>43817</v>
      </c>
      <c r="I23" s="230"/>
      <c r="J23" s="230"/>
      <c r="K23" s="179"/>
      <c r="L23" s="179"/>
      <c r="M23" s="179"/>
      <c r="N23" s="179"/>
      <c r="O23" s="179"/>
      <c r="P23" s="179"/>
      <c r="Q23" s="179"/>
      <c r="R23" s="230"/>
      <c r="S23" s="230"/>
      <c r="T23" s="230">
        <v>1</v>
      </c>
      <c r="U23" s="230"/>
    </row>
    <row r="24" spans="1:21" s="295" customFormat="1">
      <c r="A24" s="297"/>
      <c r="B24" s="182" t="s">
        <v>686</v>
      </c>
      <c r="C24" s="297" t="s">
        <v>679</v>
      </c>
      <c r="D24" s="162">
        <v>43845</v>
      </c>
      <c r="E24" s="162"/>
      <c r="F24" s="39"/>
      <c r="G24" s="39"/>
      <c r="H24" s="179">
        <v>43845</v>
      </c>
      <c r="I24" s="179">
        <v>43874</v>
      </c>
      <c r="J24" s="179">
        <v>43879</v>
      </c>
      <c r="K24" s="179"/>
      <c r="L24" s="179"/>
      <c r="M24" s="179"/>
      <c r="N24" s="179"/>
      <c r="O24" s="179"/>
      <c r="P24" s="179"/>
      <c r="Q24" s="179"/>
      <c r="R24" s="296"/>
      <c r="S24" s="296"/>
      <c r="T24" s="296">
        <v>1</v>
      </c>
      <c r="U24" s="296"/>
    </row>
    <row r="25" spans="1:21" s="299" customFormat="1">
      <c r="A25" s="301"/>
      <c r="B25" s="182" t="s">
        <v>696</v>
      </c>
      <c r="C25" s="301" t="s">
        <v>699</v>
      </c>
      <c r="D25" s="162">
        <v>43851</v>
      </c>
      <c r="E25" s="162"/>
      <c r="F25" s="39"/>
      <c r="G25" s="39"/>
      <c r="H25" s="314"/>
      <c r="I25" s="314"/>
      <c r="J25" s="179">
        <v>43851</v>
      </c>
      <c r="K25" s="179"/>
      <c r="L25" s="179"/>
      <c r="M25" s="179"/>
      <c r="N25" s="179"/>
      <c r="O25" s="179"/>
      <c r="P25" s="179"/>
      <c r="Q25" s="179"/>
      <c r="R25" s="300"/>
      <c r="S25" s="300"/>
      <c r="T25" s="300">
        <v>1</v>
      </c>
      <c r="U25" s="300"/>
    </row>
    <row r="26" spans="1:21" s="299" customFormat="1">
      <c r="A26" s="301"/>
      <c r="B26" s="182" t="s">
        <v>697</v>
      </c>
      <c r="C26" s="301" t="s">
        <v>698</v>
      </c>
      <c r="D26" s="162">
        <v>43851</v>
      </c>
      <c r="E26" s="162"/>
      <c r="F26" s="39"/>
      <c r="G26" s="39"/>
      <c r="H26" s="314"/>
      <c r="I26" s="314"/>
      <c r="J26" s="179">
        <v>43851</v>
      </c>
      <c r="K26" s="179"/>
      <c r="L26" s="179"/>
      <c r="M26" s="179"/>
      <c r="N26" s="179"/>
      <c r="O26" s="179"/>
      <c r="P26" s="179"/>
      <c r="Q26" s="179"/>
      <c r="R26" s="300"/>
      <c r="S26" s="300"/>
      <c r="T26" s="300">
        <v>1</v>
      </c>
      <c r="U26" s="300"/>
    </row>
    <row r="27" spans="1:21" s="295" customFormat="1">
      <c r="A27" s="297"/>
      <c r="B27" s="182" t="s">
        <v>677</v>
      </c>
      <c r="C27" s="297"/>
      <c r="D27" s="162">
        <v>43845</v>
      </c>
      <c r="E27" s="162"/>
      <c r="F27" s="39" t="s">
        <v>120</v>
      </c>
      <c r="G27" s="39"/>
      <c r="H27" s="179">
        <v>43845</v>
      </c>
      <c r="I27" s="179">
        <v>43845</v>
      </c>
      <c r="J27" s="179">
        <v>43845</v>
      </c>
      <c r="K27" s="179"/>
      <c r="L27" s="179"/>
      <c r="M27" s="179"/>
      <c r="N27" s="179"/>
      <c r="O27" s="179"/>
      <c r="P27" s="179"/>
      <c r="Q27" s="179"/>
      <c r="R27" s="296"/>
      <c r="S27" s="296"/>
      <c r="T27" s="317">
        <v>1</v>
      </c>
      <c r="U27" s="296"/>
    </row>
    <row r="28" spans="1:21" s="295" customFormat="1">
      <c r="A28" s="297"/>
      <c r="B28" s="182" t="s">
        <v>673</v>
      </c>
      <c r="C28" s="297"/>
      <c r="D28" s="162">
        <v>43845</v>
      </c>
      <c r="E28" s="162"/>
      <c r="F28" s="39" t="s">
        <v>120</v>
      </c>
      <c r="G28" s="39"/>
      <c r="H28" s="179">
        <v>43845</v>
      </c>
      <c r="I28" s="179">
        <v>43845</v>
      </c>
      <c r="J28" s="179">
        <v>43845</v>
      </c>
      <c r="K28" s="179"/>
      <c r="L28" s="179"/>
      <c r="M28" s="179"/>
      <c r="N28" s="179"/>
      <c r="O28" s="179"/>
      <c r="P28" s="179"/>
      <c r="Q28" s="179"/>
      <c r="R28" s="296"/>
      <c r="S28" s="296"/>
      <c r="T28" s="317">
        <v>1</v>
      </c>
      <c r="U28" s="296"/>
    </row>
    <row r="29" spans="1:21" ht="24">
      <c r="A29" s="182" t="s">
        <v>630</v>
      </c>
      <c r="B29" s="182" t="s">
        <v>629</v>
      </c>
      <c r="C29" s="217"/>
      <c r="D29" s="217"/>
      <c r="E29" s="322"/>
      <c r="F29" s="39"/>
      <c r="G29" s="39"/>
      <c r="H29" s="179">
        <v>43839</v>
      </c>
      <c r="I29" s="179">
        <v>43875</v>
      </c>
      <c r="J29" s="216"/>
      <c r="K29" s="179"/>
      <c r="L29" s="179"/>
      <c r="M29" s="179"/>
      <c r="N29" s="179"/>
      <c r="O29" s="179"/>
      <c r="P29" s="179"/>
      <c r="Q29" s="179"/>
      <c r="R29" s="179"/>
      <c r="S29" s="216"/>
      <c r="T29" s="216">
        <v>1</v>
      </c>
      <c r="U29" s="216"/>
    </row>
    <row r="30" spans="1:21">
      <c r="A30" s="217"/>
      <c r="B30" s="217" t="s">
        <v>174</v>
      </c>
      <c r="C30" s="217" t="s">
        <v>175</v>
      </c>
      <c r="D30" s="217"/>
      <c r="E30" s="322"/>
      <c r="F30" s="39" t="s">
        <v>120</v>
      </c>
      <c r="G30" s="39"/>
      <c r="H30" s="179">
        <v>43834</v>
      </c>
      <c r="I30" s="179"/>
      <c r="J30" s="216"/>
      <c r="K30" s="179"/>
      <c r="L30" s="179"/>
      <c r="M30" s="179"/>
      <c r="N30" s="179"/>
      <c r="O30" s="179"/>
      <c r="P30" s="179"/>
      <c r="Q30" s="179"/>
      <c r="R30" s="179"/>
      <c r="S30" s="179"/>
      <c r="T30" s="317">
        <v>1</v>
      </c>
      <c r="U30" s="216"/>
    </row>
    <row r="31" spans="1:21" s="224" customFormat="1">
      <c r="A31" s="226"/>
      <c r="B31" s="182" t="s">
        <v>639</v>
      </c>
      <c r="C31" s="226" t="s">
        <v>645</v>
      </c>
      <c r="D31" s="226"/>
      <c r="E31" s="322"/>
      <c r="F31" s="39" t="s">
        <v>120</v>
      </c>
      <c r="G31" s="39"/>
      <c r="H31" s="179">
        <v>43782</v>
      </c>
      <c r="I31" s="179"/>
      <c r="J31" s="225"/>
      <c r="K31" s="179"/>
      <c r="L31" s="179"/>
      <c r="M31" s="179"/>
      <c r="N31" s="179"/>
      <c r="O31" s="179"/>
      <c r="P31" s="179"/>
      <c r="Q31" s="179"/>
      <c r="R31" s="179"/>
      <c r="S31" s="179"/>
      <c r="T31" s="317">
        <v>1</v>
      </c>
      <c r="U31" s="225"/>
    </row>
    <row r="32" spans="1:21" s="295" customFormat="1">
      <c r="A32" s="297"/>
      <c r="B32" s="182" t="s">
        <v>667</v>
      </c>
      <c r="C32" s="297" t="s">
        <v>668</v>
      </c>
      <c r="D32" s="297"/>
      <c r="E32" s="322"/>
      <c r="F32" s="39"/>
      <c r="G32" s="39"/>
      <c r="H32" s="179">
        <v>43837</v>
      </c>
      <c r="I32" s="179"/>
      <c r="J32" s="296"/>
      <c r="K32" s="179"/>
      <c r="L32" s="179"/>
      <c r="M32" s="179"/>
      <c r="N32" s="179"/>
      <c r="O32" s="179"/>
      <c r="P32" s="179"/>
      <c r="Q32" s="179"/>
      <c r="R32" s="179"/>
      <c r="S32" s="179"/>
      <c r="T32" s="296">
        <v>1</v>
      </c>
      <c r="U32" s="296"/>
    </row>
    <row r="33" spans="1:21" s="299" customFormat="1" ht="25.5">
      <c r="A33" s="301"/>
      <c r="B33" s="182" t="s">
        <v>706</v>
      </c>
      <c r="C33" s="301" t="s">
        <v>707</v>
      </c>
      <c r="D33" s="162">
        <v>43848</v>
      </c>
      <c r="E33" s="162"/>
      <c r="F33" s="39"/>
      <c r="G33" s="39"/>
      <c r="H33" s="304"/>
      <c r="I33" s="179">
        <v>43848</v>
      </c>
      <c r="J33" s="179">
        <v>43848</v>
      </c>
      <c r="K33" s="179">
        <v>43848</v>
      </c>
      <c r="L33" s="179"/>
      <c r="M33" s="179"/>
      <c r="N33" s="179"/>
      <c r="O33" s="179"/>
      <c r="P33" s="179"/>
      <c r="Q33" s="179"/>
      <c r="R33" s="179"/>
      <c r="S33" s="179"/>
      <c r="T33" s="300">
        <v>1</v>
      </c>
      <c r="U33" s="300"/>
    </row>
    <row r="34" spans="1:21">
      <c r="A34" s="217"/>
      <c r="B34" s="217" t="s">
        <v>180</v>
      </c>
      <c r="C34" s="217" t="s">
        <v>181</v>
      </c>
      <c r="D34" s="217"/>
      <c r="E34" s="322"/>
      <c r="F34" s="39" t="s">
        <v>120</v>
      </c>
      <c r="G34" s="39" t="s">
        <v>120</v>
      </c>
      <c r="H34" s="179">
        <v>43834</v>
      </c>
      <c r="I34" s="179"/>
      <c r="J34" s="216"/>
      <c r="K34" s="179"/>
      <c r="L34" s="179"/>
      <c r="M34" s="179"/>
      <c r="N34" s="179"/>
      <c r="O34" s="179"/>
      <c r="P34" s="179"/>
      <c r="Q34" s="179"/>
      <c r="R34" s="216"/>
      <c r="S34" s="216"/>
      <c r="T34" s="317">
        <v>1</v>
      </c>
      <c r="U34" s="216"/>
    </row>
    <row r="35" spans="1:21">
      <c r="A35" s="217"/>
      <c r="B35" s="217" t="s">
        <v>364</v>
      </c>
      <c r="C35" s="217" t="s">
        <v>185</v>
      </c>
      <c r="D35" s="217"/>
      <c r="E35" s="322"/>
      <c r="F35" s="39" t="s">
        <v>120</v>
      </c>
      <c r="G35" s="39" t="s">
        <v>120</v>
      </c>
      <c r="H35" s="179">
        <v>43834</v>
      </c>
      <c r="I35" s="216"/>
      <c r="J35" s="216"/>
      <c r="K35" s="179"/>
      <c r="L35" s="179"/>
      <c r="M35" s="179"/>
      <c r="N35" s="179"/>
      <c r="O35" s="179"/>
      <c r="P35" s="179"/>
      <c r="Q35" s="179"/>
      <c r="R35" s="216"/>
      <c r="S35" s="216"/>
      <c r="T35" s="317">
        <v>1</v>
      </c>
      <c r="U35" s="216"/>
    </row>
    <row r="36" spans="1:21" ht="25.5">
      <c r="A36" s="217"/>
      <c r="B36" s="217" t="s">
        <v>197</v>
      </c>
      <c r="C36" s="217" t="s">
        <v>687</v>
      </c>
      <c r="D36" s="217"/>
      <c r="E36" s="322"/>
      <c r="F36" s="39" t="s">
        <v>120</v>
      </c>
      <c r="G36" s="39"/>
      <c r="H36" s="179">
        <v>43834</v>
      </c>
      <c r="I36" s="179"/>
      <c r="J36" s="216"/>
      <c r="K36" s="179"/>
      <c r="L36" s="179"/>
      <c r="M36" s="179"/>
      <c r="N36" s="179"/>
      <c r="O36" s="179"/>
      <c r="P36" s="179"/>
      <c r="Q36" s="179"/>
      <c r="R36" s="179"/>
      <c r="S36" s="179"/>
      <c r="T36" s="317">
        <v>1</v>
      </c>
      <c r="U36" s="216"/>
    </row>
    <row r="37" spans="1:21" s="308" customFormat="1" ht="15" customHeight="1">
      <c r="A37" s="306"/>
      <c r="B37" s="307" t="s">
        <v>520</v>
      </c>
      <c r="C37" s="306" t="s">
        <v>688</v>
      </c>
      <c r="D37" s="306"/>
      <c r="E37" s="306"/>
      <c r="F37" s="39" t="s">
        <v>120</v>
      </c>
      <c r="G37" s="39"/>
      <c r="H37" s="179">
        <v>43834</v>
      </c>
      <c r="I37" s="296"/>
      <c r="J37" s="296"/>
      <c r="K37" s="133"/>
      <c r="L37" s="179"/>
      <c r="M37" s="179"/>
      <c r="N37" s="179"/>
      <c r="O37" s="179"/>
      <c r="P37" s="179"/>
      <c r="Q37" s="179"/>
      <c r="R37" s="296"/>
      <c r="S37" s="296"/>
      <c r="T37" s="317">
        <v>1</v>
      </c>
      <c r="U37" s="296"/>
    </row>
    <row r="38" spans="1:21">
      <c r="A38" s="217"/>
      <c r="B38" s="140" t="s">
        <v>519</v>
      </c>
      <c r="C38" s="217" t="s">
        <v>243</v>
      </c>
      <c r="D38" s="217"/>
      <c r="E38" s="322"/>
      <c r="F38" s="39" t="s">
        <v>120</v>
      </c>
      <c r="G38" s="39"/>
      <c r="H38" s="179">
        <v>43834</v>
      </c>
      <c r="I38" s="216"/>
      <c r="J38" s="216"/>
      <c r="K38" s="133"/>
      <c r="L38" s="179"/>
      <c r="M38" s="179"/>
      <c r="N38" s="179"/>
      <c r="O38" s="179"/>
      <c r="P38" s="179"/>
      <c r="Q38" s="179"/>
      <c r="R38" s="216"/>
      <c r="S38" s="216"/>
      <c r="T38" s="317">
        <v>1</v>
      </c>
      <c r="U38" s="216"/>
    </row>
    <row r="39" spans="1:21">
      <c r="A39" s="217"/>
      <c r="B39" s="217" t="s">
        <v>246</v>
      </c>
      <c r="C39" s="217" t="s">
        <v>247</v>
      </c>
      <c r="D39" s="217"/>
      <c r="E39" s="322"/>
      <c r="F39" s="39" t="s">
        <v>120</v>
      </c>
      <c r="G39" s="39" t="s">
        <v>120</v>
      </c>
      <c r="H39" s="179">
        <v>43834</v>
      </c>
      <c r="I39" s="216"/>
      <c r="J39" s="76"/>
      <c r="K39" s="216"/>
      <c r="L39" s="216"/>
      <c r="M39" s="216"/>
      <c r="N39" s="216"/>
      <c r="O39" s="216"/>
      <c r="P39" s="216"/>
      <c r="Q39" s="216"/>
      <c r="R39" s="216"/>
      <c r="S39" s="216"/>
      <c r="T39" s="317">
        <v>1</v>
      </c>
      <c r="U39" s="216"/>
    </row>
    <row r="40" spans="1:21">
      <c r="A40" s="182" t="s">
        <v>630</v>
      </c>
      <c r="B40" s="217" t="s">
        <v>250</v>
      </c>
      <c r="C40" s="217" t="s">
        <v>251</v>
      </c>
      <c r="D40" s="217"/>
      <c r="E40" s="322"/>
      <c r="F40" s="39"/>
      <c r="G40" s="39" t="s">
        <v>120</v>
      </c>
      <c r="H40" s="179">
        <v>43838</v>
      </c>
      <c r="I40" s="179">
        <v>43866</v>
      </c>
      <c r="J40" s="216"/>
      <c r="K40" s="179"/>
      <c r="L40" s="179"/>
      <c r="M40" s="179"/>
      <c r="N40" s="179"/>
      <c r="O40" s="179"/>
      <c r="P40" s="179"/>
      <c r="Q40" s="179"/>
      <c r="R40" s="216"/>
      <c r="S40" s="216"/>
      <c r="T40" s="216">
        <v>1</v>
      </c>
      <c r="U40" s="216"/>
    </row>
    <row r="41" spans="1:21" ht="25.5">
      <c r="A41" s="217"/>
      <c r="B41" s="140" t="s">
        <v>538</v>
      </c>
      <c r="C41" s="217" t="s">
        <v>262</v>
      </c>
      <c r="D41" s="217"/>
      <c r="E41" s="322"/>
      <c r="F41" s="39" t="s">
        <v>120</v>
      </c>
      <c r="G41" s="39"/>
      <c r="H41" s="179">
        <v>43834</v>
      </c>
      <c r="I41" s="179"/>
      <c r="J41" s="216"/>
      <c r="K41" s="179"/>
      <c r="L41" s="179"/>
      <c r="M41" s="179"/>
      <c r="N41" s="179"/>
      <c r="O41" s="179"/>
      <c r="P41" s="179"/>
      <c r="Q41" s="179"/>
      <c r="R41" s="216"/>
      <c r="S41" s="216"/>
      <c r="T41" s="317">
        <v>1</v>
      </c>
      <c r="U41" s="216"/>
    </row>
    <row r="42" spans="1:21" ht="25.5">
      <c r="A42" s="182" t="s">
        <v>671</v>
      </c>
      <c r="B42" s="140" t="s">
        <v>669</v>
      </c>
      <c r="C42" s="217" t="s">
        <v>279</v>
      </c>
      <c r="D42" s="217"/>
      <c r="E42" s="322"/>
      <c r="F42" s="39" t="s">
        <v>120</v>
      </c>
      <c r="G42" s="305" t="s">
        <v>670</v>
      </c>
      <c r="H42" s="179">
        <v>43841</v>
      </c>
      <c r="I42" s="179">
        <v>43869</v>
      </c>
      <c r="J42" s="216"/>
      <c r="K42" s="179"/>
      <c r="L42" s="179"/>
      <c r="M42" s="179"/>
      <c r="N42" s="179"/>
      <c r="O42" s="179"/>
      <c r="P42" s="179"/>
      <c r="Q42" s="179"/>
      <c r="R42" s="216"/>
      <c r="S42" s="216"/>
      <c r="T42" s="296">
        <v>1</v>
      </c>
      <c r="U42" s="216"/>
    </row>
    <row r="43" spans="1:21">
      <c r="A43" s="217"/>
      <c r="B43" s="217" t="s">
        <v>286</v>
      </c>
      <c r="C43" s="56" t="s">
        <v>287</v>
      </c>
      <c r="D43" s="56"/>
      <c r="E43" s="56"/>
      <c r="F43" s="39" t="s">
        <v>120</v>
      </c>
      <c r="G43" s="39"/>
      <c r="H43" s="302"/>
      <c r="I43" s="302"/>
      <c r="J43" s="302"/>
      <c r="K43" s="303"/>
      <c r="L43" s="303"/>
      <c r="M43" s="303"/>
      <c r="N43" s="303"/>
      <c r="O43" s="303"/>
      <c r="P43" s="303"/>
      <c r="Q43" s="303"/>
      <c r="R43" s="302"/>
      <c r="S43" s="302"/>
      <c r="T43" s="342"/>
      <c r="U43" s="342"/>
    </row>
    <row r="44" spans="1:21">
      <c r="A44" s="217"/>
      <c r="B44" s="217" t="s">
        <v>294</v>
      </c>
      <c r="C44" s="56" t="s">
        <v>295</v>
      </c>
      <c r="D44" s="56"/>
      <c r="E44" s="56"/>
      <c r="F44" s="39" t="s">
        <v>120</v>
      </c>
      <c r="G44" s="39"/>
      <c r="H44" s="302"/>
      <c r="I44" s="302"/>
      <c r="J44" s="302"/>
      <c r="K44" s="303"/>
      <c r="L44" s="303"/>
      <c r="M44" s="303"/>
      <c r="N44" s="303"/>
      <c r="O44" s="303"/>
      <c r="P44" s="303"/>
      <c r="Q44" s="303"/>
      <c r="R44" s="302"/>
      <c r="S44" s="302"/>
      <c r="T44" s="343"/>
      <c r="U44" s="343"/>
    </row>
    <row r="45" spans="1:21">
      <c r="A45" s="217"/>
      <c r="B45" s="217" t="s">
        <v>556</v>
      </c>
      <c r="C45" s="217" t="s">
        <v>297</v>
      </c>
      <c r="D45" s="217"/>
      <c r="E45" s="322"/>
      <c r="F45" s="39" t="s">
        <v>120</v>
      </c>
      <c r="G45" s="39"/>
      <c r="H45" s="179">
        <v>43834</v>
      </c>
      <c r="I45" s="216"/>
      <c r="J45" s="216"/>
      <c r="K45" s="179"/>
      <c r="L45" s="179"/>
      <c r="M45" s="179"/>
      <c r="N45" s="179"/>
      <c r="O45" s="179"/>
      <c r="P45" s="179"/>
      <c r="Q45" s="179"/>
      <c r="R45" s="216"/>
      <c r="S45" s="216"/>
      <c r="T45" s="317">
        <v>1</v>
      </c>
      <c r="U45" s="216"/>
    </row>
    <row r="46" spans="1:21" ht="25.5">
      <c r="A46" s="217"/>
      <c r="B46" s="217" t="s">
        <v>304</v>
      </c>
      <c r="C46" s="217" t="s">
        <v>305</v>
      </c>
      <c r="D46" s="217"/>
      <c r="E46" s="322"/>
      <c r="F46" s="39" t="s">
        <v>120</v>
      </c>
      <c r="G46" s="39"/>
      <c r="H46" s="179">
        <v>43834</v>
      </c>
      <c r="I46" s="216"/>
      <c r="J46" s="216"/>
      <c r="K46" s="179"/>
      <c r="L46" s="179"/>
      <c r="M46" s="179"/>
      <c r="N46" s="179"/>
      <c r="O46" s="179"/>
      <c r="P46" s="179"/>
      <c r="Q46" s="179"/>
      <c r="R46" s="216"/>
      <c r="S46" s="216"/>
      <c r="T46" s="317">
        <v>1</v>
      </c>
      <c r="U46" s="216"/>
    </row>
    <row r="47" spans="1:21">
      <c r="A47" s="217"/>
      <c r="B47" s="140" t="s">
        <v>534</v>
      </c>
      <c r="C47" s="217" t="s">
        <v>328</v>
      </c>
      <c r="D47" s="217"/>
      <c r="E47" s="322"/>
      <c r="F47" s="39" t="s">
        <v>120</v>
      </c>
      <c r="G47" s="39"/>
      <c r="H47" s="179">
        <v>43834</v>
      </c>
      <c r="I47" s="216"/>
      <c r="J47" s="216"/>
      <c r="K47" s="179"/>
      <c r="L47" s="179"/>
      <c r="M47" s="179"/>
      <c r="N47" s="179"/>
      <c r="O47" s="179"/>
      <c r="P47" s="179"/>
      <c r="Q47" s="179"/>
      <c r="R47" s="216"/>
      <c r="S47" s="216"/>
      <c r="T47" s="317">
        <v>1</v>
      </c>
      <c r="U47" s="216"/>
    </row>
    <row r="48" spans="1:21">
      <c r="A48" s="217"/>
      <c r="B48" s="140" t="s">
        <v>532</v>
      </c>
      <c r="C48" s="217" t="s">
        <v>334</v>
      </c>
      <c r="D48" s="217"/>
      <c r="E48" s="322"/>
      <c r="F48" s="39" t="s">
        <v>120</v>
      </c>
      <c r="G48" s="39"/>
      <c r="H48" s="179">
        <v>43834</v>
      </c>
      <c r="I48" s="216"/>
      <c r="J48" s="216"/>
      <c r="K48" s="179"/>
      <c r="L48" s="179"/>
      <c r="M48" s="179"/>
      <c r="N48" s="179"/>
      <c r="O48" s="179"/>
      <c r="P48" s="179"/>
      <c r="Q48" s="179"/>
      <c r="R48" s="216"/>
      <c r="S48" s="216"/>
      <c r="T48" s="317">
        <v>1</v>
      </c>
      <c r="U48" s="216"/>
    </row>
    <row r="49" spans="1:31">
      <c r="A49" s="182" t="s">
        <v>630</v>
      </c>
      <c r="B49" s="217" t="s">
        <v>338</v>
      </c>
      <c r="C49" s="217" t="s">
        <v>339</v>
      </c>
      <c r="D49" s="217"/>
      <c r="E49" s="322"/>
      <c r="F49" s="39"/>
      <c r="G49" s="39" t="s">
        <v>120</v>
      </c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</row>
    <row r="50" spans="1:31" ht="25.5">
      <c r="A50" s="182" t="s">
        <v>630</v>
      </c>
      <c r="B50" s="140" t="s">
        <v>535</v>
      </c>
      <c r="C50" s="217" t="s">
        <v>347</v>
      </c>
      <c r="D50" s="217"/>
      <c r="E50" s="322"/>
      <c r="F50" s="39"/>
      <c r="G50" s="39" t="s">
        <v>120</v>
      </c>
      <c r="H50" s="179">
        <v>43844</v>
      </c>
      <c r="I50" s="216"/>
      <c r="J50" s="216"/>
      <c r="K50" s="179"/>
      <c r="L50" s="179"/>
      <c r="M50" s="179"/>
      <c r="N50" s="179"/>
      <c r="O50" s="179"/>
      <c r="P50" s="179"/>
      <c r="Q50" s="179"/>
      <c r="R50" s="179"/>
      <c r="S50" s="179"/>
      <c r="T50" s="296">
        <v>1</v>
      </c>
      <c r="U50" s="179"/>
    </row>
    <row r="51" spans="1:31">
      <c r="A51" s="217"/>
      <c r="B51" s="84" t="s">
        <v>221</v>
      </c>
      <c r="C51" s="84" t="s">
        <v>352</v>
      </c>
      <c r="D51" s="84"/>
      <c r="E51" s="84"/>
      <c r="F51" s="39"/>
      <c r="G51" s="39" t="s">
        <v>120</v>
      </c>
      <c r="H51" s="179">
        <v>43834</v>
      </c>
      <c r="I51" s="216"/>
      <c r="J51" s="216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84"/>
      <c r="W51" s="84"/>
      <c r="X51" s="84"/>
      <c r="Y51" s="84"/>
      <c r="Z51" s="84"/>
      <c r="AA51" s="84"/>
      <c r="AB51" s="84"/>
      <c r="AC51" s="84"/>
      <c r="AD51" s="84"/>
      <c r="AE51" s="84"/>
    </row>
    <row r="52" spans="1:31" ht="27.75" customHeight="1">
      <c r="A52" s="217"/>
      <c r="B52" s="84" t="s">
        <v>355</v>
      </c>
      <c r="C52" s="84" t="s">
        <v>356</v>
      </c>
      <c r="D52" s="84"/>
      <c r="E52" s="84"/>
      <c r="F52" s="39"/>
      <c r="G52" s="39" t="s">
        <v>120</v>
      </c>
      <c r="H52" s="179">
        <v>43834</v>
      </c>
      <c r="I52" s="216"/>
      <c r="J52" s="216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216"/>
      <c r="V52" s="84"/>
      <c r="W52" s="84"/>
      <c r="X52" s="84"/>
      <c r="Y52" s="84"/>
      <c r="Z52" s="84"/>
      <c r="AA52" s="84"/>
      <c r="AB52" s="84"/>
      <c r="AC52" s="84"/>
      <c r="AD52" s="84"/>
      <c r="AE52" s="84"/>
    </row>
    <row r="53" spans="1:31">
      <c r="A53" s="217"/>
      <c r="B53" s="176" t="s">
        <v>536</v>
      </c>
      <c r="C53" s="84" t="s">
        <v>537</v>
      </c>
      <c r="D53" s="84"/>
      <c r="E53" s="84"/>
      <c r="F53" s="39"/>
      <c r="G53" s="39" t="s">
        <v>120</v>
      </c>
      <c r="H53" s="179">
        <v>43834</v>
      </c>
      <c r="I53" s="216"/>
      <c r="J53" s="216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216"/>
      <c r="V53" s="84"/>
      <c r="W53" s="84"/>
      <c r="X53" s="84"/>
      <c r="Y53" s="84"/>
      <c r="Z53" s="84"/>
      <c r="AA53" s="84"/>
      <c r="AB53" s="84"/>
      <c r="AC53" s="84"/>
      <c r="AD53" s="84"/>
      <c r="AE53" s="84"/>
    </row>
    <row r="54" spans="1:31">
      <c r="A54" s="217"/>
      <c r="B54" s="182" t="s">
        <v>552</v>
      </c>
      <c r="C54" s="84"/>
      <c r="D54" s="84"/>
      <c r="E54" s="84"/>
      <c r="F54" s="39" t="s">
        <v>120</v>
      </c>
      <c r="G54" s="39"/>
      <c r="H54" s="179">
        <v>43834</v>
      </c>
      <c r="I54" s="216"/>
      <c r="J54" s="216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216"/>
      <c r="V54" s="84"/>
      <c r="W54" s="84"/>
      <c r="X54" s="84"/>
      <c r="Y54" s="84"/>
      <c r="Z54" s="84"/>
      <c r="AA54" s="84"/>
      <c r="AB54" s="84"/>
      <c r="AC54" s="84"/>
      <c r="AD54" s="84"/>
      <c r="AE54" s="84"/>
    </row>
    <row r="55" spans="1:31">
      <c r="A55" s="217"/>
      <c r="B55" s="182" t="s">
        <v>553</v>
      </c>
      <c r="C55" s="84"/>
      <c r="D55" s="84"/>
      <c r="E55" s="84"/>
      <c r="F55" s="39" t="s">
        <v>120</v>
      </c>
      <c r="G55" s="39"/>
      <c r="H55" s="179">
        <v>43834</v>
      </c>
      <c r="I55" s="216"/>
      <c r="J55" s="216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216"/>
      <c r="V55" s="84"/>
      <c r="W55" s="84"/>
      <c r="X55" s="84"/>
      <c r="Y55" s="84"/>
      <c r="Z55" s="84"/>
      <c r="AA55" s="84"/>
      <c r="AB55" s="84"/>
      <c r="AC55" s="84"/>
      <c r="AD55" s="84"/>
      <c r="AE55" s="84"/>
    </row>
    <row r="56" spans="1:31">
      <c r="A56" s="217"/>
      <c r="B56" s="182" t="s">
        <v>539</v>
      </c>
      <c r="C56" s="84"/>
      <c r="D56" s="84"/>
      <c r="E56" s="84"/>
      <c r="F56" s="39" t="s">
        <v>120</v>
      </c>
      <c r="G56" s="39"/>
      <c r="H56" s="179">
        <v>43834</v>
      </c>
      <c r="I56" s="216"/>
      <c r="J56" s="216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216"/>
      <c r="V56" s="84"/>
      <c r="W56" s="84"/>
      <c r="X56" s="84"/>
      <c r="Y56" s="84"/>
      <c r="Z56" s="84"/>
      <c r="AA56" s="84"/>
      <c r="AB56" s="84"/>
      <c r="AC56" s="84"/>
      <c r="AD56" s="84"/>
      <c r="AE56" s="84"/>
    </row>
    <row r="57" spans="1:31">
      <c r="A57" s="217"/>
      <c r="B57" s="182" t="s">
        <v>547</v>
      </c>
      <c r="C57" s="84"/>
      <c r="D57" s="84"/>
      <c r="E57" s="84"/>
      <c r="F57" s="39" t="s">
        <v>120</v>
      </c>
      <c r="G57" s="39"/>
      <c r="H57" s="179">
        <v>43834</v>
      </c>
      <c r="I57" s="216"/>
      <c r="J57" s="216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216"/>
      <c r="V57" s="84"/>
      <c r="W57" s="84"/>
      <c r="X57" s="84"/>
      <c r="Y57" s="84"/>
      <c r="Z57" s="84"/>
      <c r="AA57" s="84"/>
      <c r="AB57" s="84"/>
      <c r="AC57" s="84"/>
      <c r="AD57" s="84"/>
      <c r="AE57" s="84"/>
    </row>
    <row r="58" spans="1:31">
      <c r="A58" s="217"/>
      <c r="B58" s="182" t="s">
        <v>550</v>
      </c>
      <c r="C58" s="84"/>
      <c r="D58" s="84"/>
      <c r="E58" s="84"/>
      <c r="F58" s="39" t="s">
        <v>120</v>
      </c>
      <c r="G58" s="39"/>
      <c r="H58" s="179">
        <v>43834</v>
      </c>
      <c r="I58" s="216"/>
      <c r="J58" s="216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216"/>
      <c r="V58" s="84"/>
      <c r="W58" s="84"/>
      <c r="X58" s="84"/>
      <c r="Y58" s="84"/>
      <c r="Z58" s="84"/>
      <c r="AA58" s="84"/>
      <c r="AB58" s="84"/>
      <c r="AC58" s="84"/>
      <c r="AD58" s="84"/>
      <c r="AE58" s="84"/>
    </row>
    <row r="59" spans="1:31">
      <c r="A59" s="217"/>
      <c r="B59" s="182" t="s">
        <v>563</v>
      </c>
      <c r="C59" s="85"/>
      <c r="D59" s="85"/>
      <c r="E59" s="85"/>
      <c r="F59" s="39" t="s">
        <v>120</v>
      </c>
      <c r="G59" s="39"/>
      <c r="H59" s="179">
        <v>43834</v>
      </c>
      <c r="I59" s="76"/>
      <c r="J59" s="76"/>
      <c r="K59" s="76"/>
      <c r="L59" s="76"/>
      <c r="M59" s="76"/>
      <c r="N59" s="76"/>
      <c r="O59" s="76"/>
      <c r="P59" s="179"/>
      <c r="Q59" s="179"/>
      <c r="R59" s="179"/>
      <c r="S59" s="76"/>
      <c r="T59" s="76"/>
      <c r="U59" s="216"/>
    </row>
    <row r="60" spans="1:31">
      <c r="A60" s="217"/>
      <c r="B60" s="182" t="s">
        <v>569</v>
      </c>
      <c r="C60" s="217"/>
      <c r="D60" s="217"/>
      <c r="E60" s="322"/>
      <c r="F60" s="39" t="s">
        <v>120</v>
      </c>
      <c r="G60" s="39"/>
      <c r="H60" s="179">
        <v>43834</v>
      </c>
      <c r="I60" s="76"/>
      <c r="J60" s="76"/>
      <c r="K60" s="76"/>
      <c r="L60" s="76"/>
      <c r="M60" s="76"/>
      <c r="N60" s="76"/>
      <c r="O60" s="76"/>
      <c r="P60" s="179"/>
      <c r="Q60" s="179"/>
      <c r="R60" s="179"/>
      <c r="S60" s="76"/>
      <c r="T60" s="76"/>
      <c r="U60" s="216"/>
    </row>
    <row r="61" spans="1:31">
      <c r="A61" s="217"/>
      <c r="B61" s="182" t="s">
        <v>592</v>
      </c>
      <c r="C61" s="217"/>
      <c r="D61" s="217"/>
      <c r="E61" s="322"/>
      <c r="F61" s="39" t="s">
        <v>120</v>
      </c>
      <c r="G61" s="39"/>
      <c r="H61" s="179">
        <v>43834</v>
      </c>
      <c r="I61" s="76"/>
      <c r="J61" s="76"/>
      <c r="K61" s="76"/>
      <c r="L61" s="76"/>
      <c r="M61" s="76"/>
      <c r="N61" s="76"/>
      <c r="O61" s="76"/>
      <c r="P61" s="179"/>
      <c r="Q61" s="179"/>
      <c r="R61" s="179"/>
      <c r="S61" s="76"/>
      <c r="T61" s="76"/>
      <c r="U61" s="216"/>
    </row>
    <row r="62" spans="1:31">
      <c r="A62" s="217"/>
      <c r="B62" s="182" t="s">
        <v>604</v>
      </c>
      <c r="C62" s="217"/>
      <c r="D62" s="217"/>
      <c r="E62" s="322"/>
      <c r="F62" s="39" t="s">
        <v>120</v>
      </c>
      <c r="G62" s="39"/>
      <c r="H62" s="179">
        <v>43844</v>
      </c>
      <c r="I62" s="76">
        <v>43879</v>
      </c>
      <c r="J62" s="76"/>
      <c r="K62" s="76"/>
      <c r="L62" s="76"/>
      <c r="M62" s="76"/>
      <c r="N62" s="76"/>
      <c r="O62" s="76"/>
      <c r="P62" s="179"/>
      <c r="Q62" s="179"/>
      <c r="R62" s="179"/>
      <c r="S62" s="76"/>
      <c r="T62" s="296">
        <v>1</v>
      </c>
      <c r="U62" s="216"/>
    </row>
    <row r="63" spans="1:31">
      <c r="A63" s="217"/>
      <c r="B63" s="182" t="s">
        <v>610</v>
      </c>
      <c r="C63" s="217"/>
      <c r="D63" s="217"/>
      <c r="E63" s="322"/>
      <c r="F63" s="39" t="s">
        <v>120</v>
      </c>
      <c r="G63" s="39"/>
      <c r="H63" s="179">
        <v>43844</v>
      </c>
      <c r="I63" s="76">
        <v>43879</v>
      </c>
      <c r="J63" s="76"/>
      <c r="K63" s="76"/>
      <c r="L63" s="76"/>
      <c r="M63" s="76"/>
      <c r="N63" s="76"/>
      <c r="O63" s="76"/>
      <c r="P63" s="179"/>
      <c r="Q63" s="179"/>
      <c r="R63" s="179"/>
      <c r="S63" s="76"/>
      <c r="T63" s="296">
        <v>1</v>
      </c>
      <c r="U63" s="216"/>
    </row>
    <row r="64" spans="1:31">
      <c r="A64" s="217"/>
      <c r="B64" s="182" t="s">
        <v>708</v>
      </c>
      <c r="C64" s="217" t="s">
        <v>713</v>
      </c>
      <c r="D64" s="217"/>
      <c r="E64" s="322"/>
      <c r="F64" s="39" t="s">
        <v>120</v>
      </c>
      <c r="G64" s="39"/>
      <c r="H64" s="76"/>
      <c r="I64" s="76"/>
      <c r="J64" s="76"/>
      <c r="K64" s="76"/>
      <c r="L64" s="76"/>
      <c r="M64" s="76"/>
      <c r="N64" s="76"/>
      <c r="O64" s="76"/>
      <c r="P64" s="179"/>
      <c r="Q64" s="179"/>
      <c r="R64" s="179"/>
      <c r="S64" s="76"/>
      <c r="T64" s="76"/>
      <c r="U64" s="216"/>
    </row>
    <row r="65" spans="1:31">
      <c r="A65" s="217"/>
      <c r="B65" s="182" t="s">
        <v>576</v>
      </c>
      <c r="C65" s="217"/>
      <c r="D65" s="217"/>
      <c r="E65" s="322"/>
      <c r="F65" s="39" t="s">
        <v>120</v>
      </c>
      <c r="G65" s="39"/>
      <c r="H65" s="76"/>
      <c r="I65" s="76"/>
      <c r="J65" s="76"/>
      <c r="K65" s="76"/>
      <c r="L65" s="76"/>
      <c r="M65" s="76"/>
      <c r="N65" s="76"/>
      <c r="O65" s="76"/>
      <c r="P65" s="179"/>
      <c r="Q65" s="179"/>
      <c r="R65" s="179"/>
      <c r="S65" s="76"/>
      <c r="T65" s="76"/>
      <c r="U65" s="216"/>
    </row>
    <row r="66" spans="1:31">
      <c r="A66" s="61"/>
      <c r="B66" s="62" t="s">
        <v>363</v>
      </c>
      <c r="C66" s="63"/>
      <c r="D66" s="63"/>
      <c r="E66" s="63"/>
      <c r="F66" s="63"/>
      <c r="G66" s="63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</row>
    <row r="67" spans="1:31">
      <c r="A67" s="32"/>
      <c r="B67" s="168" t="s">
        <v>531</v>
      </c>
      <c r="C67" s="32" t="s">
        <v>528</v>
      </c>
      <c r="D67" s="32"/>
      <c r="E67" s="32"/>
      <c r="F67" s="32"/>
      <c r="G67" s="32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</row>
    <row r="68" spans="1:31" ht="15.75" thickBot="1">
      <c r="A68" s="32"/>
      <c r="B68" s="32" t="s">
        <v>377</v>
      </c>
      <c r="C68" s="32" t="s">
        <v>379</v>
      </c>
      <c r="D68" s="32"/>
      <c r="E68" s="32"/>
      <c r="F68" s="32"/>
      <c r="G68" s="32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</row>
    <row r="69" spans="1:31" s="159" customFormat="1" ht="15.75" thickBot="1">
      <c r="A69" s="153"/>
      <c r="B69" s="153" t="s">
        <v>386</v>
      </c>
      <c r="C69" s="153" t="s">
        <v>387</v>
      </c>
      <c r="D69" s="153"/>
      <c r="E69" s="153"/>
      <c r="F69" s="154" t="s">
        <v>120</v>
      </c>
      <c r="G69" s="154" t="s">
        <v>120</v>
      </c>
      <c r="H69" s="155"/>
      <c r="I69" s="156"/>
      <c r="J69" s="157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</row>
    <row r="70" spans="1:31" hidden="1">
      <c r="A70" s="67"/>
      <c r="B70" s="63" t="s">
        <v>391</v>
      </c>
      <c r="C70" s="63" t="s">
        <v>392</v>
      </c>
      <c r="D70" s="63"/>
      <c r="E70" s="63"/>
      <c r="F70" s="39"/>
      <c r="G70" s="3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</row>
    <row r="71" spans="1:31">
      <c r="A71" s="69"/>
      <c r="B71" s="70" t="s">
        <v>399</v>
      </c>
      <c r="C71" s="217" t="s">
        <v>400</v>
      </c>
      <c r="D71" s="217"/>
      <c r="E71" s="322"/>
      <c r="F71" s="87"/>
      <c r="G71" s="87" t="s">
        <v>120</v>
      </c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</row>
    <row r="72" spans="1:31" ht="25.5">
      <c r="A72" s="217"/>
      <c r="B72" s="166" t="s">
        <v>526</v>
      </c>
      <c r="C72" s="71" t="s">
        <v>407</v>
      </c>
      <c r="D72" s="71"/>
      <c r="E72" s="71"/>
      <c r="F72" s="39" t="s">
        <v>120</v>
      </c>
      <c r="G72" s="39" t="s">
        <v>120</v>
      </c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</row>
    <row r="73" spans="1:31">
      <c r="A73" s="217"/>
      <c r="B73" s="217" t="s">
        <v>415</v>
      </c>
      <c r="C73" s="217" t="s">
        <v>416</v>
      </c>
      <c r="D73" s="217"/>
      <c r="E73" s="322"/>
      <c r="F73" s="39" t="s">
        <v>120</v>
      </c>
      <c r="G73" s="39" t="s">
        <v>120</v>
      </c>
      <c r="H73" s="179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>
        <v>1</v>
      </c>
      <c r="U73" s="216"/>
    </row>
    <row r="74" spans="1:31" hidden="1">
      <c r="A74" s="217"/>
      <c r="B74" s="217" t="s">
        <v>422</v>
      </c>
      <c r="C74" s="217" t="s">
        <v>423</v>
      </c>
      <c r="D74" s="217"/>
      <c r="E74" s="322"/>
      <c r="F74" s="39" t="s">
        <v>120</v>
      </c>
      <c r="G74" s="39"/>
      <c r="H74" s="216" t="s">
        <v>223</v>
      </c>
      <c r="I74" s="216" t="s">
        <v>223</v>
      </c>
      <c r="J74" s="216" t="s">
        <v>492</v>
      </c>
      <c r="K74" s="216"/>
      <c r="L74" s="216"/>
      <c r="M74" s="216"/>
      <c r="N74" s="216"/>
      <c r="O74" s="216"/>
      <c r="P74" s="216"/>
      <c r="Q74" s="216"/>
      <c r="R74" s="216"/>
      <c r="S74" s="216"/>
      <c r="T74" s="216">
        <v>1</v>
      </c>
      <c r="U74" s="216"/>
    </row>
    <row r="75" spans="1:31" hidden="1">
      <c r="A75" s="217"/>
      <c r="B75" s="217" t="s">
        <v>428</v>
      </c>
      <c r="C75" s="217" t="s">
        <v>429</v>
      </c>
      <c r="D75" s="217"/>
      <c r="E75" s="322"/>
      <c r="F75" s="39"/>
      <c r="G75" s="39"/>
      <c r="H75" s="216" t="s">
        <v>492</v>
      </c>
      <c r="I75" s="216"/>
      <c r="J75" s="216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</row>
    <row r="76" spans="1:31" hidden="1">
      <c r="A76" s="217"/>
      <c r="B76" s="140" t="s">
        <v>527</v>
      </c>
      <c r="C76" s="217" t="s">
        <v>436</v>
      </c>
      <c r="D76" s="217"/>
      <c r="E76" s="322"/>
      <c r="F76" s="39" t="s">
        <v>120</v>
      </c>
      <c r="G76" s="39"/>
      <c r="H76" s="216" t="s">
        <v>223</v>
      </c>
      <c r="I76" s="216" t="s">
        <v>492</v>
      </c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>
        <v>1</v>
      </c>
      <c r="U76" s="216"/>
    </row>
    <row r="77" spans="1:31" hidden="1">
      <c r="A77" s="110"/>
      <c r="B77" s="167" t="s">
        <v>530</v>
      </c>
      <c r="C77" s="89" t="s">
        <v>441</v>
      </c>
      <c r="D77" s="89"/>
      <c r="E77" s="89"/>
      <c r="F77" s="90" t="s">
        <v>120</v>
      </c>
      <c r="G77" s="91"/>
      <c r="H77" s="97" t="s">
        <v>492</v>
      </c>
      <c r="I77" s="95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>
        <v>1</v>
      </c>
      <c r="U77" s="97"/>
      <c r="V77" s="96"/>
      <c r="W77" s="96"/>
      <c r="X77" s="96"/>
      <c r="Y77" s="96"/>
      <c r="Z77" s="96"/>
      <c r="AA77" s="96"/>
      <c r="AB77" s="96"/>
      <c r="AC77" s="96"/>
      <c r="AD77" s="96"/>
      <c r="AE77" s="96"/>
    </row>
    <row r="78" spans="1:31" hidden="1">
      <c r="A78" s="217"/>
      <c r="B78" s="140" t="s">
        <v>529</v>
      </c>
      <c r="C78" s="217" t="s">
        <v>461</v>
      </c>
      <c r="D78" s="217"/>
      <c r="E78" s="322"/>
      <c r="F78" s="39" t="s">
        <v>120</v>
      </c>
      <c r="G78" s="39"/>
      <c r="H78" s="179"/>
      <c r="I78" s="97" t="s">
        <v>354</v>
      </c>
      <c r="J78" s="216" t="s">
        <v>492</v>
      </c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</row>
    <row r="79" spans="1:31" hidden="1">
      <c r="A79" s="110"/>
      <c r="B79" s="110" t="s">
        <v>466</v>
      </c>
      <c r="C79" s="98" t="s">
        <v>467</v>
      </c>
      <c r="D79" s="98"/>
      <c r="E79" s="98"/>
      <c r="F79" s="99" t="s">
        <v>120</v>
      </c>
      <c r="G79" s="100"/>
      <c r="H79" s="97" t="s">
        <v>223</v>
      </c>
      <c r="I79" s="97" t="s">
        <v>223</v>
      </c>
      <c r="J79" s="97" t="s">
        <v>492</v>
      </c>
      <c r="K79" s="97"/>
      <c r="L79" s="97"/>
      <c r="M79" s="97"/>
      <c r="N79" s="97"/>
      <c r="O79" s="97"/>
      <c r="P79" s="97"/>
      <c r="Q79" s="97"/>
      <c r="R79" s="97"/>
      <c r="S79" s="97"/>
      <c r="T79" s="97">
        <v>1</v>
      </c>
      <c r="U79" s="97"/>
      <c r="V79" s="96"/>
      <c r="W79" s="96"/>
      <c r="X79" s="96"/>
      <c r="Y79" s="96"/>
      <c r="Z79" s="96"/>
      <c r="AA79" s="96"/>
      <c r="AB79" s="96"/>
      <c r="AC79" s="96"/>
      <c r="AD79" s="96"/>
      <c r="AE79" s="96"/>
    </row>
    <row r="80" spans="1:31" ht="26.25" thickBot="1">
      <c r="A80" s="217"/>
      <c r="B80" s="217" t="s">
        <v>472</v>
      </c>
      <c r="C80" s="217" t="s">
        <v>473</v>
      </c>
      <c r="D80" s="217"/>
      <c r="E80" s="322"/>
      <c r="F80" s="39"/>
      <c r="G80" s="39" t="s">
        <v>120</v>
      </c>
      <c r="H80" s="216"/>
      <c r="I80" s="216"/>
      <c r="J80" s="216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</row>
    <row r="81" spans="1:31" ht="15.75" hidden="1" thickBot="1">
      <c r="A81" s="110"/>
      <c r="B81" s="110" t="s">
        <v>480</v>
      </c>
      <c r="C81" s="89" t="s">
        <v>481</v>
      </c>
      <c r="D81" s="89"/>
      <c r="E81" s="89"/>
      <c r="F81" s="90"/>
      <c r="G81" s="91"/>
      <c r="H81" s="102" t="s">
        <v>259</v>
      </c>
      <c r="I81" s="93" t="s">
        <v>259</v>
      </c>
      <c r="J81" s="97" t="s">
        <v>492</v>
      </c>
      <c r="K81" s="97"/>
      <c r="L81" s="97"/>
      <c r="M81" s="97"/>
      <c r="N81" s="97"/>
      <c r="O81" s="97"/>
      <c r="P81" s="97"/>
      <c r="Q81" s="97"/>
      <c r="R81" s="97"/>
      <c r="S81" s="97"/>
      <c r="T81" s="97">
        <v>1</v>
      </c>
      <c r="U81" s="97"/>
      <c r="V81" s="96"/>
      <c r="W81" s="96"/>
      <c r="X81" s="96"/>
      <c r="Y81" s="96"/>
      <c r="Z81" s="96"/>
      <c r="AA81" s="96"/>
      <c r="AB81" s="96"/>
      <c r="AC81" s="96"/>
      <c r="AD81" s="96"/>
      <c r="AE81" s="96"/>
    </row>
    <row r="82" spans="1:31" s="159" customFormat="1" ht="15.75" thickBot="1">
      <c r="A82" s="153"/>
      <c r="B82" s="153" t="s">
        <v>311</v>
      </c>
      <c r="C82" s="153" t="s">
        <v>313</v>
      </c>
      <c r="D82" s="153"/>
      <c r="E82" s="153"/>
      <c r="F82" s="154"/>
      <c r="G82" s="154" t="s">
        <v>120</v>
      </c>
      <c r="H82" s="155"/>
      <c r="I82" s="156"/>
      <c r="J82" s="157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</row>
  </sheetData>
  <autoFilter ref="G1:G81" xr:uid="{1C2E3046-ABF4-9E4E-8068-DD7C8DAA9CDF}">
    <filterColumn colId="0">
      <filters>
        <filter val="〇"/>
      </filters>
    </filterColumn>
  </autoFilter>
  <mergeCells count="4">
    <mergeCell ref="F1:G1"/>
    <mergeCell ref="T43:T44"/>
    <mergeCell ref="U43:U44"/>
    <mergeCell ref="D1:E1"/>
  </mergeCells>
  <phoneticPr fontId="10"/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87"/>
  <sheetViews>
    <sheetView topLeftCell="A16" workbookViewId="0">
      <selection activeCell="A11" sqref="A11"/>
    </sheetView>
  </sheetViews>
  <sheetFormatPr defaultColWidth="14.42578125" defaultRowHeight="15" customHeight="1"/>
  <cols>
    <col min="1" max="2" width="35.85546875" customWidth="1"/>
  </cols>
  <sheetData>
    <row r="1" spans="1:2">
      <c r="A1" s="8" t="s">
        <v>9</v>
      </c>
      <c r="B1" s="115" t="s">
        <v>502</v>
      </c>
    </row>
    <row r="2" spans="1:2">
      <c r="A2" s="3"/>
      <c r="B2" s="116"/>
    </row>
    <row r="3" spans="1:2">
      <c r="A3" s="12"/>
      <c r="B3" s="116"/>
    </row>
    <row r="4" spans="1:2" ht="35.25" customHeight="1">
      <c r="A4" s="16" t="s">
        <v>25</v>
      </c>
      <c r="B4" s="117">
        <v>1</v>
      </c>
    </row>
    <row r="5" spans="1:2" ht="15.75" customHeight="1">
      <c r="A5" s="16" t="s">
        <v>45</v>
      </c>
      <c r="B5" s="117">
        <v>1</v>
      </c>
    </row>
    <row r="6" spans="1:2" ht="15.75" customHeight="1">
      <c r="A6" s="16" t="s">
        <v>52</v>
      </c>
      <c r="B6" s="117">
        <v>1</v>
      </c>
    </row>
    <row r="7" spans="1:2">
      <c r="A7" s="16" t="s">
        <v>61</v>
      </c>
      <c r="B7" s="117">
        <v>1</v>
      </c>
    </row>
    <row r="8" spans="1:2">
      <c r="A8" s="16" t="s">
        <v>69</v>
      </c>
      <c r="B8" s="117">
        <v>1</v>
      </c>
    </row>
    <row r="9" spans="1:2">
      <c r="A9" s="16" t="s">
        <v>78</v>
      </c>
      <c r="B9" s="117">
        <v>1</v>
      </c>
    </row>
    <row r="10" spans="1:2">
      <c r="A10" s="16" t="s">
        <v>86</v>
      </c>
      <c r="B10" s="117">
        <v>1</v>
      </c>
    </row>
    <row r="11" spans="1:2" ht="15.75" customHeight="1">
      <c r="A11" s="16" t="s">
        <v>94</v>
      </c>
      <c r="B11" s="117">
        <v>1</v>
      </c>
    </row>
    <row r="12" spans="1:2" ht="15.75" customHeight="1">
      <c r="A12" s="16" t="s">
        <v>102</v>
      </c>
      <c r="B12" s="117">
        <v>1</v>
      </c>
    </row>
    <row r="13" spans="1:2" ht="15.75" customHeight="1">
      <c r="A13" s="16" t="s">
        <v>108</v>
      </c>
      <c r="B13" s="117">
        <v>1</v>
      </c>
    </row>
    <row r="14" spans="1:2" ht="15.75" customHeight="1">
      <c r="A14" s="16" t="s">
        <v>115</v>
      </c>
      <c r="B14" s="117">
        <v>1</v>
      </c>
    </row>
    <row r="15" spans="1:2" ht="15.75" customHeight="1">
      <c r="A15" s="118" t="s">
        <v>343</v>
      </c>
      <c r="B15" s="117">
        <v>1</v>
      </c>
    </row>
    <row r="16" spans="1:2">
      <c r="A16" s="16" t="s">
        <v>129</v>
      </c>
      <c r="B16" s="117">
        <v>1</v>
      </c>
    </row>
    <row r="17" spans="1:2">
      <c r="A17" s="119" t="s">
        <v>137</v>
      </c>
      <c r="B17" s="117">
        <v>1</v>
      </c>
    </row>
    <row r="18" spans="1:2" ht="15.75" customHeight="1">
      <c r="A18" s="119" t="s">
        <v>480</v>
      </c>
      <c r="B18" s="117">
        <v>1</v>
      </c>
    </row>
    <row r="19" spans="1:2">
      <c r="A19" s="16" t="s">
        <v>147</v>
      </c>
      <c r="B19" s="117">
        <v>1</v>
      </c>
    </row>
    <row r="20" spans="1:2" ht="15.75" customHeight="1">
      <c r="A20" s="16" t="s">
        <v>422</v>
      </c>
      <c r="B20" s="117">
        <v>1</v>
      </c>
    </row>
    <row r="21" spans="1:2" ht="15.75" customHeight="1">
      <c r="A21" s="16" t="s">
        <v>156</v>
      </c>
      <c r="B21" s="117">
        <v>1</v>
      </c>
    </row>
    <row r="22" spans="1:2" ht="15.75" customHeight="1">
      <c r="A22" s="119" t="s">
        <v>415</v>
      </c>
      <c r="B22" s="120"/>
    </row>
    <row r="23" spans="1:2" ht="15.75" customHeight="1">
      <c r="A23" s="16" t="s">
        <v>163</v>
      </c>
      <c r="B23" s="117">
        <v>1</v>
      </c>
    </row>
    <row r="24" spans="1:2" ht="15.75" customHeight="1">
      <c r="A24" s="121" t="s">
        <v>168</v>
      </c>
      <c r="B24" s="117" t="s">
        <v>503</v>
      </c>
    </row>
    <row r="25" spans="1:2" ht="15.75" customHeight="1">
      <c r="A25" s="16" t="s">
        <v>435</v>
      </c>
      <c r="B25" s="117">
        <v>1</v>
      </c>
    </row>
    <row r="26" spans="1:2" ht="15.75" customHeight="1">
      <c r="A26" s="16" t="s">
        <v>174</v>
      </c>
      <c r="B26" s="117">
        <v>1</v>
      </c>
    </row>
    <row r="27" spans="1:2" ht="15.75" customHeight="1">
      <c r="A27" s="16" t="s">
        <v>180</v>
      </c>
      <c r="B27" s="117">
        <v>1</v>
      </c>
    </row>
    <row r="28" spans="1:2" ht="15.75" customHeight="1">
      <c r="A28" s="16" t="s">
        <v>364</v>
      </c>
      <c r="B28" s="117">
        <v>1</v>
      </c>
    </row>
    <row r="29" spans="1:2" ht="15.75" customHeight="1">
      <c r="A29" s="16" t="s">
        <v>191</v>
      </c>
      <c r="B29" s="117">
        <v>1</v>
      </c>
    </row>
    <row r="30" spans="1:2" ht="15.75" customHeight="1">
      <c r="A30" s="121" t="s">
        <v>197</v>
      </c>
      <c r="B30" s="117">
        <v>1</v>
      </c>
    </row>
    <row r="31" spans="1:2" ht="15.75" customHeight="1">
      <c r="A31" s="119" t="s">
        <v>460</v>
      </c>
      <c r="B31" s="118" t="s">
        <v>504</v>
      </c>
    </row>
    <row r="32" spans="1:2" ht="15.75" customHeight="1">
      <c r="A32" s="16" t="s">
        <v>202</v>
      </c>
      <c r="B32" s="117">
        <v>1</v>
      </c>
    </row>
    <row r="33" spans="1:2" ht="15.75" customHeight="1">
      <c r="A33" s="16" t="s">
        <v>207</v>
      </c>
      <c r="B33" s="117">
        <v>1</v>
      </c>
    </row>
    <row r="34" spans="1:2" ht="15.75" customHeight="1">
      <c r="A34" s="16" t="s">
        <v>440</v>
      </c>
      <c r="B34" s="117">
        <v>1</v>
      </c>
    </row>
    <row r="35" spans="1:2" ht="15.75" customHeight="1">
      <c r="A35" s="16" t="s">
        <v>213</v>
      </c>
      <c r="B35" s="117">
        <v>1</v>
      </c>
    </row>
    <row r="36" spans="1:2" ht="15.75" customHeight="1">
      <c r="A36" s="16" t="s">
        <v>242</v>
      </c>
      <c r="B36" s="117">
        <v>1</v>
      </c>
    </row>
    <row r="37" spans="1:2" ht="15.75" customHeight="1">
      <c r="A37" s="16" t="s">
        <v>466</v>
      </c>
      <c r="B37" s="117">
        <v>1</v>
      </c>
    </row>
    <row r="38" spans="1:2" ht="15.75" customHeight="1">
      <c r="A38" s="16" t="s">
        <v>246</v>
      </c>
      <c r="B38" s="117">
        <v>1</v>
      </c>
    </row>
    <row r="39" spans="1:2" ht="15.75" customHeight="1">
      <c r="A39" s="16" t="s">
        <v>250</v>
      </c>
      <c r="B39" s="117">
        <v>1</v>
      </c>
    </row>
    <row r="40" spans="1:2" ht="15.75" customHeight="1">
      <c r="A40" s="16" t="s">
        <v>261</v>
      </c>
      <c r="B40" s="117">
        <v>1</v>
      </c>
    </row>
    <row r="41" spans="1:2" ht="15.75" customHeight="1">
      <c r="A41" s="15" t="s">
        <v>273</v>
      </c>
      <c r="B41" s="117"/>
    </row>
    <row r="42" spans="1:2" ht="15.75" customHeight="1">
      <c r="A42" s="16" t="s">
        <v>278</v>
      </c>
      <c r="B42" s="117">
        <v>1</v>
      </c>
    </row>
    <row r="43" spans="1:2" ht="15.75" customHeight="1">
      <c r="A43" s="16" t="s">
        <v>286</v>
      </c>
      <c r="B43" s="117">
        <v>1</v>
      </c>
    </row>
    <row r="44" spans="1:2" ht="15.75" customHeight="1">
      <c r="A44" s="16" t="s">
        <v>294</v>
      </c>
      <c r="B44" s="117">
        <v>1</v>
      </c>
    </row>
    <row r="45" spans="1:2" ht="15.75" customHeight="1">
      <c r="A45" s="16" t="s">
        <v>296</v>
      </c>
      <c r="B45" s="117">
        <v>1</v>
      </c>
    </row>
    <row r="46" spans="1:2" ht="15.75" customHeight="1">
      <c r="A46" s="16" t="s">
        <v>304</v>
      </c>
      <c r="B46" s="117">
        <v>1</v>
      </c>
    </row>
    <row r="47" spans="1:2" ht="15.75" customHeight="1">
      <c r="A47" s="16" t="s">
        <v>311</v>
      </c>
      <c r="B47" s="117">
        <v>1</v>
      </c>
    </row>
    <row r="48" spans="1:2" ht="15.75" customHeight="1">
      <c r="A48" s="16" t="s">
        <v>327</v>
      </c>
      <c r="B48" s="117">
        <v>1</v>
      </c>
    </row>
    <row r="49" spans="1:2" ht="15.75" customHeight="1">
      <c r="A49" s="16" t="s">
        <v>333</v>
      </c>
      <c r="B49" s="117">
        <v>1</v>
      </c>
    </row>
    <row r="50" spans="1:2" ht="15.75" customHeight="1">
      <c r="A50" s="15" t="s">
        <v>338</v>
      </c>
      <c r="B50" s="117">
        <v>1</v>
      </c>
    </row>
    <row r="51" spans="1:2" ht="15.75" customHeight="1">
      <c r="A51" s="119" t="s">
        <v>346</v>
      </c>
      <c r="B51" s="120"/>
    </row>
    <row r="52" spans="1:2" ht="15.75" customHeight="1">
      <c r="A52" s="85"/>
      <c r="B52" s="122"/>
    </row>
    <row r="53" spans="1:2" ht="15.75" customHeight="1">
      <c r="A53" s="16"/>
      <c r="B53" s="122"/>
    </row>
    <row r="54" spans="1:2" ht="15.75" customHeight="1">
      <c r="A54" s="43"/>
      <c r="B54" s="123"/>
    </row>
    <row r="55" spans="1:2" ht="15.75" customHeight="1">
      <c r="A55" s="124" t="s">
        <v>505</v>
      </c>
      <c r="B55" s="123">
        <f>COUNTIF(B1:B53, 1)</f>
        <v>44</v>
      </c>
    </row>
    <row r="56" spans="1:2" ht="15.75" customHeight="1">
      <c r="A56" s="124" t="s">
        <v>506</v>
      </c>
      <c r="B56" s="125">
        <f>COUNTIF(B4:B51,"")</f>
        <v>3</v>
      </c>
    </row>
    <row r="57" spans="1:2" ht="15.75" customHeight="1">
      <c r="A57" s="43"/>
      <c r="B57" s="123"/>
    </row>
    <row r="58" spans="1:2" ht="15.75" customHeight="1">
      <c r="A58" s="43"/>
      <c r="B58" s="123"/>
    </row>
    <row r="59" spans="1:2" ht="15.75" customHeight="1">
      <c r="A59" s="43"/>
      <c r="B59" s="123"/>
    </row>
    <row r="60" spans="1:2" ht="15.75" customHeight="1">
      <c r="A60" s="43"/>
      <c r="B60" s="123"/>
    </row>
    <row r="61" spans="1:2" ht="15.75" customHeight="1">
      <c r="A61" s="43"/>
      <c r="B61" s="123"/>
    </row>
    <row r="62" spans="1:2" ht="15.75" customHeight="1">
      <c r="A62" s="43"/>
      <c r="B62" s="123"/>
    </row>
    <row r="63" spans="1:2" ht="15.75" customHeight="1">
      <c r="A63" s="43"/>
      <c r="B63" s="123"/>
    </row>
    <row r="64" spans="1:2" ht="15.75" customHeight="1">
      <c r="A64" s="43"/>
      <c r="B64" s="123"/>
    </row>
    <row r="65" spans="1:2" ht="15.75" customHeight="1">
      <c r="A65" s="43"/>
      <c r="B65" s="123"/>
    </row>
    <row r="66" spans="1:2" ht="15.75" customHeight="1">
      <c r="A66" s="43"/>
      <c r="B66" s="123"/>
    </row>
    <row r="67" spans="1:2" ht="15.75" customHeight="1">
      <c r="A67" s="43"/>
      <c r="B67" s="123"/>
    </row>
    <row r="68" spans="1:2" ht="15.75" customHeight="1">
      <c r="A68" s="43"/>
      <c r="B68" s="123"/>
    </row>
    <row r="69" spans="1:2" ht="15.75" customHeight="1">
      <c r="A69" s="43"/>
      <c r="B69" s="123"/>
    </row>
    <row r="70" spans="1:2" ht="15.75" customHeight="1">
      <c r="A70" s="43"/>
      <c r="B70" s="123"/>
    </row>
    <row r="71" spans="1:2" ht="15.75" customHeight="1">
      <c r="A71" s="43"/>
      <c r="B71" s="123"/>
    </row>
    <row r="72" spans="1:2" ht="15.75" customHeight="1">
      <c r="A72" s="43"/>
      <c r="B72" s="123"/>
    </row>
    <row r="73" spans="1:2" ht="15.75" customHeight="1">
      <c r="A73" s="43"/>
      <c r="B73" s="123"/>
    </row>
    <row r="74" spans="1:2" ht="15.75" customHeight="1">
      <c r="A74" s="43"/>
      <c r="B74" s="123"/>
    </row>
    <row r="75" spans="1:2" ht="15.75" customHeight="1">
      <c r="A75" s="43"/>
      <c r="B75" s="123"/>
    </row>
    <row r="76" spans="1:2" ht="15.75" customHeight="1">
      <c r="A76" s="43"/>
      <c r="B76" s="123"/>
    </row>
    <row r="77" spans="1:2" ht="15.75" customHeight="1">
      <c r="A77" s="43"/>
      <c r="B77" s="123"/>
    </row>
    <row r="78" spans="1:2" ht="15.75" customHeight="1">
      <c r="A78" s="43"/>
      <c r="B78" s="123"/>
    </row>
    <row r="79" spans="1:2" ht="15.75" customHeight="1">
      <c r="A79" s="43"/>
      <c r="B79" s="123"/>
    </row>
    <row r="80" spans="1:2" ht="15.75" customHeight="1">
      <c r="A80" s="43"/>
      <c r="B80" s="123"/>
    </row>
    <row r="81" spans="1:2" ht="15.75" customHeight="1">
      <c r="A81" s="43"/>
      <c r="B81" s="123"/>
    </row>
    <row r="82" spans="1:2" ht="15.75" customHeight="1">
      <c r="A82" s="43"/>
      <c r="B82" s="123"/>
    </row>
    <row r="83" spans="1:2" ht="15.75" customHeight="1">
      <c r="A83" s="43"/>
      <c r="B83" s="123"/>
    </row>
    <row r="84" spans="1:2" ht="15.75" customHeight="1">
      <c r="A84" s="43"/>
      <c r="B84" s="123"/>
    </row>
    <row r="85" spans="1:2" ht="15.75" customHeight="1">
      <c r="A85" s="43"/>
      <c r="B85" s="123"/>
    </row>
    <row r="86" spans="1:2" ht="15.75" customHeight="1">
      <c r="A86" s="43"/>
      <c r="B86" s="123"/>
    </row>
    <row r="87" spans="1:2" ht="15.75" customHeight="1">
      <c r="A87" s="43"/>
      <c r="B87" s="123"/>
    </row>
    <row r="88" spans="1:2" ht="15.75" customHeight="1">
      <c r="A88" s="43"/>
      <c r="B88" s="123"/>
    </row>
    <row r="89" spans="1:2" ht="15.75" customHeight="1">
      <c r="A89" s="43"/>
      <c r="B89" s="123"/>
    </row>
    <row r="90" spans="1:2" ht="15.75" customHeight="1">
      <c r="A90" s="43"/>
      <c r="B90" s="123"/>
    </row>
    <row r="91" spans="1:2" ht="15.75" customHeight="1">
      <c r="A91" s="43"/>
      <c r="B91" s="123"/>
    </row>
    <row r="92" spans="1:2" ht="15.75" customHeight="1">
      <c r="A92" s="43"/>
      <c r="B92" s="123"/>
    </row>
    <row r="93" spans="1:2" ht="15.75" customHeight="1">
      <c r="A93" s="43"/>
      <c r="B93" s="123"/>
    </row>
    <row r="94" spans="1:2" ht="15.75" customHeight="1">
      <c r="A94" s="43"/>
      <c r="B94" s="123"/>
    </row>
    <row r="95" spans="1:2" ht="15.75" customHeight="1">
      <c r="A95" s="43"/>
      <c r="B95" s="123"/>
    </row>
    <row r="96" spans="1:2" ht="15.75" customHeight="1">
      <c r="A96" s="43"/>
      <c r="B96" s="123"/>
    </row>
    <row r="97" spans="1:2" ht="15.75" customHeight="1">
      <c r="A97" s="43"/>
      <c r="B97" s="123"/>
    </row>
    <row r="98" spans="1:2" ht="15.75" customHeight="1">
      <c r="A98" s="43"/>
      <c r="B98" s="123"/>
    </row>
    <row r="99" spans="1:2" ht="15.75" customHeight="1">
      <c r="A99" s="43"/>
      <c r="B99" s="123"/>
    </row>
    <row r="100" spans="1:2" ht="15.75" customHeight="1">
      <c r="A100" s="43"/>
      <c r="B100" s="123"/>
    </row>
    <row r="101" spans="1:2" ht="15.75" customHeight="1">
      <c r="A101" s="43"/>
      <c r="B101" s="123"/>
    </row>
    <row r="102" spans="1:2" ht="15.75" customHeight="1">
      <c r="A102" s="43"/>
      <c r="B102" s="123"/>
    </row>
    <row r="103" spans="1:2" ht="15.75" customHeight="1">
      <c r="A103" s="43"/>
      <c r="B103" s="123"/>
    </row>
    <row r="104" spans="1:2" ht="15.75" customHeight="1">
      <c r="A104" s="43"/>
      <c r="B104" s="123"/>
    </row>
    <row r="105" spans="1:2" ht="15.75" customHeight="1">
      <c r="A105" s="43"/>
      <c r="B105" s="123"/>
    </row>
    <row r="106" spans="1:2" ht="15.75" customHeight="1">
      <c r="A106" s="43"/>
      <c r="B106" s="123"/>
    </row>
    <row r="107" spans="1:2" ht="15.75" customHeight="1">
      <c r="A107" s="43"/>
      <c r="B107" s="123"/>
    </row>
    <row r="108" spans="1:2" ht="15.75" customHeight="1">
      <c r="A108" s="43"/>
      <c r="B108" s="123"/>
    </row>
    <row r="109" spans="1:2" ht="15.75" customHeight="1">
      <c r="A109" s="43"/>
      <c r="B109" s="123"/>
    </row>
    <row r="110" spans="1:2" ht="15.75" customHeight="1">
      <c r="A110" s="43"/>
      <c r="B110" s="123"/>
    </row>
    <row r="111" spans="1:2" ht="15.75" customHeight="1">
      <c r="A111" s="43"/>
      <c r="B111" s="123"/>
    </row>
    <row r="112" spans="1:2" ht="15.75" customHeight="1">
      <c r="A112" s="43"/>
      <c r="B112" s="123"/>
    </row>
    <row r="113" spans="1:2" ht="15.75" customHeight="1">
      <c r="A113" s="43"/>
      <c r="B113" s="123"/>
    </row>
    <row r="114" spans="1:2" ht="15.75" customHeight="1">
      <c r="A114" s="43"/>
      <c r="B114" s="123"/>
    </row>
    <row r="115" spans="1:2" ht="15.75" customHeight="1">
      <c r="A115" s="43"/>
      <c r="B115" s="123"/>
    </row>
    <row r="116" spans="1:2" ht="15.75" customHeight="1">
      <c r="A116" s="43"/>
      <c r="B116" s="123"/>
    </row>
    <row r="117" spans="1:2" ht="15.75" customHeight="1">
      <c r="A117" s="43"/>
      <c r="B117" s="123"/>
    </row>
    <row r="118" spans="1:2" ht="15.75" customHeight="1">
      <c r="A118" s="43"/>
      <c r="B118" s="123"/>
    </row>
    <row r="119" spans="1:2" ht="15.75" customHeight="1">
      <c r="A119" s="43"/>
      <c r="B119" s="123"/>
    </row>
    <row r="120" spans="1:2" ht="15.75" customHeight="1">
      <c r="A120" s="43"/>
      <c r="B120" s="123"/>
    </row>
    <row r="121" spans="1:2" ht="15.75" customHeight="1">
      <c r="A121" s="43"/>
      <c r="B121" s="123"/>
    </row>
    <row r="122" spans="1:2" ht="15.75" customHeight="1">
      <c r="A122" s="43"/>
      <c r="B122" s="123"/>
    </row>
    <row r="123" spans="1:2" ht="15.75" customHeight="1">
      <c r="A123" s="43"/>
      <c r="B123" s="123"/>
    </row>
    <row r="124" spans="1:2" ht="15.75" customHeight="1">
      <c r="A124" s="43"/>
      <c r="B124" s="123"/>
    </row>
    <row r="125" spans="1:2" ht="15.75" customHeight="1">
      <c r="A125" s="43"/>
      <c r="B125" s="123"/>
    </row>
    <row r="126" spans="1:2" ht="15.75" customHeight="1">
      <c r="A126" s="43"/>
      <c r="B126" s="123"/>
    </row>
    <row r="127" spans="1:2" ht="15.75" customHeight="1">
      <c r="A127" s="43"/>
      <c r="B127" s="123"/>
    </row>
    <row r="128" spans="1:2" ht="15.75" customHeight="1">
      <c r="A128" s="43"/>
      <c r="B128" s="123"/>
    </row>
    <row r="129" spans="1:2" ht="15.75" customHeight="1">
      <c r="A129" s="43"/>
      <c r="B129" s="123"/>
    </row>
    <row r="130" spans="1:2" ht="15.75" customHeight="1">
      <c r="A130" s="43"/>
      <c r="B130" s="123"/>
    </row>
    <row r="131" spans="1:2" ht="15.75" customHeight="1">
      <c r="A131" s="43"/>
      <c r="B131" s="123"/>
    </row>
    <row r="132" spans="1:2" ht="15.75" customHeight="1">
      <c r="A132" s="43"/>
      <c r="B132" s="123"/>
    </row>
    <row r="133" spans="1:2" ht="15.75" customHeight="1">
      <c r="A133" s="43"/>
      <c r="B133" s="123"/>
    </row>
    <row r="134" spans="1:2" ht="15.75" customHeight="1">
      <c r="A134" s="43"/>
      <c r="B134" s="123"/>
    </row>
    <row r="135" spans="1:2" ht="15.75" customHeight="1">
      <c r="A135" s="43"/>
      <c r="B135" s="123"/>
    </row>
    <row r="136" spans="1:2" ht="15.75" customHeight="1">
      <c r="A136" s="43"/>
      <c r="B136" s="123"/>
    </row>
    <row r="137" spans="1:2" ht="15.75" customHeight="1">
      <c r="A137" s="43"/>
      <c r="B137" s="123"/>
    </row>
    <row r="138" spans="1:2" ht="15.75" customHeight="1">
      <c r="A138" s="43"/>
      <c r="B138" s="123"/>
    </row>
    <row r="139" spans="1:2" ht="15.75" customHeight="1">
      <c r="A139" s="43"/>
      <c r="B139" s="123"/>
    </row>
    <row r="140" spans="1:2" ht="15.75" customHeight="1">
      <c r="A140" s="43"/>
      <c r="B140" s="123"/>
    </row>
    <row r="141" spans="1:2" ht="15.75" customHeight="1">
      <c r="A141" s="43"/>
      <c r="B141" s="123"/>
    </row>
    <row r="142" spans="1:2" ht="15.75" customHeight="1">
      <c r="A142" s="43"/>
      <c r="B142" s="123"/>
    </row>
    <row r="143" spans="1:2" ht="15.75" customHeight="1">
      <c r="A143" s="43"/>
      <c r="B143" s="123"/>
    </row>
    <row r="144" spans="1:2" ht="15.75" customHeight="1">
      <c r="A144" s="43"/>
      <c r="B144" s="123"/>
    </row>
    <row r="145" spans="1:2" ht="15.75" customHeight="1">
      <c r="A145" s="43"/>
      <c r="B145" s="123"/>
    </row>
    <row r="146" spans="1:2" ht="15.75" customHeight="1">
      <c r="A146" s="43"/>
      <c r="B146" s="123"/>
    </row>
    <row r="147" spans="1:2" ht="15.75" customHeight="1">
      <c r="A147" s="43"/>
      <c r="B147" s="123"/>
    </row>
    <row r="148" spans="1:2" ht="15.75" customHeight="1">
      <c r="A148" s="43"/>
      <c r="B148" s="123"/>
    </row>
    <row r="149" spans="1:2" ht="15.75" customHeight="1">
      <c r="A149" s="43"/>
      <c r="B149" s="123"/>
    </row>
    <row r="150" spans="1:2" ht="15.75" customHeight="1">
      <c r="A150" s="43"/>
      <c r="B150" s="123"/>
    </row>
    <row r="151" spans="1:2" ht="15.75" customHeight="1">
      <c r="A151" s="43"/>
      <c r="B151" s="123"/>
    </row>
    <row r="152" spans="1:2" ht="15.75" customHeight="1">
      <c r="A152" s="43"/>
      <c r="B152" s="123"/>
    </row>
    <row r="153" spans="1:2" ht="15.75" customHeight="1">
      <c r="A153" s="43"/>
      <c r="B153" s="123"/>
    </row>
    <row r="154" spans="1:2" ht="15.75" customHeight="1">
      <c r="A154" s="43"/>
      <c r="B154" s="123"/>
    </row>
    <row r="155" spans="1:2" ht="15.75" customHeight="1">
      <c r="A155" s="43"/>
      <c r="B155" s="123"/>
    </row>
    <row r="156" spans="1:2" ht="15.75" customHeight="1">
      <c r="A156" s="43"/>
      <c r="B156" s="123"/>
    </row>
    <row r="157" spans="1:2" ht="15.75" customHeight="1">
      <c r="A157" s="43"/>
      <c r="B157" s="123"/>
    </row>
    <row r="158" spans="1:2" ht="15.75" customHeight="1">
      <c r="A158" s="43"/>
      <c r="B158" s="123"/>
    </row>
    <row r="159" spans="1:2" ht="15.75" customHeight="1">
      <c r="A159" s="43"/>
      <c r="B159" s="123"/>
    </row>
    <row r="160" spans="1:2" ht="15.75" customHeight="1">
      <c r="A160" s="43"/>
      <c r="B160" s="123"/>
    </row>
    <row r="161" spans="1:2" ht="15.75" customHeight="1">
      <c r="A161" s="43"/>
      <c r="B161" s="123"/>
    </row>
    <row r="162" spans="1:2" ht="15.75" customHeight="1">
      <c r="A162" s="43"/>
      <c r="B162" s="123"/>
    </row>
    <row r="163" spans="1:2" ht="15.75" customHeight="1">
      <c r="A163" s="43"/>
      <c r="B163" s="123"/>
    </row>
    <row r="164" spans="1:2" ht="15.75" customHeight="1">
      <c r="A164" s="43"/>
      <c r="B164" s="123"/>
    </row>
    <row r="165" spans="1:2" ht="15.75" customHeight="1">
      <c r="A165" s="43"/>
      <c r="B165" s="123"/>
    </row>
    <row r="166" spans="1:2" ht="15.75" customHeight="1">
      <c r="A166" s="43"/>
      <c r="B166" s="123"/>
    </row>
    <row r="167" spans="1:2" ht="15.75" customHeight="1">
      <c r="A167" s="43"/>
      <c r="B167" s="123"/>
    </row>
    <row r="168" spans="1:2" ht="15.75" customHeight="1">
      <c r="A168" s="43"/>
      <c r="B168" s="123"/>
    </row>
    <row r="169" spans="1:2" ht="15.75" customHeight="1">
      <c r="A169" s="43"/>
      <c r="B169" s="123"/>
    </row>
    <row r="170" spans="1:2" ht="15.75" customHeight="1">
      <c r="A170" s="43"/>
      <c r="B170" s="123"/>
    </row>
    <row r="171" spans="1:2" ht="15.75" customHeight="1">
      <c r="A171" s="43"/>
      <c r="B171" s="123"/>
    </row>
    <row r="172" spans="1:2" ht="15.75" customHeight="1">
      <c r="A172" s="43"/>
      <c r="B172" s="123"/>
    </row>
    <row r="173" spans="1:2" ht="15.75" customHeight="1">
      <c r="A173" s="43"/>
      <c r="B173" s="123"/>
    </row>
    <row r="174" spans="1:2" ht="15.75" customHeight="1">
      <c r="A174" s="43"/>
      <c r="B174" s="123"/>
    </row>
    <row r="175" spans="1:2" ht="15.75" customHeight="1">
      <c r="A175" s="43"/>
      <c r="B175" s="123"/>
    </row>
    <row r="176" spans="1:2" ht="15.75" customHeight="1">
      <c r="A176" s="43"/>
      <c r="B176" s="123"/>
    </row>
    <row r="177" spans="1:2" ht="15.75" customHeight="1">
      <c r="A177" s="43"/>
      <c r="B177" s="123"/>
    </row>
    <row r="178" spans="1:2" ht="15.75" customHeight="1">
      <c r="A178" s="43"/>
      <c r="B178" s="123"/>
    </row>
    <row r="179" spans="1:2" ht="15.75" customHeight="1">
      <c r="A179" s="43"/>
      <c r="B179" s="123"/>
    </row>
    <row r="180" spans="1:2" ht="15.75" customHeight="1">
      <c r="A180" s="43"/>
      <c r="B180" s="123"/>
    </row>
    <row r="181" spans="1:2" ht="15.75" customHeight="1">
      <c r="A181" s="43"/>
      <c r="B181" s="123"/>
    </row>
    <row r="182" spans="1:2" ht="15.75" customHeight="1">
      <c r="A182" s="43"/>
      <c r="B182" s="123"/>
    </row>
    <row r="183" spans="1:2" ht="15.75" customHeight="1">
      <c r="A183" s="43"/>
      <c r="B183" s="123"/>
    </row>
    <row r="184" spans="1:2" ht="15.75" customHeight="1">
      <c r="A184" s="43"/>
      <c r="B184" s="123"/>
    </row>
    <row r="185" spans="1:2" ht="15.75" customHeight="1">
      <c r="A185" s="43"/>
      <c r="B185" s="123"/>
    </row>
    <row r="186" spans="1:2" ht="15.75" customHeight="1">
      <c r="A186" s="43"/>
      <c r="B186" s="123"/>
    </row>
    <row r="187" spans="1:2" ht="15.75" customHeight="1">
      <c r="A187" s="43"/>
      <c r="B187" s="123"/>
    </row>
    <row r="188" spans="1:2" ht="15.75" customHeight="1">
      <c r="A188" s="43"/>
      <c r="B188" s="123"/>
    </row>
    <row r="189" spans="1:2" ht="15.75" customHeight="1">
      <c r="A189" s="43"/>
      <c r="B189" s="123"/>
    </row>
    <row r="190" spans="1:2" ht="15.75" customHeight="1">
      <c r="A190" s="43"/>
      <c r="B190" s="123"/>
    </row>
    <row r="191" spans="1:2" ht="15.75" customHeight="1">
      <c r="A191" s="43"/>
      <c r="B191" s="123"/>
    </row>
    <row r="192" spans="1:2" ht="15.75" customHeight="1">
      <c r="A192" s="43"/>
      <c r="B192" s="123"/>
    </row>
    <row r="193" spans="1:2" ht="15.75" customHeight="1">
      <c r="A193" s="43"/>
      <c r="B193" s="123"/>
    </row>
    <row r="194" spans="1:2" ht="15.75" customHeight="1">
      <c r="A194" s="43"/>
      <c r="B194" s="123"/>
    </row>
    <row r="195" spans="1:2" ht="15.75" customHeight="1">
      <c r="A195" s="43"/>
      <c r="B195" s="123"/>
    </row>
    <row r="196" spans="1:2" ht="15.75" customHeight="1">
      <c r="A196" s="43"/>
      <c r="B196" s="123"/>
    </row>
    <row r="197" spans="1:2" ht="15.75" customHeight="1">
      <c r="A197" s="43"/>
      <c r="B197" s="123"/>
    </row>
    <row r="198" spans="1:2" ht="15.75" customHeight="1">
      <c r="A198" s="43"/>
      <c r="B198" s="123"/>
    </row>
    <row r="199" spans="1:2" ht="15.75" customHeight="1">
      <c r="A199" s="43"/>
      <c r="B199" s="123"/>
    </row>
    <row r="200" spans="1:2" ht="15.75" customHeight="1">
      <c r="A200" s="43"/>
      <c r="B200" s="123"/>
    </row>
    <row r="201" spans="1:2" ht="15.75" customHeight="1">
      <c r="A201" s="43"/>
      <c r="B201" s="123"/>
    </row>
    <row r="202" spans="1:2" ht="15.75" customHeight="1">
      <c r="A202" s="43"/>
      <c r="B202" s="123"/>
    </row>
    <row r="203" spans="1:2" ht="15.75" customHeight="1">
      <c r="A203" s="43"/>
      <c r="B203" s="123"/>
    </row>
    <row r="204" spans="1:2" ht="15.75" customHeight="1">
      <c r="A204" s="43"/>
      <c r="B204" s="123"/>
    </row>
    <row r="205" spans="1:2" ht="15.75" customHeight="1">
      <c r="A205" s="43"/>
      <c r="B205" s="123"/>
    </row>
    <row r="206" spans="1:2" ht="15.75" customHeight="1">
      <c r="A206" s="43"/>
      <c r="B206" s="123"/>
    </row>
    <row r="207" spans="1:2" ht="15.75" customHeight="1">
      <c r="A207" s="43"/>
      <c r="B207" s="123"/>
    </row>
    <row r="208" spans="1:2" ht="15.75" customHeight="1">
      <c r="A208" s="43"/>
      <c r="B208" s="123"/>
    </row>
    <row r="209" spans="1:2" ht="15.75" customHeight="1">
      <c r="A209" s="43"/>
      <c r="B209" s="123"/>
    </row>
    <row r="210" spans="1:2" ht="15.75" customHeight="1">
      <c r="A210" s="43"/>
      <c r="B210" s="123"/>
    </row>
    <row r="211" spans="1:2" ht="15.75" customHeight="1">
      <c r="A211" s="43"/>
      <c r="B211" s="123"/>
    </row>
    <row r="212" spans="1:2" ht="15.75" customHeight="1">
      <c r="A212" s="43"/>
      <c r="B212" s="123"/>
    </row>
    <row r="213" spans="1:2" ht="15.75" customHeight="1">
      <c r="A213" s="43"/>
      <c r="B213" s="123"/>
    </row>
    <row r="214" spans="1:2" ht="15.75" customHeight="1">
      <c r="A214" s="43"/>
      <c r="B214" s="123"/>
    </row>
    <row r="215" spans="1:2" ht="15.75" customHeight="1">
      <c r="A215" s="43"/>
      <c r="B215" s="123"/>
    </row>
    <row r="216" spans="1:2" ht="15.75" customHeight="1">
      <c r="A216" s="43"/>
      <c r="B216" s="123"/>
    </row>
    <row r="217" spans="1:2" ht="15.75" customHeight="1">
      <c r="A217" s="43"/>
      <c r="B217" s="123"/>
    </row>
    <row r="218" spans="1:2" ht="15.75" customHeight="1">
      <c r="A218" s="43"/>
      <c r="B218" s="123"/>
    </row>
    <row r="219" spans="1:2" ht="15.75" customHeight="1">
      <c r="A219" s="43"/>
      <c r="B219" s="123"/>
    </row>
    <row r="220" spans="1:2" ht="15.75" customHeight="1">
      <c r="A220" s="43"/>
      <c r="B220" s="123"/>
    </row>
    <row r="221" spans="1:2" ht="15.75" customHeight="1">
      <c r="A221" s="43"/>
      <c r="B221" s="123"/>
    </row>
    <row r="222" spans="1:2" ht="15.75" customHeight="1">
      <c r="A222" s="43"/>
      <c r="B222" s="123"/>
    </row>
    <row r="223" spans="1:2" ht="15.75" customHeight="1">
      <c r="A223" s="43"/>
      <c r="B223" s="123"/>
    </row>
    <row r="224" spans="1:2" ht="15.75" customHeight="1">
      <c r="A224" s="43"/>
      <c r="B224" s="123"/>
    </row>
    <row r="225" spans="1:2" ht="15.75" customHeight="1">
      <c r="A225" s="43"/>
      <c r="B225" s="123"/>
    </row>
    <row r="226" spans="1:2" ht="15.75" customHeight="1">
      <c r="A226" s="43"/>
      <c r="B226" s="123"/>
    </row>
    <row r="227" spans="1:2" ht="15.75" customHeight="1">
      <c r="A227" s="43"/>
      <c r="B227" s="123"/>
    </row>
    <row r="228" spans="1:2" ht="15.75" customHeight="1">
      <c r="A228" s="43"/>
      <c r="B228" s="123"/>
    </row>
    <row r="229" spans="1:2" ht="15.75" customHeight="1">
      <c r="A229" s="43"/>
      <c r="B229" s="123"/>
    </row>
    <row r="230" spans="1:2" ht="15.75" customHeight="1">
      <c r="A230" s="43"/>
      <c r="B230" s="123"/>
    </row>
    <row r="231" spans="1:2" ht="15.75" customHeight="1">
      <c r="A231" s="43"/>
      <c r="B231" s="123"/>
    </row>
    <row r="232" spans="1:2" ht="15.75" customHeight="1">
      <c r="A232" s="43"/>
      <c r="B232" s="123"/>
    </row>
    <row r="233" spans="1:2" ht="15.75" customHeight="1">
      <c r="A233" s="43"/>
      <c r="B233" s="123"/>
    </row>
    <row r="234" spans="1:2" ht="15.75" customHeight="1">
      <c r="A234" s="43"/>
      <c r="B234" s="123"/>
    </row>
    <row r="235" spans="1:2" ht="15.75" customHeight="1">
      <c r="A235" s="43"/>
      <c r="B235" s="123"/>
    </row>
    <row r="236" spans="1:2" ht="15.75" customHeight="1">
      <c r="A236" s="43"/>
      <c r="B236" s="123"/>
    </row>
    <row r="237" spans="1:2" ht="15.75" customHeight="1">
      <c r="A237" s="43"/>
      <c r="B237" s="123"/>
    </row>
    <row r="238" spans="1:2" ht="15.75" customHeight="1">
      <c r="A238" s="43"/>
      <c r="B238" s="123"/>
    </row>
    <row r="239" spans="1:2" ht="15.75" customHeight="1">
      <c r="A239" s="43"/>
      <c r="B239" s="123"/>
    </row>
    <row r="240" spans="1:2" ht="15.75" customHeight="1">
      <c r="A240" s="43"/>
      <c r="B240" s="123"/>
    </row>
    <row r="241" spans="1:2" ht="15.75" customHeight="1">
      <c r="A241" s="43"/>
      <c r="B241" s="123"/>
    </row>
    <row r="242" spans="1:2" ht="15.75" customHeight="1">
      <c r="A242" s="43"/>
      <c r="B242" s="123"/>
    </row>
    <row r="243" spans="1:2" ht="15.75" customHeight="1">
      <c r="A243" s="43"/>
      <c r="B243" s="123"/>
    </row>
    <row r="244" spans="1:2" ht="15.75" customHeight="1">
      <c r="A244" s="43"/>
      <c r="B244" s="123"/>
    </row>
    <row r="245" spans="1:2" ht="15.75" customHeight="1">
      <c r="A245" s="43"/>
      <c r="B245" s="123"/>
    </row>
    <row r="246" spans="1:2" ht="15.75" customHeight="1">
      <c r="A246" s="43"/>
      <c r="B246" s="123"/>
    </row>
    <row r="247" spans="1:2" ht="15.75" customHeight="1">
      <c r="A247" s="43"/>
      <c r="B247" s="123"/>
    </row>
    <row r="248" spans="1:2" ht="15.75" customHeight="1">
      <c r="A248" s="43"/>
      <c r="B248" s="123"/>
    </row>
    <row r="249" spans="1:2" ht="15.75" customHeight="1">
      <c r="A249" s="43"/>
      <c r="B249" s="123"/>
    </row>
    <row r="250" spans="1:2" ht="15.75" customHeight="1">
      <c r="A250" s="43"/>
      <c r="B250" s="123"/>
    </row>
    <row r="251" spans="1:2" ht="15.75" customHeight="1">
      <c r="A251" s="43"/>
      <c r="B251" s="123"/>
    </row>
    <row r="252" spans="1:2" ht="15.75" customHeight="1">
      <c r="A252" s="43"/>
      <c r="B252" s="123"/>
    </row>
    <row r="253" spans="1:2" ht="15.75" customHeight="1">
      <c r="A253" s="43"/>
      <c r="B253" s="123"/>
    </row>
    <row r="254" spans="1:2" ht="15.75" customHeight="1">
      <c r="A254" s="41"/>
      <c r="B254" s="123"/>
    </row>
    <row r="255" spans="1:2" ht="15.75" customHeight="1">
      <c r="A255" s="41"/>
      <c r="B255" s="123"/>
    </row>
    <row r="256" spans="1:2" ht="15.75" customHeight="1">
      <c r="A256" s="41"/>
      <c r="B256" s="123"/>
    </row>
    <row r="257" spans="1:2" ht="15.75" customHeight="1">
      <c r="A257" s="41"/>
      <c r="B257" s="123"/>
    </row>
    <row r="258" spans="1:2" ht="15.75" customHeight="1">
      <c r="A258" s="41"/>
      <c r="B258" s="123"/>
    </row>
    <row r="259" spans="1:2" ht="15.75" customHeight="1">
      <c r="A259" s="41"/>
      <c r="B259" s="123"/>
    </row>
    <row r="260" spans="1:2" ht="15.75" customHeight="1">
      <c r="A260" s="41"/>
      <c r="B260" s="123"/>
    </row>
    <row r="261" spans="1:2" ht="15.75" customHeight="1">
      <c r="A261" s="41"/>
      <c r="B261" s="123"/>
    </row>
    <row r="262" spans="1:2" ht="15.75" customHeight="1">
      <c r="A262" s="41"/>
      <c r="B262" s="123"/>
    </row>
    <row r="263" spans="1:2" ht="15.75" customHeight="1">
      <c r="A263" s="41"/>
      <c r="B263" s="123"/>
    </row>
    <row r="264" spans="1:2" ht="15.75" customHeight="1">
      <c r="A264" s="41"/>
      <c r="B264" s="123"/>
    </row>
    <row r="265" spans="1:2" ht="15.75" customHeight="1">
      <c r="A265" s="41"/>
      <c r="B265" s="123"/>
    </row>
    <row r="266" spans="1:2" ht="15.75" customHeight="1">
      <c r="A266" s="41"/>
      <c r="B266" s="123"/>
    </row>
    <row r="267" spans="1:2" ht="15.75" customHeight="1">
      <c r="A267" s="41"/>
      <c r="B267" s="123"/>
    </row>
    <row r="268" spans="1:2" ht="15.75" customHeight="1">
      <c r="A268" s="41"/>
      <c r="B268" s="123"/>
    </row>
    <row r="269" spans="1:2" ht="15.75" customHeight="1">
      <c r="A269" s="41"/>
      <c r="B269" s="123"/>
    </row>
    <row r="270" spans="1:2" ht="15.75" customHeight="1">
      <c r="A270" s="41"/>
      <c r="B270" s="123"/>
    </row>
    <row r="271" spans="1:2" ht="15.75" customHeight="1">
      <c r="A271" s="41"/>
      <c r="B271" s="123"/>
    </row>
    <row r="272" spans="1:2" ht="15.75" customHeight="1">
      <c r="A272" s="41"/>
      <c r="B272" s="123"/>
    </row>
    <row r="273" spans="1:2" ht="15.75" customHeight="1">
      <c r="A273" s="41"/>
      <c r="B273" s="123"/>
    </row>
    <row r="274" spans="1:2" ht="15.75" customHeight="1">
      <c r="A274" s="41"/>
      <c r="B274" s="123"/>
    </row>
    <row r="275" spans="1:2" ht="15.75" customHeight="1">
      <c r="A275" s="41"/>
      <c r="B275" s="123"/>
    </row>
    <row r="276" spans="1:2" ht="15.75" customHeight="1">
      <c r="A276" s="41"/>
      <c r="B276" s="123"/>
    </row>
    <row r="277" spans="1:2" ht="15.75" customHeight="1">
      <c r="A277" s="41"/>
      <c r="B277" s="123"/>
    </row>
    <row r="278" spans="1:2" ht="15.75" customHeight="1">
      <c r="A278" s="41"/>
      <c r="B278" s="123"/>
    </row>
    <row r="279" spans="1:2" ht="15.75" customHeight="1">
      <c r="A279" s="41"/>
      <c r="B279" s="123"/>
    </row>
    <row r="280" spans="1:2" ht="15.75" customHeight="1">
      <c r="A280" s="41"/>
      <c r="B280" s="123"/>
    </row>
    <row r="281" spans="1:2" ht="15.75" customHeight="1">
      <c r="A281" s="41"/>
      <c r="B281" s="123"/>
    </row>
    <row r="282" spans="1:2" ht="15.75" customHeight="1">
      <c r="A282" s="41"/>
      <c r="B282" s="123"/>
    </row>
    <row r="283" spans="1:2" ht="15.75" customHeight="1">
      <c r="A283" s="41"/>
      <c r="B283" s="123"/>
    </row>
    <row r="284" spans="1:2" ht="15.75" customHeight="1">
      <c r="A284" s="41"/>
      <c r="B284" s="123"/>
    </row>
    <row r="285" spans="1:2" ht="15.75" customHeight="1">
      <c r="A285" s="41"/>
      <c r="B285" s="123"/>
    </row>
    <row r="286" spans="1:2" ht="15.75" customHeight="1">
      <c r="A286" s="41"/>
      <c r="B286" s="123"/>
    </row>
    <row r="287" spans="1:2" ht="15.75" customHeight="1">
      <c r="A287" s="41"/>
      <c r="B287" s="123"/>
    </row>
    <row r="288" spans="1:2" ht="15.75" customHeight="1">
      <c r="A288" s="41"/>
      <c r="B288" s="123"/>
    </row>
    <row r="289" spans="1:2" ht="15.75" customHeight="1">
      <c r="A289" s="41"/>
      <c r="B289" s="123"/>
    </row>
    <row r="290" spans="1:2" ht="15.75" customHeight="1">
      <c r="A290" s="41"/>
      <c r="B290" s="123"/>
    </row>
    <row r="291" spans="1:2" ht="15.75" customHeight="1">
      <c r="A291" s="41"/>
      <c r="B291" s="123"/>
    </row>
    <row r="292" spans="1:2" ht="15.75" customHeight="1">
      <c r="A292" s="41"/>
      <c r="B292" s="123"/>
    </row>
    <row r="293" spans="1:2" ht="15.75" customHeight="1">
      <c r="A293" s="41"/>
      <c r="B293" s="123"/>
    </row>
    <row r="294" spans="1:2" ht="15.75" customHeight="1">
      <c r="A294" s="41"/>
      <c r="B294" s="123"/>
    </row>
    <row r="295" spans="1:2" ht="15.75" customHeight="1">
      <c r="A295" s="41"/>
      <c r="B295" s="123"/>
    </row>
    <row r="296" spans="1:2" ht="15.75" customHeight="1">
      <c r="A296" s="41"/>
      <c r="B296" s="123"/>
    </row>
    <row r="297" spans="1:2" ht="15.75" customHeight="1">
      <c r="A297" s="41"/>
      <c r="B297" s="123"/>
    </row>
    <row r="298" spans="1:2" ht="15.75" customHeight="1">
      <c r="A298" s="41"/>
      <c r="B298" s="123"/>
    </row>
    <row r="299" spans="1:2" ht="15.75" customHeight="1">
      <c r="A299" s="41"/>
      <c r="B299" s="123"/>
    </row>
    <row r="300" spans="1:2" ht="15.75" customHeight="1">
      <c r="A300" s="41"/>
      <c r="B300" s="123"/>
    </row>
    <row r="301" spans="1:2" ht="15.75" customHeight="1">
      <c r="A301" s="41"/>
      <c r="B301" s="123"/>
    </row>
    <row r="302" spans="1:2" ht="15.75" customHeight="1">
      <c r="A302" s="41"/>
      <c r="B302" s="123"/>
    </row>
    <row r="303" spans="1:2" ht="15.75" customHeight="1">
      <c r="A303" s="41"/>
      <c r="B303" s="123"/>
    </row>
    <row r="304" spans="1:2" ht="15.75" customHeight="1">
      <c r="A304" s="41"/>
      <c r="B304" s="123"/>
    </row>
    <row r="305" spans="1:2" ht="15.75" customHeight="1">
      <c r="A305" s="41"/>
      <c r="B305" s="123"/>
    </row>
    <row r="306" spans="1:2" ht="15.75" customHeight="1">
      <c r="A306" s="41"/>
      <c r="B306" s="123"/>
    </row>
    <row r="307" spans="1:2" ht="15.75" customHeight="1">
      <c r="A307" s="41"/>
      <c r="B307" s="123"/>
    </row>
    <row r="308" spans="1:2" ht="15.75" customHeight="1">
      <c r="A308" s="41"/>
      <c r="B308" s="123"/>
    </row>
    <row r="309" spans="1:2" ht="15.75" customHeight="1">
      <c r="A309" s="41"/>
      <c r="B309" s="123"/>
    </row>
    <row r="310" spans="1:2" ht="15.75" customHeight="1">
      <c r="A310" s="41"/>
      <c r="B310" s="123"/>
    </row>
    <row r="311" spans="1:2" ht="15.75" customHeight="1">
      <c r="A311" s="41"/>
      <c r="B311" s="123"/>
    </row>
    <row r="312" spans="1:2" ht="15.75" customHeight="1">
      <c r="A312" s="41"/>
      <c r="B312" s="123"/>
    </row>
    <row r="313" spans="1:2" ht="15.75" customHeight="1">
      <c r="A313" s="41"/>
      <c r="B313" s="123"/>
    </row>
    <row r="314" spans="1:2" ht="15.75" customHeight="1">
      <c r="A314" s="41"/>
      <c r="B314" s="123"/>
    </row>
    <row r="315" spans="1:2" ht="15.75" customHeight="1">
      <c r="A315" s="41"/>
      <c r="B315" s="123"/>
    </row>
    <row r="316" spans="1:2" ht="15.75" customHeight="1">
      <c r="A316" s="41"/>
      <c r="B316" s="123"/>
    </row>
    <row r="317" spans="1:2" ht="15.75" customHeight="1">
      <c r="A317" s="41"/>
      <c r="B317" s="123"/>
    </row>
    <row r="318" spans="1:2" ht="15.75" customHeight="1">
      <c r="A318" s="41"/>
      <c r="B318" s="123"/>
    </row>
    <row r="319" spans="1:2" ht="15.75" customHeight="1">
      <c r="A319" s="41"/>
      <c r="B319" s="123"/>
    </row>
    <row r="320" spans="1:2" ht="15.75" customHeight="1">
      <c r="A320" s="41"/>
      <c r="B320" s="123"/>
    </row>
    <row r="321" spans="1:2" ht="15.75" customHeight="1">
      <c r="A321" s="41"/>
      <c r="B321" s="123"/>
    </row>
    <row r="322" spans="1:2" ht="15.75" customHeight="1">
      <c r="A322" s="41"/>
      <c r="B322" s="123"/>
    </row>
    <row r="323" spans="1:2" ht="15.75" customHeight="1">
      <c r="A323" s="41"/>
      <c r="B323" s="123"/>
    </row>
    <row r="324" spans="1:2" ht="15.75" customHeight="1">
      <c r="A324" s="41"/>
      <c r="B324" s="123"/>
    </row>
    <row r="325" spans="1:2" ht="15.75" customHeight="1">
      <c r="A325" s="41"/>
      <c r="B325" s="123"/>
    </row>
    <row r="326" spans="1:2" ht="15.75" customHeight="1">
      <c r="A326" s="41"/>
      <c r="B326" s="123"/>
    </row>
    <row r="327" spans="1:2" ht="15.75" customHeight="1">
      <c r="A327" s="41"/>
      <c r="B327" s="123"/>
    </row>
    <row r="328" spans="1:2" ht="15.75" customHeight="1">
      <c r="A328" s="41"/>
      <c r="B328" s="123"/>
    </row>
    <row r="329" spans="1:2" ht="15.75" customHeight="1">
      <c r="A329" s="41"/>
      <c r="B329" s="123"/>
    </row>
    <row r="330" spans="1:2" ht="15.75" customHeight="1">
      <c r="A330" s="41"/>
      <c r="B330" s="123"/>
    </row>
    <row r="331" spans="1:2" ht="15.75" customHeight="1">
      <c r="A331" s="41"/>
      <c r="B331" s="123"/>
    </row>
    <row r="332" spans="1:2" ht="15.75" customHeight="1">
      <c r="A332" s="41"/>
      <c r="B332" s="123"/>
    </row>
    <row r="333" spans="1:2" ht="15.75" customHeight="1">
      <c r="A333" s="41"/>
      <c r="B333" s="123"/>
    </row>
    <row r="334" spans="1:2" ht="15.75" customHeight="1">
      <c r="A334" s="41"/>
      <c r="B334" s="123"/>
    </row>
    <row r="335" spans="1:2" ht="15.75" customHeight="1">
      <c r="A335" s="41"/>
      <c r="B335" s="123"/>
    </row>
    <row r="336" spans="1:2" ht="15.75" customHeight="1">
      <c r="A336" s="41"/>
      <c r="B336" s="123"/>
    </row>
    <row r="337" spans="1:2" ht="15.75" customHeight="1">
      <c r="A337" s="41"/>
      <c r="B337" s="123"/>
    </row>
    <row r="338" spans="1:2" ht="15.75" customHeight="1">
      <c r="A338" s="41"/>
      <c r="B338" s="123"/>
    </row>
    <row r="339" spans="1:2" ht="15.75" customHeight="1">
      <c r="A339" s="41"/>
      <c r="B339" s="123"/>
    </row>
    <row r="340" spans="1:2" ht="15.75" customHeight="1">
      <c r="A340" s="41"/>
      <c r="B340" s="123"/>
    </row>
    <row r="341" spans="1:2" ht="15.75" customHeight="1">
      <c r="A341" s="41"/>
      <c r="B341" s="123"/>
    </row>
    <row r="342" spans="1:2" ht="15.75" customHeight="1">
      <c r="A342" s="41"/>
      <c r="B342" s="123"/>
    </row>
    <row r="343" spans="1:2" ht="15.75" customHeight="1">
      <c r="A343" s="41"/>
      <c r="B343" s="123"/>
    </row>
    <row r="344" spans="1:2" ht="15.75" customHeight="1">
      <c r="A344" s="41"/>
      <c r="B344" s="123"/>
    </row>
    <row r="345" spans="1:2" ht="15.75" customHeight="1">
      <c r="A345" s="41"/>
      <c r="B345" s="123"/>
    </row>
    <row r="346" spans="1:2" ht="15.75" customHeight="1">
      <c r="A346" s="41"/>
      <c r="B346" s="123"/>
    </row>
    <row r="347" spans="1:2" ht="15.75" customHeight="1">
      <c r="A347" s="41"/>
      <c r="B347" s="123"/>
    </row>
    <row r="348" spans="1:2" ht="15.75" customHeight="1">
      <c r="A348" s="41"/>
      <c r="B348" s="123"/>
    </row>
    <row r="349" spans="1:2" ht="15.75" customHeight="1">
      <c r="A349" s="41"/>
      <c r="B349" s="123"/>
    </row>
    <row r="350" spans="1:2" ht="15.75" customHeight="1">
      <c r="A350" s="41"/>
      <c r="B350" s="123"/>
    </row>
    <row r="351" spans="1:2" ht="15.75" customHeight="1">
      <c r="A351" s="41"/>
      <c r="B351" s="123"/>
    </row>
    <row r="352" spans="1:2" ht="15.75" customHeight="1">
      <c r="A352" s="41"/>
      <c r="B352" s="123"/>
    </row>
    <row r="353" spans="1:2" ht="15.75" customHeight="1">
      <c r="A353" s="41"/>
      <c r="B353" s="123"/>
    </row>
    <row r="354" spans="1:2" ht="15.75" customHeight="1">
      <c r="A354" s="41"/>
      <c r="B354" s="123"/>
    </row>
    <row r="355" spans="1:2" ht="15.75" customHeight="1">
      <c r="A355" s="41"/>
      <c r="B355" s="123"/>
    </row>
    <row r="356" spans="1:2" ht="15.75" customHeight="1">
      <c r="A356" s="41"/>
      <c r="B356" s="123"/>
    </row>
    <row r="357" spans="1:2" ht="15.75" customHeight="1">
      <c r="A357" s="41"/>
      <c r="B357" s="123"/>
    </row>
    <row r="358" spans="1:2" ht="15.75" customHeight="1">
      <c r="A358" s="41"/>
      <c r="B358" s="123"/>
    </row>
    <row r="359" spans="1:2" ht="15.75" customHeight="1">
      <c r="A359" s="41"/>
      <c r="B359" s="123"/>
    </row>
    <row r="360" spans="1:2" ht="15.75" customHeight="1">
      <c r="A360" s="41"/>
      <c r="B360" s="123"/>
    </row>
    <row r="361" spans="1:2" ht="15.75" customHeight="1">
      <c r="A361" s="41"/>
      <c r="B361" s="123"/>
    </row>
    <row r="362" spans="1:2" ht="15.75" customHeight="1">
      <c r="A362" s="41"/>
      <c r="B362" s="123"/>
    </row>
    <row r="363" spans="1:2" ht="15.75" customHeight="1">
      <c r="A363" s="41"/>
      <c r="B363" s="123"/>
    </row>
    <row r="364" spans="1:2" ht="15.75" customHeight="1">
      <c r="A364" s="41"/>
      <c r="B364" s="123"/>
    </row>
    <row r="365" spans="1:2" ht="15.75" customHeight="1">
      <c r="A365" s="41"/>
      <c r="B365" s="123"/>
    </row>
    <row r="366" spans="1:2" ht="15.75" customHeight="1">
      <c r="A366" s="41"/>
      <c r="B366" s="123"/>
    </row>
    <row r="367" spans="1:2" ht="15.75" customHeight="1">
      <c r="A367" s="41"/>
      <c r="B367" s="123"/>
    </row>
    <row r="368" spans="1:2" ht="15.75" customHeight="1">
      <c r="A368" s="41"/>
      <c r="B368" s="123"/>
    </row>
    <row r="369" spans="1:2" ht="15.75" customHeight="1">
      <c r="A369" s="41"/>
      <c r="B369" s="123"/>
    </row>
    <row r="370" spans="1:2" ht="15.75" customHeight="1">
      <c r="A370" s="41"/>
      <c r="B370" s="123"/>
    </row>
    <row r="371" spans="1:2" ht="15.75" customHeight="1">
      <c r="A371" s="41"/>
      <c r="B371" s="123"/>
    </row>
    <row r="372" spans="1:2" ht="15.75" customHeight="1">
      <c r="A372" s="41"/>
      <c r="B372" s="123"/>
    </row>
    <row r="373" spans="1:2" ht="15.75" customHeight="1">
      <c r="A373" s="41"/>
      <c r="B373" s="123"/>
    </row>
    <row r="374" spans="1:2" ht="15.75" customHeight="1">
      <c r="A374" s="41"/>
      <c r="B374" s="123"/>
    </row>
    <row r="375" spans="1:2" ht="15.75" customHeight="1">
      <c r="A375" s="41"/>
      <c r="B375" s="123"/>
    </row>
    <row r="376" spans="1:2" ht="15.75" customHeight="1">
      <c r="A376" s="41"/>
      <c r="B376" s="123"/>
    </row>
    <row r="377" spans="1:2" ht="15.75" customHeight="1">
      <c r="A377" s="41"/>
      <c r="B377" s="123"/>
    </row>
    <row r="378" spans="1:2" ht="15.75" customHeight="1">
      <c r="A378" s="41"/>
      <c r="B378" s="123"/>
    </row>
    <row r="379" spans="1:2" ht="15.75" customHeight="1">
      <c r="A379" s="41"/>
      <c r="B379" s="123"/>
    </row>
    <row r="380" spans="1:2" ht="15.75" customHeight="1">
      <c r="A380" s="41"/>
      <c r="B380" s="123"/>
    </row>
    <row r="381" spans="1:2" ht="15.75" customHeight="1">
      <c r="A381" s="41"/>
      <c r="B381" s="123"/>
    </row>
    <row r="382" spans="1:2" ht="15.75" customHeight="1">
      <c r="A382" s="41"/>
      <c r="B382" s="123"/>
    </row>
    <row r="383" spans="1:2" ht="15.75" customHeight="1">
      <c r="A383" s="41"/>
      <c r="B383" s="123"/>
    </row>
    <row r="384" spans="1:2" ht="15.75" customHeight="1">
      <c r="A384" s="41"/>
      <c r="B384" s="123"/>
    </row>
    <row r="385" spans="1:2" ht="15.75" customHeight="1">
      <c r="A385" s="41"/>
      <c r="B385" s="123"/>
    </row>
    <row r="386" spans="1:2" ht="15.75" customHeight="1">
      <c r="A386" s="41"/>
      <c r="B386" s="123"/>
    </row>
    <row r="387" spans="1:2" ht="15.75" customHeight="1">
      <c r="A387" s="41"/>
      <c r="B387" s="123"/>
    </row>
    <row r="388" spans="1:2" ht="15.75" customHeight="1">
      <c r="A388" s="41"/>
      <c r="B388" s="123"/>
    </row>
    <row r="389" spans="1:2" ht="15.75" customHeight="1">
      <c r="A389" s="41"/>
      <c r="B389" s="123"/>
    </row>
    <row r="390" spans="1:2" ht="15.75" customHeight="1">
      <c r="A390" s="41"/>
      <c r="B390" s="123"/>
    </row>
    <row r="391" spans="1:2" ht="15.75" customHeight="1">
      <c r="A391" s="41"/>
      <c r="B391" s="123"/>
    </row>
    <row r="392" spans="1:2" ht="15.75" customHeight="1">
      <c r="A392" s="41"/>
      <c r="B392" s="123"/>
    </row>
    <row r="393" spans="1:2" ht="15.75" customHeight="1">
      <c r="A393" s="41"/>
      <c r="B393" s="123"/>
    </row>
    <row r="394" spans="1:2" ht="15.75" customHeight="1">
      <c r="A394" s="41"/>
      <c r="B394" s="123"/>
    </row>
    <row r="395" spans="1:2" ht="15.75" customHeight="1">
      <c r="A395" s="41"/>
      <c r="B395" s="123"/>
    </row>
    <row r="396" spans="1:2" ht="15.75" customHeight="1">
      <c r="A396" s="41"/>
      <c r="B396" s="123"/>
    </row>
    <row r="397" spans="1:2" ht="15.75" customHeight="1">
      <c r="A397" s="41"/>
      <c r="B397" s="123"/>
    </row>
    <row r="398" spans="1:2" ht="15.75" customHeight="1">
      <c r="A398" s="41"/>
      <c r="B398" s="123"/>
    </row>
    <row r="399" spans="1:2" ht="15.75" customHeight="1">
      <c r="A399" s="41"/>
      <c r="B399" s="123"/>
    </row>
    <row r="400" spans="1:2" ht="15.75" customHeight="1">
      <c r="A400" s="41"/>
      <c r="B400" s="123"/>
    </row>
    <row r="401" spans="1:2" ht="15.75" customHeight="1">
      <c r="A401" s="41"/>
      <c r="B401" s="123"/>
    </row>
    <row r="402" spans="1:2" ht="15.75" customHeight="1">
      <c r="A402" s="41"/>
      <c r="B402" s="123"/>
    </row>
    <row r="403" spans="1:2" ht="15.75" customHeight="1">
      <c r="A403" s="41"/>
      <c r="B403" s="123"/>
    </row>
    <row r="404" spans="1:2" ht="15.75" customHeight="1">
      <c r="A404" s="41"/>
      <c r="B404" s="123"/>
    </row>
    <row r="405" spans="1:2" ht="15.75" customHeight="1">
      <c r="A405" s="41"/>
      <c r="B405" s="123"/>
    </row>
    <row r="406" spans="1:2" ht="15.75" customHeight="1">
      <c r="A406" s="41"/>
      <c r="B406" s="123"/>
    </row>
    <row r="407" spans="1:2" ht="15.75" customHeight="1">
      <c r="A407" s="41"/>
      <c r="B407" s="123"/>
    </row>
    <row r="408" spans="1:2" ht="15.75" customHeight="1">
      <c r="A408" s="41"/>
      <c r="B408" s="123"/>
    </row>
    <row r="409" spans="1:2" ht="15.75" customHeight="1">
      <c r="A409" s="41"/>
      <c r="B409" s="123"/>
    </row>
    <row r="410" spans="1:2" ht="15.75" customHeight="1">
      <c r="A410" s="41"/>
      <c r="B410" s="123"/>
    </row>
    <row r="411" spans="1:2" ht="15.75" customHeight="1">
      <c r="A411" s="41"/>
      <c r="B411" s="123"/>
    </row>
    <row r="412" spans="1:2" ht="15.75" customHeight="1">
      <c r="A412" s="41"/>
      <c r="B412" s="123"/>
    </row>
    <row r="413" spans="1:2" ht="15.75" customHeight="1">
      <c r="A413" s="41"/>
      <c r="B413" s="123"/>
    </row>
    <row r="414" spans="1:2" ht="15.75" customHeight="1">
      <c r="A414" s="41"/>
      <c r="B414" s="123"/>
    </row>
    <row r="415" spans="1:2" ht="15.75" customHeight="1">
      <c r="A415" s="41"/>
      <c r="B415" s="123"/>
    </row>
    <row r="416" spans="1:2" ht="15.75" customHeight="1">
      <c r="A416" s="41"/>
      <c r="B416" s="123"/>
    </row>
    <row r="417" spans="1:2" ht="15.75" customHeight="1">
      <c r="A417" s="41"/>
      <c r="B417" s="123"/>
    </row>
    <row r="418" spans="1:2" ht="15.75" customHeight="1">
      <c r="A418" s="41"/>
      <c r="B418" s="123"/>
    </row>
    <row r="419" spans="1:2" ht="15.75" customHeight="1">
      <c r="A419" s="41"/>
      <c r="B419" s="123"/>
    </row>
    <row r="420" spans="1:2" ht="15.75" customHeight="1">
      <c r="A420" s="41"/>
      <c r="B420" s="123"/>
    </row>
    <row r="421" spans="1:2" ht="15.75" customHeight="1">
      <c r="A421" s="41"/>
      <c r="B421" s="123"/>
    </row>
    <row r="422" spans="1:2" ht="15.75" customHeight="1">
      <c r="A422" s="41"/>
      <c r="B422" s="123"/>
    </row>
    <row r="423" spans="1:2" ht="15.75" customHeight="1">
      <c r="A423" s="41"/>
      <c r="B423" s="123"/>
    </row>
    <row r="424" spans="1:2" ht="15.75" customHeight="1">
      <c r="A424" s="41"/>
      <c r="B424" s="123"/>
    </row>
    <row r="425" spans="1:2" ht="15.75" customHeight="1">
      <c r="A425" s="41"/>
      <c r="B425" s="123"/>
    </row>
    <row r="426" spans="1:2" ht="15.75" customHeight="1">
      <c r="A426" s="41"/>
      <c r="B426" s="123"/>
    </row>
    <row r="427" spans="1:2" ht="15.75" customHeight="1">
      <c r="A427" s="41"/>
      <c r="B427" s="123"/>
    </row>
    <row r="428" spans="1:2" ht="15.75" customHeight="1">
      <c r="A428" s="41"/>
      <c r="B428" s="123"/>
    </row>
    <row r="429" spans="1:2" ht="15.75" customHeight="1">
      <c r="A429" s="41"/>
      <c r="B429" s="123"/>
    </row>
    <row r="430" spans="1:2" ht="15.75" customHeight="1">
      <c r="A430" s="41"/>
      <c r="B430" s="123"/>
    </row>
    <row r="431" spans="1:2" ht="15.75" customHeight="1">
      <c r="A431" s="41"/>
      <c r="B431" s="123"/>
    </row>
    <row r="432" spans="1:2" ht="15.75" customHeight="1">
      <c r="A432" s="41"/>
      <c r="B432" s="123"/>
    </row>
    <row r="433" spans="1:2" ht="15.75" customHeight="1">
      <c r="A433" s="41"/>
      <c r="B433" s="123"/>
    </row>
    <row r="434" spans="1:2" ht="15.75" customHeight="1">
      <c r="A434" s="41"/>
      <c r="B434" s="123"/>
    </row>
    <row r="435" spans="1:2" ht="15.75" customHeight="1">
      <c r="A435" s="41"/>
      <c r="B435" s="123"/>
    </row>
    <row r="436" spans="1:2" ht="15.75" customHeight="1">
      <c r="A436" s="41"/>
      <c r="B436" s="123"/>
    </row>
    <row r="437" spans="1:2" ht="15.75" customHeight="1">
      <c r="A437" s="41"/>
      <c r="B437" s="123"/>
    </row>
    <row r="438" spans="1:2" ht="15.75" customHeight="1">
      <c r="A438" s="41"/>
      <c r="B438" s="123"/>
    </row>
    <row r="439" spans="1:2" ht="15.75" customHeight="1">
      <c r="A439" s="41"/>
      <c r="B439" s="123"/>
    </row>
    <row r="440" spans="1:2" ht="15.75" customHeight="1">
      <c r="A440" s="41"/>
      <c r="B440" s="123"/>
    </row>
    <row r="441" spans="1:2" ht="15.75" customHeight="1">
      <c r="A441" s="41"/>
      <c r="B441" s="123"/>
    </row>
    <row r="442" spans="1:2" ht="15.75" customHeight="1">
      <c r="A442" s="41"/>
      <c r="B442" s="123"/>
    </row>
    <row r="443" spans="1:2" ht="15.75" customHeight="1">
      <c r="A443" s="41"/>
      <c r="B443" s="123"/>
    </row>
    <row r="444" spans="1:2" ht="15.75" customHeight="1">
      <c r="A444" s="41"/>
      <c r="B444" s="123"/>
    </row>
    <row r="445" spans="1:2" ht="15.75" customHeight="1">
      <c r="A445" s="41"/>
      <c r="B445" s="123"/>
    </row>
    <row r="446" spans="1:2" ht="15.75" customHeight="1">
      <c r="A446" s="41"/>
      <c r="B446" s="123"/>
    </row>
    <row r="447" spans="1:2" ht="15.75" customHeight="1">
      <c r="A447" s="41"/>
      <c r="B447" s="123"/>
    </row>
    <row r="448" spans="1:2" ht="15.75" customHeight="1">
      <c r="A448" s="41"/>
      <c r="B448" s="123"/>
    </row>
    <row r="449" spans="1:2" ht="15.75" customHeight="1">
      <c r="A449" s="41"/>
      <c r="B449" s="123"/>
    </row>
    <row r="450" spans="1:2" ht="15.75" customHeight="1">
      <c r="A450" s="41"/>
      <c r="B450" s="123"/>
    </row>
    <row r="451" spans="1:2" ht="15.75" customHeight="1">
      <c r="A451" s="41"/>
      <c r="B451" s="123"/>
    </row>
    <row r="452" spans="1:2" ht="15.75" customHeight="1">
      <c r="A452" s="41"/>
      <c r="B452" s="123"/>
    </row>
    <row r="453" spans="1:2" ht="15.75" customHeight="1">
      <c r="A453" s="41"/>
      <c r="B453" s="123"/>
    </row>
    <row r="454" spans="1:2" ht="15.75" customHeight="1">
      <c r="A454" s="41"/>
      <c r="B454" s="123"/>
    </row>
    <row r="455" spans="1:2" ht="15.75" customHeight="1">
      <c r="A455" s="41"/>
      <c r="B455" s="123"/>
    </row>
    <row r="456" spans="1:2" ht="15.75" customHeight="1">
      <c r="A456" s="41"/>
      <c r="B456" s="123"/>
    </row>
    <row r="457" spans="1:2" ht="15.75" customHeight="1">
      <c r="A457" s="41"/>
      <c r="B457" s="123"/>
    </row>
    <row r="458" spans="1:2" ht="15.75" customHeight="1">
      <c r="A458" s="41"/>
      <c r="B458" s="123"/>
    </row>
    <row r="459" spans="1:2" ht="15.75" customHeight="1">
      <c r="A459" s="41"/>
      <c r="B459" s="123"/>
    </row>
    <row r="460" spans="1:2" ht="15.75" customHeight="1">
      <c r="A460" s="41"/>
      <c r="B460" s="123"/>
    </row>
    <row r="461" spans="1:2" ht="15.75" customHeight="1">
      <c r="A461" s="41"/>
      <c r="B461" s="123"/>
    </row>
    <row r="462" spans="1:2" ht="15.75" customHeight="1">
      <c r="A462" s="41"/>
      <c r="B462" s="123"/>
    </row>
    <row r="463" spans="1:2" ht="15.75" customHeight="1">
      <c r="A463" s="41"/>
      <c r="B463" s="123"/>
    </row>
    <row r="464" spans="1:2" ht="15.75" customHeight="1">
      <c r="A464" s="41"/>
      <c r="B464" s="123"/>
    </row>
    <row r="465" spans="1:2" ht="15.75" customHeight="1">
      <c r="A465" s="41"/>
      <c r="B465" s="123"/>
    </row>
    <row r="466" spans="1:2" ht="15.75" customHeight="1">
      <c r="A466" s="41"/>
      <c r="B466" s="123"/>
    </row>
    <row r="467" spans="1:2" ht="15.75" customHeight="1">
      <c r="A467" s="41"/>
      <c r="B467" s="123"/>
    </row>
    <row r="468" spans="1:2" ht="15.75" customHeight="1">
      <c r="A468" s="41"/>
      <c r="B468" s="123"/>
    </row>
    <row r="469" spans="1:2" ht="15.75" customHeight="1">
      <c r="A469" s="41"/>
      <c r="B469" s="123"/>
    </row>
    <row r="470" spans="1:2" ht="15.75" customHeight="1">
      <c r="A470" s="41"/>
      <c r="B470" s="123"/>
    </row>
    <row r="471" spans="1:2" ht="15.75" customHeight="1">
      <c r="A471" s="41"/>
      <c r="B471" s="123"/>
    </row>
    <row r="472" spans="1:2" ht="15.75" customHeight="1">
      <c r="A472" s="41"/>
      <c r="B472" s="123"/>
    </row>
    <row r="473" spans="1:2" ht="15.75" customHeight="1">
      <c r="A473" s="41"/>
      <c r="B473" s="123"/>
    </row>
    <row r="474" spans="1:2" ht="15.75" customHeight="1">
      <c r="A474" s="41"/>
      <c r="B474" s="123"/>
    </row>
    <row r="475" spans="1:2" ht="15.75" customHeight="1">
      <c r="A475" s="41"/>
      <c r="B475" s="123"/>
    </row>
    <row r="476" spans="1:2" ht="15.75" customHeight="1">
      <c r="A476" s="41"/>
      <c r="B476" s="123"/>
    </row>
    <row r="477" spans="1:2" ht="15.75" customHeight="1">
      <c r="A477" s="41"/>
      <c r="B477" s="123"/>
    </row>
    <row r="478" spans="1:2" ht="15.75" customHeight="1">
      <c r="A478" s="41"/>
      <c r="B478" s="123"/>
    </row>
    <row r="479" spans="1:2" ht="15.75" customHeight="1">
      <c r="A479" s="41"/>
      <c r="B479" s="123"/>
    </row>
    <row r="480" spans="1:2" ht="15.75" customHeight="1">
      <c r="A480" s="41"/>
      <c r="B480" s="123"/>
    </row>
    <row r="481" spans="1:2" ht="15.75" customHeight="1">
      <c r="A481" s="41"/>
      <c r="B481" s="123"/>
    </row>
    <row r="482" spans="1:2" ht="15.75" customHeight="1">
      <c r="A482" s="41"/>
      <c r="B482" s="123"/>
    </row>
    <row r="483" spans="1:2" ht="15.75" customHeight="1">
      <c r="A483" s="41"/>
      <c r="B483" s="123"/>
    </row>
    <row r="484" spans="1:2" ht="15.75" customHeight="1">
      <c r="A484" s="41"/>
      <c r="B484" s="123"/>
    </row>
    <row r="485" spans="1:2" ht="15.75" customHeight="1">
      <c r="A485" s="41"/>
      <c r="B485" s="123"/>
    </row>
    <row r="486" spans="1:2" ht="15.75" customHeight="1">
      <c r="A486" s="41"/>
      <c r="B486" s="123"/>
    </row>
    <row r="487" spans="1:2" ht="15.75" customHeight="1">
      <c r="A487" s="41"/>
      <c r="B487" s="123"/>
    </row>
    <row r="488" spans="1:2" ht="15.75" customHeight="1">
      <c r="A488" s="41"/>
      <c r="B488" s="123"/>
    </row>
    <row r="489" spans="1:2" ht="15.75" customHeight="1">
      <c r="A489" s="41"/>
      <c r="B489" s="123"/>
    </row>
    <row r="490" spans="1:2" ht="15.75" customHeight="1">
      <c r="A490" s="41"/>
      <c r="B490" s="123"/>
    </row>
    <row r="491" spans="1:2" ht="15.75" customHeight="1">
      <c r="A491" s="41"/>
      <c r="B491" s="123"/>
    </row>
    <row r="492" spans="1:2" ht="15.75" customHeight="1">
      <c r="A492" s="41"/>
      <c r="B492" s="123"/>
    </row>
    <row r="493" spans="1:2" ht="15.75" customHeight="1">
      <c r="A493" s="41"/>
      <c r="B493" s="123"/>
    </row>
    <row r="494" spans="1:2" ht="15.75" customHeight="1">
      <c r="A494" s="41"/>
      <c r="B494" s="123"/>
    </row>
    <row r="495" spans="1:2" ht="15.75" customHeight="1">
      <c r="A495" s="41"/>
      <c r="B495" s="123"/>
    </row>
    <row r="496" spans="1:2" ht="15.75" customHeight="1">
      <c r="A496" s="41"/>
      <c r="B496" s="123"/>
    </row>
    <row r="497" spans="1:2" ht="15.75" customHeight="1">
      <c r="A497" s="41"/>
      <c r="B497" s="123"/>
    </row>
    <row r="498" spans="1:2" ht="15.75" customHeight="1">
      <c r="A498" s="41"/>
      <c r="B498" s="123"/>
    </row>
    <row r="499" spans="1:2" ht="15.75" customHeight="1">
      <c r="A499" s="41"/>
      <c r="B499" s="123"/>
    </row>
    <row r="500" spans="1:2" ht="15.75" customHeight="1">
      <c r="A500" s="41"/>
      <c r="B500" s="123"/>
    </row>
    <row r="501" spans="1:2" ht="15.75" customHeight="1">
      <c r="A501" s="41"/>
      <c r="B501" s="123"/>
    </row>
    <row r="502" spans="1:2" ht="15.75" customHeight="1">
      <c r="A502" s="41"/>
      <c r="B502" s="123"/>
    </row>
    <row r="503" spans="1:2" ht="15.75" customHeight="1">
      <c r="A503" s="41"/>
      <c r="B503" s="123"/>
    </row>
    <row r="504" spans="1:2" ht="15.75" customHeight="1">
      <c r="A504" s="41"/>
      <c r="B504" s="123"/>
    </row>
    <row r="505" spans="1:2" ht="15.75" customHeight="1">
      <c r="A505" s="41"/>
      <c r="B505" s="123"/>
    </row>
    <row r="506" spans="1:2" ht="15.75" customHeight="1">
      <c r="A506" s="41"/>
      <c r="B506" s="123"/>
    </row>
    <row r="507" spans="1:2" ht="15.75" customHeight="1">
      <c r="A507" s="41"/>
      <c r="B507" s="123"/>
    </row>
    <row r="508" spans="1:2" ht="15.75" customHeight="1">
      <c r="A508" s="41"/>
      <c r="B508" s="123"/>
    </row>
    <row r="509" spans="1:2" ht="15.75" customHeight="1">
      <c r="A509" s="41"/>
      <c r="B509" s="123"/>
    </row>
    <row r="510" spans="1:2" ht="15.75" customHeight="1">
      <c r="A510" s="41"/>
      <c r="B510" s="123"/>
    </row>
    <row r="511" spans="1:2" ht="15.75" customHeight="1">
      <c r="A511" s="41"/>
      <c r="B511" s="123"/>
    </row>
    <row r="512" spans="1:2" ht="15.75" customHeight="1">
      <c r="A512" s="41"/>
      <c r="B512" s="123"/>
    </row>
    <row r="513" spans="1:2" ht="15.75" customHeight="1">
      <c r="A513" s="41"/>
      <c r="B513" s="123"/>
    </row>
    <row r="514" spans="1:2" ht="15.75" customHeight="1">
      <c r="A514" s="41"/>
      <c r="B514" s="123"/>
    </row>
    <row r="515" spans="1:2" ht="15.75" customHeight="1">
      <c r="A515" s="41"/>
      <c r="B515" s="123"/>
    </row>
    <row r="516" spans="1:2" ht="15.75" customHeight="1">
      <c r="A516" s="41"/>
      <c r="B516" s="123"/>
    </row>
    <row r="517" spans="1:2" ht="15.75" customHeight="1">
      <c r="A517" s="41"/>
      <c r="B517" s="123"/>
    </row>
    <row r="518" spans="1:2" ht="15.75" customHeight="1">
      <c r="A518" s="41"/>
      <c r="B518" s="123"/>
    </row>
    <row r="519" spans="1:2" ht="15.75" customHeight="1">
      <c r="A519" s="41"/>
      <c r="B519" s="123"/>
    </row>
    <row r="520" spans="1:2" ht="15.75" customHeight="1">
      <c r="A520" s="41"/>
      <c r="B520" s="123"/>
    </row>
    <row r="521" spans="1:2" ht="15.75" customHeight="1">
      <c r="A521" s="41"/>
      <c r="B521" s="123"/>
    </row>
    <row r="522" spans="1:2" ht="15.75" customHeight="1">
      <c r="A522" s="41"/>
      <c r="B522" s="123"/>
    </row>
    <row r="523" spans="1:2" ht="15.75" customHeight="1">
      <c r="A523" s="41"/>
      <c r="B523" s="123"/>
    </row>
    <row r="524" spans="1:2" ht="15.75" customHeight="1">
      <c r="A524" s="41"/>
      <c r="B524" s="123"/>
    </row>
    <row r="525" spans="1:2" ht="15.75" customHeight="1">
      <c r="A525" s="41"/>
      <c r="B525" s="123"/>
    </row>
    <row r="526" spans="1:2" ht="15.75" customHeight="1">
      <c r="A526" s="41"/>
      <c r="B526" s="123"/>
    </row>
    <row r="527" spans="1:2" ht="15.75" customHeight="1">
      <c r="A527" s="41"/>
      <c r="B527" s="123"/>
    </row>
    <row r="528" spans="1:2" ht="15.75" customHeight="1">
      <c r="A528" s="41"/>
      <c r="B528" s="123"/>
    </row>
    <row r="529" spans="1:2" ht="15.75" customHeight="1">
      <c r="A529" s="41"/>
      <c r="B529" s="123"/>
    </row>
    <row r="530" spans="1:2" ht="15.75" customHeight="1">
      <c r="A530" s="41"/>
      <c r="B530" s="123"/>
    </row>
    <row r="531" spans="1:2" ht="15.75" customHeight="1">
      <c r="A531" s="41"/>
      <c r="B531" s="123"/>
    </row>
    <row r="532" spans="1:2" ht="15.75" customHeight="1">
      <c r="A532" s="41"/>
      <c r="B532" s="123"/>
    </row>
    <row r="533" spans="1:2" ht="15.75" customHeight="1">
      <c r="A533" s="41"/>
      <c r="B533" s="123"/>
    </row>
    <row r="534" spans="1:2" ht="15.75" customHeight="1">
      <c r="A534" s="41"/>
      <c r="B534" s="123"/>
    </row>
    <row r="535" spans="1:2" ht="15.75" customHeight="1">
      <c r="A535" s="41"/>
      <c r="B535" s="123"/>
    </row>
    <row r="536" spans="1:2" ht="15.75" customHeight="1">
      <c r="A536" s="41"/>
      <c r="B536" s="123"/>
    </row>
    <row r="537" spans="1:2" ht="15.75" customHeight="1">
      <c r="A537" s="41"/>
      <c r="B537" s="123"/>
    </row>
    <row r="538" spans="1:2" ht="15.75" customHeight="1">
      <c r="A538" s="41"/>
      <c r="B538" s="123"/>
    </row>
    <row r="539" spans="1:2" ht="15.75" customHeight="1">
      <c r="A539" s="41"/>
      <c r="B539" s="123"/>
    </row>
    <row r="540" spans="1:2" ht="15.75" customHeight="1">
      <c r="A540" s="41"/>
      <c r="B540" s="123"/>
    </row>
    <row r="541" spans="1:2" ht="15.75" customHeight="1">
      <c r="A541" s="41"/>
      <c r="B541" s="123"/>
    </row>
    <row r="542" spans="1:2" ht="15.75" customHeight="1">
      <c r="A542" s="41"/>
      <c r="B542" s="123"/>
    </row>
    <row r="543" spans="1:2" ht="15.75" customHeight="1">
      <c r="A543" s="41"/>
      <c r="B543" s="123"/>
    </row>
    <row r="544" spans="1:2" ht="15.75" customHeight="1">
      <c r="A544" s="41"/>
      <c r="B544" s="123"/>
    </row>
    <row r="545" spans="1:2" ht="15.75" customHeight="1">
      <c r="A545" s="41"/>
      <c r="B545" s="123"/>
    </row>
    <row r="546" spans="1:2" ht="15.75" customHeight="1">
      <c r="A546" s="41"/>
      <c r="B546" s="123"/>
    </row>
    <row r="547" spans="1:2" ht="15.75" customHeight="1">
      <c r="A547" s="41"/>
      <c r="B547" s="123"/>
    </row>
    <row r="548" spans="1:2" ht="15.75" customHeight="1">
      <c r="A548" s="41"/>
      <c r="B548" s="123"/>
    </row>
    <row r="549" spans="1:2" ht="15.75" customHeight="1">
      <c r="A549" s="41"/>
      <c r="B549" s="123"/>
    </row>
    <row r="550" spans="1:2" ht="15.75" customHeight="1">
      <c r="A550" s="41"/>
      <c r="B550" s="123"/>
    </row>
    <row r="551" spans="1:2" ht="15.75" customHeight="1">
      <c r="A551" s="41"/>
      <c r="B551" s="123"/>
    </row>
    <row r="552" spans="1:2" ht="15.75" customHeight="1">
      <c r="A552" s="41"/>
      <c r="B552" s="123"/>
    </row>
    <row r="553" spans="1:2" ht="15.75" customHeight="1">
      <c r="A553" s="41"/>
      <c r="B553" s="123"/>
    </row>
    <row r="554" spans="1:2" ht="15.75" customHeight="1">
      <c r="A554" s="41"/>
      <c r="B554" s="123"/>
    </row>
    <row r="555" spans="1:2" ht="15.75" customHeight="1">
      <c r="A555" s="41"/>
      <c r="B555" s="123"/>
    </row>
    <row r="556" spans="1:2" ht="15.75" customHeight="1">
      <c r="A556" s="41"/>
      <c r="B556" s="123"/>
    </row>
    <row r="557" spans="1:2" ht="15.75" customHeight="1">
      <c r="A557" s="41"/>
      <c r="B557" s="123"/>
    </row>
    <row r="558" spans="1:2" ht="15.75" customHeight="1">
      <c r="A558" s="41"/>
      <c r="B558" s="123"/>
    </row>
    <row r="559" spans="1:2" ht="15.75" customHeight="1">
      <c r="A559" s="41"/>
      <c r="B559" s="123"/>
    </row>
    <row r="560" spans="1:2" ht="15.75" customHeight="1">
      <c r="A560" s="41"/>
      <c r="B560" s="123"/>
    </row>
    <row r="561" spans="1:2" ht="15.75" customHeight="1">
      <c r="A561" s="41"/>
      <c r="B561" s="123"/>
    </row>
    <row r="562" spans="1:2" ht="15.75" customHeight="1">
      <c r="A562" s="41"/>
      <c r="B562" s="123"/>
    </row>
    <row r="563" spans="1:2" ht="15.75" customHeight="1">
      <c r="A563" s="41"/>
      <c r="B563" s="123"/>
    </row>
    <row r="564" spans="1:2" ht="15.75" customHeight="1">
      <c r="A564" s="41"/>
      <c r="B564" s="123"/>
    </row>
    <row r="565" spans="1:2" ht="15.75" customHeight="1">
      <c r="A565" s="41"/>
      <c r="B565" s="123"/>
    </row>
    <row r="566" spans="1:2" ht="15.75" customHeight="1">
      <c r="A566" s="41"/>
      <c r="B566" s="123"/>
    </row>
    <row r="567" spans="1:2" ht="15.75" customHeight="1">
      <c r="A567" s="41"/>
      <c r="B567" s="123"/>
    </row>
    <row r="568" spans="1:2" ht="15.75" customHeight="1">
      <c r="A568" s="41"/>
      <c r="B568" s="123"/>
    </row>
    <row r="569" spans="1:2" ht="15.75" customHeight="1">
      <c r="A569" s="41"/>
      <c r="B569" s="123"/>
    </row>
    <row r="570" spans="1:2" ht="15.75" customHeight="1">
      <c r="A570" s="41"/>
      <c r="B570" s="123"/>
    </row>
    <row r="571" spans="1:2" ht="15.75" customHeight="1">
      <c r="A571" s="41"/>
      <c r="B571" s="123"/>
    </row>
    <row r="572" spans="1:2" ht="15.75" customHeight="1">
      <c r="A572" s="41"/>
      <c r="B572" s="123"/>
    </row>
    <row r="573" spans="1:2" ht="15.75" customHeight="1">
      <c r="A573" s="41"/>
      <c r="B573" s="123"/>
    </row>
    <row r="574" spans="1:2" ht="15.75" customHeight="1">
      <c r="A574" s="41"/>
      <c r="B574" s="123"/>
    </row>
    <row r="575" spans="1:2" ht="15.75" customHeight="1">
      <c r="A575" s="41"/>
      <c r="B575" s="123"/>
    </row>
    <row r="576" spans="1:2" ht="15.75" customHeight="1">
      <c r="A576" s="41"/>
      <c r="B576" s="123"/>
    </row>
    <row r="577" spans="1:2" ht="15.75" customHeight="1">
      <c r="A577" s="41"/>
      <c r="B577" s="123"/>
    </row>
    <row r="578" spans="1:2" ht="15.75" customHeight="1">
      <c r="A578" s="41"/>
      <c r="B578" s="123"/>
    </row>
    <row r="579" spans="1:2" ht="15.75" customHeight="1">
      <c r="A579" s="41"/>
      <c r="B579" s="123"/>
    </row>
    <row r="580" spans="1:2" ht="15.75" customHeight="1">
      <c r="A580" s="41"/>
      <c r="B580" s="123"/>
    </row>
    <row r="581" spans="1:2" ht="15.75" customHeight="1">
      <c r="A581" s="41"/>
      <c r="B581" s="123"/>
    </row>
    <row r="582" spans="1:2" ht="15.75" customHeight="1">
      <c r="A582" s="41"/>
      <c r="B582" s="123"/>
    </row>
    <row r="583" spans="1:2" ht="15.75" customHeight="1">
      <c r="A583" s="41"/>
      <c r="B583" s="123"/>
    </row>
    <row r="584" spans="1:2" ht="15.75" customHeight="1">
      <c r="A584" s="41"/>
      <c r="B584" s="123"/>
    </row>
    <row r="585" spans="1:2" ht="15.75" customHeight="1">
      <c r="A585" s="41"/>
      <c r="B585" s="123"/>
    </row>
    <row r="586" spans="1:2" ht="15.75" customHeight="1">
      <c r="A586" s="41"/>
      <c r="B586" s="123"/>
    </row>
    <row r="587" spans="1:2" ht="15.75" customHeight="1">
      <c r="A587" s="41"/>
      <c r="B587" s="123"/>
    </row>
    <row r="588" spans="1:2" ht="15.75" customHeight="1">
      <c r="A588" s="41"/>
      <c r="B588" s="123"/>
    </row>
    <row r="589" spans="1:2" ht="15.75" customHeight="1">
      <c r="A589" s="41"/>
      <c r="B589" s="123"/>
    </row>
    <row r="590" spans="1:2" ht="15.75" customHeight="1">
      <c r="A590" s="41"/>
      <c r="B590" s="123"/>
    </row>
    <row r="591" spans="1:2" ht="15.75" customHeight="1">
      <c r="A591" s="41"/>
      <c r="B591" s="123"/>
    </row>
    <row r="592" spans="1:2" ht="15.75" customHeight="1">
      <c r="A592" s="41"/>
      <c r="B592" s="123"/>
    </row>
    <row r="593" spans="1:2" ht="15.75" customHeight="1">
      <c r="A593" s="41"/>
      <c r="B593" s="123"/>
    </row>
    <row r="594" spans="1:2" ht="15.75" customHeight="1">
      <c r="A594" s="41"/>
      <c r="B594" s="123"/>
    </row>
    <row r="595" spans="1:2" ht="15.75" customHeight="1">
      <c r="A595" s="41"/>
      <c r="B595" s="123"/>
    </row>
    <row r="596" spans="1:2" ht="15.75" customHeight="1">
      <c r="A596" s="41"/>
      <c r="B596" s="123"/>
    </row>
    <row r="597" spans="1:2" ht="15.75" customHeight="1">
      <c r="A597" s="41"/>
      <c r="B597" s="123"/>
    </row>
    <row r="598" spans="1:2" ht="15.75" customHeight="1">
      <c r="A598" s="41"/>
      <c r="B598" s="123"/>
    </row>
    <row r="599" spans="1:2" ht="15.75" customHeight="1">
      <c r="A599" s="41"/>
      <c r="B599" s="123"/>
    </row>
    <row r="600" spans="1:2" ht="15.75" customHeight="1">
      <c r="A600" s="41"/>
      <c r="B600" s="123"/>
    </row>
    <row r="601" spans="1:2" ht="15.75" customHeight="1">
      <c r="A601" s="41"/>
      <c r="B601" s="123"/>
    </row>
    <row r="602" spans="1:2" ht="15.75" customHeight="1">
      <c r="A602" s="41"/>
      <c r="B602" s="123"/>
    </row>
    <row r="603" spans="1:2" ht="15.75" customHeight="1">
      <c r="A603" s="41"/>
      <c r="B603" s="123"/>
    </row>
    <row r="604" spans="1:2" ht="15.75" customHeight="1">
      <c r="A604" s="41"/>
      <c r="B604" s="123"/>
    </row>
    <row r="605" spans="1:2" ht="15.75" customHeight="1">
      <c r="A605" s="41"/>
      <c r="B605" s="123"/>
    </row>
    <row r="606" spans="1:2" ht="15.75" customHeight="1">
      <c r="A606" s="41"/>
      <c r="B606" s="123"/>
    </row>
    <row r="607" spans="1:2" ht="15.75" customHeight="1">
      <c r="A607" s="41"/>
      <c r="B607" s="123"/>
    </row>
    <row r="608" spans="1:2" ht="15.75" customHeight="1">
      <c r="A608" s="41"/>
      <c r="B608" s="123"/>
    </row>
    <row r="609" spans="1:2" ht="15.75" customHeight="1">
      <c r="A609" s="41"/>
      <c r="B609" s="123"/>
    </row>
    <row r="610" spans="1:2" ht="15.75" customHeight="1">
      <c r="A610" s="41"/>
      <c r="B610" s="123"/>
    </row>
    <row r="611" spans="1:2" ht="15.75" customHeight="1">
      <c r="A611" s="41"/>
      <c r="B611" s="123"/>
    </row>
    <row r="612" spans="1:2" ht="15.75" customHeight="1">
      <c r="A612" s="41"/>
      <c r="B612" s="123"/>
    </row>
    <row r="613" spans="1:2" ht="15.75" customHeight="1">
      <c r="A613" s="41"/>
      <c r="B613" s="123"/>
    </row>
    <row r="614" spans="1:2" ht="15.75" customHeight="1">
      <c r="A614" s="41"/>
      <c r="B614" s="123"/>
    </row>
    <row r="615" spans="1:2" ht="15.75" customHeight="1">
      <c r="A615" s="41"/>
      <c r="B615" s="123"/>
    </row>
    <row r="616" spans="1:2" ht="15.75" customHeight="1">
      <c r="A616" s="41"/>
      <c r="B616" s="123"/>
    </row>
    <row r="617" spans="1:2" ht="15.75" customHeight="1">
      <c r="A617" s="41"/>
      <c r="B617" s="123"/>
    </row>
    <row r="618" spans="1:2" ht="15.75" customHeight="1">
      <c r="A618" s="41"/>
      <c r="B618" s="123"/>
    </row>
    <row r="619" spans="1:2" ht="15.75" customHeight="1">
      <c r="A619" s="41"/>
      <c r="B619" s="123"/>
    </row>
    <row r="620" spans="1:2" ht="15.75" customHeight="1">
      <c r="A620" s="41"/>
      <c r="B620" s="123"/>
    </row>
    <row r="621" spans="1:2" ht="15.75" customHeight="1">
      <c r="A621" s="41"/>
      <c r="B621" s="123"/>
    </row>
    <row r="622" spans="1:2" ht="15.75" customHeight="1">
      <c r="A622" s="41"/>
      <c r="B622" s="123"/>
    </row>
    <row r="623" spans="1:2" ht="15.75" customHeight="1">
      <c r="A623" s="41"/>
      <c r="B623" s="123"/>
    </row>
    <row r="624" spans="1:2" ht="15.75" customHeight="1">
      <c r="A624" s="41"/>
      <c r="B624" s="123"/>
    </row>
    <row r="625" spans="1:2" ht="15.75" customHeight="1">
      <c r="A625" s="41"/>
      <c r="B625" s="123"/>
    </row>
    <row r="626" spans="1:2" ht="15.75" customHeight="1">
      <c r="A626" s="41"/>
      <c r="B626" s="123"/>
    </row>
    <row r="627" spans="1:2" ht="15.75" customHeight="1">
      <c r="A627" s="41"/>
      <c r="B627" s="123"/>
    </row>
    <row r="628" spans="1:2" ht="15.75" customHeight="1">
      <c r="A628" s="41"/>
      <c r="B628" s="123"/>
    </row>
    <row r="629" spans="1:2" ht="15.75" customHeight="1">
      <c r="A629" s="41"/>
      <c r="B629" s="123"/>
    </row>
    <row r="630" spans="1:2" ht="15.75" customHeight="1">
      <c r="A630" s="41"/>
      <c r="B630" s="123"/>
    </row>
    <row r="631" spans="1:2" ht="15.75" customHeight="1">
      <c r="A631" s="41"/>
      <c r="B631" s="123"/>
    </row>
    <row r="632" spans="1:2" ht="15.75" customHeight="1">
      <c r="A632" s="41"/>
      <c r="B632" s="123"/>
    </row>
    <row r="633" spans="1:2" ht="15.75" customHeight="1">
      <c r="A633" s="41"/>
      <c r="B633" s="123"/>
    </row>
    <row r="634" spans="1:2" ht="15.75" customHeight="1">
      <c r="A634" s="41"/>
      <c r="B634" s="123"/>
    </row>
    <row r="635" spans="1:2" ht="15.75" customHeight="1">
      <c r="A635" s="41"/>
      <c r="B635" s="123"/>
    </row>
    <row r="636" spans="1:2" ht="15.75" customHeight="1">
      <c r="A636" s="41"/>
      <c r="B636" s="123"/>
    </row>
    <row r="637" spans="1:2" ht="15.75" customHeight="1">
      <c r="A637" s="41"/>
      <c r="B637" s="123"/>
    </row>
    <row r="638" spans="1:2" ht="15.75" customHeight="1">
      <c r="A638" s="41"/>
      <c r="B638" s="123"/>
    </row>
    <row r="639" spans="1:2" ht="15.75" customHeight="1">
      <c r="A639" s="41"/>
      <c r="B639" s="123"/>
    </row>
    <row r="640" spans="1:2" ht="15.75" customHeight="1">
      <c r="A640" s="41"/>
      <c r="B640" s="123"/>
    </row>
    <row r="641" spans="1:2" ht="15.75" customHeight="1">
      <c r="A641" s="41"/>
      <c r="B641" s="123"/>
    </row>
    <row r="642" spans="1:2" ht="15.75" customHeight="1">
      <c r="A642" s="41"/>
      <c r="B642" s="123"/>
    </row>
    <row r="643" spans="1:2" ht="15.75" customHeight="1">
      <c r="A643" s="41"/>
      <c r="B643" s="123"/>
    </row>
    <row r="644" spans="1:2" ht="15.75" customHeight="1">
      <c r="A644" s="41"/>
      <c r="B644" s="123"/>
    </row>
    <row r="645" spans="1:2" ht="15.75" customHeight="1">
      <c r="A645" s="41"/>
      <c r="B645" s="123"/>
    </row>
    <row r="646" spans="1:2" ht="15.75" customHeight="1">
      <c r="A646" s="41"/>
      <c r="B646" s="123"/>
    </row>
    <row r="647" spans="1:2" ht="15.75" customHeight="1">
      <c r="A647" s="41"/>
      <c r="B647" s="123"/>
    </row>
    <row r="648" spans="1:2" ht="15.75" customHeight="1">
      <c r="A648" s="41"/>
      <c r="B648" s="123"/>
    </row>
    <row r="649" spans="1:2" ht="15.75" customHeight="1">
      <c r="A649" s="41"/>
      <c r="B649" s="123"/>
    </row>
    <row r="650" spans="1:2" ht="15.75" customHeight="1">
      <c r="A650" s="41"/>
      <c r="B650" s="123"/>
    </row>
    <row r="651" spans="1:2" ht="15.75" customHeight="1">
      <c r="A651" s="41"/>
      <c r="B651" s="123"/>
    </row>
    <row r="652" spans="1:2" ht="15.75" customHeight="1">
      <c r="A652" s="41"/>
      <c r="B652" s="123"/>
    </row>
    <row r="653" spans="1:2" ht="15.75" customHeight="1">
      <c r="A653" s="41"/>
      <c r="B653" s="123"/>
    </row>
    <row r="654" spans="1:2" ht="15.75" customHeight="1">
      <c r="A654" s="41"/>
      <c r="B654" s="123"/>
    </row>
    <row r="655" spans="1:2" ht="15.75" customHeight="1">
      <c r="A655" s="41"/>
      <c r="B655" s="123"/>
    </row>
    <row r="656" spans="1:2" ht="15.75" customHeight="1">
      <c r="A656" s="41"/>
      <c r="B656" s="123"/>
    </row>
    <row r="657" spans="1:2" ht="15.75" customHeight="1">
      <c r="A657" s="41"/>
      <c r="B657" s="123"/>
    </row>
    <row r="658" spans="1:2" ht="15.75" customHeight="1">
      <c r="A658" s="41"/>
      <c r="B658" s="123"/>
    </row>
    <row r="659" spans="1:2" ht="15.75" customHeight="1">
      <c r="A659" s="41"/>
      <c r="B659" s="123"/>
    </row>
    <row r="660" spans="1:2" ht="15.75" customHeight="1">
      <c r="A660" s="41"/>
      <c r="B660" s="123"/>
    </row>
    <row r="661" spans="1:2" ht="15.75" customHeight="1">
      <c r="A661" s="41"/>
      <c r="B661" s="123"/>
    </row>
    <row r="662" spans="1:2" ht="15.75" customHeight="1">
      <c r="A662" s="41"/>
      <c r="B662" s="123"/>
    </row>
    <row r="663" spans="1:2" ht="15.75" customHeight="1">
      <c r="A663" s="41"/>
      <c r="B663" s="123"/>
    </row>
    <row r="664" spans="1:2" ht="15.75" customHeight="1">
      <c r="A664" s="41"/>
      <c r="B664" s="123"/>
    </row>
    <row r="665" spans="1:2" ht="15.75" customHeight="1">
      <c r="A665" s="41"/>
      <c r="B665" s="123"/>
    </row>
    <row r="666" spans="1:2" ht="15.75" customHeight="1">
      <c r="A666" s="41"/>
      <c r="B666" s="123"/>
    </row>
    <row r="667" spans="1:2" ht="15.75" customHeight="1">
      <c r="A667" s="41"/>
      <c r="B667" s="123"/>
    </row>
    <row r="668" spans="1:2" ht="15.75" customHeight="1">
      <c r="A668" s="41"/>
      <c r="B668" s="123"/>
    </row>
    <row r="669" spans="1:2" ht="15.75" customHeight="1">
      <c r="A669" s="41"/>
      <c r="B669" s="123"/>
    </row>
    <row r="670" spans="1:2" ht="15.75" customHeight="1">
      <c r="A670" s="41"/>
      <c r="B670" s="123"/>
    </row>
    <row r="671" spans="1:2" ht="15.75" customHeight="1">
      <c r="A671" s="41"/>
      <c r="B671" s="123"/>
    </row>
    <row r="672" spans="1:2" ht="15.75" customHeight="1">
      <c r="A672" s="41"/>
      <c r="B672" s="123"/>
    </row>
    <row r="673" spans="1:2" ht="15.75" customHeight="1">
      <c r="A673" s="41"/>
      <c r="B673" s="123"/>
    </row>
    <row r="674" spans="1:2" ht="15.75" customHeight="1">
      <c r="A674" s="41"/>
      <c r="B674" s="123"/>
    </row>
    <row r="675" spans="1:2" ht="15.75" customHeight="1">
      <c r="A675" s="41"/>
      <c r="B675" s="123"/>
    </row>
    <row r="676" spans="1:2" ht="15.75" customHeight="1">
      <c r="A676" s="41"/>
      <c r="B676" s="123"/>
    </row>
    <row r="677" spans="1:2" ht="15.75" customHeight="1">
      <c r="A677" s="41"/>
      <c r="B677" s="123"/>
    </row>
    <row r="678" spans="1:2" ht="15.75" customHeight="1">
      <c r="A678" s="41"/>
      <c r="B678" s="123"/>
    </row>
    <row r="679" spans="1:2" ht="15.75" customHeight="1">
      <c r="A679" s="41"/>
      <c r="B679" s="123"/>
    </row>
    <row r="680" spans="1:2" ht="15.75" customHeight="1">
      <c r="A680" s="41"/>
      <c r="B680" s="123"/>
    </row>
    <row r="681" spans="1:2" ht="15.75" customHeight="1">
      <c r="A681" s="41"/>
      <c r="B681" s="123"/>
    </row>
    <row r="682" spans="1:2" ht="15.75" customHeight="1">
      <c r="A682" s="41"/>
      <c r="B682" s="123"/>
    </row>
    <row r="683" spans="1:2" ht="15.75" customHeight="1">
      <c r="A683" s="41"/>
      <c r="B683" s="123"/>
    </row>
    <row r="684" spans="1:2" ht="15.75" customHeight="1">
      <c r="A684" s="41"/>
      <c r="B684" s="123"/>
    </row>
    <row r="685" spans="1:2" ht="15.75" customHeight="1">
      <c r="A685" s="41"/>
      <c r="B685" s="123"/>
    </row>
    <row r="686" spans="1:2" ht="15.75" customHeight="1">
      <c r="A686" s="41"/>
      <c r="B686" s="123"/>
    </row>
    <row r="687" spans="1:2" ht="15.75" customHeight="1">
      <c r="A687" s="41"/>
      <c r="B687" s="123"/>
    </row>
    <row r="688" spans="1:2" ht="15.75" customHeight="1">
      <c r="A688" s="41"/>
      <c r="B688" s="123"/>
    </row>
    <row r="689" spans="1:2" ht="15.75" customHeight="1">
      <c r="A689" s="41"/>
      <c r="B689" s="123"/>
    </row>
    <row r="690" spans="1:2" ht="15.75" customHeight="1">
      <c r="A690" s="41"/>
      <c r="B690" s="123"/>
    </row>
    <row r="691" spans="1:2" ht="15.75" customHeight="1">
      <c r="A691" s="41"/>
      <c r="B691" s="123"/>
    </row>
    <row r="692" spans="1:2" ht="15.75" customHeight="1">
      <c r="A692" s="41"/>
      <c r="B692" s="123"/>
    </row>
    <row r="693" spans="1:2" ht="15.75" customHeight="1">
      <c r="A693" s="41"/>
      <c r="B693" s="123"/>
    </row>
    <row r="694" spans="1:2" ht="15.75" customHeight="1">
      <c r="A694" s="41"/>
      <c r="B694" s="123"/>
    </row>
    <row r="695" spans="1:2" ht="15.75" customHeight="1">
      <c r="A695" s="41"/>
      <c r="B695" s="123"/>
    </row>
    <row r="696" spans="1:2" ht="15.75" customHeight="1">
      <c r="A696" s="41"/>
      <c r="B696" s="123"/>
    </row>
    <row r="697" spans="1:2" ht="15.75" customHeight="1">
      <c r="A697" s="41"/>
      <c r="B697" s="123"/>
    </row>
    <row r="698" spans="1:2" ht="15.75" customHeight="1">
      <c r="A698" s="41"/>
      <c r="B698" s="123"/>
    </row>
    <row r="699" spans="1:2" ht="15.75" customHeight="1">
      <c r="A699" s="41"/>
      <c r="B699" s="123"/>
    </row>
    <row r="700" spans="1:2" ht="15.75" customHeight="1">
      <c r="A700" s="41"/>
      <c r="B700" s="123"/>
    </row>
    <row r="701" spans="1:2" ht="15.75" customHeight="1">
      <c r="A701" s="41"/>
      <c r="B701" s="123"/>
    </row>
    <row r="702" spans="1:2" ht="15.75" customHeight="1">
      <c r="A702" s="41"/>
      <c r="B702" s="123"/>
    </row>
    <row r="703" spans="1:2" ht="15.75" customHeight="1">
      <c r="A703" s="41"/>
      <c r="B703" s="123"/>
    </row>
    <row r="704" spans="1:2" ht="15.75" customHeight="1">
      <c r="A704" s="41"/>
      <c r="B704" s="123"/>
    </row>
    <row r="705" spans="1:2" ht="15.75" customHeight="1">
      <c r="A705" s="41"/>
      <c r="B705" s="123"/>
    </row>
    <row r="706" spans="1:2" ht="15.75" customHeight="1">
      <c r="A706" s="41"/>
      <c r="B706" s="123"/>
    </row>
    <row r="707" spans="1:2" ht="15.75" customHeight="1">
      <c r="A707" s="41"/>
      <c r="B707" s="123"/>
    </row>
    <row r="708" spans="1:2" ht="15.75" customHeight="1">
      <c r="A708" s="41"/>
      <c r="B708" s="123"/>
    </row>
    <row r="709" spans="1:2" ht="15.75" customHeight="1">
      <c r="A709" s="41"/>
      <c r="B709" s="123"/>
    </row>
    <row r="710" spans="1:2" ht="15.75" customHeight="1">
      <c r="A710" s="41"/>
      <c r="B710" s="123"/>
    </row>
    <row r="711" spans="1:2" ht="15.75" customHeight="1">
      <c r="A711" s="41"/>
      <c r="B711" s="123"/>
    </row>
    <row r="712" spans="1:2" ht="15.75" customHeight="1">
      <c r="A712" s="41"/>
      <c r="B712" s="123"/>
    </row>
    <row r="713" spans="1:2" ht="15.75" customHeight="1">
      <c r="A713" s="41"/>
      <c r="B713" s="123"/>
    </row>
    <row r="714" spans="1:2" ht="15.75" customHeight="1">
      <c r="A714" s="41"/>
      <c r="B714" s="123"/>
    </row>
    <row r="715" spans="1:2" ht="15.75" customHeight="1">
      <c r="A715" s="41"/>
      <c r="B715" s="123"/>
    </row>
    <row r="716" spans="1:2" ht="15.75" customHeight="1">
      <c r="A716" s="41"/>
      <c r="B716" s="123"/>
    </row>
    <row r="717" spans="1:2" ht="15.75" customHeight="1">
      <c r="A717" s="41"/>
      <c r="B717" s="123"/>
    </row>
    <row r="718" spans="1:2" ht="15.75" customHeight="1">
      <c r="A718" s="41"/>
      <c r="B718" s="123"/>
    </row>
    <row r="719" spans="1:2" ht="15.75" customHeight="1">
      <c r="A719" s="41"/>
      <c r="B719" s="123"/>
    </row>
    <row r="720" spans="1:2" ht="15.75" customHeight="1">
      <c r="A720" s="41"/>
      <c r="B720" s="123"/>
    </row>
    <row r="721" spans="1:2" ht="15.75" customHeight="1">
      <c r="A721" s="41"/>
      <c r="B721" s="123"/>
    </row>
    <row r="722" spans="1:2" ht="15.75" customHeight="1">
      <c r="A722" s="41"/>
      <c r="B722" s="123"/>
    </row>
    <row r="723" spans="1:2" ht="15.75" customHeight="1">
      <c r="A723" s="41"/>
      <c r="B723" s="123"/>
    </row>
    <row r="724" spans="1:2" ht="15.75" customHeight="1">
      <c r="A724" s="41"/>
      <c r="B724" s="123"/>
    </row>
    <row r="725" spans="1:2" ht="15.75" customHeight="1">
      <c r="A725" s="41"/>
      <c r="B725" s="123"/>
    </row>
    <row r="726" spans="1:2" ht="15.75" customHeight="1">
      <c r="A726" s="41"/>
      <c r="B726" s="123"/>
    </row>
    <row r="727" spans="1:2" ht="15.75" customHeight="1">
      <c r="A727" s="41"/>
      <c r="B727" s="123"/>
    </row>
    <row r="728" spans="1:2" ht="15.75" customHeight="1">
      <c r="A728" s="41"/>
      <c r="B728" s="123"/>
    </row>
    <row r="729" spans="1:2" ht="15.75" customHeight="1">
      <c r="A729" s="41"/>
      <c r="B729" s="123"/>
    </row>
    <row r="730" spans="1:2" ht="15.75" customHeight="1">
      <c r="A730" s="41"/>
      <c r="B730" s="123"/>
    </row>
    <row r="731" spans="1:2" ht="15.75" customHeight="1">
      <c r="A731" s="41"/>
      <c r="B731" s="123"/>
    </row>
    <row r="732" spans="1:2" ht="15.75" customHeight="1">
      <c r="A732" s="41"/>
      <c r="B732" s="123"/>
    </row>
    <row r="733" spans="1:2" ht="15.75" customHeight="1">
      <c r="A733" s="41"/>
      <c r="B733" s="123"/>
    </row>
    <row r="734" spans="1:2" ht="15.75" customHeight="1">
      <c r="A734" s="41"/>
      <c r="B734" s="123"/>
    </row>
    <row r="735" spans="1:2" ht="15.75" customHeight="1">
      <c r="A735" s="41"/>
      <c r="B735" s="123"/>
    </row>
    <row r="736" spans="1:2" ht="15.75" customHeight="1">
      <c r="A736" s="41"/>
      <c r="B736" s="123"/>
    </row>
    <row r="737" spans="1:2" ht="15.75" customHeight="1">
      <c r="A737" s="41"/>
      <c r="B737" s="123"/>
    </row>
    <row r="738" spans="1:2" ht="15.75" customHeight="1">
      <c r="A738" s="41"/>
      <c r="B738" s="123"/>
    </row>
    <row r="739" spans="1:2" ht="15.75" customHeight="1">
      <c r="A739" s="41"/>
      <c r="B739" s="123"/>
    </row>
    <row r="740" spans="1:2" ht="15.75" customHeight="1">
      <c r="A740" s="41"/>
      <c r="B740" s="123"/>
    </row>
    <row r="741" spans="1:2" ht="15.75" customHeight="1">
      <c r="A741" s="41"/>
      <c r="B741" s="123"/>
    </row>
    <row r="742" spans="1:2" ht="15.75" customHeight="1">
      <c r="A742" s="41"/>
      <c r="B742" s="123"/>
    </row>
    <row r="743" spans="1:2" ht="15.75" customHeight="1">
      <c r="A743" s="41"/>
      <c r="B743" s="123"/>
    </row>
    <row r="744" spans="1:2" ht="15.75" customHeight="1">
      <c r="A744" s="41"/>
      <c r="B744" s="123"/>
    </row>
    <row r="745" spans="1:2" ht="15.75" customHeight="1">
      <c r="A745" s="41"/>
      <c r="B745" s="123"/>
    </row>
    <row r="746" spans="1:2" ht="15.75" customHeight="1">
      <c r="A746" s="41"/>
      <c r="B746" s="123"/>
    </row>
    <row r="747" spans="1:2" ht="15.75" customHeight="1">
      <c r="A747" s="41"/>
      <c r="B747" s="123"/>
    </row>
    <row r="748" spans="1:2" ht="15.75" customHeight="1">
      <c r="A748" s="41"/>
      <c r="B748" s="123"/>
    </row>
    <row r="749" spans="1:2" ht="15.75" customHeight="1">
      <c r="A749" s="41"/>
      <c r="B749" s="123"/>
    </row>
    <row r="750" spans="1:2" ht="15.75" customHeight="1">
      <c r="A750" s="41"/>
      <c r="B750" s="123"/>
    </row>
    <row r="751" spans="1:2" ht="15.75" customHeight="1">
      <c r="A751" s="41"/>
      <c r="B751" s="123"/>
    </row>
    <row r="752" spans="1:2" ht="15.75" customHeight="1">
      <c r="A752" s="41"/>
      <c r="B752" s="123"/>
    </row>
    <row r="753" spans="1:2" ht="15.75" customHeight="1">
      <c r="A753" s="41"/>
      <c r="B753" s="123"/>
    </row>
    <row r="754" spans="1:2" ht="15.75" customHeight="1">
      <c r="A754" s="41"/>
      <c r="B754" s="123"/>
    </row>
    <row r="755" spans="1:2" ht="15.75" customHeight="1">
      <c r="A755" s="41"/>
      <c r="B755" s="123"/>
    </row>
    <row r="756" spans="1:2" ht="15.75" customHeight="1">
      <c r="A756" s="41"/>
      <c r="B756" s="123"/>
    </row>
    <row r="757" spans="1:2" ht="15.75" customHeight="1">
      <c r="A757" s="41"/>
      <c r="B757" s="123"/>
    </row>
    <row r="758" spans="1:2" ht="15.75" customHeight="1">
      <c r="A758" s="41"/>
      <c r="B758" s="123"/>
    </row>
    <row r="759" spans="1:2" ht="15.75" customHeight="1">
      <c r="A759" s="41"/>
      <c r="B759" s="123"/>
    </row>
    <row r="760" spans="1:2" ht="15.75" customHeight="1">
      <c r="A760" s="41"/>
      <c r="B760" s="123"/>
    </row>
    <row r="761" spans="1:2" ht="15.75" customHeight="1">
      <c r="A761" s="41"/>
      <c r="B761" s="123"/>
    </row>
    <row r="762" spans="1:2" ht="15.75" customHeight="1">
      <c r="A762" s="41"/>
      <c r="B762" s="123"/>
    </row>
    <row r="763" spans="1:2" ht="15.75" customHeight="1">
      <c r="A763" s="41"/>
      <c r="B763" s="123"/>
    </row>
    <row r="764" spans="1:2" ht="15.75" customHeight="1">
      <c r="A764" s="41"/>
      <c r="B764" s="123"/>
    </row>
    <row r="765" spans="1:2" ht="15.75" customHeight="1">
      <c r="A765" s="41"/>
      <c r="B765" s="123"/>
    </row>
    <row r="766" spans="1:2" ht="15.75" customHeight="1">
      <c r="A766" s="41"/>
      <c r="B766" s="123"/>
    </row>
    <row r="767" spans="1:2" ht="15.75" customHeight="1">
      <c r="A767" s="41"/>
      <c r="B767" s="123"/>
    </row>
    <row r="768" spans="1:2" ht="15.75" customHeight="1">
      <c r="A768" s="41"/>
      <c r="B768" s="123"/>
    </row>
    <row r="769" spans="1:2" ht="15.75" customHeight="1">
      <c r="A769" s="41"/>
      <c r="B769" s="123"/>
    </row>
    <row r="770" spans="1:2" ht="15.75" customHeight="1">
      <c r="A770" s="41"/>
      <c r="B770" s="123"/>
    </row>
    <row r="771" spans="1:2" ht="15.75" customHeight="1">
      <c r="A771" s="41"/>
      <c r="B771" s="123"/>
    </row>
    <row r="772" spans="1:2" ht="15.75" customHeight="1">
      <c r="A772" s="41"/>
      <c r="B772" s="123"/>
    </row>
    <row r="773" spans="1:2" ht="15.75" customHeight="1">
      <c r="A773" s="41"/>
      <c r="B773" s="123"/>
    </row>
    <row r="774" spans="1:2" ht="15.75" customHeight="1">
      <c r="A774" s="41"/>
      <c r="B774" s="123"/>
    </row>
    <row r="775" spans="1:2" ht="15.75" customHeight="1">
      <c r="A775" s="41"/>
      <c r="B775" s="123"/>
    </row>
    <row r="776" spans="1:2" ht="15.75" customHeight="1">
      <c r="A776" s="41"/>
      <c r="B776" s="123"/>
    </row>
    <row r="777" spans="1:2" ht="15.75" customHeight="1">
      <c r="A777" s="41"/>
      <c r="B777" s="123"/>
    </row>
    <row r="778" spans="1:2" ht="15.75" customHeight="1">
      <c r="A778" s="41"/>
      <c r="B778" s="123"/>
    </row>
    <row r="779" spans="1:2" ht="15.75" customHeight="1">
      <c r="A779" s="41"/>
      <c r="B779" s="123"/>
    </row>
    <row r="780" spans="1:2" ht="15.75" customHeight="1">
      <c r="A780" s="41"/>
      <c r="B780" s="123"/>
    </row>
    <row r="781" spans="1:2" ht="15.75" customHeight="1">
      <c r="A781" s="41"/>
      <c r="B781" s="123"/>
    </row>
    <row r="782" spans="1:2" ht="15.75" customHeight="1">
      <c r="A782" s="41"/>
      <c r="B782" s="123"/>
    </row>
    <row r="783" spans="1:2" ht="15.75" customHeight="1">
      <c r="A783" s="41"/>
      <c r="B783" s="123"/>
    </row>
    <row r="784" spans="1:2" ht="15.75" customHeight="1">
      <c r="A784" s="41"/>
      <c r="B784" s="123"/>
    </row>
    <row r="785" spans="1:2" ht="15.75" customHeight="1">
      <c r="A785" s="41"/>
      <c r="B785" s="123"/>
    </row>
    <row r="786" spans="1:2" ht="15.75" customHeight="1">
      <c r="A786" s="41"/>
      <c r="B786" s="123"/>
    </row>
    <row r="787" spans="1:2" ht="15.75" customHeight="1">
      <c r="A787" s="41"/>
      <c r="B787" s="123"/>
    </row>
    <row r="788" spans="1:2" ht="15.75" customHeight="1">
      <c r="A788" s="41"/>
      <c r="B788" s="123"/>
    </row>
    <row r="789" spans="1:2" ht="15.75" customHeight="1">
      <c r="A789" s="41"/>
      <c r="B789" s="123"/>
    </row>
    <row r="790" spans="1:2" ht="15.75" customHeight="1">
      <c r="A790" s="41"/>
      <c r="B790" s="123"/>
    </row>
    <row r="791" spans="1:2" ht="15.75" customHeight="1">
      <c r="A791" s="41"/>
      <c r="B791" s="123"/>
    </row>
    <row r="792" spans="1:2" ht="15.75" customHeight="1">
      <c r="A792" s="41"/>
      <c r="B792" s="123"/>
    </row>
    <row r="793" spans="1:2" ht="15.75" customHeight="1">
      <c r="A793" s="41"/>
      <c r="B793" s="123"/>
    </row>
    <row r="794" spans="1:2" ht="15.75" customHeight="1">
      <c r="A794" s="41"/>
      <c r="B794" s="123"/>
    </row>
    <row r="795" spans="1:2" ht="15.75" customHeight="1">
      <c r="A795" s="41"/>
      <c r="B795" s="123"/>
    </row>
    <row r="796" spans="1:2" ht="15.75" customHeight="1">
      <c r="A796" s="41"/>
      <c r="B796" s="123"/>
    </row>
    <row r="797" spans="1:2" ht="15.75" customHeight="1">
      <c r="A797" s="41"/>
      <c r="B797" s="123"/>
    </row>
    <row r="798" spans="1:2" ht="15.75" customHeight="1">
      <c r="A798" s="41"/>
      <c r="B798" s="123"/>
    </row>
    <row r="799" spans="1:2" ht="15.75" customHeight="1">
      <c r="A799" s="41"/>
      <c r="B799" s="123"/>
    </row>
    <row r="800" spans="1:2" ht="15.75" customHeight="1">
      <c r="A800" s="41"/>
      <c r="B800" s="123"/>
    </row>
    <row r="801" spans="1:2" ht="15.75" customHeight="1">
      <c r="A801" s="41"/>
      <c r="B801" s="123"/>
    </row>
    <row r="802" spans="1:2" ht="15.75" customHeight="1">
      <c r="A802" s="41"/>
      <c r="B802" s="123"/>
    </row>
    <row r="803" spans="1:2" ht="15.75" customHeight="1">
      <c r="A803" s="41"/>
      <c r="B803" s="123"/>
    </row>
    <row r="804" spans="1:2" ht="15.75" customHeight="1">
      <c r="A804" s="41"/>
      <c r="B804" s="123"/>
    </row>
    <row r="805" spans="1:2" ht="15.75" customHeight="1">
      <c r="A805" s="41"/>
      <c r="B805" s="123"/>
    </row>
    <row r="806" spans="1:2" ht="15.75" customHeight="1">
      <c r="A806" s="41"/>
      <c r="B806" s="123"/>
    </row>
    <row r="807" spans="1:2" ht="15.75" customHeight="1">
      <c r="A807" s="41"/>
      <c r="B807" s="123"/>
    </row>
    <row r="808" spans="1:2" ht="15.75" customHeight="1">
      <c r="A808" s="41"/>
      <c r="B808" s="123"/>
    </row>
    <row r="809" spans="1:2" ht="15.75" customHeight="1">
      <c r="A809" s="41"/>
      <c r="B809" s="123"/>
    </row>
    <row r="810" spans="1:2" ht="15.75" customHeight="1">
      <c r="A810" s="41"/>
      <c r="B810" s="123"/>
    </row>
    <row r="811" spans="1:2" ht="15.75" customHeight="1">
      <c r="A811" s="41"/>
      <c r="B811" s="123"/>
    </row>
    <row r="812" spans="1:2" ht="15.75" customHeight="1">
      <c r="A812" s="41"/>
      <c r="B812" s="123"/>
    </row>
    <row r="813" spans="1:2" ht="15.75" customHeight="1">
      <c r="A813" s="41"/>
      <c r="B813" s="123"/>
    </row>
    <row r="814" spans="1:2" ht="15.75" customHeight="1">
      <c r="A814" s="41"/>
      <c r="B814" s="123"/>
    </row>
    <row r="815" spans="1:2" ht="15.75" customHeight="1">
      <c r="A815" s="41"/>
      <c r="B815" s="123"/>
    </row>
    <row r="816" spans="1:2" ht="15.75" customHeight="1">
      <c r="A816" s="41"/>
      <c r="B816" s="123"/>
    </row>
    <row r="817" spans="1:2" ht="15.75" customHeight="1">
      <c r="A817" s="41"/>
      <c r="B817" s="123"/>
    </row>
    <row r="818" spans="1:2" ht="15.75" customHeight="1">
      <c r="A818" s="41"/>
      <c r="B818" s="123"/>
    </row>
    <row r="819" spans="1:2" ht="15.75" customHeight="1">
      <c r="A819" s="41"/>
      <c r="B819" s="123"/>
    </row>
    <row r="820" spans="1:2" ht="15.75" customHeight="1">
      <c r="A820" s="41"/>
      <c r="B820" s="123"/>
    </row>
    <row r="821" spans="1:2" ht="15.75" customHeight="1">
      <c r="A821" s="41"/>
      <c r="B821" s="123"/>
    </row>
    <row r="822" spans="1:2" ht="15.75" customHeight="1">
      <c r="A822" s="41"/>
      <c r="B822" s="123"/>
    </row>
    <row r="823" spans="1:2" ht="15.75" customHeight="1">
      <c r="A823" s="41"/>
      <c r="B823" s="123"/>
    </row>
    <row r="824" spans="1:2" ht="15.75" customHeight="1">
      <c r="A824" s="41"/>
      <c r="B824" s="123"/>
    </row>
    <row r="825" spans="1:2" ht="15.75" customHeight="1">
      <c r="A825" s="41"/>
      <c r="B825" s="123"/>
    </row>
    <row r="826" spans="1:2" ht="15.75" customHeight="1">
      <c r="A826" s="41"/>
      <c r="B826" s="123"/>
    </row>
    <row r="827" spans="1:2" ht="15.75" customHeight="1">
      <c r="A827" s="41"/>
      <c r="B827" s="123"/>
    </row>
    <row r="828" spans="1:2" ht="15.75" customHeight="1">
      <c r="A828" s="41"/>
      <c r="B828" s="123"/>
    </row>
    <row r="829" spans="1:2" ht="15.75" customHeight="1">
      <c r="A829" s="41"/>
      <c r="B829" s="123"/>
    </row>
    <row r="830" spans="1:2" ht="15.75" customHeight="1">
      <c r="A830" s="41"/>
      <c r="B830" s="123"/>
    </row>
    <row r="831" spans="1:2" ht="15.75" customHeight="1">
      <c r="A831" s="41"/>
      <c r="B831" s="123"/>
    </row>
    <row r="832" spans="1:2" ht="15.75" customHeight="1">
      <c r="A832" s="41"/>
      <c r="B832" s="123"/>
    </row>
    <row r="833" spans="1:2" ht="15.75" customHeight="1">
      <c r="A833" s="41"/>
      <c r="B833" s="123"/>
    </row>
    <row r="834" spans="1:2" ht="15.75" customHeight="1">
      <c r="A834" s="41"/>
      <c r="B834" s="123"/>
    </row>
    <row r="835" spans="1:2" ht="15.75" customHeight="1">
      <c r="A835" s="41"/>
      <c r="B835" s="123"/>
    </row>
    <row r="836" spans="1:2" ht="15.75" customHeight="1">
      <c r="A836" s="41"/>
      <c r="B836" s="123"/>
    </row>
    <row r="837" spans="1:2" ht="15.75" customHeight="1">
      <c r="A837" s="41"/>
      <c r="B837" s="123"/>
    </row>
    <row r="838" spans="1:2" ht="15.75" customHeight="1">
      <c r="A838" s="41"/>
      <c r="B838" s="123"/>
    </row>
    <row r="839" spans="1:2" ht="15.75" customHeight="1">
      <c r="A839" s="41"/>
      <c r="B839" s="123"/>
    </row>
    <row r="840" spans="1:2" ht="15.75" customHeight="1">
      <c r="A840" s="41"/>
      <c r="B840" s="123"/>
    </row>
    <row r="841" spans="1:2" ht="15.75" customHeight="1">
      <c r="A841" s="41"/>
      <c r="B841" s="123"/>
    </row>
    <row r="842" spans="1:2" ht="15.75" customHeight="1">
      <c r="A842" s="41"/>
      <c r="B842" s="123"/>
    </row>
    <row r="843" spans="1:2" ht="15.75" customHeight="1">
      <c r="A843" s="41"/>
      <c r="B843" s="123"/>
    </row>
    <row r="844" spans="1:2" ht="15.75" customHeight="1">
      <c r="A844" s="41"/>
      <c r="B844" s="123"/>
    </row>
    <row r="845" spans="1:2" ht="15.75" customHeight="1">
      <c r="A845" s="41"/>
      <c r="B845" s="123"/>
    </row>
    <row r="846" spans="1:2" ht="15.75" customHeight="1">
      <c r="A846" s="41"/>
      <c r="B846" s="123"/>
    </row>
    <row r="847" spans="1:2" ht="15.75" customHeight="1">
      <c r="A847" s="41"/>
      <c r="B847" s="123"/>
    </row>
    <row r="848" spans="1:2" ht="15.75" customHeight="1">
      <c r="A848" s="41"/>
      <c r="B848" s="123"/>
    </row>
    <row r="849" spans="1:2" ht="15.75" customHeight="1">
      <c r="A849" s="41"/>
      <c r="B849" s="123"/>
    </row>
    <row r="850" spans="1:2" ht="15.75" customHeight="1">
      <c r="A850" s="41"/>
      <c r="B850" s="123"/>
    </row>
    <row r="851" spans="1:2" ht="15.75" customHeight="1">
      <c r="A851" s="41"/>
      <c r="B851" s="123"/>
    </row>
    <row r="852" spans="1:2" ht="15.75" customHeight="1">
      <c r="A852" s="41"/>
      <c r="B852" s="123"/>
    </row>
    <row r="853" spans="1:2" ht="15.75" customHeight="1">
      <c r="A853" s="41"/>
      <c r="B853" s="123"/>
    </row>
    <row r="854" spans="1:2" ht="15.75" customHeight="1">
      <c r="A854" s="41"/>
      <c r="B854" s="123"/>
    </row>
    <row r="855" spans="1:2" ht="15.75" customHeight="1">
      <c r="A855" s="41"/>
      <c r="B855" s="123"/>
    </row>
    <row r="856" spans="1:2" ht="15.75" customHeight="1">
      <c r="A856" s="41"/>
      <c r="B856" s="123"/>
    </row>
    <row r="857" spans="1:2" ht="15.75" customHeight="1">
      <c r="A857" s="41"/>
      <c r="B857" s="123"/>
    </row>
    <row r="858" spans="1:2" ht="15.75" customHeight="1">
      <c r="A858" s="41"/>
      <c r="B858" s="123"/>
    </row>
    <row r="859" spans="1:2" ht="15.75" customHeight="1">
      <c r="A859" s="41"/>
      <c r="B859" s="123"/>
    </row>
    <row r="860" spans="1:2" ht="15.75" customHeight="1">
      <c r="A860" s="41"/>
      <c r="B860" s="123"/>
    </row>
    <row r="861" spans="1:2" ht="15.75" customHeight="1">
      <c r="A861" s="41"/>
      <c r="B861" s="123"/>
    </row>
    <row r="862" spans="1:2" ht="15.75" customHeight="1">
      <c r="A862" s="41"/>
      <c r="B862" s="123"/>
    </row>
    <row r="863" spans="1:2" ht="15.75" customHeight="1">
      <c r="A863" s="41"/>
      <c r="B863" s="123"/>
    </row>
    <row r="864" spans="1:2" ht="15.75" customHeight="1">
      <c r="A864" s="41"/>
      <c r="B864" s="123"/>
    </row>
    <row r="865" spans="1:2" ht="15.75" customHeight="1">
      <c r="A865" s="41"/>
      <c r="B865" s="123"/>
    </row>
    <row r="866" spans="1:2" ht="15.75" customHeight="1">
      <c r="A866" s="41"/>
      <c r="B866" s="123"/>
    </row>
    <row r="867" spans="1:2" ht="15.75" customHeight="1">
      <c r="A867" s="41"/>
      <c r="B867" s="123"/>
    </row>
    <row r="868" spans="1:2" ht="15.75" customHeight="1">
      <c r="A868" s="41"/>
      <c r="B868" s="123"/>
    </row>
    <row r="869" spans="1:2" ht="15.75" customHeight="1">
      <c r="A869" s="41"/>
      <c r="B869" s="123"/>
    </row>
    <row r="870" spans="1:2" ht="15.75" customHeight="1">
      <c r="A870" s="41"/>
      <c r="B870" s="123"/>
    </row>
    <row r="871" spans="1:2" ht="15.75" customHeight="1">
      <c r="A871" s="41"/>
      <c r="B871" s="123"/>
    </row>
    <row r="872" spans="1:2" ht="15.75" customHeight="1">
      <c r="A872" s="41"/>
      <c r="B872" s="123"/>
    </row>
    <row r="873" spans="1:2" ht="15.75" customHeight="1">
      <c r="A873" s="41"/>
      <c r="B873" s="123"/>
    </row>
    <row r="874" spans="1:2" ht="15.75" customHeight="1">
      <c r="A874" s="41"/>
      <c r="B874" s="123"/>
    </row>
    <row r="875" spans="1:2" ht="15.75" customHeight="1">
      <c r="A875" s="41"/>
      <c r="B875" s="123"/>
    </row>
    <row r="876" spans="1:2" ht="15.75" customHeight="1">
      <c r="A876" s="41"/>
      <c r="B876" s="123"/>
    </row>
    <row r="877" spans="1:2" ht="15.75" customHeight="1">
      <c r="A877" s="41"/>
      <c r="B877" s="123"/>
    </row>
    <row r="878" spans="1:2" ht="15.75" customHeight="1">
      <c r="A878" s="41"/>
      <c r="B878" s="123"/>
    </row>
    <row r="879" spans="1:2" ht="15.75" customHeight="1">
      <c r="A879" s="41"/>
      <c r="B879" s="123"/>
    </row>
    <row r="880" spans="1:2" ht="15.75" customHeight="1">
      <c r="A880" s="41"/>
      <c r="B880" s="123"/>
    </row>
    <row r="881" spans="1:2" ht="15.75" customHeight="1">
      <c r="A881" s="41"/>
      <c r="B881" s="123"/>
    </row>
    <row r="882" spans="1:2" ht="15.75" customHeight="1">
      <c r="A882" s="41"/>
      <c r="B882" s="123"/>
    </row>
    <row r="883" spans="1:2" ht="15.75" customHeight="1">
      <c r="A883" s="41"/>
      <c r="B883" s="123"/>
    </row>
    <row r="884" spans="1:2" ht="15.75" customHeight="1">
      <c r="A884" s="41"/>
      <c r="B884" s="123"/>
    </row>
    <row r="885" spans="1:2" ht="15.75" customHeight="1">
      <c r="A885" s="41"/>
      <c r="B885" s="123"/>
    </row>
    <row r="886" spans="1:2" ht="15.75" customHeight="1">
      <c r="A886" s="41"/>
      <c r="B886" s="123"/>
    </row>
    <row r="887" spans="1:2" ht="15.75" customHeight="1">
      <c r="A887" s="41"/>
      <c r="B887" s="123"/>
    </row>
    <row r="888" spans="1:2" ht="15.75" customHeight="1">
      <c r="A888" s="41"/>
      <c r="B888" s="123"/>
    </row>
    <row r="889" spans="1:2" ht="15.75" customHeight="1">
      <c r="A889" s="41"/>
      <c r="B889" s="123"/>
    </row>
    <row r="890" spans="1:2" ht="15.75" customHeight="1">
      <c r="A890" s="41"/>
      <c r="B890" s="123"/>
    </row>
    <row r="891" spans="1:2" ht="15.75" customHeight="1">
      <c r="A891" s="41"/>
      <c r="B891" s="123"/>
    </row>
    <row r="892" spans="1:2" ht="15.75" customHeight="1">
      <c r="A892" s="41"/>
      <c r="B892" s="123"/>
    </row>
    <row r="893" spans="1:2" ht="15.75" customHeight="1">
      <c r="A893" s="41"/>
      <c r="B893" s="123"/>
    </row>
    <row r="894" spans="1:2" ht="15.75" customHeight="1">
      <c r="A894" s="41"/>
      <c r="B894" s="123"/>
    </row>
    <row r="895" spans="1:2" ht="15.75" customHeight="1">
      <c r="A895" s="41"/>
      <c r="B895" s="123"/>
    </row>
    <row r="896" spans="1:2" ht="15.75" customHeight="1">
      <c r="A896" s="41"/>
      <c r="B896" s="123"/>
    </row>
    <row r="897" spans="1:2" ht="15.75" customHeight="1">
      <c r="A897" s="41"/>
      <c r="B897" s="123"/>
    </row>
    <row r="898" spans="1:2" ht="15.75" customHeight="1">
      <c r="A898" s="41"/>
      <c r="B898" s="123"/>
    </row>
    <row r="899" spans="1:2" ht="15.75" customHeight="1">
      <c r="A899" s="41"/>
      <c r="B899" s="123"/>
    </row>
    <row r="900" spans="1:2" ht="15.75" customHeight="1">
      <c r="A900" s="41"/>
      <c r="B900" s="123"/>
    </row>
    <row r="901" spans="1:2" ht="15.75" customHeight="1">
      <c r="A901" s="41"/>
      <c r="B901" s="123"/>
    </row>
    <row r="902" spans="1:2" ht="15.75" customHeight="1">
      <c r="A902" s="41"/>
      <c r="B902" s="123"/>
    </row>
    <row r="903" spans="1:2" ht="15.75" customHeight="1">
      <c r="A903" s="41"/>
      <c r="B903" s="123"/>
    </row>
    <row r="904" spans="1:2" ht="15.75" customHeight="1">
      <c r="A904" s="41"/>
      <c r="B904" s="123"/>
    </row>
    <row r="905" spans="1:2" ht="15.75" customHeight="1">
      <c r="A905" s="41"/>
      <c r="B905" s="123"/>
    </row>
    <row r="906" spans="1:2" ht="15.75" customHeight="1">
      <c r="A906" s="41"/>
      <c r="B906" s="123"/>
    </row>
    <row r="907" spans="1:2" ht="15.75" customHeight="1">
      <c r="A907" s="41"/>
      <c r="B907" s="123"/>
    </row>
    <row r="908" spans="1:2" ht="15.75" customHeight="1">
      <c r="A908" s="41"/>
      <c r="B908" s="123"/>
    </row>
    <row r="909" spans="1:2" ht="15.75" customHeight="1">
      <c r="A909" s="41"/>
      <c r="B909" s="123"/>
    </row>
    <row r="910" spans="1:2" ht="15.75" customHeight="1">
      <c r="A910" s="41"/>
      <c r="B910" s="123"/>
    </row>
    <row r="911" spans="1:2" ht="15.75" customHeight="1">
      <c r="A911" s="41"/>
      <c r="B911" s="123"/>
    </row>
    <row r="912" spans="1:2" ht="15.75" customHeight="1">
      <c r="A912" s="41"/>
      <c r="B912" s="123"/>
    </row>
    <row r="913" spans="1:2" ht="15.75" customHeight="1">
      <c r="A913" s="41"/>
      <c r="B913" s="123"/>
    </row>
    <row r="914" spans="1:2" ht="15.75" customHeight="1">
      <c r="A914" s="41"/>
      <c r="B914" s="123"/>
    </row>
    <row r="915" spans="1:2" ht="15.75" customHeight="1">
      <c r="A915" s="41"/>
      <c r="B915" s="123"/>
    </row>
    <row r="916" spans="1:2" ht="15.75" customHeight="1">
      <c r="A916" s="41"/>
      <c r="B916" s="123"/>
    </row>
    <row r="917" spans="1:2" ht="15.75" customHeight="1">
      <c r="A917" s="41"/>
      <c r="B917" s="123"/>
    </row>
    <row r="918" spans="1:2" ht="15.75" customHeight="1">
      <c r="A918" s="41"/>
      <c r="B918" s="123"/>
    </row>
    <row r="919" spans="1:2" ht="15.75" customHeight="1">
      <c r="A919" s="41"/>
      <c r="B919" s="123"/>
    </row>
    <row r="920" spans="1:2" ht="15.75" customHeight="1">
      <c r="A920" s="41"/>
      <c r="B920" s="123"/>
    </row>
    <row r="921" spans="1:2" ht="15.75" customHeight="1">
      <c r="A921" s="41"/>
      <c r="B921" s="123"/>
    </row>
    <row r="922" spans="1:2" ht="15.75" customHeight="1">
      <c r="A922" s="41"/>
      <c r="B922" s="123"/>
    </row>
    <row r="923" spans="1:2" ht="15.75" customHeight="1">
      <c r="A923" s="41"/>
      <c r="B923" s="123"/>
    </row>
    <row r="924" spans="1:2" ht="15.75" customHeight="1">
      <c r="A924" s="41"/>
      <c r="B924" s="123"/>
    </row>
    <row r="925" spans="1:2" ht="15.75" customHeight="1">
      <c r="A925" s="41"/>
      <c r="B925" s="123"/>
    </row>
    <row r="926" spans="1:2" ht="15.75" customHeight="1">
      <c r="A926" s="41"/>
      <c r="B926" s="123"/>
    </row>
    <row r="927" spans="1:2" ht="15.75" customHeight="1">
      <c r="A927" s="41"/>
      <c r="B927" s="123"/>
    </row>
    <row r="928" spans="1:2" ht="15.75" customHeight="1">
      <c r="A928" s="41"/>
      <c r="B928" s="123"/>
    </row>
    <row r="929" spans="1:2" ht="15.75" customHeight="1">
      <c r="A929" s="41"/>
      <c r="B929" s="123"/>
    </row>
    <row r="930" spans="1:2" ht="15.75" customHeight="1">
      <c r="A930" s="41"/>
      <c r="B930" s="123"/>
    </row>
    <row r="931" spans="1:2" ht="15.75" customHeight="1">
      <c r="A931" s="41"/>
      <c r="B931" s="123"/>
    </row>
    <row r="932" spans="1:2" ht="15.75" customHeight="1">
      <c r="A932" s="41"/>
      <c r="B932" s="123"/>
    </row>
    <row r="933" spans="1:2" ht="15.75" customHeight="1">
      <c r="A933" s="41"/>
      <c r="B933" s="123"/>
    </row>
    <row r="934" spans="1:2" ht="15.75" customHeight="1">
      <c r="A934" s="41"/>
      <c r="B934" s="123"/>
    </row>
    <row r="935" spans="1:2" ht="15.75" customHeight="1">
      <c r="A935" s="41"/>
      <c r="B935" s="123"/>
    </row>
    <row r="936" spans="1:2" ht="15.75" customHeight="1">
      <c r="A936" s="41"/>
      <c r="B936" s="123"/>
    </row>
    <row r="937" spans="1:2" ht="15.75" customHeight="1">
      <c r="A937" s="41"/>
      <c r="B937" s="123"/>
    </row>
    <row r="938" spans="1:2" ht="15.75" customHeight="1">
      <c r="A938" s="41"/>
      <c r="B938" s="123"/>
    </row>
    <row r="939" spans="1:2" ht="15.75" customHeight="1">
      <c r="A939" s="41"/>
      <c r="B939" s="123"/>
    </row>
    <row r="940" spans="1:2" ht="15.75" customHeight="1">
      <c r="A940" s="41"/>
      <c r="B940" s="123"/>
    </row>
    <row r="941" spans="1:2" ht="15.75" customHeight="1">
      <c r="A941" s="41"/>
      <c r="B941" s="123"/>
    </row>
    <row r="942" spans="1:2" ht="15.75" customHeight="1">
      <c r="A942" s="41"/>
      <c r="B942" s="123"/>
    </row>
    <row r="943" spans="1:2" ht="15.75" customHeight="1">
      <c r="A943" s="41"/>
      <c r="B943" s="123"/>
    </row>
    <row r="944" spans="1:2" ht="15.75" customHeight="1">
      <c r="A944" s="41"/>
      <c r="B944" s="123"/>
    </row>
    <row r="945" spans="1:2" ht="15.75" customHeight="1">
      <c r="A945" s="41"/>
      <c r="B945" s="123"/>
    </row>
    <row r="946" spans="1:2" ht="15.75" customHeight="1">
      <c r="A946" s="41"/>
      <c r="B946" s="123"/>
    </row>
    <row r="947" spans="1:2" ht="15.75" customHeight="1">
      <c r="A947" s="41"/>
      <c r="B947" s="123"/>
    </row>
    <row r="948" spans="1:2" ht="15.75" customHeight="1">
      <c r="A948" s="41"/>
      <c r="B948" s="123"/>
    </row>
    <row r="949" spans="1:2" ht="15.75" customHeight="1">
      <c r="A949" s="41"/>
      <c r="B949" s="123"/>
    </row>
    <row r="950" spans="1:2" ht="15.75" customHeight="1">
      <c r="A950" s="41"/>
      <c r="B950" s="123"/>
    </row>
    <row r="951" spans="1:2" ht="15.75" customHeight="1">
      <c r="A951" s="41"/>
      <c r="B951" s="123"/>
    </row>
    <row r="952" spans="1:2" ht="15.75" customHeight="1">
      <c r="A952" s="41"/>
      <c r="B952" s="123"/>
    </row>
    <row r="953" spans="1:2" ht="15.75" customHeight="1">
      <c r="A953" s="41"/>
      <c r="B953" s="123"/>
    </row>
    <row r="954" spans="1:2" ht="15.75" customHeight="1">
      <c r="A954" s="41"/>
      <c r="B954" s="123"/>
    </row>
    <row r="955" spans="1:2" ht="15.75" customHeight="1">
      <c r="A955" s="41"/>
      <c r="B955" s="123"/>
    </row>
    <row r="956" spans="1:2" ht="15.75" customHeight="1">
      <c r="A956" s="41"/>
      <c r="B956" s="123"/>
    </row>
    <row r="957" spans="1:2" ht="15.75" customHeight="1">
      <c r="A957" s="41"/>
      <c r="B957" s="123"/>
    </row>
    <row r="958" spans="1:2" ht="15.75" customHeight="1">
      <c r="A958" s="41"/>
      <c r="B958" s="123"/>
    </row>
    <row r="959" spans="1:2" ht="15.75" customHeight="1">
      <c r="A959" s="41"/>
      <c r="B959" s="123"/>
    </row>
    <row r="960" spans="1:2" ht="15.75" customHeight="1">
      <c r="A960" s="41"/>
      <c r="B960" s="123"/>
    </row>
    <row r="961" spans="1:2" ht="15.75" customHeight="1">
      <c r="A961" s="41"/>
      <c r="B961" s="123"/>
    </row>
    <row r="962" spans="1:2" ht="15.75" customHeight="1">
      <c r="A962" s="41"/>
      <c r="B962" s="123"/>
    </row>
    <row r="963" spans="1:2" ht="15.75" customHeight="1">
      <c r="A963" s="41"/>
      <c r="B963" s="123"/>
    </row>
    <row r="964" spans="1:2" ht="15.75" customHeight="1">
      <c r="A964" s="41"/>
      <c r="B964" s="123"/>
    </row>
    <row r="965" spans="1:2" ht="15.75" customHeight="1">
      <c r="A965" s="41"/>
      <c r="B965" s="123"/>
    </row>
    <row r="966" spans="1:2" ht="15.75" customHeight="1">
      <c r="A966" s="41"/>
      <c r="B966" s="123"/>
    </row>
    <row r="967" spans="1:2" ht="15.75" customHeight="1">
      <c r="A967" s="41"/>
      <c r="B967" s="123"/>
    </row>
    <row r="968" spans="1:2" ht="15.75" customHeight="1">
      <c r="A968" s="41"/>
      <c r="B968" s="123"/>
    </row>
    <row r="969" spans="1:2" ht="15.75" customHeight="1">
      <c r="A969" s="41"/>
      <c r="B969" s="123"/>
    </row>
    <row r="970" spans="1:2" ht="15.75" customHeight="1">
      <c r="A970" s="41"/>
      <c r="B970" s="123"/>
    </row>
    <row r="971" spans="1:2" ht="15.75" customHeight="1">
      <c r="A971" s="41"/>
      <c r="B971" s="123"/>
    </row>
    <row r="972" spans="1:2" ht="15.75" customHeight="1">
      <c r="A972" s="41"/>
      <c r="B972" s="123"/>
    </row>
    <row r="973" spans="1:2" ht="15.75" customHeight="1">
      <c r="A973" s="41"/>
      <c r="B973" s="123"/>
    </row>
    <row r="974" spans="1:2" ht="15.75" customHeight="1">
      <c r="A974" s="41"/>
      <c r="B974" s="123"/>
    </row>
    <row r="975" spans="1:2" ht="15.75" customHeight="1">
      <c r="A975" s="41"/>
      <c r="B975" s="123"/>
    </row>
    <row r="976" spans="1:2" ht="15.75" customHeight="1">
      <c r="A976" s="41"/>
      <c r="B976" s="123"/>
    </row>
    <row r="977" spans="1:2" ht="15.75" customHeight="1">
      <c r="A977" s="41"/>
      <c r="B977" s="123"/>
    </row>
    <row r="978" spans="1:2" ht="15.75" customHeight="1">
      <c r="A978" s="41"/>
      <c r="B978" s="123"/>
    </row>
    <row r="979" spans="1:2" ht="15.75" customHeight="1">
      <c r="A979" s="41"/>
      <c r="B979" s="123"/>
    </row>
    <row r="980" spans="1:2" ht="15.75" customHeight="1">
      <c r="A980" s="41"/>
      <c r="B980" s="123"/>
    </row>
    <row r="981" spans="1:2" ht="15.75" customHeight="1">
      <c r="A981" s="41"/>
      <c r="B981" s="123"/>
    </row>
    <row r="982" spans="1:2" ht="15.75" customHeight="1">
      <c r="A982" s="41"/>
      <c r="B982" s="123"/>
    </row>
    <row r="983" spans="1:2" ht="15.75" customHeight="1">
      <c r="A983" s="41"/>
      <c r="B983" s="123"/>
    </row>
    <row r="984" spans="1:2" ht="15.75" customHeight="1">
      <c r="A984" s="41"/>
      <c r="B984" s="123"/>
    </row>
    <row r="985" spans="1:2" ht="15.75" customHeight="1">
      <c r="A985" s="41"/>
      <c r="B985" s="123"/>
    </row>
    <row r="986" spans="1:2" ht="15.75" customHeight="1">
      <c r="A986" s="41"/>
      <c r="B986" s="123"/>
    </row>
    <row r="987" spans="1:2" ht="15.75" customHeight="1">
      <c r="A987" s="41"/>
      <c r="B987" s="123"/>
    </row>
  </sheetData>
  <phoneticPr fontId="10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984"/>
  <sheetViews>
    <sheetView workbookViewId="0">
      <pane xSplit="2" ySplit="2" topLeftCell="C14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ColWidth="14.42578125" defaultRowHeight="15" customHeight="1"/>
  <cols>
    <col min="1" max="2" width="8.7109375" customWidth="1"/>
    <col min="3" max="3" width="14.28515625" customWidth="1"/>
    <col min="4" max="28" width="8.7109375" customWidth="1"/>
    <col min="29" max="29" width="11.140625" customWidth="1"/>
    <col min="30" max="30" width="10.140625" customWidth="1"/>
    <col min="31" max="31" width="8.7109375" customWidth="1"/>
    <col min="32" max="32" width="9.42578125" customWidth="1"/>
    <col min="33" max="34" width="9.7109375" customWidth="1"/>
    <col min="35" max="35" width="9.42578125" customWidth="1"/>
    <col min="36" max="71" width="8.7109375" customWidth="1"/>
  </cols>
  <sheetData>
    <row r="1" spans="1:71">
      <c r="D1" s="345">
        <v>43435</v>
      </c>
      <c r="E1" s="346"/>
      <c r="F1" s="346"/>
      <c r="G1" s="346"/>
      <c r="H1" s="347"/>
      <c r="I1" s="345">
        <v>43466</v>
      </c>
      <c r="J1" s="346"/>
      <c r="K1" s="346"/>
      <c r="L1" s="346"/>
      <c r="M1" s="347"/>
      <c r="N1" s="1"/>
      <c r="O1" s="345">
        <v>43497</v>
      </c>
      <c r="P1" s="346"/>
      <c r="Q1" s="346"/>
      <c r="R1" s="346"/>
      <c r="S1" s="346"/>
      <c r="T1" s="346"/>
      <c r="U1" s="347"/>
      <c r="V1" s="345">
        <v>43525</v>
      </c>
      <c r="W1" s="346"/>
      <c r="X1" s="346"/>
      <c r="Y1" s="346"/>
      <c r="Z1" s="347"/>
      <c r="AA1" s="348">
        <v>43556</v>
      </c>
      <c r="AB1" s="333"/>
      <c r="AC1" s="333"/>
      <c r="AD1" s="333"/>
      <c r="AE1" s="333"/>
      <c r="AF1" s="345">
        <v>43586</v>
      </c>
      <c r="AG1" s="346"/>
      <c r="AH1" s="346"/>
      <c r="AI1" s="346"/>
      <c r="AJ1" s="347"/>
      <c r="AK1" s="345">
        <v>43617</v>
      </c>
      <c r="AL1" s="346"/>
      <c r="AM1" s="346"/>
      <c r="AN1" s="346"/>
      <c r="AO1" s="347"/>
      <c r="AP1" s="345">
        <v>43647</v>
      </c>
      <c r="AQ1" s="346"/>
      <c r="AR1" s="346"/>
      <c r="AS1" s="346"/>
      <c r="AT1" s="347"/>
      <c r="AU1" s="345">
        <v>43678</v>
      </c>
      <c r="AV1" s="346"/>
      <c r="AW1" s="346"/>
      <c r="AX1" s="346"/>
      <c r="AY1" s="347"/>
      <c r="AZ1" s="345">
        <v>43709</v>
      </c>
      <c r="BA1" s="346"/>
      <c r="BB1" s="346"/>
      <c r="BC1" s="346"/>
      <c r="BD1" s="347"/>
      <c r="BE1" s="345">
        <v>43739</v>
      </c>
      <c r="BF1" s="346"/>
      <c r="BG1" s="346"/>
      <c r="BH1" s="346"/>
      <c r="BI1" s="347"/>
      <c r="BJ1" s="345">
        <v>43770</v>
      </c>
      <c r="BK1" s="346"/>
      <c r="BL1" s="346"/>
      <c r="BM1" s="346"/>
      <c r="BN1" s="347"/>
      <c r="BO1" s="345">
        <v>43800</v>
      </c>
      <c r="BP1" s="346"/>
      <c r="BQ1" s="346"/>
      <c r="BR1" s="346"/>
      <c r="BS1" s="347"/>
    </row>
    <row r="2" spans="1:71">
      <c r="D2" s="2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2" t="s">
        <v>2</v>
      </c>
      <c r="J2" s="3" t="s">
        <v>3</v>
      </c>
      <c r="K2" s="3" t="s">
        <v>4</v>
      </c>
      <c r="L2" s="3" t="s">
        <v>5</v>
      </c>
      <c r="M2" s="4" t="s">
        <v>6</v>
      </c>
      <c r="N2" s="5" t="s">
        <v>7</v>
      </c>
      <c r="O2" s="2" t="s">
        <v>2</v>
      </c>
      <c r="P2" s="3" t="s">
        <v>3</v>
      </c>
      <c r="Q2" s="3" t="s">
        <v>4</v>
      </c>
      <c r="R2" s="3" t="s">
        <v>5</v>
      </c>
      <c r="S2" s="3" t="s">
        <v>6</v>
      </c>
      <c r="T2" s="6" t="s">
        <v>7</v>
      </c>
      <c r="U2" s="6" t="s">
        <v>8</v>
      </c>
      <c r="V2" s="2" t="s">
        <v>2</v>
      </c>
      <c r="W2" s="3" t="s">
        <v>3</v>
      </c>
      <c r="X2" s="3" t="s">
        <v>4</v>
      </c>
      <c r="Y2" s="3" t="s">
        <v>5</v>
      </c>
      <c r="Z2" s="4" t="s">
        <v>6</v>
      </c>
      <c r="AA2" s="3" t="s">
        <v>2</v>
      </c>
      <c r="AB2" s="3" t="s">
        <v>3</v>
      </c>
      <c r="AC2" s="3" t="s">
        <v>4</v>
      </c>
      <c r="AD2" s="3" t="s">
        <v>5</v>
      </c>
      <c r="AE2" s="3" t="s">
        <v>6</v>
      </c>
      <c r="AF2" s="2" t="s">
        <v>2</v>
      </c>
      <c r="AG2" s="3" t="s">
        <v>3</v>
      </c>
      <c r="AH2" s="3" t="s">
        <v>4</v>
      </c>
      <c r="AI2" s="3" t="s">
        <v>5</v>
      </c>
      <c r="AJ2" s="4" t="s">
        <v>6</v>
      </c>
      <c r="AK2" s="2" t="s">
        <v>2</v>
      </c>
      <c r="AL2" s="3" t="s">
        <v>3</v>
      </c>
      <c r="AM2" s="3" t="s">
        <v>4</v>
      </c>
      <c r="AN2" s="3" t="s">
        <v>5</v>
      </c>
      <c r="AO2" s="4" t="s">
        <v>6</v>
      </c>
      <c r="AP2" s="2" t="s">
        <v>2</v>
      </c>
      <c r="AQ2" s="3" t="s">
        <v>3</v>
      </c>
      <c r="AR2" s="3" t="s">
        <v>4</v>
      </c>
      <c r="AS2" s="3" t="s">
        <v>5</v>
      </c>
      <c r="AT2" s="4" t="s">
        <v>6</v>
      </c>
      <c r="AU2" s="2" t="s">
        <v>2</v>
      </c>
      <c r="AV2" s="3" t="s">
        <v>3</v>
      </c>
      <c r="AW2" s="3" t="s">
        <v>4</v>
      </c>
      <c r="AX2" s="3" t="s">
        <v>5</v>
      </c>
      <c r="AY2" s="4" t="s">
        <v>6</v>
      </c>
      <c r="AZ2" s="2" t="s">
        <v>2</v>
      </c>
      <c r="BA2" s="3" t="s">
        <v>3</v>
      </c>
      <c r="BB2" s="3" t="s">
        <v>4</v>
      </c>
      <c r="BC2" s="3" t="s">
        <v>5</v>
      </c>
      <c r="BD2" s="4" t="s">
        <v>6</v>
      </c>
      <c r="BE2" s="2" t="s">
        <v>2</v>
      </c>
      <c r="BF2" s="3" t="s">
        <v>3</v>
      </c>
      <c r="BG2" s="3" t="s">
        <v>4</v>
      </c>
      <c r="BH2" s="3" t="s">
        <v>5</v>
      </c>
      <c r="BI2" s="4" t="s">
        <v>6</v>
      </c>
      <c r="BJ2" s="2" t="s">
        <v>2</v>
      </c>
      <c r="BK2" s="3" t="s">
        <v>3</v>
      </c>
      <c r="BL2" s="3" t="s">
        <v>4</v>
      </c>
      <c r="BM2" s="3" t="s">
        <v>5</v>
      </c>
      <c r="BN2" s="4" t="s">
        <v>6</v>
      </c>
      <c r="BO2" s="2" t="s">
        <v>2</v>
      </c>
      <c r="BP2" s="3" t="s">
        <v>3</v>
      </c>
      <c r="BQ2" s="3" t="s">
        <v>4</v>
      </c>
      <c r="BR2" s="3" t="s">
        <v>5</v>
      </c>
      <c r="BS2" s="4" t="s">
        <v>6</v>
      </c>
    </row>
    <row r="3" spans="1:71">
      <c r="D3" s="2"/>
      <c r="E3" s="3"/>
      <c r="F3" s="3"/>
      <c r="G3" s="3"/>
      <c r="H3" s="4"/>
      <c r="I3" s="10"/>
      <c r="J3" s="12"/>
      <c r="K3" s="12"/>
      <c r="L3" s="12"/>
      <c r="M3" s="14"/>
      <c r="N3" s="12"/>
      <c r="O3" s="10"/>
      <c r="P3" s="12"/>
      <c r="Q3" s="12"/>
      <c r="R3" s="12"/>
      <c r="S3" s="12"/>
      <c r="T3" s="12"/>
      <c r="U3" s="12"/>
      <c r="V3" s="10"/>
      <c r="W3" s="12"/>
      <c r="X3" s="12"/>
      <c r="Y3" s="12"/>
      <c r="Z3" s="14"/>
      <c r="AA3" s="12"/>
      <c r="AB3" s="12"/>
      <c r="AC3" s="12"/>
      <c r="AD3" s="12"/>
      <c r="AE3" s="12"/>
      <c r="AF3" s="10"/>
      <c r="AG3" s="12"/>
      <c r="AH3" s="12"/>
      <c r="AI3" s="12"/>
      <c r="AJ3" s="14"/>
      <c r="AK3" s="17"/>
      <c r="AL3" s="19"/>
      <c r="AM3" s="19"/>
      <c r="AN3" s="19"/>
      <c r="AO3" s="21"/>
      <c r="AP3" s="17"/>
      <c r="AQ3" s="19"/>
      <c r="AR3" s="19"/>
      <c r="AS3" s="19"/>
      <c r="AT3" s="21"/>
      <c r="AU3" s="17"/>
      <c r="AV3" s="19"/>
      <c r="AW3" s="19"/>
      <c r="AX3" s="19"/>
      <c r="AY3" s="21"/>
      <c r="AZ3" s="17"/>
      <c r="BA3" s="19"/>
      <c r="BB3" s="19"/>
      <c r="BC3" s="19"/>
      <c r="BD3" s="21"/>
      <c r="BE3" s="17"/>
      <c r="BF3" s="19"/>
      <c r="BG3" s="19"/>
      <c r="BH3" s="19"/>
      <c r="BI3" s="21"/>
      <c r="BJ3" s="17"/>
      <c r="BK3" s="19"/>
      <c r="BL3" s="19"/>
      <c r="BM3" s="19"/>
      <c r="BN3" s="21"/>
      <c r="BO3" s="17"/>
      <c r="BP3" s="19"/>
      <c r="BQ3" s="19"/>
      <c r="BR3" s="19"/>
      <c r="BS3" s="21"/>
    </row>
    <row r="4" spans="1:71">
      <c r="A4" s="15" t="s">
        <v>23</v>
      </c>
      <c r="B4" s="16" t="s">
        <v>25</v>
      </c>
      <c r="C4" s="16" t="s">
        <v>28</v>
      </c>
      <c r="D4" s="25" t="s">
        <v>42</v>
      </c>
      <c r="E4" s="27">
        <v>43442</v>
      </c>
      <c r="F4" s="24"/>
      <c r="G4" s="24"/>
      <c r="H4" s="29"/>
      <c r="I4" s="31">
        <v>43477</v>
      </c>
      <c r="J4" s="33" t="s">
        <v>122</v>
      </c>
      <c r="K4" s="15" t="s">
        <v>124</v>
      </c>
      <c r="L4" s="16"/>
      <c r="M4" s="35"/>
      <c r="N4" s="16"/>
      <c r="O4" s="37" t="s">
        <v>128</v>
      </c>
      <c r="P4" s="15" t="s">
        <v>141</v>
      </c>
      <c r="Q4" s="15" t="s">
        <v>142</v>
      </c>
      <c r="R4" s="15" t="s">
        <v>143</v>
      </c>
      <c r="S4" s="16"/>
      <c r="T4" s="16"/>
      <c r="U4" s="16"/>
      <c r="V4" s="37" t="s">
        <v>144</v>
      </c>
      <c r="W4" s="16"/>
      <c r="X4" s="16"/>
      <c r="Y4" s="16"/>
      <c r="Z4" s="35"/>
      <c r="AA4" s="16"/>
      <c r="AB4" s="15" t="s">
        <v>146</v>
      </c>
      <c r="AC4" s="15" t="s">
        <v>148</v>
      </c>
      <c r="AD4" s="16"/>
      <c r="AE4" s="16"/>
      <c r="AF4" s="40"/>
      <c r="AG4" s="16"/>
      <c r="AH4" s="16"/>
      <c r="AI4" s="16"/>
      <c r="AJ4" s="35"/>
      <c r="AK4" s="41"/>
      <c r="AL4" s="43"/>
      <c r="AM4" s="43"/>
      <c r="AN4" s="43"/>
      <c r="AO4" s="45"/>
      <c r="AP4" s="41"/>
      <c r="AQ4" s="43"/>
      <c r="AR4" s="43"/>
      <c r="AS4" s="43"/>
      <c r="AT4" s="45"/>
      <c r="AU4" s="41"/>
      <c r="AV4" s="43"/>
      <c r="AW4" s="43"/>
      <c r="AX4" s="43"/>
      <c r="AY4" s="45"/>
      <c r="AZ4" s="41"/>
      <c r="BA4" s="43"/>
      <c r="BB4" s="43"/>
      <c r="BC4" s="43"/>
      <c r="BD4" s="45"/>
      <c r="BE4" s="41"/>
      <c r="BF4" s="43"/>
      <c r="BG4" s="43"/>
      <c r="BH4" s="43"/>
      <c r="BI4" s="45"/>
      <c r="BJ4" s="41"/>
      <c r="BK4" s="43"/>
      <c r="BL4" s="43"/>
      <c r="BM4" s="43"/>
      <c r="BN4" s="45"/>
      <c r="BO4" s="41"/>
      <c r="BP4" s="43"/>
      <c r="BQ4" s="43"/>
      <c r="BR4" s="43"/>
      <c r="BS4" s="45"/>
    </row>
    <row r="5" spans="1:71">
      <c r="A5" s="16"/>
      <c r="B5" s="16" t="s">
        <v>45</v>
      </c>
      <c r="C5" s="16" t="s">
        <v>46</v>
      </c>
      <c r="D5" s="48"/>
      <c r="E5" s="24"/>
      <c r="F5" s="24"/>
      <c r="G5" s="24"/>
      <c r="H5" s="29"/>
      <c r="I5" s="37" t="s">
        <v>225</v>
      </c>
      <c r="J5" s="16"/>
      <c r="K5" s="16"/>
      <c r="L5" s="16"/>
      <c r="M5" s="35"/>
      <c r="N5" s="16"/>
      <c r="O5" s="40"/>
      <c r="P5" s="16"/>
      <c r="Q5" s="16"/>
      <c r="R5" s="16"/>
      <c r="S5" s="16"/>
      <c r="T5" s="16"/>
      <c r="U5" s="16"/>
      <c r="V5" s="37" t="s">
        <v>226</v>
      </c>
      <c r="W5" s="16"/>
      <c r="X5" s="16"/>
      <c r="Y5" s="16"/>
      <c r="Z5" s="35"/>
      <c r="AA5" s="15" t="s">
        <v>227</v>
      </c>
      <c r="AB5" s="15" t="s">
        <v>228</v>
      </c>
      <c r="AC5" s="15" t="s">
        <v>148</v>
      </c>
      <c r="AD5" s="16"/>
      <c r="AE5" s="16"/>
      <c r="AF5" s="137">
        <v>43594</v>
      </c>
      <c r="AG5" s="136">
        <v>43601</v>
      </c>
      <c r="AH5" s="142">
        <v>43608</v>
      </c>
      <c r="AI5" s="16"/>
      <c r="AJ5" s="35"/>
      <c r="AK5" s="41"/>
      <c r="AL5" s="43"/>
      <c r="AM5" s="43"/>
      <c r="AN5" s="43"/>
      <c r="AO5" s="45"/>
      <c r="AP5" s="41"/>
      <c r="AQ5" s="43"/>
      <c r="AR5" s="43"/>
      <c r="AS5" s="43"/>
      <c r="AT5" s="45"/>
      <c r="AU5" s="41"/>
      <c r="AV5" s="43"/>
      <c r="AW5" s="43"/>
      <c r="AX5" s="43"/>
      <c r="AY5" s="45"/>
      <c r="AZ5" s="41"/>
      <c r="BA5" s="43"/>
      <c r="BB5" s="43"/>
      <c r="BC5" s="43"/>
      <c r="BD5" s="45"/>
      <c r="BE5" s="41"/>
      <c r="BF5" s="43"/>
      <c r="BG5" s="43"/>
      <c r="BH5" s="43"/>
      <c r="BI5" s="45"/>
      <c r="BJ5" s="41"/>
      <c r="BK5" s="43"/>
      <c r="BL5" s="43"/>
      <c r="BM5" s="43"/>
      <c r="BN5" s="45"/>
      <c r="BO5" s="41"/>
      <c r="BP5" s="43"/>
      <c r="BQ5" s="43"/>
      <c r="BR5" s="43"/>
      <c r="BS5" s="45"/>
    </row>
    <row r="6" spans="1:71" ht="25.5">
      <c r="A6" s="16"/>
      <c r="B6" s="16" t="s">
        <v>52</v>
      </c>
      <c r="C6" s="16" t="s">
        <v>53</v>
      </c>
      <c r="D6" s="37" t="s">
        <v>230</v>
      </c>
      <c r="E6" s="15" t="s">
        <v>231</v>
      </c>
      <c r="F6" s="24"/>
      <c r="G6" s="24"/>
      <c r="H6" s="29"/>
      <c r="I6" s="31">
        <v>43475</v>
      </c>
      <c r="J6" s="15" t="s">
        <v>232</v>
      </c>
      <c r="K6" s="15" t="s">
        <v>222</v>
      </c>
      <c r="L6" s="15" t="s">
        <v>233</v>
      </c>
      <c r="M6" s="35"/>
      <c r="N6" s="16"/>
      <c r="O6" s="37" t="s">
        <v>234</v>
      </c>
      <c r="P6" s="15"/>
      <c r="Q6" s="15" t="s">
        <v>235</v>
      </c>
      <c r="R6" s="16"/>
      <c r="S6" s="16"/>
      <c r="T6" s="16"/>
      <c r="U6" s="16"/>
      <c r="V6" s="37" t="s">
        <v>236</v>
      </c>
      <c r="W6" s="15" t="s">
        <v>238</v>
      </c>
      <c r="X6" s="16"/>
      <c r="Y6" s="16"/>
      <c r="Z6" s="35"/>
      <c r="AA6" s="16"/>
      <c r="AB6" s="16"/>
      <c r="AC6" s="15" t="s">
        <v>148</v>
      </c>
      <c r="AD6" s="15" t="s">
        <v>241</v>
      </c>
      <c r="AE6" s="16"/>
      <c r="AF6" s="137">
        <v>43594</v>
      </c>
      <c r="AG6" s="136">
        <v>43601</v>
      </c>
      <c r="AH6" s="142">
        <v>43608</v>
      </c>
      <c r="AI6" s="16"/>
      <c r="AJ6" s="35"/>
      <c r="AK6" s="41"/>
      <c r="AL6" s="43"/>
      <c r="AM6" s="43"/>
      <c r="AN6" s="43"/>
      <c r="AO6" s="45"/>
      <c r="AP6" s="41"/>
      <c r="AQ6" s="43"/>
      <c r="AR6" s="43"/>
      <c r="AS6" s="43"/>
      <c r="AT6" s="45"/>
      <c r="AU6" s="41"/>
      <c r="AV6" s="43"/>
      <c r="AW6" s="43"/>
      <c r="AX6" s="43"/>
      <c r="AY6" s="45"/>
      <c r="AZ6" s="41"/>
      <c r="BA6" s="43"/>
      <c r="BB6" s="43"/>
      <c r="BC6" s="43"/>
      <c r="BD6" s="45"/>
      <c r="BE6" s="41"/>
      <c r="BF6" s="43"/>
      <c r="BG6" s="43"/>
      <c r="BH6" s="43"/>
      <c r="BI6" s="45"/>
      <c r="BJ6" s="41"/>
      <c r="BK6" s="43"/>
      <c r="BL6" s="43"/>
      <c r="BM6" s="43"/>
      <c r="BN6" s="45"/>
      <c r="BO6" s="41"/>
      <c r="BP6" s="43"/>
      <c r="BQ6" s="43"/>
      <c r="BR6" s="43"/>
      <c r="BS6" s="45"/>
    </row>
    <row r="7" spans="1:71" ht="25.5">
      <c r="A7" s="15" t="s">
        <v>60</v>
      </c>
      <c r="B7" s="16" t="s">
        <v>61</v>
      </c>
      <c r="C7" s="16" t="s">
        <v>62</v>
      </c>
      <c r="D7" s="48"/>
      <c r="E7" s="24"/>
      <c r="F7" s="24"/>
      <c r="G7" s="24"/>
      <c r="H7" s="29"/>
      <c r="I7" s="31">
        <v>43474</v>
      </c>
      <c r="J7" s="33" t="s">
        <v>254</v>
      </c>
      <c r="K7" s="15" t="s">
        <v>255</v>
      </c>
      <c r="L7" s="16"/>
      <c r="M7" s="35"/>
      <c r="N7" s="16"/>
      <c r="O7" s="37" t="s">
        <v>257</v>
      </c>
      <c r="P7" s="37" t="s">
        <v>258</v>
      </c>
      <c r="Q7" s="15" t="s">
        <v>259</v>
      </c>
      <c r="R7" s="15" t="s">
        <v>260</v>
      </c>
      <c r="S7" s="16"/>
      <c r="T7" s="16"/>
      <c r="U7" s="16"/>
      <c r="V7" s="37" t="s">
        <v>263</v>
      </c>
      <c r="W7" s="37" t="s">
        <v>264</v>
      </c>
      <c r="X7" s="15" t="s">
        <v>266</v>
      </c>
      <c r="Y7" s="16"/>
      <c r="Z7" s="35"/>
      <c r="AA7" s="16"/>
      <c r="AB7" s="15" t="s">
        <v>269</v>
      </c>
      <c r="AC7" s="15" t="s">
        <v>270</v>
      </c>
      <c r="AD7" s="16"/>
      <c r="AE7" s="16"/>
      <c r="AF7" s="40"/>
      <c r="AG7" s="16"/>
      <c r="AH7" s="16"/>
      <c r="AI7" s="16"/>
      <c r="AJ7" s="35"/>
      <c r="AK7" s="41"/>
      <c r="AL7" s="43"/>
      <c r="AM7" s="43"/>
      <c r="AN7" s="43"/>
      <c r="AO7" s="45"/>
      <c r="AP7" s="41"/>
      <c r="AQ7" s="43"/>
      <c r="AR7" s="43"/>
      <c r="AS7" s="43"/>
      <c r="AT7" s="45"/>
      <c r="AU7" s="41"/>
      <c r="AV7" s="43"/>
      <c r="AW7" s="43"/>
      <c r="AX7" s="43"/>
      <c r="AY7" s="45"/>
      <c r="AZ7" s="41"/>
      <c r="BA7" s="43"/>
      <c r="BB7" s="43"/>
      <c r="BC7" s="43"/>
      <c r="BD7" s="45"/>
      <c r="BE7" s="41"/>
      <c r="BF7" s="43"/>
      <c r="BG7" s="43"/>
      <c r="BH7" s="43"/>
      <c r="BI7" s="45"/>
      <c r="BJ7" s="41"/>
      <c r="BK7" s="43"/>
      <c r="BL7" s="43"/>
      <c r="BM7" s="43"/>
      <c r="BN7" s="45"/>
      <c r="BO7" s="41"/>
      <c r="BP7" s="43"/>
      <c r="BQ7" s="43"/>
      <c r="BR7" s="43"/>
      <c r="BS7" s="45"/>
    </row>
    <row r="8" spans="1:71" ht="25.5">
      <c r="A8" s="15" t="s">
        <v>68</v>
      </c>
      <c r="B8" s="16" t="s">
        <v>69</v>
      </c>
      <c r="C8" s="16" t="s">
        <v>70</v>
      </c>
      <c r="D8" s="55" t="s">
        <v>288</v>
      </c>
      <c r="E8" s="55">
        <v>43442</v>
      </c>
      <c r="F8" s="36">
        <v>43446</v>
      </c>
      <c r="G8" s="24"/>
      <c r="H8" s="29"/>
      <c r="I8" s="31">
        <v>43477</v>
      </c>
      <c r="J8" s="31">
        <v>43477</v>
      </c>
      <c r="K8" s="31">
        <v>43488</v>
      </c>
      <c r="L8" s="15" t="s">
        <v>124</v>
      </c>
      <c r="M8" s="15" t="s">
        <v>124</v>
      </c>
      <c r="N8" s="15" t="s">
        <v>255</v>
      </c>
      <c r="O8" s="53" t="s">
        <v>141</v>
      </c>
      <c r="P8" s="15" t="s">
        <v>141</v>
      </c>
      <c r="Q8" s="15" t="s">
        <v>142</v>
      </c>
      <c r="R8" s="15" t="s">
        <v>142</v>
      </c>
      <c r="S8" s="16"/>
      <c r="T8" s="16"/>
      <c r="U8" s="16"/>
      <c r="V8" s="40"/>
      <c r="W8" s="16"/>
      <c r="X8" s="57" t="s">
        <v>266</v>
      </c>
      <c r="Y8" s="16"/>
      <c r="Z8" s="35"/>
      <c r="AA8" s="16"/>
      <c r="AB8" s="15" t="s">
        <v>146</v>
      </c>
      <c r="AC8" s="15" t="s">
        <v>148</v>
      </c>
      <c r="AD8" s="16"/>
      <c r="AE8" s="16"/>
      <c r="AF8" s="40"/>
      <c r="AG8" s="16"/>
      <c r="AH8" s="16"/>
      <c r="AI8" s="16"/>
      <c r="AJ8" s="35"/>
      <c r="AK8" s="41"/>
      <c r="AL8" s="43"/>
      <c r="AM8" s="43"/>
      <c r="AN8" s="43"/>
      <c r="AO8" s="45"/>
      <c r="AP8" s="41"/>
      <c r="AQ8" s="43"/>
      <c r="AR8" s="43"/>
      <c r="AS8" s="43"/>
      <c r="AT8" s="45"/>
      <c r="AU8" s="41"/>
      <c r="AV8" s="43"/>
      <c r="AW8" s="43"/>
      <c r="AX8" s="43"/>
      <c r="AY8" s="45"/>
      <c r="AZ8" s="41"/>
      <c r="BA8" s="43"/>
      <c r="BB8" s="43"/>
      <c r="BC8" s="43"/>
      <c r="BD8" s="45"/>
      <c r="BE8" s="41"/>
      <c r="BF8" s="43"/>
      <c r="BG8" s="43"/>
      <c r="BH8" s="43"/>
      <c r="BI8" s="45"/>
      <c r="BJ8" s="41"/>
      <c r="BK8" s="43"/>
      <c r="BL8" s="43"/>
      <c r="BM8" s="43"/>
      <c r="BN8" s="45"/>
      <c r="BO8" s="41"/>
      <c r="BP8" s="43"/>
      <c r="BQ8" s="43"/>
      <c r="BR8" s="43"/>
      <c r="BS8" s="45"/>
    </row>
    <row r="9" spans="1:71">
      <c r="A9" s="15" t="s">
        <v>77</v>
      </c>
      <c r="B9" s="16" t="s">
        <v>78</v>
      </c>
      <c r="C9" s="16" t="s">
        <v>79</v>
      </c>
      <c r="D9" s="55">
        <v>43435</v>
      </c>
      <c r="E9" s="36">
        <v>43441</v>
      </c>
      <c r="F9" s="24"/>
      <c r="G9" s="24"/>
      <c r="H9" s="29"/>
      <c r="I9" s="31">
        <v>43476</v>
      </c>
      <c r="J9" s="15" t="s">
        <v>308</v>
      </c>
      <c r="K9" s="15" t="s">
        <v>122</v>
      </c>
      <c r="L9" s="16"/>
      <c r="M9" s="35"/>
      <c r="N9" s="16"/>
      <c r="O9" s="37" t="s">
        <v>128</v>
      </c>
      <c r="P9" s="15" t="s">
        <v>312</v>
      </c>
      <c r="Q9" s="15" t="s">
        <v>314</v>
      </c>
      <c r="R9" s="15" t="s">
        <v>316</v>
      </c>
      <c r="S9" s="16"/>
      <c r="T9" s="16"/>
      <c r="U9" s="16"/>
      <c r="V9" s="37" t="s">
        <v>319</v>
      </c>
      <c r="W9" s="37" t="s">
        <v>320</v>
      </c>
      <c r="X9" s="15" t="s">
        <v>322</v>
      </c>
      <c r="Y9" s="15" t="s">
        <v>323</v>
      </c>
      <c r="Z9" s="35"/>
      <c r="AA9" s="15" t="s">
        <v>324</v>
      </c>
      <c r="AB9" s="15" t="s">
        <v>325</v>
      </c>
      <c r="AC9" s="15" t="s">
        <v>326</v>
      </c>
      <c r="AD9" s="16"/>
      <c r="AE9" s="16"/>
      <c r="AF9" s="40"/>
      <c r="AG9" s="16"/>
      <c r="AH9" s="16"/>
      <c r="AI9" s="16"/>
      <c r="AJ9" s="35"/>
      <c r="AK9" s="41"/>
      <c r="AL9" s="43"/>
      <c r="AM9" s="43"/>
      <c r="AN9" s="43"/>
      <c r="AO9" s="45"/>
      <c r="AP9" s="41"/>
      <c r="AQ9" s="43"/>
      <c r="AR9" s="43"/>
      <c r="AS9" s="43"/>
      <c r="AT9" s="45"/>
      <c r="AU9" s="41"/>
      <c r="AV9" s="43"/>
      <c r="AW9" s="43"/>
      <c r="AX9" s="43"/>
      <c r="AY9" s="45"/>
      <c r="AZ9" s="41"/>
      <c r="BA9" s="43"/>
      <c r="BB9" s="43"/>
      <c r="BC9" s="43"/>
      <c r="BD9" s="45"/>
      <c r="BE9" s="41"/>
      <c r="BF9" s="43"/>
      <c r="BG9" s="43"/>
      <c r="BH9" s="43"/>
      <c r="BI9" s="45"/>
      <c r="BJ9" s="41"/>
      <c r="BK9" s="43"/>
      <c r="BL9" s="43"/>
      <c r="BM9" s="43"/>
      <c r="BN9" s="45"/>
      <c r="BO9" s="41"/>
      <c r="BP9" s="43"/>
      <c r="BQ9" s="43"/>
      <c r="BR9" s="43"/>
      <c r="BS9" s="45"/>
    </row>
    <row r="10" spans="1:71">
      <c r="A10" s="15" t="s">
        <v>85</v>
      </c>
      <c r="B10" s="16" t="s">
        <v>86</v>
      </c>
      <c r="C10" s="16" t="s">
        <v>87</v>
      </c>
      <c r="D10" s="55">
        <v>43435</v>
      </c>
      <c r="E10" s="36">
        <v>43442</v>
      </c>
      <c r="F10" s="36">
        <v>43453</v>
      </c>
      <c r="G10" s="24"/>
      <c r="H10" s="29"/>
      <c r="I10" s="31">
        <v>43474</v>
      </c>
      <c r="J10" s="37" t="s">
        <v>254</v>
      </c>
      <c r="K10" s="31">
        <v>43488</v>
      </c>
      <c r="L10" s="16"/>
      <c r="M10" s="35"/>
      <c r="N10" s="16"/>
      <c r="O10" s="37" t="s">
        <v>341</v>
      </c>
      <c r="P10" s="15" t="s">
        <v>258</v>
      </c>
      <c r="Q10" s="15" t="s">
        <v>259</v>
      </c>
      <c r="R10" s="15" t="s">
        <v>260</v>
      </c>
      <c r="S10" s="16"/>
      <c r="T10" s="16"/>
      <c r="U10" s="16"/>
      <c r="V10" s="37" t="s">
        <v>263</v>
      </c>
      <c r="W10" s="57" t="s">
        <v>264</v>
      </c>
      <c r="X10" s="16"/>
      <c r="Y10" s="16"/>
      <c r="Z10" s="35"/>
      <c r="AA10" s="15" t="s">
        <v>269</v>
      </c>
      <c r="AB10" s="15" t="s">
        <v>270</v>
      </c>
      <c r="AC10" s="15"/>
      <c r="AD10" s="16"/>
      <c r="AE10" s="16"/>
      <c r="AF10" s="40"/>
      <c r="AG10" s="162">
        <v>43600</v>
      </c>
      <c r="AH10" s="16"/>
      <c r="AI10" s="162">
        <v>43614</v>
      </c>
      <c r="AJ10" s="35"/>
      <c r="AK10" s="41"/>
      <c r="AL10" s="43"/>
      <c r="AM10" s="43"/>
      <c r="AN10" s="43"/>
      <c r="AO10" s="45"/>
      <c r="AP10" s="41"/>
      <c r="AQ10" s="43"/>
      <c r="AR10" s="43"/>
      <c r="AS10" s="43"/>
      <c r="AT10" s="45"/>
      <c r="AU10" s="41"/>
      <c r="AV10" s="43"/>
      <c r="AW10" s="43"/>
      <c r="AX10" s="43"/>
      <c r="AY10" s="45"/>
      <c r="AZ10" s="41"/>
      <c r="BA10" s="43"/>
      <c r="BB10" s="43"/>
      <c r="BC10" s="43"/>
      <c r="BD10" s="45"/>
      <c r="BE10" s="41"/>
      <c r="BF10" s="43"/>
      <c r="BG10" s="43"/>
      <c r="BH10" s="43"/>
      <c r="BI10" s="45"/>
      <c r="BJ10" s="41"/>
      <c r="BK10" s="43"/>
      <c r="BL10" s="43"/>
      <c r="BM10" s="43"/>
      <c r="BN10" s="45"/>
      <c r="BO10" s="41"/>
      <c r="BP10" s="43"/>
      <c r="BQ10" s="43"/>
      <c r="BR10" s="43"/>
      <c r="BS10" s="45"/>
    </row>
    <row r="11" spans="1:71">
      <c r="A11" s="15" t="s">
        <v>93</v>
      </c>
      <c r="B11" s="16" t="s">
        <v>94</v>
      </c>
      <c r="C11" s="16" t="s">
        <v>95</v>
      </c>
      <c r="D11" s="55">
        <v>43438</v>
      </c>
      <c r="E11" s="36">
        <v>43446</v>
      </c>
      <c r="F11" s="24"/>
      <c r="G11" s="24"/>
      <c r="H11" s="29"/>
      <c r="I11" s="31">
        <v>43474</v>
      </c>
      <c r="J11" s="37" t="s">
        <v>254</v>
      </c>
      <c r="K11" s="15" t="s">
        <v>353</v>
      </c>
      <c r="L11" s="16"/>
      <c r="M11" s="35"/>
      <c r="N11" s="16"/>
      <c r="O11" s="37" t="s">
        <v>354</v>
      </c>
      <c r="P11" s="16"/>
      <c r="Q11" s="16"/>
      <c r="R11" s="16"/>
      <c r="S11" s="16"/>
      <c r="T11" s="16"/>
      <c r="U11" s="16"/>
      <c r="V11" s="40"/>
      <c r="W11" s="16"/>
      <c r="X11" s="16"/>
      <c r="Y11" s="16"/>
      <c r="Z11" s="35"/>
      <c r="AA11" s="15" t="s">
        <v>269</v>
      </c>
      <c r="AB11" s="16"/>
      <c r="AC11" s="15" t="s">
        <v>270</v>
      </c>
      <c r="AD11" s="16"/>
      <c r="AE11" s="16"/>
      <c r="AF11" s="40"/>
      <c r="AG11" s="16"/>
      <c r="AH11" s="16"/>
      <c r="AI11" s="16"/>
      <c r="AJ11" s="35"/>
      <c r="AK11" s="41"/>
      <c r="AL11" s="43"/>
      <c r="AM11" s="43"/>
      <c r="AN11" s="43"/>
      <c r="AO11" s="45"/>
      <c r="AP11" s="41"/>
      <c r="AQ11" s="43"/>
      <c r="AR11" s="43"/>
      <c r="AS11" s="43"/>
      <c r="AT11" s="45"/>
      <c r="AU11" s="41"/>
      <c r="AV11" s="43"/>
      <c r="AW11" s="43"/>
      <c r="AX11" s="43"/>
      <c r="AY11" s="45"/>
      <c r="AZ11" s="41"/>
      <c r="BA11" s="43"/>
      <c r="BB11" s="43"/>
      <c r="BC11" s="43"/>
      <c r="BD11" s="45"/>
      <c r="BE11" s="41"/>
      <c r="BF11" s="43"/>
      <c r="BG11" s="43"/>
      <c r="BH11" s="43"/>
      <c r="BI11" s="45"/>
      <c r="BJ11" s="41"/>
      <c r="BK11" s="43"/>
      <c r="BL11" s="43"/>
      <c r="BM11" s="43"/>
      <c r="BN11" s="45"/>
      <c r="BO11" s="41"/>
      <c r="BP11" s="43"/>
      <c r="BQ11" s="43"/>
      <c r="BR11" s="43"/>
      <c r="BS11" s="45"/>
    </row>
    <row r="12" spans="1:71">
      <c r="A12" s="15" t="s">
        <v>101</v>
      </c>
      <c r="B12" s="16" t="s">
        <v>102</v>
      </c>
      <c r="C12" s="16" t="s">
        <v>103</v>
      </c>
      <c r="D12" s="55">
        <v>43440</v>
      </c>
      <c r="E12" s="36">
        <v>43447</v>
      </c>
      <c r="F12" s="36">
        <v>43454</v>
      </c>
      <c r="G12" s="36">
        <v>43455</v>
      </c>
      <c r="H12" s="29"/>
      <c r="I12" s="37" t="s">
        <v>225</v>
      </c>
      <c r="J12" s="15" t="s">
        <v>232</v>
      </c>
      <c r="K12" s="15" t="s">
        <v>222</v>
      </c>
      <c r="L12" s="15" t="s">
        <v>233</v>
      </c>
      <c r="M12" s="35"/>
      <c r="N12" s="16"/>
      <c r="O12" s="37" t="s">
        <v>234</v>
      </c>
      <c r="P12" s="16"/>
      <c r="Q12" s="16"/>
      <c r="R12" s="16"/>
      <c r="S12" s="16"/>
      <c r="T12" s="16"/>
      <c r="U12" s="16"/>
      <c r="V12" s="37" t="s">
        <v>236</v>
      </c>
      <c r="W12" s="15" t="s">
        <v>238</v>
      </c>
      <c r="X12" s="15" t="s">
        <v>361</v>
      </c>
      <c r="Y12" s="15" t="s">
        <v>362</v>
      </c>
      <c r="Z12" s="35"/>
      <c r="AA12" s="16"/>
      <c r="AB12" s="16"/>
      <c r="AC12" s="15" t="s">
        <v>148</v>
      </c>
      <c r="AD12" s="15" t="s">
        <v>241</v>
      </c>
      <c r="AE12" s="16"/>
      <c r="AF12" s="55">
        <v>43594</v>
      </c>
      <c r="AG12" s="136">
        <v>43601</v>
      </c>
      <c r="AH12" s="136">
        <v>43602</v>
      </c>
      <c r="AI12" s="136">
        <v>43602</v>
      </c>
      <c r="AJ12" s="35"/>
      <c r="AK12" s="41"/>
      <c r="AL12" s="43"/>
      <c r="AM12" s="43"/>
      <c r="AN12" s="43"/>
      <c r="AO12" s="45"/>
      <c r="AP12" s="41"/>
      <c r="AQ12" s="43"/>
      <c r="AR12" s="43"/>
      <c r="AS12" s="43"/>
      <c r="AT12" s="45"/>
      <c r="AU12" s="41"/>
      <c r="AV12" s="43"/>
      <c r="AW12" s="43"/>
      <c r="AX12" s="43"/>
      <c r="AY12" s="45"/>
      <c r="AZ12" s="41"/>
      <c r="BA12" s="43"/>
      <c r="BB12" s="43"/>
      <c r="BC12" s="43"/>
      <c r="BD12" s="45"/>
      <c r="BE12" s="41"/>
      <c r="BF12" s="43"/>
      <c r="BG12" s="43"/>
      <c r="BH12" s="43"/>
      <c r="BI12" s="45"/>
      <c r="BJ12" s="41"/>
      <c r="BK12" s="43"/>
      <c r="BL12" s="43"/>
      <c r="BM12" s="43"/>
      <c r="BN12" s="45"/>
      <c r="BO12" s="41"/>
      <c r="BP12" s="43"/>
      <c r="BQ12" s="43"/>
      <c r="BR12" s="43"/>
      <c r="BS12" s="45"/>
    </row>
    <row r="13" spans="1:71">
      <c r="A13" s="15" t="s">
        <v>107</v>
      </c>
      <c r="B13" s="16" t="s">
        <v>108</v>
      </c>
      <c r="C13" s="16" t="s">
        <v>109</v>
      </c>
      <c r="D13" s="55">
        <v>43440</v>
      </c>
      <c r="E13" s="36">
        <v>43447</v>
      </c>
      <c r="F13" s="36">
        <v>43454</v>
      </c>
      <c r="G13" s="24"/>
      <c r="H13" s="29"/>
      <c r="I13" s="37" t="s">
        <v>225</v>
      </c>
      <c r="J13" s="16"/>
      <c r="K13" s="16"/>
      <c r="L13" s="16"/>
      <c r="M13" s="35"/>
      <c r="N13" s="16"/>
      <c r="O13" s="40"/>
      <c r="P13" s="16"/>
      <c r="Q13" s="16"/>
      <c r="R13" s="16"/>
      <c r="S13" s="16"/>
      <c r="T13" s="16"/>
      <c r="U13" s="16"/>
      <c r="V13" s="40"/>
      <c r="W13" s="16"/>
      <c r="X13" s="16"/>
      <c r="Y13" s="16"/>
      <c r="Z13" s="35"/>
      <c r="AA13" s="16"/>
      <c r="AB13" s="15" t="s">
        <v>228</v>
      </c>
      <c r="AC13" s="15" t="s">
        <v>148</v>
      </c>
      <c r="AD13" s="16"/>
      <c r="AE13" s="16"/>
      <c r="AF13" s="55">
        <v>43594</v>
      </c>
      <c r="AG13" s="136">
        <v>43601</v>
      </c>
      <c r="AH13" s="16"/>
      <c r="AI13" s="16"/>
      <c r="AJ13" s="35"/>
      <c r="AK13" s="41"/>
      <c r="AL13" s="43"/>
      <c r="AM13" s="43"/>
      <c r="AN13" s="43"/>
      <c r="AO13" s="45"/>
      <c r="AP13" s="41"/>
      <c r="AQ13" s="43"/>
      <c r="AR13" s="43"/>
      <c r="AS13" s="43"/>
      <c r="AT13" s="45"/>
      <c r="AU13" s="41"/>
      <c r="AV13" s="43"/>
      <c r="AW13" s="43"/>
      <c r="AX13" s="43"/>
      <c r="AY13" s="45"/>
      <c r="AZ13" s="41"/>
      <c r="BA13" s="43"/>
      <c r="BB13" s="43"/>
      <c r="BC13" s="43"/>
      <c r="BD13" s="45"/>
      <c r="BE13" s="41"/>
      <c r="BF13" s="43"/>
      <c r="BG13" s="43"/>
      <c r="BH13" s="43"/>
      <c r="BI13" s="45"/>
      <c r="BJ13" s="41"/>
      <c r="BK13" s="43"/>
      <c r="BL13" s="43"/>
      <c r="BM13" s="43"/>
      <c r="BN13" s="45"/>
      <c r="BO13" s="41"/>
      <c r="BP13" s="43"/>
      <c r="BQ13" s="43"/>
      <c r="BR13" s="43"/>
      <c r="BS13" s="45"/>
    </row>
    <row r="14" spans="1:71" ht="25.5">
      <c r="A14" s="15" t="s">
        <v>114</v>
      </c>
      <c r="B14" s="16" t="s">
        <v>115</v>
      </c>
      <c r="C14" s="16" t="s">
        <v>116</v>
      </c>
      <c r="D14" s="55">
        <v>43439</v>
      </c>
      <c r="E14" s="36">
        <v>43446</v>
      </c>
      <c r="F14" s="36">
        <v>43453</v>
      </c>
      <c r="G14" s="24"/>
      <c r="H14" s="29"/>
      <c r="I14" s="33" t="s">
        <v>254</v>
      </c>
      <c r="J14" s="16"/>
      <c r="K14" s="16"/>
      <c r="L14" s="16"/>
      <c r="M14" s="35"/>
      <c r="N14" s="16"/>
      <c r="O14" s="40"/>
      <c r="P14" s="16"/>
      <c r="Q14" s="16"/>
      <c r="R14" s="16"/>
      <c r="S14" s="16"/>
      <c r="T14" s="16"/>
      <c r="U14" s="16"/>
      <c r="V14" s="40"/>
      <c r="W14" s="16"/>
      <c r="X14" s="16"/>
      <c r="Y14" s="16"/>
      <c r="Z14" s="35"/>
      <c r="AA14" s="142">
        <v>43558</v>
      </c>
      <c r="AB14" s="141" t="s">
        <v>269</v>
      </c>
      <c r="AC14" s="16"/>
      <c r="AD14" s="16"/>
      <c r="AE14" s="16"/>
      <c r="AF14" s="55">
        <v>43592</v>
      </c>
      <c r="AG14" s="16"/>
      <c r="AH14" s="16"/>
      <c r="AI14" s="16"/>
      <c r="AJ14" s="35"/>
      <c r="AK14" s="41"/>
      <c r="AL14" s="43"/>
      <c r="AM14" s="43"/>
      <c r="AN14" s="43"/>
      <c r="AO14" s="45"/>
      <c r="AP14" s="41"/>
      <c r="AQ14" s="43"/>
      <c r="AR14" s="43"/>
      <c r="AS14" s="43"/>
      <c r="AT14" s="45"/>
      <c r="AU14" s="41"/>
      <c r="AV14" s="43"/>
      <c r="AW14" s="43"/>
      <c r="AX14" s="43"/>
      <c r="AY14" s="45"/>
      <c r="AZ14" s="41"/>
      <c r="BA14" s="43"/>
      <c r="BB14" s="43"/>
      <c r="BC14" s="43"/>
      <c r="BD14" s="45"/>
      <c r="BE14" s="41"/>
      <c r="BF14" s="43"/>
      <c r="BG14" s="43"/>
      <c r="BH14" s="43"/>
      <c r="BI14" s="45"/>
      <c r="BJ14" s="41"/>
      <c r="BK14" s="43"/>
      <c r="BL14" s="43"/>
      <c r="BM14" s="43"/>
      <c r="BN14" s="45"/>
      <c r="BO14" s="41"/>
      <c r="BP14" s="43"/>
      <c r="BQ14" s="43"/>
      <c r="BR14" s="43"/>
      <c r="BS14" s="45"/>
    </row>
    <row r="15" spans="1:71">
      <c r="A15" s="15"/>
      <c r="B15" s="15" t="s">
        <v>343</v>
      </c>
      <c r="C15" s="15" t="s">
        <v>119</v>
      </c>
      <c r="D15" s="55"/>
      <c r="E15" s="36"/>
      <c r="F15" s="24"/>
      <c r="G15" s="24"/>
      <c r="H15" s="29"/>
      <c r="I15" s="55"/>
      <c r="J15" s="36"/>
      <c r="K15" s="16"/>
      <c r="L15" s="16"/>
      <c r="M15" s="35"/>
      <c r="N15" s="16"/>
      <c r="O15" s="37" t="s">
        <v>233</v>
      </c>
      <c r="P15" s="37" t="s">
        <v>372</v>
      </c>
      <c r="Q15" s="15" t="s">
        <v>141</v>
      </c>
      <c r="R15" s="15" t="s">
        <v>258</v>
      </c>
      <c r="S15" s="15" t="s">
        <v>234</v>
      </c>
      <c r="T15" s="15" t="s">
        <v>373</v>
      </c>
      <c r="U15" s="15" t="s">
        <v>143</v>
      </c>
      <c r="V15" s="37" t="s">
        <v>374</v>
      </c>
      <c r="W15" s="15" t="s">
        <v>375</v>
      </c>
      <c r="X15" s="15" t="s">
        <v>376</v>
      </c>
      <c r="Y15" s="15" t="s">
        <v>362</v>
      </c>
      <c r="Z15" s="35"/>
      <c r="AA15" s="15" t="s">
        <v>227</v>
      </c>
      <c r="AB15" s="15" t="s">
        <v>378</v>
      </c>
      <c r="AC15" s="15" t="s">
        <v>228</v>
      </c>
      <c r="AD15" s="16"/>
      <c r="AE15" s="16"/>
      <c r="AF15" s="55">
        <v>43594</v>
      </c>
      <c r="AG15" s="136">
        <v>43601</v>
      </c>
      <c r="AH15" s="142">
        <v>43608</v>
      </c>
      <c r="AI15" s="16"/>
      <c r="AJ15" s="35"/>
      <c r="AK15" s="41"/>
      <c r="AL15" s="43"/>
      <c r="AM15" s="43"/>
      <c r="AN15" s="43"/>
      <c r="AO15" s="45"/>
      <c r="AP15" s="41"/>
      <c r="AQ15" s="43"/>
      <c r="AR15" s="43"/>
      <c r="AS15" s="43"/>
      <c r="AT15" s="45"/>
      <c r="AU15" s="41"/>
      <c r="AV15" s="43"/>
      <c r="AW15" s="43"/>
      <c r="AX15" s="43"/>
      <c r="AY15" s="45"/>
      <c r="AZ15" s="41"/>
      <c r="BA15" s="43"/>
      <c r="BB15" s="43"/>
      <c r="BC15" s="43"/>
      <c r="BD15" s="45"/>
      <c r="BE15" s="41"/>
      <c r="BF15" s="43"/>
      <c r="BG15" s="43"/>
      <c r="BH15" s="43"/>
      <c r="BI15" s="45"/>
      <c r="BJ15" s="41"/>
      <c r="BK15" s="43"/>
      <c r="BL15" s="43"/>
      <c r="BM15" s="43"/>
      <c r="BN15" s="45"/>
      <c r="BO15" s="41"/>
      <c r="BP15" s="43"/>
      <c r="BQ15" s="43"/>
      <c r="BR15" s="43"/>
      <c r="BS15" s="45"/>
    </row>
    <row r="16" spans="1:71" ht="25.5">
      <c r="A16" s="16"/>
      <c r="B16" s="16" t="s">
        <v>129</v>
      </c>
      <c r="C16" s="16" t="s">
        <v>130</v>
      </c>
      <c r="D16" s="55">
        <v>43439</v>
      </c>
      <c r="E16" s="36">
        <v>43446</v>
      </c>
      <c r="F16" s="24"/>
      <c r="G16" s="24"/>
      <c r="H16" s="29"/>
      <c r="I16" s="31">
        <v>43474</v>
      </c>
      <c r="J16" s="31">
        <v>43475</v>
      </c>
      <c r="K16" s="68">
        <v>43482</v>
      </c>
      <c r="L16" s="31">
        <v>43488</v>
      </c>
      <c r="M16" s="35"/>
      <c r="N16" s="16"/>
      <c r="O16" s="37" t="s">
        <v>372</v>
      </c>
      <c r="P16" s="15" t="s">
        <v>234</v>
      </c>
      <c r="Q16" s="15" t="s">
        <v>259</v>
      </c>
      <c r="R16" s="15" t="s">
        <v>260</v>
      </c>
      <c r="S16" s="16"/>
      <c r="T16" s="16"/>
      <c r="U16" s="16"/>
      <c r="V16" s="37" t="s">
        <v>236</v>
      </c>
      <c r="W16" s="37" t="s">
        <v>264</v>
      </c>
      <c r="X16" s="15" t="s">
        <v>266</v>
      </c>
      <c r="Y16" s="15" t="s">
        <v>397</v>
      </c>
      <c r="Z16" s="35"/>
      <c r="AA16" s="57" t="s">
        <v>398</v>
      </c>
      <c r="AB16" s="15" t="s">
        <v>378</v>
      </c>
      <c r="AC16" s="16"/>
      <c r="AD16" s="16"/>
      <c r="AE16" s="16"/>
      <c r="AF16" s="55">
        <v>43594</v>
      </c>
      <c r="AG16" s="16"/>
      <c r="AH16" s="16"/>
      <c r="AI16" s="16"/>
      <c r="AJ16" s="35"/>
      <c r="AK16" s="41"/>
      <c r="AL16" s="43"/>
      <c r="AM16" s="43"/>
      <c r="AN16" s="43"/>
      <c r="AO16" s="45"/>
      <c r="AP16" s="41"/>
      <c r="AQ16" s="43"/>
      <c r="AR16" s="43"/>
      <c r="AS16" s="43"/>
      <c r="AT16" s="45"/>
      <c r="AU16" s="41"/>
      <c r="AV16" s="43"/>
      <c r="AW16" s="43"/>
      <c r="AX16" s="43"/>
      <c r="AY16" s="45"/>
      <c r="AZ16" s="41"/>
      <c r="BA16" s="43"/>
      <c r="BB16" s="43"/>
      <c r="BC16" s="43"/>
      <c r="BD16" s="45"/>
      <c r="BE16" s="41"/>
      <c r="BF16" s="43"/>
      <c r="BG16" s="43"/>
      <c r="BH16" s="43"/>
      <c r="BI16" s="45"/>
      <c r="BJ16" s="41"/>
      <c r="BK16" s="43"/>
      <c r="BL16" s="43"/>
      <c r="BM16" s="43"/>
      <c r="BN16" s="45"/>
      <c r="BO16" s="41"/>
      <c r="BP16" s="43"/>
      <c r="BQ16" s="43"/>
      <c r="BR16" s="43"/>
      <c r="BS16" s="45"/>
    </row>
    <row r="17" spans="1:71">
      <c r="A17" s="16"/>
      <c r="B17" s="16" t="s">
        <v>137</v>
      </c>
      <c r="C17" s="16" t="s">
        <v>138</v>
      </c>
      <c r="D17" s="55">
        <v>43435</v>
      </c>
      <c r="E17" s="36">
        <v>43453</v>
      </c>
      <c r="F17" s="24"/>
      <c r="G17" s="24"/>
      <c r="H17" s="29"/>
      <c r="I17" s="31">
        <v>43474</v>
      </c>
      <c r="J17" s="37" t="s">
        <v>254</v>
      </c>
      <c r="K17" s="16"/>
      <c r="L17" s="16"/>
      <c r="M17" s="35"/>
      <c r="N17" s="16"/>
      <c r="O17" s="37" t="s">
        <v>341</v>
      </c>
      <c r="P17" s="15" t="s">
        <v>258</v>
      </c>
      <c r="Q17" s="15" t="s">
        <v>259</v>
      </c>
      <c r="R17" s="16"/>
      <c r="S17" s="16"/>
      <c r="T17" s="16"/>
      <c r="U17" s="16"/>
      <c r="V17" s="40"/>
      <c r="W17" s="57" t="s">
        <v>264</v>
      </c>
      <c r="X17" s="15" t="s">
        <v>266</v>
      </c>
      <c r="Y17" s="16"/>
      <c r="Z17" s="35"/>
      <c r="AA17" s="15" t="s">
        <v>360</v>
      </c>
      <c r="AB17" s="15" t="s">
        <v>378</v>
      </c>
      <c r="AC17" s="15" t="s">
        <v>270</v>
      </c>
      <c r="AD17" s="16"/>
      <c r="AE17" s="16"/>
      <c r="AF17" s="138">
        <v>43593</v>
      </c>
      <c r="AG17" s="16"/>
      <c r="AH17" s="162">
        <v>43614</v>
      </c>
      <c r="AI17" s="16"/>
      <c r="AJ17" s="35"/>
      <c r="AK17" s="41"/>
      <c r="AL17" s="43"/>
      <c r="AM17" s="43"/>
      <c r="AN17" s="43"/>
      <c r="AO17" s="45"/>
      <c r="AP17" s="41"/>
      <c r="AQ17" s="43"/>
      <c r="AR17" s="43"/>
      <c r="AS17" s="43"/>
      <c r="AT17" s="45"/>
      <c r="AU17" s="41"/>
      <c r="AV17" s="43"/>
      <c r="AW17" s="43"/>
      <c r="AX17" s="43"/>
      <c r="AY17" s="45"/>
      <c r="AZ17" s="41"/>
      <c r="BA17" s="43"/>
      <c r="BB17" s="43"/>
      <c r="BC17" s="43"/>
      <c r="BD17" s="45"/>
      <c r="BE17" s="41"/>
      <c r="BF17" s="43"/>
      <c r="BG17" s="43"/>
      <c r="BH17" s="43"/>
      <c r="BI17" s="45"/>
      <c r="BJ17" s="41"/>
      <c r="BK17" s="43"/>
      <c r="BL17" s="43"/>
      <c r="BM17" s="43"/>
      <c r="BN17" s="45"/>
      <c r="BO17" s="41"/>
      <c r="BP17" s="43"/>
      <c r="BQ17" s="43"/>
      <c r="BR17" s="43"/>
      <c r="BS17" s="45"/>
    </row>
    <row r="18" spans="1:71">
      <c r="A18" s="16"/>
      <c r="B18" s="16" t="s">
        <v>147</v>
      </c>
      <c r="C18" s="16" t="s">
        <v>149</v>
      </c>
      <c r="D18" s="55">
        <v>43439</v>
      </c>
      <c r="E18" s="36">
        <v>43446</v>
      </c>
      <c r="F18" s="24"/>
      <c r="G18" s="24"/>
      <c r="H18" s="29"/>
      <c r="I18" s="33" t="s">
        <v>254</v>
      </c>
      <c r="J18" s="15" t="s">
        <v>255</v>
      </c>
      <c r="K18" s="16"/>
      <c r="L18" s="16"/>
      <c r="M18" s="35"/>
      <c r="N18" s="16"/>
      <c r="O18" s="37" t="s">
        <v>257</v>
      </c>
      <c r="P18" s="15" t="s">
        <v>260</v>
      </c>
      <c r="Q18" s="16"/>
      <c r="R18" s="16"/>
      <c r="S18" s="16"/>
      <c r="T18" s="16"/>
      <c r="U18" s="16"/>
      <c r="V18" s="37" t="s">
        <v>264</v>
      </c>
      <c r="W18" s="16"/>
      <c r="X18" s="16"/>
      <c r="Y18" s="16"/>
      <c r="Z18" s="35"/>
      <c r="AA18" s="15" t="s">
        <v>378</v>
      </c>
      <c r="AB18" s="15" t="s">
        <v>269</v>
      </c>
      <c r="AC18" s="15" t="s">
        <v>270</v>
      </c>
      <c r="AD18" s="16"/>
      <c r="AE18" s="16"/>
      <c r="AF18" s="40"/>
      <c r="AG18" s="16"/>
      <c r="AH18" s="16"/>
      <c r="AI18" s="16"/>
      <c r="AJ18" s="35"/>
      <c r="AK18" s="41"/>
      <c r="AL18" s="43"/>
      <c r="AM18" s="43"/>
      <c r="AN18" s="43"/>
      <c r="AO18" s="45"/>
      <c r="AP18" s="41"/>
      <c r="AQ18" s="43"/>
      <c r="AR18" s="43"/>
      <c r="AS18" s="43"/>
      <c r="AT18" s="45"/>
      <c r="AU18" s="41"/>
      <c r="AV18" s="43"/>
      <c r="AW18" s="43"/>
      <c r="AX18" s="43"/>
      <c r="AY18" s="45"/>
      <c r="AZ18" s="41"/>
      <c r="BA18" s="43"/>
      <c r="BB18" s="43"/>
      <c r="BC18" s="43"/>
      <c r="BD18" s="45"/>
      <c r="BE18" s="41"/>
      <c r="BF18" s="43"/>
      <c r="BG18" s="43"/>
      <c r="BH18" s="43"/>
      <c r="BI18" s="45"/>
      <c r="BJ18" s="41"/>
      <c r="BK18" s="43"/>
      <c r="BL18" s="43"/>
      <c r="BM18" s="43"/>
      <c r="BN18" s="45"/>
      <c r="BO18" s="41"/>
      <c r="BP18" s="43"/>
      <c r="BQ18" s="43"/>
      <c r="BR18" s="43"/>
      <c r="BS18" s="45"/>
    </row>
    <row r="19" spans="1:71" ht="15.75" customHeight="1">
      <c r="A19" s="16"/>
      <c r="B19" s="16" t="s">
        <v>156</v>
      </c>
      <c r="C19" s="16" t="s">
        <v>157</v>
      </c>
      <c r="D19" s="55">
        <v>43440</v>
      </c>
      <c r="E19" s="36">
        <v>43447</v>
      </c>
      <c r="F19" s="36">
        <v>43454</v>
      </c>
      <c r="G19" s="24"/>
      <c r="H19" s="29"/>
      <c r="I19" s="31">
        <v>43475</v>
      </c>
      <c r="J19" s="15" t="s">
        <v>232</v>
      </c>
      <c r="K19" s="31">
        <v>43489</v>
      </c>
      <c r="L19" s="15" t="s">
        <v>233</v>
      </c>
      <c r="M19" s="35"/>
      <c r="N19" s="16"/>
      <c r="O19" s="37" t="s">
        <v>372</v>
      </c>
      <c r="P19" s="15" t="s">
        <v>234</v>
      </c>
      <c r="Q19" s="16"/>
      <c r="R19" s="16"/>
      <c r="S19" s="16"/>
      <c r="T19" s="16"/>
      <c r="U19" s="16"/>
      <c r="V19" s="72" t="s">
        <v>238</v>
      </c>
      <c r="W19" s="15" t="s">
        <v>362</v>
      </c>
      <c r="X19" s="16"/>
      <c r="Y19" s="16"/>
      <c r="Z19" s="35"/>
      <c r="AA19" s="15"/>
      <c r="AB19" s="15" t="s">
        <v>228</v>
      </c>
      <c r="AC19" s="15" t="s">
        <v>148</v>
      </c>
      <c r="AD19" s="16"/>
      <c r="AE19" s="16"/>
      <c r="AF19" s="138">
        <v>43594</v>
      </c>
      <c r="AG19" s="16"/>
      <c r="AH19" s="16"/>
      <c r="AI19" s="16"/>
      <c r="AJ19" s="35"/>
      <c r="AK19" s="41"/>
      <c r="AL19" s="43"/>
      <c r="AM19" s="43"/>
      <c r="AN19" s="43"/>
      <c r="AO19" s="45"/>
      <c r="AP19" s="41"/>
      <c r="AQ19" s="43"/>
      <c r="AR19" s="43"/>
      <c r="AS19" s="43"/>
      <c r="AT19" s="45"/>
      <c r="AU19" s="41"/>
      <c r="AV19" s="43"/>
      <c r="AW19" s="43"/>
      <c r="AX19" s="43"/>
      <c r="AY19" s="45"/>
      <c r="AZ19" s="41"/>
      <c r="BA19" s="43"/>
      <c r="BB19" s="43"/>
      <c r="BC19" s="43"/>
      <c r="BD19" s="45"/>
      <c r="BE19" s="41"/>
      <c r="BF19" s="43"/>
      <c r="BG19" s="43"/>
      <c r="BH19" s="43"/>
      <c r="BI19" s="45"/>
      <c r="BJ19" s="41"/>
      <c r="BK19" s="43"/>
      <c r="BL19" s="43"/>
      <c r="BM19" s="43"/>
      <c r="BN19" s="45"/>
      <c r="BO19" s="41"/>
      <c r="BP19" s="43"/>
      <c r="BQ19" s="43"/>
      <c r="BR19" s="43"/>
      <c r="BS19" s="45"/>
    </row>
    <row r="20" spans="1:71" ht="15.75" customHeight="1">
      <c r="A20" s="16"/>
      <c r="B20" s="16" t="s">
        <v>163</v>
      </c>
      <c r="C20" s="16" t="s">
        <v>164</v>
      </c>
      <c r="D20" s="55">
        <v>43438</v>
      </c>
      <c r="E20" s="36">
        <v>43445</v>
      </c>
      <c r="F20" s="36">
        <v>43454</v>
      </c>
      <c r="G20" s="24"/>
      <c r="H20" s="29"/>
      <c r="I20" s="37" t="s">
        <v>446</v>
      </c>
      <c r="J20" s="15" t="s">
        <v>447</v>
      </c>
      <c r="K20" s="15" t="s">
        <v>254</v>
      </c>
      <c r="L20" s="15" t="s">
        <v>353</v>
      </c>
      <c r="M20" s="75" t="s">
        <v>448</v>
      </c>
      <c r="N20" s="15"/>
      <c r="O20" s="15" t="s">
        <v>449</v>
      </c>
      <c r="P20" s="15" t="s">
        <v>354</v>
      </c>
      <c r="Q20" s="15" t="s">
        <v>450</v>
      </c>
      <c r="R20" s="77" t="s">
        <v>451</v>
      </c>
      <c r="S20" s="16"/>
      <c r="T20" s="16"/>
      <c r="U20" s="16"/>
      <c r="V20" s="37" t="s">
        <v>452</v>
      </c>
      <c r="W20" s="15" t="s">
        <v>453</v>
      </c>
      <c r="X20" s="16"/>
      <c r="Y20" s="16"/>
      <c r="Z20" s="35"/>
      <c r="AA20" s="15" t="s">
        <v>454</v>
      </c>
      <c r="AB20" s="15" t="s">
        <v>455</v>
      </c>
      <c r="AC20" s="15" t="s">
        <v>456</v>
      </c>
      <c r="AD20" s="16"/>
      <c r="AE20" s="16"/>
      <c r="AF20" s="137">
        <v>43592</v>
      </c>
      <c r="AG20" s="136">
        <v>43599</v>
      </c>
      <c r="AH20" s="136">
        <v>43606</v>
      </c>
      <c r="AI20" s="162">
        <v>43613</v>
      </c>
      <c r="AJ20" s="35"/>
      <c r="AK20" s="41"/>
      <c r="AL20" s="43"/>
      <c r="AM20" s="43"/>
      <c r="AN20" s="43"/>
      <c r="AO20" s="45"/>
      <c r="AP20" s="41"/>
      <c r="AQ20" s="43"/>
      <c r="AR20" s="43"/>
      <c r="AS20" s="43"/>
      <c r="AT20" s="45"/>
      <c r="AU20" s="41"/>
      <c r="AV20" s="43"/>
      <c r="AW20" s="43"/>
      <c r="AX20" s="43"/>
      <c r="AY20" s="45"/>
      <c r="AZ20" s="41"/>
      <c r="BA20" s="43"/>
      <c r="BB20" s="43"/>
      <c r="BC20" s="43"/>
      <c r="BD20" s="45"/>
      <c r="BE20" s="41"/>
      <c r="BF20" s="43"/>
      <c r="BG20" s="43"/>
      <c r="BH20" s="43"/>
      <c r="BI20" s="45"/>
      <c r="BJ20" s="41"/>
      <c r="BK20" s="43"/>
      <c r="BL20" s="43"/>
      <c r="BM20" s="43"/>
      <c r="BN20" s="45"/>
      <c r="BO20" s="41"/>
      <c r="BP20" s="43"/>
      <c r="BQ20" s="43"/>
      <c r="BR20" s="43"/>
      <c r="BS20" s="45"/>
    </row>
    <row r="21" spans="1:71" ht="15.75" customHeight="1">
      <c r="A21" s="16"/>
      <c r="B21" s="16" t="s">
        <v>168</v>
      </c>
      <c r="C21" s="16" t="s">
        <v>169</v>
      </c>
      <c r="D21" s="55">
        <v>43439</v>
      </c>
      <c r="E21" s="36">
        <v>43446</v>
      </c>
      <c r="F21" s="36">
        <v>43447</v>
      </c>
      <c r="G21" s="36">
        <v>43453</v>
      </c>
      <c r="H21" s="29"/>
      <c r="I21" s="31">
        <v>43474</v>
      </c>
      <c r="J21" s="31">
        <v>43475</v>
      </c>
      <c r="K21" s="79">
        <v>43482</v>
      </c>
      <c r="L21" s="31">
        <v>43488</v>
      </c>
      <c r="O21" s="72" t="s">
        <v>372</v>
      </c>
      <c r="P21" s="15" t="s">
        <v>234</v>
      </c>
      <c r="Q21" s="15" t="s">
        <v>259</v>
      </c>
      <c r="R21" s="15"/>
      <c r="S21" s="16"/>
      <c r="T21" s="16"/>
      <c r="U21" s="16"/>
      <c r="V21" s="37" t="s">
        <v>263</v>
      </c>
      <c r="W21" s="37" t="s">
        <v>264</v>
      </c>
      <c r="X21" s="15" t="s">
        <v>266</v>
      </c>
      <c r="Y21" s="16"/>
      <c r="Z21" s="35"/>
      <c r="AA21" s="16"/>
      <c r="AB21" s="16"/>
      <c r="AC21" s="16"/>
      <c r="AD21" s="16"/>
      <c r="AE21" s="16"/>
      <c r="AF21" s="137">
        <v>43594</v>
      </c>
      <c r="AG21" s="16"/>
      <c r="AH21" s="16"/>
      <c r="AI21" s="16"/>
      <c r="AJ21" s="35"/>
      <c r="AK21" s="41"/>
      <c r="AL21" s="43"/>
      <c r="AM21" s="43"/>
      <c r="AN21" s="43"/>
      <c r="AO21" s="45"/>
      <c r="AP21" s="41"/>
      <c r="AQ21" s="43"/>
      <c r="AR21" s="43"/>
      <c r="AS21" s="43"/>
      <c r="AT21" s="45"/>
      <c r="AU21" s="41"/>
      <c r="AV21" s="43"/>
      <c r="AW21" s="43"/>
      <c r="AX21" s="43"/>
      <c r="AY21" s="45"/>
      <c r="AZ21" s="41"/>
      <c r="BA21" s="43"/>
      <c r="BB21" s="43"/>
      <c r="BC21" s="43"/>
      <c r="BD21" s="45"/>
      <c r="BE21" s="41"/>
      <c r="BF21" s="43"/>
      <c r="BG21" s="43"/>
      <c r="BH21" s="43"/>
      <c r="BI21" s="45"/>
      <c r="BJ21" s="41"/>
      <c r="BK21" s="43"/>
      <c r="BL21" s="43"/>
      <c r="BM21" s="43"/>
      <c r="BN21" s="45"/>
      <c r="BO21" s="41"/>
      <c r="BP21" s="43"/>
      <c r="BQ21" s="43"/>
      <c r="BR21" s="43"/>
      <c r="BS21" s="45"/>
    </row>
    <row r="22" spans="1:71" ht="15.75" customHeight="1">
      <c r="A22" s="16"/>
      <c r="B22" s="16" t="s">
        <v>174</v>
      </c>
      <c r="C22" s="16" t="s">
        <v>175</v>
      </c>
      <c r="D22" s="55">
        <v>43439</v>
      </c>
      <c r="E22" s="36">
        <v>43446</v>
      </c>
      <c r="F22" s="24"/>
      <c r="G22" s="24"/>
      <c r="H22" s="29"/>
      <c r="I22" s="31">
        <v>43474</v>
      </c>
      <c r="J22" s="33" t="s">
        <v>254</v>
      </c>
      <c r="K22" s="15" t="s">
        <v>255</v>
      </c>
      <c r="L22" s="16"/>
      <c r="M22" s="35"/>
      <c r="N22" s="16"/>
      <c r="O22" s="37" t="s">
        <v>257</v>
      </c>
      <c r="P22" s="15" t="s">
        <v>458</v>
      </c>
      <c r="Q22" s="16"/>
      <c r="R22" s="16"/>
      <c r="S22" s="16"/>
      <c r="T22" s="16"/>
      <c r="U22" s="16"/>
      <c r="V22" s="72" t="s">
        <v>397</v>
      </c>
      <c r="W22" s="16"/>
      <c r="X22" s="16"/>
      <c r="Y22" s="16"/>
      <c r="Z22" s="35"/>
      <c r="AA22" s="57" t="s">
        <v>398</v>
      </c>
      <c r="AB22" s="15" t="s">
        <v>378</v>
      </c>
      <c r="AC22" s="15" t="s">
        <v>270</v>
      </c>
      <c r="AD22" s="16"/>
      <c r="AE22" s="16"/>
      <c r="AF22" s="138">
        <v>43600</v>
      </c>
      <c r="AG22" s="16"/>
      <c r="AH22" s="16"/>
      <c r="AI22" s="16"/>
      <c r="AJ22" s="35"/>
      <c r="AK22" s="41"/>
      <c r="AL22" s="43"/>
      <c r="AM22" s="43"/>
      <c r="AN22" s="43"/>
      <c r="AO22" s="45"/>
      <c r="AP22" s="41"/>
      <c r="AQ22" s="43"/>
      <c r="AR22" s="43"/>
      <c r="AS22" s="43"/>
      <c r="AT22" s="45"/>
      <c r="AU22" s="41"/>
      <c r="AV22" s="43"/>
      <c r="AW22" s="43"/>
      <c r="AX22" s="43"/>
      <c r="AY22" s="45"/>
      <c r="AZ22" s="41"/>
      <c r="BA22" s="43"/>
      <c r="BB22" s="43"/>
      <c r="BC22" s="43"/>
      <c r="BD22" s="45"/>
      <c r="BE22" s="41"/>
      <c r="BF22" s="43"/>
      <c r="BG22" s="43"/>
      <c r="BH22" s="43"/>
      <c r="BI22" s="45"/>
      <c r="BJ22" s="41"/>
      <c r="BK22" s="43"/>
      <c r="BL22" s="43"/>
      <c r="BM22" s="43"/>
      <c r="BN22" s="45"/>
      <c r="BO22" s="41"/>
      <c r="BP22" s="43"/>
      <c r="BQ22" s="43"/>
      <c r="BR22" s="43"/>
      <c r="BS22" s="45"/>
    </row>
    <row r="23" spans="1:71" ht="15.75" customHeight="1">
      <c r="A23" s="16"/>
      <c r="B23" s="16" t="s">
        <v>180</v>
      </c>
      <c r="C23" s="16" t="s">
        <v>181</v>
      </c>
      <c r="D23" s="55">
        <v>43461</v>
      </c>
      <c r="E23" s="36">
        <v>43461</v>
      </c>
      <c r="F23" s="24"/>
      <c r="G23" s="24"/>
      <c r="H23" s="29"/>
      <c r="I23" s="37" t="s">
        <v>465</v>
      </c>
      <c r="J23" s="37" t="s">
        <v>465</v>
      </c>
      <c r="K23" s="16"/>
      <c r="L23" s="16"/>
      <c r="M23" s="35"/>
      <c r="N23" s="16"/>
      <c r="O23" s="40"/>
      <c r="P23" s="16"/>
      <c r="Q23" s="16"/>
      <c r="R23" s="16"/>
      <c r="S23" s="16"/>
      <c r="T23" s="16"/>
      <c r="U23" s="16"/>
      <c r="V23" s="40"/>
      <c r="W23" s="16"/>
      <c r="X23" s="16"/>
      <c r="Y23" s="16"/>
      <c r="Z23" s="35"/>
      <c r="AA23" s="15"/>
      <c r="AB23" s="16"/>
      <c r="AC23" s="16"/>
      <c r="AD23" s="16"/>
      <c r="AE23" s="16"/>
      <c r="AF23" s="40"/>
      <c r="AG23" s="16"/>
      <c r="AH23" s="16"/>
      <c r="AI23" s="16"/>
      <c r="AJ23" s="35"/>
      <c r="AK23" s="41"/>
      <c r="AL23" s="43"/>
      <c r="AM23" s="43"/>
      <c r="AN23" s="43"/>
      <c r="AO23" s="45"/>
      <c r="AP23" s="41"/>
      <c r="AQ23" s="43"/>
      <c r="AR23" s="43"/>
      <c r="AS23" s="43"/>
      <c r="AT23" s="45"/>
      <c r="AU23" s="41"/>
      <c r="AV23" s="43"/>
      <c r="AW23" s="43"/>
      <c r="AX23" s="43"/>
      <c r="AY23" s="45"/>
      <c r="AZ23" s="41"/>
      <c r="BA23" s="43"/>
      <c r="BB23" s="43"/>
      <c r="BC23" s="43"/>
      <c r="BD23" s="45"/>
      <c r="BE23" s="41"/>
      <c r="BF23" s="43"/>
      <c r="BG23" s="43"/>
      <c r="BH23" s="43"/>
      <c r="BI23" s="45"/>
      <c r="BJ23" s="41"/>
      <c r="BK23" s="43"/>
      <c r="BL23" s="43"/>
      <c r="BM23" s="43"/>
      <c r="BN23" s="45"/>
      <c r="BO23" s="41"/>
      <c r="BP23" s="43"/>
      <c r="BQ23" s="43"/>
      <c r="BR23" s="43"/>
      <c r="BS23" s="45"/>
    </row>
    <row r="24" spans="1:71" ht="15.75" customHeight="1">
      <c r="A24" s="16"/>
      <c r="B24" s="16" t="s">
        <v>364</v>
      </c>
      <c r="C24" s="16" t="s">
        <v>185</v>
      </c>
      <c r="D24" s="55">
        <v>43435</v>
      </c>
      <c r="E24" s="36">
        <v>43442</v>
      </c>
      <c r="F24" s="24"/>
      <c r="G24" s="24"/>
      <c r="H24" s="29"/>
      <c r="I24" s="37" t="s">
        <v>479</v>
      </c>
      <c r="J24" s="37" t="s">
        <v>122</v>
      </c>
      <c r="K24" s="16"/>
      <c r="L24" s="16"/>
      <c r="M24" s="35"/>
      <c r="N24" s="16"/>
      <c r="O24" s="37" t="s">
        <v>128</v>
      </c>
      <c r="P24" s="15" t="s">
        <v>141</v>
      </c>
      <c r="Q24" s="15" t="s">
        <v>142</v>
      </c>
      <c r="R24" s="57" t="s">
        <v>144</v>
      </c>
      <c r="S24" s="16"/>
      <c r="T24" s="16"/>
      <c r="U24" s="16"/>
      <c r="V24" s="72" t="s">
        <v>144</v>
      </c>
      <c r="W24" s="16"/>
      <c r="X24" s="16"/>
      <c r="Y24" s="16"/>
      <c r="Z24" s="35"/>
      <c r="AA24" s="16"/>
      <c r="AB24" s="16"/>
      <c r="AC24" s="128" t="s">
        <v>509</v>
      </c>
      <c r="AD24" s="128" t="s">
        <v>509</v>
      </c>
      <c r="AE24" s="16"/>
      <c r="AF24" s="72" t="s">
        <v>508</v>
      </c>
      <c r="AG24" s="16" t="s">
        <v>508</v>
      </c>
      <c r="AH24" s="136">
        <v>43595</v>
      </c>
      <c r="AI24" s="136">
        <v>43602</v>
      </c>
      <c r="AJ24" s="35"/>
      <c r="AK24" s="41"/>
      <c r="AL24" s="43"/>
      <c r="AM24" s="43"/>
      <c r="AN24" s="43"/>
      <c r="AO24" s="45"/>
      <c r="AP24" s="41"/>
      <c r="AQ24" s="43"/>
      <c r="AR24" s="43"/>
      <c r="AS24" s="43"/>
      <c r="AT24" s="45"/>
      <c r="AU24" s="41"/>
      <c r="AV24" s="43"/>
      <c r="AW24" s="43"/>
      <c r="AX24" s="43"/>
      <c r="AY24" s="45"/>
      <c r="AZ24" s="41"/>
      <c r="BA24" s="43"/>
      <c r="BB24" s="43"/>
      <c r="BC24" s="43"/>
      <c r="BD24" s="45"/>
      <c r="BE24" s="41"/>
      <c r="BF24" s="43"/>
      <c r="BG24" s="43"/>
      <c r="BH24" s="43"/>
      <c r="BI24" s="45"/>
      <c r="BJ24" s="41"/>
      <c r="BK24" s="43"/>
      <c r="BL24" s="43"/>
      <c r="BM24" s="43"/>
      <c r="BN24" s="45"/>
      <c r="BO24" s="41"/>
      <c r="BP24" s="43"/>
      <c r="BQ24" s="43"/>
      <c r="BR24" s="43"/>
      <c r="BS24" s="45"/>
    </row>
    <row r="25" spans="1:71" ht="15.75" customHeight="1">
      <c r="A25" s="16"/>
      <c r="B25" s="16" t="s">
        <v>191</v>
      </c>
      <c r="C25" s="16" t="s">
        <v>192</v>
      </c>
      <c r="D25" s="55">
        <v>43446</v>
      </c>
      <c r="E25" s="36">
        <v>43446</v>
      </c>
      <c r="F25" s="24"/>
      <c r="G25" s="24"/>
      <c r="H25" s="29"/>
      <c r="I25" s="37" t="s">
        <v>254</v>
      </c>
      <c r="J25" s="15" t="s">
        <v>222</v>
      </c>
      <c r="K25" s="16"/>
      <c r="L25" s="16"/>
      <c r="M25" s="35"/>
      <c r="N25" s="16"/>
      <c r="O25" s="40"/>
      <c r="P25" s="16"/>
      <c r="Q25" s="16"/>
      <c r="R25" s="16"/>
      <c r="S25" s="16"/>
      <c r="T25" s="16"/>
      <c r="U25" s="16"/>
      <c r="V25" s="72" t="s">
        <v>397</v>
      </c>
      <c r="W25" s="15" t="s">
        <v>397</v>
      </c>
      <c r="X25" s="16"/>
      <c r="Y25" s="16"/>
      <c r="Z25" s="35"/>
      <c r="AA25" s="15" t="s">
        <v>228</v>
      </c>
      <c r="AB25" s="15" t="s">
        <v>269</v>
      </c>
      <c r="AC25" s="16"/>
      <c r="AD25" s="16"/>
      <c r="AE25" s="16"/>
      <c r="AF25" s="165">
        <v>43607</v>
      </c>
      <c r="AG25" s="162">
        <v>43614</v>
      </c>
      <c r="AH25" s="16"/>
      <c r="AI25" s="16"/>
      <c r="AJ25" s="35"/>
      <c r="AK25" s="41"/>
      <c r="AL25" s="43"/>
      <c r="AM25" s="43"/>
      <c r="AN25" s="43"/>
      <c r="AO25" s="45"/>
      <c r="AP25" s="41"/>
      <c r="AQ25" s="43"/>
      <c r="AR25" s="43"/>
      <c r="AS25" s="43"/>
      <c r="AT25" s="45"/>
      <c r="AU25" s="41"/>
      <c r="AV25" s="43"/>
      <c r="AW25" s="43"/>
      <c r="AX25" s="43"/>
      <c r="AY25" s="45"/>
      <c r="AZ25" s="41"/>
      <c r="BA25" s="43"/>
      <c r="BB25" s="43"/>
      <c r="BC25" s="43"/>
      <c r="BD25" s="45"/>
      <c r="BE25" s="41"/>
      <c r="BF25" s="43"/>
      <c r="BG25" s="43"/>
      <c r="BH25" s="43"/>
      <c r="BI25" s="45"/>
      <c r="BJ25" s="41"/>
      <c r="BK25" s="43"/>
      <c r="BL25" s="43"/>
      <c r="BM25" s="43"/>
      <c r="BN25" s="45"/>
      <c r="BO25" s="41"/>
      <c r="BP25" s="43"/>
      <c r="BQ25" s="43"/>
      <c r="BR25" s="43"/>
      <c r="BS25" s="45"/>
    </row>
    <row r="26" spans="1:71" ht="15.75" customHeight="1">
      <c r="A26" s="16"/>
      <c r="B26" s="16" t="s">
        <v>197</v>
      </c>
      <c r="C26" s="16" t="s">
        <v>198</v>
      </c>
      <c r="D26" s="55">
        <v>43439</v>
      </c>
      <c r="E26" s="36">
        <v>43446</v>
      </c>
      <c r="F26" s="36">
        <v>43453</v>
      </c>
      <c r="G26" s="24"/>
      <c r="H26" s="29"/>
      <c r="I26" s="31">
        <v>43474</v>
      </c>
      <c r="J26" s="31">
        <v>43481</v>
      </c>
      <c r="K26" s="31">
        <v>43488</v>
      </c>
      <c r="L26" s="15" t="s">
        <v>255</v>
      </c>
      <c r="M26" s="35"/>
      <c r="N26" s="16"/>
      <c r="O26" s="37" t="s">
        <v>257</v>
      </c>
      <c r="P26" s="57" t="s">
        <v>258</v>
      </c>
      <c r="Q26" s="15" t="s">
        <v>259</v>
      </c>
      <c r="R26" s="15" t="s">
        <v>260</v>
      </c>
      <c r="S26" s="16"/>
      <c r="T26" s="16"/>
      <c r="U26" s="16"/>
      <c r="V26" s="37" t="s">
        <v>264</v>
      </c>
      <c r="W26" s="57" t="s">
        <v>266</v>
      </c>
      <c r="X26" s="15" t="s">
        <v>397</v>
      </c>
      <c r="Y26" s="16"/>
      <c r="Z26" s="35"/>
      <c r="AA26" s="57" t="s">
        <v>398</v>
      </c>
      <c r="AB26" s="15" t="s">
        <v>378</v>
      </c>
      <c r="AC26" s="15" t="s">
        <v>269</v>
      </c>
      <c r="AD26" s="15" t="s">
        <v>270</v>
      </c>
      <c r="AE26" s="16"/>
      <c r="AF26" s="138">
        <v>43593</v>
      </c>
      <c r="AG26" s="136">
        <v>43600</v>
      </c>
      <c r="AH26" s="16"/>
      <c r="AI26" s="16"/>
      <c r="AJ26" s="35"/>
      <c r="AK26" s="41"/>
      <c r="AL26" s="43"/>
      <c r="AM26" s="43"/>
      <c r="AN26" s="43"/>
      <c r="AO26" s="45"/>
      <c r="AP26" s="41"/>
      <c r="AQ26" s="43"/>
      <c r="AR26" s="43"/>
      <c r="AS26" s="43"/>
      <c r="AT26" s="45"/>
      <c r="AU26" s="41"/>
      <c r="AV26" s="43"/>
      <c r="AW26" s="43"/>
      <c r="AX26" s="43"/>
      <c r="AY26" s="45"/>
      <c r="AZ26" s="41"/>
      <c r="BA26" s="43"/>
      <c r="BB26" s="43"/>
      <c r="BC26" s="43"/>
      <c r="BD26" s="45"/>
      <c r="BE26" s="41"/>
      <c r="BF26" s="43"/>
      <c r="BG26" s="43"/>
      <c r="BH26" s="43"/>
      <c r="BI26" s="45"/>
      <c r="BJ26" s="41"/>
      <c r="BK26" s="43"/>
      <c r="BL26" s="43"/>
      <c r="BM26" s="43"/>
      <c r="BN26" s="45"/>
      <c r="BO26" s="41"/>
      <c r="BP26" s="43"/>
      <c r="BQ26" s="43"/>
      <c r="BR26" s="43"/>
      <c r="BS26" s="45"/>
    </row>
    <row r="27" spans="1:71" ht="15.75" customHeight="1">
      <c r="A27" s="16"/>
      <c r="B27" s="16" t="s">
        <v>202</v>
      </c>
      <c r="C27" s="16" t="s">
        <v>203</v>
      </c>
      <c r="D27" s="55">
        <v>43438</v>
      </c>
      <c r="E27" s="36">
        <v>43445</v>
      </c>
      <c r="F27" s="24"/>
      <c r="G27" s="24"/>
      <c r="H27" s="29"/>
      <c r="I27" s="37" t="s">
        <v>488</v>
      </c>
      <c r="J27" s="15" t="s">
        <v>447</v>
      </c>
      <c r="K27" s="15" t="s">
        <v>353</v>
      </c>
      <c r="L27" s="15" t="s">
        <v>448</v>
      </c>
      <c r="M27" s="35"/>
      <c r="N27" s="15"/>
      <c r="O27" s="37" t="s">
        <v>449</v>
      </c>
      <c r="P27" s="37" t="s">
        <v>354</v>
      </c>
      <c r="Q27" s="15" t="s">
        <v>450</v>
      </c>
      <c r="R27" s="15" t="s">
        <v>451</v>
      </c>
      <c r="S27" s="16"/>
      <c r="T27" s="16"/>
      <c r="U27" s="16"/>
      <c r="V27" s="37" t="s">
        <v>452</v>
      </c>
      <c r="W27" s="15" t="s">
        <v>453</v>
      </c>
      <c r="X27" s="16"/>
      <c r="Y27" s="16"/>
      <c r="Z27" s="35"/>
      <c r="AA27" s="15" t="s">
        <v>325</v>
      </c>
      <c r="AB27" s="15" t="s">
        <v>269</v>
      </c>
      <c r="AC27" s="15" t="s">
        <v>270</v>
      </c>
      <c r="AD27" s="16"/>
      <c r="AE27" s="16"/>
      <c r="AF27" s="40"/>
      <c r="AG27" s="16"/>
      <c r="AH27" s="16"/>
      <c r="AI27" s="16"/>
      <c r="AJ27" s="35"/>
      <c r="AK27" s="41"/>
      <c r="AL27" s="43"/>
      <c r="AM27" s="43"/>
      <c r="AN27" s="43"/>
      <c r="AO27" s="45"/>
      <c r="AP27" s="41"/>
      <c r="AQ27" s="43"/>
      <c r="AR27" s="43"/>
      <c r="AS27" s="43"/>
      <c r="AT27" s="45"/>
      <c r="AU27" s="41"/>
      <c r="AV27" s="43"/>
      <c r="AW27" s="43"/>
      <c r="AX27" s="43"/>
      <c r="AY27" s="45"/>
      <c r="AZ27" s="41"/>
      <c r="BA27" s="43"/>
      <c r="BB27" s="43"/>
      <c r="BC27" s="43"/>
      <c r="BD27" s="45"/>
      <c r="BE27" s="41"/>
      <c r="BF27" s="43"/>
      <c r="BG27" s="43"/>
      <c r="BH27" s="43"/>
      <c r="BI27" s="45"/>
      <c r="BJ27" s="41"/>
      <c r="BK27" s="43"/>
      <c r="BL27" s="43"/>
      <c r="BM27" s="43"/>
      <c r="BN27" s="45"/>
      <c r="BO27" s="41"/>
      <c r="BP27" s="43"/>
      <c r="BQ27" s="43"/>
      <c r="BR27" s="43"/>
      <c r="BS27" s="45"/>
    </row>
    <row r="28" spans="1:71" ht="15.75" customHeight="1">
      <c r="A28" s="16"/>
      <c r="B28" s="16" t="s">
        <v>207</v>
      </c>
      <c r="C28" s="16" t="s">
        <v>208</v>
      </c>
      <c r="D28" s="48"/>
      <c r="E28" s="24"/>
      <c r="F28" s="24"/>
      <c r="G28" s="24"/>
      <c r="H28" s="29"/>
      <c r="I28" s="37" t="s">
        <v>465</v>
      </c>
      <c r="J28" s="16"/>
      <c r="K28" s="16"/>
      <c r="L28" s="16"/>
      <c r="M28" s="35"/>
      <c r="N28" s="16"/>
      <c r="O28" s="40"/>
      <c r="P28" s="16"/>
      <c r="Q28" s="16"/>
      <c r="R28" s="16"/>
      <c r="S28" s="16"/>
      <c r="T28" s="16"/>
      <c r="U28" s="16"/>
      <c r="V28" s="40"/>
      <c r="W28" s="16"/>
      <c r="X28" s="16"/>
      <c r="Y28" s="16"/>
      <c r="Z28" s="35"/>
      <c r="AA28" s="15" t="s">
        <v>378</v>
      </c>
      <c r="AB28" s="15" t="s">
        <v>270</v>
      </c>
      <c r="AC28" s="16"/>
      <c r="AD28" s="16"/>
      <c r="AE28" s="16"/>
      <c r="AF28" s="55">
        <v>43594</v>
      </c>
      <c r="AG28" s="142">
        <v>43608</v>
      </c>
      <c r="AH28" s="16"/>
      <c r="AI28" s="16"/>
      <c r="AJ28" s="35"/>
      <c r="AK28" s="41"/>
      <c r="AL28" s="43"/>
      <c r="AM28" s="43"/>
      <c r="AN28" s="43"/>
      <c r="AO28" s="45"/>
      <c r="AP28" s="41"/>
      <c r="AQ28" s="43"/>
      <c r="AR28" s="43"/>
      <c r="AS28" s="43"/>
      <c r="AT28" s="45"/>
      <c r="AU28" s="41"/>
      <c r="AV28" s="43"/>
      <c r="AW28" s="43"/>
      <c r="AX28" s="43"/>
      <c r="AY28" s="45"/>
      <c r="AZ28" s="41"/>
      <c r="BA28" s="43"/>
      <c r="BB28" s="43"/>
      <c r="BC28" s="43"/>
      <c r="BD28" s="45"/>
      <c r="BE28" s="41"/>
      <c r="BF28" s="43"/>
      <c r="BG28" s="43"/>
      <c r="BH28" s="43"/>
      <c r="BI28" s="45"/>
      <c r="BJ28" s="41"/>
      <c r="BK28" s="43"/>
      <c r="BL28" s="43"/>
      <c r="BM28" s="43"/>
      <c r="BN28" s="45"/>
      <c r="BO28" s="41"/>
      <c r="BP28" s="43"/>
      <c r="BQ28" s="43"/>
      <c r="BR28" s="43"/>
      <c r="BS28" s="45"/>
    </row>
    <row r="29" spans="1:71" ht="15.75" customHeight="1">
      <c r="A29" s="16"/>
      <c r="B29" s="16" t="s">
        <v>213</v>
      </c>
      <c r="C29" s="16" t="s">
        <v>214</v>
      </c>
      <c r="D29" s="55">
        <v>43453</v>
      </c>
      <c r="E29" s="24"/>
      <c r="F29" s="24"/>
      <c r="G29" s="24"/>
      <c r="H29" s="29"/>
      <c r="I29" s="33" t="s">
        <v>254</v>
      </c>
      <c r="J29" s="16"/>
      <c r="K29" s="16"/>
      <c r="L29" s="16"/>
      <c r="M29" s="35"/>
      <c r="N29" s="16"/>
      <c r="O29" s="37" t="s">
        <v>258</v>
      </c>
      <c r="P29" s="15" t="s">
        <v>259</v>
      </c>
      <c r="Q29" s="16"/>
      <c r="R29" s="16"/>
      <c r="S29" s="16"/>
      <c r="T29" s="16"/>
      <c r="U29" s="16"/>
      <c r="V29" s="37" t="s">
        <v>263</v>
      </c>
      <c r="W29" s="37" t="s">
        <v>264</v>
      </c>
      <c r="X29" s="16"/>
      <c r="Y29" s="16"/>
      <c r="Z29" s="35"/>
      <c r="AA29" s="57" t="s">
        <v>378</v>
      </c>
      <c r="AB29" s="15" t="s">
        <v>269</v>
      </c>
      <c r="AC29" s="16"/>
      <c r="AD29" s="16"/>
      <c r="AE29" s="16"/>
      <c r="AF29" s="138">
        <v>43600</v>
      </c>
      <c r="AG29" s="16"/>
      <c r="AH29" s="16"/>
      <c r="AI29" s="16"/>
      <c r="AJ29" s="35"/>
      <c r="AK29" s="41"/>
      <c r="AL29" s="43"/>
      <c r="AM29" s="43"/>
      <c r="AN29" s="43"/>
      <c r="AO29" s="45"/>
      <c r="AP29" s="41"/>
      <c r="AQ29" s="43"/>
      <c r="AR29" s="43"/>
      <c r="AS29" s="43"/>
      <c r="AT29" s="45"/>
      <c r="AU29" s="41"/>
      <c r="AV29" s="43"/>
      <c r="AW29" s="43"/>
      <c r="AX29" s="43"/>
      <c r="AY29" s="45"/>
      <c r="AZ29" s="41"/>
      <c r="BA29" s="43"/>
      <c r="BB29" s="43"/>
      <c r="BC29" s="43"/>
      <c r="BD29" s="45"/>
      <c r="BE29" s="41"/>
      <c r="BF29" s="43"/>
      <c r="BG29" s="43"/>
      <c r="BH29" s="43"/>
      <c r="BI29" s="45"/>
      <c r="BJ29" s="41"/>
      <c r="BK29" s="43"/>
      <c r="BL29" s="43"/>
      <c r="BM29" s="43"/>
      <c r="BN29" s="45"/>
      <c r="BO29" s="41"/>
      <c r="BP29" s="43"/>
      <c r="BQ29" s="43"/>
      <c r="BR29" s="43"/>
      <c r="BS29" s="45"/>
    </row>
    <row r="30" spans="1:71" ht="15.75" customHeight="1">
      <c r="A30" s="16"/>
      <c r="B30" s="16" t="s">
        <v>242</v>
      </c>
      <c r="C30" s="15" t="s">
        <v>243</v>
      </c>
      <c r="D30" s="48"/>
      <c r="E30" s="24"/>
      <c r="F30" s="24"/>
      <c r="G30" s="24"/>
      <c r="H30" s="29"/>
      <c r="I30" s="37" t="s">
        <v>225</v>
      </c>
      <c r="J30" s="16"/>
      <c r="K30" s="16"/>
      <c r="L30" s="16"/>
      <c r="M30" s="35"/>
      <c r="N30" s="16"/>
      <c r="O30" s="40"/>
      <c r="P30" s="16"/>
      <c r="Q30" s="16"/>
      <c r="R30" s="16"/>
      <c r="S30" s="16"/>
      <c r="T30" s="16"/>
      <c r="U30" s="16"/>
      <c r="V30" s="37" t="s">
        <v>229</v>
      </c>
      <c r="W30" s="16"/>
      <c r="X30" s="16"/>
      <c r="Y30" s="16"/>
      <c r="Z30" s="35"/>
      <c r="AA30" s="16"/>
      <c r="AB30" s="16"/>
      <c r="AC30" s="16"/>
      <c r="AD30" s="16"/>
      <c r="AE30" s="16"/>
      <c r="AF30" s="40"/>
      <c r="AG30" s="16"/>
      <c r="AH30" s="16"/>
      <c r="AI30" s="16"/>
      <c r="AJ30" s="35"/>
      <c r="AK30" s="41"/>
      <c r="AL30" s="43"/>
      <c r="AM30" s="43"/>
      <c r="AN30" s="43"/>
      <c r="AO30" s="45"/>
      <c r="AP30" s="41"/>
      <c r="AQ30" s="43"/>
      <c r="AR30" s="43"/>
      <c r="AS30" s="43"/>
      <c r="AT30" s="45"/>
      <c r="AU30" s="41"/>
      <c r="AV30" s="43"/>
      <c r="AW30" s="43"/>
      <c r="AX30" s="43"/>
      <c r="AY30" s="45"/>
      <c r="AZ30" s="41"/>
      <c r="BA30" s="43"/>
      <c r="BB30" s="43"/>
      <c r="BC30" s="43"/>
      <c r="BD30" s="45"/>
      <c r="BE30" s="41"/>
      <c r="BF30" s="43"/>
      <c r="BG30" s="43"/>
      <c r="BH30" s="43"/>
      <c r="BI30" s="45"/>
      <c r="BJ30" s="41"/>
      <c r="BK30" s="43"/>
      <c r="BL30" s="43"/>
      <c r="BM30" s="43"/>
      <c r="BN30" s="45"/>
      <c r="BO30" s="41"/>
      <c r="BP30" s="43"/>
      <c r="BQ30" s="43"/>
      <c r="BR30" s="43"/>
      <c r="BS30" s="45"/>
    </row>
    <row r="31" spans="1:71" ht="15.75" customHeight="1">
      <c r="A31" s="16"/>
      <c r="B31" s="16" t="s">
        <v>246</v>
      </c>
      <c r="C31" s="16" t="s">
        <v>247</v>
      </c>
      <c r="D31" s="48"/>
      <c r="E31" s="24"/>
      <c r="F31" s="24"/>
      <c r="G31" s="24"/>
      <c r="H31" s="29"/>
      <c r="I31" s="37"/>
      <c r="J31" s="16"/>
      <c r="K31" s="16"/>
      <c r="L31" s="16"/>
      <c r="M31" s="35"/>
      <c r="N31" s="16"/>
      <c r="O31" s="40"/>
      <c r="P31" s="16"/>
      <c r="Q31" s="16"/>
      <c r="R31" s="16"/>
      <c r="S31" s="16"/>
      <c r="T31" s="16"/>
      <c r="U31" s="16"/>
      <c r="V31" s="37" t="s">
        <v>490</v>
      </c>
      <c r="W31" s="16"/>
      <c r="X31" s="16"/>
      <c r="Y31" s="16"/>
      <c r="Z31" s="35"/>
      <c r="AA31" s="15" t="s">
        <v>325</v>
      </c>
      <c r="AB31" s="15" t="s">
        <v>269</v>
      </c>
      <c r="AC31" s="16"/>
      <c r="AD31" s="16"/>
      <c r="AE31" s="16"/>
      <c r="AF31" s="137">
        <v>43595</v>
      </c>
      <c r="AG31" s="16"/>
      <c r="AH31" s="16"/>
      <c r="AI31" s="16"/>
      <c r="AJ31" s="35"/>
      <c r="AK31" s="41"/>
      <c r="AL31" s="43"/>
      <c r="AM31" s="43"/>
      <c r="AN31" s="43"/>
      <c r="AO31" s="45"/>
      <c r="AP31" s="41"/>
      <c r="AQ31" s="43"/>
      <c r="AR31" s="43"/>
      <c r="AS31" s="43"/>
      <c r="AT31" s="45"/>
      <c r="AU31" s="41"/>
      <c r="AV31" s="43"/>
      <c r="AW31" s="43"/>
      <c r="AX31" s="43"/>
      <c r="AY31" s="45"/>
      <c r="AZ31" s="41"/>
      <c r="BA31" s="43"/>
      <c r="BB31" s="43"/>
      <c r="BC31" s="43"/>
      <c r="BD31" s="45"/>
      <c r="BE31" s="41"/>
      <c r="BF31" s="43"/>
      <c r="BG31" s="43"/>
      <c r="BH31" s="43"/>
      <c r="BI31" s="45"/>
      <c r="BJ31" s="41"/>
      <c r="BK31" s="43"/>
      <c r="BL31" s="43"/>
      <c r="BM31" s="43"/>
      <c r="BN31" s="45"/>
      <c r="BO31" s="41"/>
      <c r="BP31" s="43"/>
      <c r="BQ31" s="43"/>
      <c r="BR31" s="43"/>
      <c r="BS31" s="45"/>
    </row>
    <row r="32" spans="1:71" ht="15.75" customHeight="1">
      <c r="A32" s="16"/>
      <c r="B32" s="16" t="s">
        <v>250</v>
      </c>
      <c r="C32" s="16" t="s">
        <v>251</v>
      </c>
      <c r="D32" s="55">
        <v>43439</v>
      </c>
      <c r="E32" s="36">
        <v>43446</v>
      </c>
      <c r="F32" s="36">
        <v>43453</v>
      </c>
      <c r="G32" s="24"/>
      <c r="H32" s="29"/>
      <c r="I32" s="33" t="s">
        <v>254</v>
      </c>
      <c r="J32" s="31">
        <v>43488</v>
      </c>
      <c r="K32" s="16"/>
      <c r="L32" s="16"/>
      <c r="M32" s="35"/>
      <c r="N32" s="16"/>
      <c r="O32" s="37" t="s">
        <v>257</v>
      </c>
      <c r="P32" s="37" t="s">
        <v>258</v>
      </c>
      <c r="Q32" s="15" t="s">
        <v>259</v>
      </c>
      <c r="R32" s="15" t="s">
        <v>260</v>
      </c>
      <c r="S32" s="16"/>
      <c r="T32" s="16"/>
      <c r="U32" s="16"/>
      <c r="V32" s="37" t="s">
        <v>263</v>
      </c>
      <c r="W32" s="37" t="s">
        <v>264</v>
      </c>
      <c r="X32" s="57" t="s">
        <v>266</v>
      </c>
      <c r="Y32" s="16"/>
      <c r="Z32" s="35"/>
      <c r="AA32" s="57" t="s">
        <v>398</v>
      </c>
      <c r="AB32" s="15" t="s">
        <v>378</v>
      </c>
      <c r="AC32" s="16"/>
      <c r="AD32" s="16"/>
      <c r="AE32" s="16"/>
      <c r="AF32" s="40"/>
      <c r="AG32" s="16"/>
      <c r="AH32" s="16"/>
      <c r="AI32" s="16"/>
      <c r="AJ32" s="35"/>
      <c r="AK32" s="41"/>
      <c r="AL32" s="43"/>
      <c r="AM32" s="43"/>
      <c r="AN32" s="43"/>
      <c r="AO32" s="45"/>
      <c r="AP32" s="41"/>
      <c r="AQ32" s="43"/>
      <c r="AR32" s="43"/>
      <c r="AS32" s="43"/>
      <c r="AT32" s="45"/>
      <c r="AU32" s="41"/>
      <c r="AV32" s="43"/>
      <c r="AW32" s="43"/>
      <c r="AX32" s="43"/>
      <c r="AY32" s="45"/>
      <c r="AZ32" s="41"/>
      <c r="BA32" s="43"/>
      <c r="BB32" s="43"/>
      <c r="BC32" s="43"/>
      <c r="BD32" s="45"/>
      <c r="BE32" s="41"/>
      <c r="BF32" s="43"/>
      <c r="BG32" s="43"/>
      <c r="BH32" s="43"/>
      <c r="BI32" s="45"/>
      <c r="BJ32" s="41"/>
      <c r="BK32" s="43"/>
      <c r="BL32" s="43"/>
      <c r="BM32" s="43"/>
      <c r="BN32" s="45"/>
      <c r="BO32" s="41"/>
      <c r="BP32" s="43"/>
      <c r="BQ32" s="43"/>
      <c r="BR32" s="43"/>
      <c r="BS32" s="45"/>
    </row>
    <row r="33" spans="1:71" ht="15.75" customHeight="1">
      <c r="A33" s="16"/>
      <c r="B33" s="16" t="s">
        <v>261</v>
      </c>
      <c r="C33" s="16" t="s">
        <v>262</v>
      </c>
      <c r="D33" s="48"/>
      <c r="E33" s="24"/>
      <c r="F33" s="24"/>
      <c r="G33" s="24"/>
      <c r="H33" s="29"/>
      <c r="I33" s="37" t="s">
        <v>122</v>
      </c>
      <c r="J33" s="15" t="s">
        <v>122</v>
      </c>
      <c r="K33" s="15" t="s">
        <v>124</v>
      </c>
      <c r="L33" s="16"/>
      <c r="M33" s="35"/>
      <c r="N33" s="16"/>
      <c r="O33" s="37" t="s">
        <v>128</v>
      </c>
      <c r="P33" s="15" t="s">
        <v>141</v>
      </c>
      <c r="Q33" s="15" t="s">
        <v>142</v>
      </c>
      <c r="R33" s="15" t="s">
        <v>143</v>
      </c>
      <c r="S33" s="16"/>
      <c r="T33" s="16"/>
      <c r="U33" s="16"/>
      <c r="V33" s="72" t="s">
        <v>144</v>
      </c>
      <c r="W33" s="16"/>
      <c r="X33" s="16"/>
      <c r="Y33" s="16"/>
      <c r="Z33" s="35"/>
      <c r="AA33" s="16"/>
      <c r="AB33" s="16"/>
      <c r="AC33" s="16"/>
      <c r="AD33" s="16"/>
      <c r="AE33" s="16"/>
      <c r="AF33" s="40"/>
      <c r="AG33" s="16"/>
      <c r="AH33" s="16"/>
      <c r="AI33" s="16"/>
      <c r="AJ33" s="35"/>
      <c r="AK33" s="41"/>
      <c r="AL33" s="43"/>
      <c r="AM33" s="43"/>
      <c r="AN33" s="43"/>
      <c r="AO33" s="45"/>
      <c r="AP33" s="41"/>
      <c r="AQ33" s="43"/>
      <c r="AR33" s="43"/>
      <c r="AS33" s="43"/>
      <c r="AT33" s="45"/>
      <c r="AU33" s="41"/>
      <c r="AV33" s="43"/>
      <c r="AW33" s="43"/>
      <c r="AX33" s="43"/>
      <c r="AY33" s="45"/>
      <c r="AZ33" s="41"/>
      <c r="BA33" s="43"/>
      <c r="BB33" s="43"/>
      <c r="BC33" s="43"/>
      <c r="BD33" s="45"/>
      <c r="BE33" s="41"/>
      <c r="BF33" s="43"/>
      <c r="BG33" s="43"/>
      <c r="BH33" s="43"/>
      <c r="BI33" s="45"/>
      <c r="BJ33" s="41"/>
      <c r="BK33" s="43"/>
      <c r="BL33" s="43"/>
      <c r="BM33" s="43"/>
      <c r="BN33" s="45"/>
      <c r="BO33" s="41"/>
      <c r="BP33" s="43"/>
      <c r="BQ33" s="43"/>
      <c r="BR33" s="43"/>
      <c r="BS33" s="45"/>
    </row>
    <row r="34" spans="1:71" ht="15.75" customHeight="1">
      <c r="A34" s="16"/>
      <c r="B34" s="15" t="s">
        <v>273</v>
      </c>
      <c r="C34" s="15" t="s">
        <v>491</v>
      </c>
      <c r="D34" s="55"/>
      <c r="E34" s="36"/>
      <c r="F34" s="24"/>
      <c r="G34" s="24"/>
      <c r="H34" s="29"/>
      <c r="I34" s="88"/>
      <c r="J34" s="88"/>
      <c r="K34" s="88"/>
      <c r="L34" s="88"/>
      <c r="M34" s="88"/>
      <c r="N34" s="88"/>
      <c r="O34" s="37"/>
      <c r="P34" s="15"/>
      <c r="Q34" s="15"/>
      <c r="R34" s="15"/>
      <c r="S34" s="15"/>
      <c r="T34" s="16"/>
      <c r="U34" s="16"/>
      <c r="V34" s="37"/>
      <c r="W34" s="15"/>
      <c r="X34" s="16"/>
      <c r="Y34" s="16"/>
      <c r="Z34" s="35"/>
      <c r="AA34" s="16"/>
      <c r="AB34" s="16"/>
      <c r="AC34" s="16"/>
      <c r="AD34" s="15" t="s">
        <v>241</v>
      </c>
      <c r="AE34" s="16"/>
      <c r="AF34" s="137">
        <v>43594</v>
      </c>
      <c r="AG34" s="136">
        <v>43601</v>
      </c>
      <c r="AH34" s="142">
        <v>43608</v>
      </c>
      <c r="AI34" s="16"/>
      <c r="AJ34" s="35"/>
      <c r="AK34" s="41"/>
      <c r="AL34" s="43"/>
      <c r="AM34" s="43"/>
      <c r="AN34" s="43"/>
      <c r="AO34" s="45"/>
      <c r="AP34" s="41"/>
      <c r="AQ34" s="43"/>
      <c r="AR34" s="43"/>
      <c r="AS34" s="43"/>
      <c r="AT34" s="45"/>
      <c r="AU34" s="41"/>
      <c r="AV34" s="43"/>
      <c r="AW34" s="43"/>
      <c r="AX34" s="43"/>
      <c r="AY34" s="45"/>
      <c r="AZ34" s="41"/>
      <c r="BA34" s="43"/>
      <c r="BB34" s="43"/>
      <c r="BC34" s="43"/>
      <c r="BD34" s="45"/>
      <c r="BE34" s="41"/>
      <c r="BF34" s="43"/>
      <c r="BG34" s="43"/>
      <c r="BH34" s="43"/>
      <c r="BI34" s="45"/>
      <c r="BJ34" s="41"/>
      <c r="BK34" s="43"/>
      <c r="BL34" s="43"/>
      <c r="BM34" s="43"/>
      <c r="BN34" s="45"/>
      <c r="BO34" s="41"/>
      <c r="BP34" s="43"/>
      <c r="BQ34" s="43"/>
      <c r="BR34" s="43"/>
      <c r="BS34" s="45"/>
    </row>
    <row r="35" spans="1:71" ht="15.75" customHeight="1">
      <c r="A35" s="16"/>
      <c r="B35" s="16" t="s">
        <v>278</v>
      </c>
      <c r="C35" s="16" t="s">
        <v>279</v>
      </c>
      <c r="D35" s="55">
        <v>43435</v>
      </c>
      <c r="E35" s="36">
        <v>43442</v>
      </c>
      <c r="F35" s="24"/>
      <c r="G35" s="24"/>
      <c r="H35" s="29"/>
      <c r="I35" s="31">
        <v>43476</v>
      </c>
      <c r="J35" s="31">
        <v>43476</v>
      </c>
      <c r="K35" s="31">
        <v>43488</v>
      </c>
      <c r="L35" s="31">
        <v>43489</v>
      </c>
      <c r="M35" s="31">
        <v>43491</v>
      </c>
      <c r="N35" s="88"/>
      <c r="O35" s="37" t="s">
        <v>128</v>
      </c>
      <c r="P35" s="15" t="s">
        <v>141</v>
      </c>
      <c r="Q35" s="15" t="s">
        <v>142</v>
      </c>
      <c r="R35" s="15" t="s">
        <v>260</v>
      </c>
      <c r="S35" s="15" t="s">
        <v>260</v>
      </c>
      <c r="T35" s="16"/>
      <c r="U35" s="16"/>
      <c r="V35" s="37" t="s">
        <v>493</v>
      </c>
      <c r="W35" s="15" t="s">
        <v>375</v>
      </c>
      <c r="X35" s="16"/>
      <c r="Y35" s="16"/>
      <c r="Z35" s="35"/>
      <c r="AA35" s="16"/>
      <c r="AB35" s="16"/>
      <c r="AC35" s="134"/>
      <c r="AD35" s="134"/>
      <c r="AE35" s="16"/>
      <c r="AF35" s="40" t="s">
        <v>508</v>
      </c>
      <c r="AG35" s="16"/>
      <c r="AH35" s="16"/>
      <c r="AI35" s="16"/>
      <c r="AJ35" s="35"/>
      <c r="AK35" s="41"/>
      <c r="AL35" s="43"/>
      <c r="AM35" s="43"/>
      <c r="AN35" s="43"/>
      <c r="AO35" s="45"/>
      <c r="AP35" s="41"/>
      <c r="AQ35" s="43"/>
      <c r="AR35" s="43"/>
      <c r="AS35" s="43"/>
      <c r="AT35" s="45"/>
      <c r="AU35" s="41"/>
      <c r="AV35" s="43"/>
      <c r="AW35" s="43"/>
      <c r="AX35" s="43"/>
      <c r="AY35" s="45"/>
      <c r="AZ35" s="41"/>
      <c r="BA35" s="43"/>
      <c r="BB35" s="43"/>
      <c r="BC35" s="43"/>
      <c r="BD35" s="45"/>
      <c r="BE35" s="41"/>
      <c r="BF35" s="43"/>
      <c r="BG35" s="43"/>
      <c r="BH35" s="43"/>
      <c r="BI35" s="45"/>
      <c r="BJ35" s="41"/>
      <c r="BK35" s="43"/>
      <c r="BL35" s="43"/>
      <c r="BM35" s="43"/>
      <c r="BN35" s="45"/>
      <c r="BO35" s="41"/>
      <c r="BP35" s="43"/>
      <c r="BQ35" s="43"/>
      <c r="BR35" s="43"/>
      <c r="BS35" s="45"/>
    </row>
    <row r="36" spans="1:71" ht="15.75" customHeight="1">
      <c r="A36" s="16"/>
      <c r="B36" s="16" t="s">
        <v>286</v>
      </c>
      <c r="C36" s="56" t="s">
        <v>287</v>
      </c>
      <c r="D36" s="55">
        <v>43440</v>
      </c>
      <c r="E36" s="36">
        <v>43440</v>
      </c>
      <c r="F36" s="36">
        <v>43446</v>
      </c>
      <c r="G36" s="24"/>
      <c r="H36" s="29"/>
      <c r="I36" s="37" t="s">
        <v>225</v>
      </c>
      <c r="J36" s="33" t="s">
        <v>254</v>
      </c>
      <c r="K36" s="33" t="s">
        <v>254</v>
      </c>
      <c r="L36" s="33" t="s">
        <v>254</v>
      </c>
      <c r="M36" s="33" t="s">
        <v>122</v>
      </c>
      <c r="N36" s="33"/>
      <c r="O36" s="40"/>
      <c r="P36" s="16"/>
      <c r="Q36" s="16"/>
      <c r="R36" s="16"/>
      <c r="S36" s="16"/>
      <c r="T36" s="16"/>
      <c r="U36" s="16"/>
      <c r="V36" s="37" t="s">
        <v>494</v>
      </c>
      <c r="W36" s="37" t="s">
        <v>236</v>
      </c>
      <c r="X36" s="16"/>
      <c r="Y36" s="16"/>
      <c r="Z36" s="35"/>
      <c r="AA36" s="37" t="s">
        <v>495</v>
      </c>
      <c r="AB36" s="36"/>
      <c r="AC36" s="136">
        <v>43573</v>
      </c>
      <c r="AD36" s="136">
        <v>43573</v>
      </c>
      <c r="AE36" s="16"/>
      <c r="AF36" s="72" t="s">
        <v>508</v>
      </c>
      <c r="AG36" s="16" t="s">
        <v>508</v>
      </c>
      <c r="AH36" s="16"/>
      <c r="AI36" s="16"/>
      <c r="AJ36" s="35"/>
      <c r="AK36" s="41"/>
      <c r="AL36" s="43"/>
      <c r="AM36" s="43"/>
      <c r="AN36" s="43"/>
      <c r="AO36" s="45"/>
      <c r="AP36" s="41"/>
      <c r="AQ36" s="43"/>
      <c r="AR36" s="43"/>
      <c r="AS36" s="43"/>
      <c r="AT36" s="45"/>
      <c r="AU36" s="41"/>
      <c r="AV36" s="43"/>
      <c r="AW36" s="43"/>
      <c r="AX36" s="43"/>
      <c r="AY36" s="45"/>
      <c r="AZ36" s="41"/>
      <c r="BA36" s="43"/>
      <c r="BB36" s="43"/>
      <c r="BC36" s="43"/>
      <c r="BD36" s="45"/>
      <c r="BE36" s="41"/>
      <c r="BF36" s="43"/>
      <c r="BG36" s="43"/>
      <c r="BH36" s="43"/>
      <c r="BI36" s="45"/>
      <c r="BJ36" s="41"/>
      <c r="BK36" s="43"/>
      <c r="BL36" s="43"/>
      <c r="BM36" s="43"/>
      <c r="BN36" s="45"/>
      <c r="BO36" s="41"/>
      <c r="BP36" s="43"/>
      <c r="BQ36" s="43"/>
      <c r="BR36" s="43"/>
      <c r="BS36" s="45"/>
    </row>
    <row r="37" spans="1:71" ht="15.75" customHeight="1">
      <c r="A37" s="16"/>
      <c r="B37" s="140" t="s">
        <v>525</v>
      </c>
      <c r="C37" s="56" t="s">
        <v>295</v>
      </c>
      <c r="D37" s="55">
        <v>43440</v>
      </c>
      <c r="E37" s="36">
        <v>43440</v>
      </c>
      <c r="F37" s="36">
        <v>43446</v>
      </c>
      <c r="G37" s="33"/>
      <c r="H37" s="29"/>
      <c r="I37" s="37" t="s">
        <v>225</v>
      </c>
      <c r="J37" s="33" t="s">
        <v>254</v>
      </c>
      <c r="K37" s="33" t="s">
        <v>254</v>
      </c>
      <c r="L37" s="33" t="s">
        <v>254</v>
      </c>
      <c r="M37" s="33" t="s">
        <v>122</v>
      </c>
      <c r="N37" s="33"/>
      <c r="O37" s="40"/>
      <c r="P37" s="16"/>
      <c r="Q37" s="16"/>
      <c r="R37" s="16"/>
      <c r="S37" s="16"/>
      <c r="T37" s="16"/>
      <c r="U37" s="16"/>
      <c r="V37" s="37" t="s">
        <v>452</v>
      </c>
      <c r="W37" s="37" t="s">
        <v>236</v>
      </c>
      <c r="X37" s="16"/>
      <c r="Y37" s="16"/>
      <c r="Z37" s="35"/>
      <c r="AA37" s="37" t="s">
        <v>495</v>
      </c>
      <c r="AB37" s="16"/>
      <c r="AC37" s="136">
        <v>43573</v>
      </c>
      <c r="AD37" s="136">
        <v>43573</v>
      </c>
      <c r="AE37" s="16"/>
      <c r="AF37" s="72" t="s">
        <v>508</v>
      </c>
      <c r="AG37" s="126" t="s">
        <v>508</v>
      </c>
      <c r="AH37" s="138"/>
      <c r="AI37" s="16"/>
      <c r="AJ37" s="35"/>
      <c r="AK37" s="41"/>
      <c r="AL37" s="43"/>
      <c r="AM37" s="43"/>
      <c r="AN37" s="43"/>
      <c r="AO37" s="45"/>
      <c r="AP37" s="41"/>
      <c r="AQ37" s="43"/>
      <c r="AR37" s="43"/>
      <c r="AS37" s="43"/>
      <c r="AT37" s="45"/>
      <c r="AU37" s="41"/>
      <c r="AV37" s="43"/>
      <c r="AW37" s="43"/>
      <c r="AX37" s="43"/>
      <c r="AY37" s="45"/>
      <c r="AZ37" s="41"/>
      <c r="BA37" s="43"/>
      <c r="BB37" s="43"/>
      <c r="BC37" s="43"/>
      <c r="BD37" s="45"/>
      <c r="BE37" s="41"/>
      <c r="BF37" s="43"/>
      <c r="BG37" s="43"/>
      <c r="BH37" s="43"/>
      <c r="BI37" s="45"/>
      <c r="BJ37" s="41"/>
      <c r="BK37" s="43"/>
      <c r="BL37" s="43"/>
      <c r="BM37" s="43"/>
      <c r="BN37" s="45"/>
      <c r="BO37" s="41"/>
      <c r="BP37" s="43"/>
      <c r="BQ37" s="43"/>
      <c r="BR37" s="43"/>
      <c r="BS37" s="45"/>
    </row>
    <row r="38" spans="1:71" ht="15.75" customHeight="1">
      <c r="A38" s="16"/>
      <c r="B38" s="16" t="s">
        <v>296</v>
      </c>
      <c r="C38" s="16" t="s">
        <v>297</v>
      </c>
      <c r="D38" s="55">
        <v>43439</v>
      </c>
      <c r="E38" s="24"/>
      <c r="F38" s="24"/>
      <c r="G38" s="24"/>
      <c r="H38" s="29"/>
      <c r="I38" s="37" t="s">
        <v>465</v>
      </c>
      <c r="J38" s="16"/>
      <c r="K38" s="16"/>
      <c r="L38" s="16"/>
      <c r="M38" s="35"/>
      <c r="N38" s="16"/>
      <c r="O38" s="40"/>
      <c r="P38" s="16"/>
      <c r="Q38" s="16"/>
      <c r="R38" s="16"/>
      <c r="S38" s="16"/>
      <c r="T38" s="16"/>
      <c r="U38" s="16"/>
      <c r="V38" s="40"/>
      <c r="W38" s="16"/>
      <c r="X38" s="16"/>
      <c r="Y38" s="16"/>
      <c r="Z38" s="35"/>
      <c r="AA38" s="15" t="s">
        <v>378</v>
      </c>
      <c r="AB38" s="16"/>
      <c r="AC38" s="134"/>
      <c r="AD38" s="134"/>
      <c r="AE38" s="16"/>
      <c r="AF38" s="40"/>
      <c r="AG38" s="16"/>
      <c r="AH38" s="16"/>
      <c r="AI38" s="16"/>
      <c r="AJ38" s="35"/>
      <c r="AK38" s="41"/>
      <c r="AL38" s="43"/>
      <c r="AM38" s="43"/>
      <c r="AN38" s="43"/>
      <c r="AO38" s="45"/>
      <c r="AP38" s="41"/>
      <c r="AQ38" s="43"/>
      <c r="AR38" s="43"/>
      <c r="AS38" s="43"/>
      <c r="AT38" s="45"/>
      <c r="AU38" s="41"/>
      <c r="AV38" s="43"/>
      <c r="AW38" s="43"/>
      <c r="AX38" s="43"/>
      <c r="AY38" s="45"/>
      <c r="AZ38" s="41"/>
      <c r="BA38" s="43"/>
      <c r="BB38" s="43"/>
      <c r="BC38" s="43"/>
      <c r="BD38" s="45"/>
      <c r="BE38" s="41"/>
      <c r="BF38" s="43"/>
      <c r="BG38" s="43"/>
      <c r="BH38" s="43"/>
      <c r="BI38" s="45"/>
      <c r="BJ38" s="41"/>
      <c r="BK38" s="43"/>
      <c r="BL38" s="43"/>
      <c r="BM38" s="43"/>
      <c r="BN38" s="45"/>
      <c r="BO38" s="41"/>
      <c r="BP38" s="43"/>
      <c r="BQ38" s="43"/>
      <c r="BR38" s="43"/>
      <c r="BS38" s="45"/>
    </row>
    <row r="39" spans="1:71" ht="15.75" customHeight="1">
      <c r="A39" s="16"/>
      <c r="B39" s="16" t="s">
        <v>304</v>
      </c>
      <c r="C39" s="15" t="s">
        <v>305</v>
      </c>
      <c r="D39" s="48"/>
      <c r="E39" s="24"/>
      <c r="F39" s="24"/>
      <c r="G39" s="24"/>
      <c r="H39" s="29"/>
      <c r="I39" s="31">
        <v>43476</v>
      </c>
      <c r="J39" s="16"/>
      <c r="K39" s="16"/>
      <c r="L39" s="16"/>
      <c r="M39" s="35"/>
      <c r="N39" s="16"/>
      <c r="O39" s="15" t="s">
        <v>312</v>
      </c>
      <c r="P39" s="16"/>
      <c r="Q39" s="16"/>
      <c r="R39" s="16"/>
      <c r="S39" s="16"/>
      <c r="T39" s="16"/>
      <c r="U39" s="16"/>
      <c r="V39" s="37" t="s">
        <v>320</v>
      </c>
      <c r="W39" s="16"/>
      <c r="X39" s="16"/>
      <c r="Y39" s="16"/>
      <c r="Z39" s="35"/>
      <c r="AA39" s="15" t="s">
        <v>496</v>
      </c>
      <c r="AB39" s="16"/>
      <c r="AC39" s="16"/>
      <c r="AD39" s="16"/>
      <c r="AE39" s="16"/>
      <c r="AF39" s="138">
        <v>43595</v>
      </c>
      <c r="AG39" s="16"/>
      <c r="AH39" s="16"/>
      <c r="AI39" s="16"/>
      <c r="AJ39" s="35"/>
      <c r="AK39" s="41"/>
      <c r="AL39" s="43"/>
      <c r="AM39" s="43"/>
      <c r="AN39" s="43"/>
      <c r="AO39" s="45"/>
      <c r="AP39" s="41"/>
      <c r="AQ39" s="43"/>
      <c r="AR39" s="43"/>
      <c r="AS39" s="43"/>
      <c r="AT39" s="45"/>
      <c r="AU39" s="41"/>
      <c r="AV39" s="43"/>
      <c r="AW39" s="43"/>
      <c r="AX39" s="43"/>
      <c r="AY39" s="45"/>
      <c r="AZ39" s="41"/>
      <c r="BA39" s="43"/>
      <c r="BB39" s="43"/>
      <c r="BC39" s="43"/>
      <c r="BD39" s="45"/>
      <c r="BE39" s="41"/>
      <c r="BF39" s="43"/>
      <c r="BG39" s="43"/>
      <c r="BH39" s="43"/>
      <c r="BI39" s="45"/>
      <c r="BJ39" s="41"/>
      <c r="BK39" s="43"/>
      <c r="BL39" s="43"/>
      <c r="BM39" s="43"/>
      <c r="BN39" s="45"/>
      <c r="BO39" s="41"/>
      <c r="BP39" s="43"/>
      <c r="BQ39" s="43"/>
      <c r="BR39" s="43"/>
      <c r="BS39" s="45"/>
    </row>
    <row r="40" spans="1:71" ht="15.75" customHeight="1">
      <c r="A40" s="16"/>
      <c r="B40" s="16" t="s">
        <v>311</v>
      </c>
      <c r="C40" s="16" t="s">
        <v>313</v>
      </c>
      <c r="D40" s="55">
        <v>43446</v>
      </c>
      <c r="E40" s="24"/>
      <c r="F40" s="24"/>
      <c r="G40" s="24"/>
      <c r="H40" s="29"/>
      <c r="I40" s="37" t="s">
        <v>465</v>
      </c>
      <c r="J40" s="16"/>
      <c r="K40" s="16"/>
      <c r="L40" s="16"/>
      <c r="M40" s="35"/>
      <c r="N40" s="16"/>
      <c r="O40" s="40"/>
      <c r="P40" s="16"/>
      <c r="Q40" s="16"/>
      <c r="R40" s="16"/>
      <c r="S40" s="16"/>
      <c r="T40" s="16"/>
      <c r="U40" s="16"/>
      <c r="V40" s="40"/>
      <c r="W40" s="16"/>
      <c r="X40" s="16"/>
      <c r="Y40" s="16"/>
      <c r="Z40" s="35"/>
      <c r="AA40" s="16"/>
      <c r="AB40" s="16"/>
      <c r="AC40" s="16"/>
      <c r="AD40" s="16"/>
      <c r="AE40" s="16"/>
      <c r="AF40" s="40"/>
      <c r="AG40" s="16"/>
      <c r="AH40" s="16"/>
      <c r="AI40" s="16"/>
      <c r="AJ40" s="35"/>
      <c r="AK40" s="41"/>
      <c r="AL40" s="43"/>
      <c r="AM40" s="43"/>
      <c r="AN40" s="43"/>
      <c r="AO40" s="45"/>
      <c r="AP40" s="41"/>
      <c r="AQ40" s="43"/>
      <c r="AR40" s="43"/>
      <c r="AS40" s="43"/>
      <c r="AT40" s="45"/>
      <c r="AU40" s="41"/>
      <c r="AV40" s="43"/>
      <c r="AW40" s="43"/>
      <c r="AX40" s="43"/>
      <c r="AY40" s="45"/>
      <c r="AZ40" s="41"/>
      <c r="BA40" s="43"/>
      <c r="BB40" s="43"/>
      <c r="BC40" s="43"/>
      <c r="BD40" s="45"/>
      <c r="BE40" s="41"/>
      <c r="BF40" s="43"/>
      <c r="BG40" s="43"/>
      <c r="BH40" s="43"/>
      <c r="BI40" s="45"/>
      <c r="BJ40" s="41"/>
      <c r="BK40" s="43"/>
      <c r="BL40" s="43"/>
      <c r="BM40" s="43"/>
      <c r="BN40" s="45"/>
      <c r="BO40" s="41"/>
      <c r="BP40" s="43"/>
      <c r="BQ40" s="43"/>
      <c r="BR40" s="43"/>
      <c r="BS40" s="45"/>
    </row>
    <row r="41" spans="1:71" ht="15.75" customHeight="1">
      <c r="A41" s="16"/>
      <c r="B41" s="16" t="s">
        <v>327</v>
      </c>
      <c r="C41" s="16" t="s">
        <v>328</v>
      </c>
      <c r="D41" s="55">
        <v>43440</v>
      </c>
      <c r="E41" s="24"/>
      <c r="F41" s="24"/>
      <c r="G41" s="24"/>
      <c r="H41" s="29"/>
      <c r="I41" s="37" t="s">
        <v>225</v>
      </c>
      <c r="J41" s="33" t="s">
        <v>254</v>
      </c>
      <c r="K41" s="16"/>
      <c r="L41" s="16"/>
      <c r="M41" s="35"/>
      <c r="N41" s="16"/>
      <c r="O41" s="40"/>
      <c r="P41" s="16"/>
      <c r="Q41" s="16"/>
      <c r="R41" s="16"/>
      <c r="S41" s="16"/>
      <c r="T41" s="16"/>
      <c r="U41" s="16"/>
      <c r="V41" s="40"/>
      <c r="W41" s="16"/>
      <c r="X41" s="16"/>
      <c r="Y41" s="16"/>
      <c r="Z41" s="35"/>
      <c r="AA41" s="15" t="s">
        <v>228</v>
      </c>
      <c r="AB41" s="16"/>
      <c r="AC41" s="16"/>
      <c r="AD41" s="16"/>
      <c r="AE41" s="16"/>
      <c r="AF41" s="40"/>
      <c r="AG41" s="16"/>
      <c r="AH41" s="16"/>
      <c r="AI41" s="16"/>
      <c r="AJ41" s="35"/>
      <c r="AK41" s="41"/>
      <c r="AL41" s="43"/>
      <c r="AM41" s="43"/>
      <c r="AN41" s="43"/>
      <c r="AO41" s="45"/>
      <c r="AP41" s="41"/>
      <c r="AQ41" s="43"/>
      <c r="AR41" s="43"/>
      <c r="AS41" s="43"/>
      <c r="AT41" s="45"/>
      <c r="AU41" s="41"/>
      <c r="AV41" s="43"/>
      <c r="AW41" s="43"/>
      <c r="AX41" s="43"/>
      <c r="AY41" s="45"/>
      <c r="AZ41" s="41"/>
      <c r="BA41" s="43"/>
      <c r="BB41" s="43"/>
      <c r="BC41" s="43"/>
      <c r="BD41" s="45"/>
      <c r="BE41" s="41"/>
      <c r="BF41" s="43"/>
      <c r="BG41" s="43"/>
      <c r="BH41" s="43"/>
      <c r="BI41" s="45"/>
      <c r="BJ41" s="41"/>
      <c r="BK41" s="43"/>
      <c r="BL41" s="43"/>
      <c r="BM41" s="43"/>
      <c r="BN41" s="45"/>
      <c r="BO41" s="41"/>
      <c r="BP41" s="43"/>
      <c r="BQ41" s="43"/>
      <c r="BR41" s="43"/>
      <c r="BS41" s="45"/>
    </row>
    <row r="42" spans="1:71" ht="15.75" customHeight="1">
      <c r="A42" s="16"/>
      <c r="B42" s="16" t="s">
        <v>333</v>
      </c>
      <c r="C42" s="16" t="s">
        <v>334</v>
      </c>
      <c r="D42" s="48"/>
      <c r="E42" s="24"/>
      <c r="F42" s="24"/>
      <c r="G42" s="24"/>
      <c r="H42" s="29"/>
      <c r="I42" s="37" t="s">
        <v>465</v>
      </c>
      <c r="J42" s="16"/>
      <c r="K42" s="16"/>
      <c r="L42" s="16"/>
      <c r="M42" s="35"/>
      <c r="N42" s="16"/>
      <c r="O42" s="37" t="s">
        <v>142</v>
      </c>
      <c r="P42" s="15" t="s">
        <v>451</v>
      </c>
      <c r="Q42" s="16"/>
      <c r="R42" s="16"/>
      <c r="S42" s="16"/>
      <c r="T42" s="16"/>
      <c r="U42" s="16"/>
      <c r="V42" s="40"/>
      <c r="W42" s="16"/>
      <c r="X42" s="16"/>
      <c r="Y42" s="16"/>
      <c r="Z42" s="35"/>
      <c r="AA42" s="15" t="s">
        <v>228</v>
      </c>
      <c r="AB42" s="16"/>
      <c r="AC42" s="16"/>
      <c r="AD42" s="16"/>
      <c r="AE42" s="16"/>
      <c r="AF42" s="40"/>
      <c r="AG42" s="16"/>
      <c r="AH42" s="16"/>
      <c r="AI42" s="16"/>
      <c r="AJ42" s="35"/>
      <c r="AK42" s="41"/>
      <c r="AL42" s="43"/>
      <c r="AM42" s="43"/>
      <c r="AN42" s="43"/>
      <c r="AO42" s="45"/>
      <c r="AP42" s="41"/>
      <c r="AQ42" s="43"/>
      <c r="AR42" s="43"/>
      <c r="AS42" s="43"/>
      <c r="AT42" s="45"/>
      <c r="AU42" s="41"/>
      <c r="AV42" s="43"/>
      <c r="AW42" s="43"/>
      <c r="AX42" s="43"/>
      <c r="AY42" s="45"/>
      <c r="AZ42" s="41"/>
      <c r="BA42" s="43"/>
      <c r="BB42" s="43"/>
      <c r="BC42" s="43"/>
      <c r="BD42" s="45"/>
      <c r="BE42" s="41"/>
      <c r="BF42" s="43"/>
      <c r="BG42" s="43"/>
      <c r="BH42" s="43"/>
      <c r="BI42" s="45"/>
      <c r="BJ42" s="41"/>
      <c r="BK42" s="43"/>
      <c r="BL42" s="43"/>
      <c r="BM42" s="43"/>
      <c r="BN42" s="45"/>
      <c r="BO42" s="41"/>
      <c r="BP42" s="43"/>
      <c r="BQ42" s="43"/>
      <c r="BR42" s="43"/>
      <c r="BS42" s="45"/>
    </row>
    <row r="43" spans="1:71" ht="15.75" customHeight="1">
      <c r="A43" s="16"/>
      <c r="B43" s="15" t="s">
        <v>338</v>
      </c>
      <c r="C43" s="15" t="s">
        <v>339</v>
      </c>
      <c r="D43" s="55"/>
      <c r="E43" s="36"/>
      <c r="F43" s="24"/>
      <c r="G43" s="24"/>
      <c r="H43" s="29"/>
      <c r="I43" s="55">
        <v>43474</v>
      </c>
      <c r="J43" s="55">
        <v>43488</v>
      </c>
      <c r="K43" s="16"/>
      <c r="L43" s="16"/>
      <c r="M43" s="35"/>
      <c r="N43" s="16"/>
      <c r="O43" s="37" t="s">
        <v>257</v>
      </c>
      <c r="P43" s="16"/>
      <c r="Q43" s="16"/>
      <c r="R43" s="16"/>
      <c r="S43" s="16"/>
      <c r="T43" s="16"/>
      <c r="U43" s="16"/>
      <c r="V43" s="37" t="s">
        <v>263</v>
      </c>
      <c r="W43" s="15" t="s">
        <v>266</v>
      </c>
      <c r="X43" s="16"/>
      <c r="Y43" s="16"/>
      <c r="Z43" s="35"/>
      <c r="AA43" s="15" t="s">
        <v>398</v>
      </c>
      <c r="AB43" s="16"/>
      <c r="AC43" s="16"/>
      <c r="AD43" s="16"/>
      <c r="AE43" s="16"/>
      <c r="AF43" s="137">
        <v>43593</v>
      </c>
      <c r="AG43" s="16"/>
      <c r="AH43" s="16"/>
      <c r="AI43" s="16"/>
      <c r="AJ43" s="35"/>
      <c r="AK43" s="41"/>
      <c r="AL43" s="43"/>
      <c r="AM43" s="43"/>
      <c r="AN43" s="43"/>
      <c r="AO43" s="45"/>
      <c r="AP43" s="41"/>
      <c r="AQ43" s="43"/>
      <c r="AR43" s="43"/>
      <c r="AS43" s="43"/>
      <c r="AT43" s="45"/>
      <c r="AU43" s="41"/>
      <c r="AV43" s="43"/>
      <c r="AW43" s="43"/>
      <c r="AX43" s="43"/>
      <c r="AY43" s="45"/>
      <c r="AZ43" s="41"/>
      <c r="BA43" s="43"/>
      <c r="BB43" s="43"/>
      <c r="BC43" s="43"/>
      <c r="BD43" s="45"/>
      <c r="BE43" s="41"/>
      <c r="BF43" s="43"/>
      <c r="BG43" s="43"/>
      <c r="BH43" s="43"/>
      <c r="BI43" s="45"/>
      <c r="BJ43" s="41"/>
      <c r="BK43" s="43"/>
      <c r="BL43" s="43"/>
      <c r="BM43" s="43"/>
      <c r="BN43" s="45"/>
      <c r="BO43" s="41"/>
      <c r="BP43" s="43"/>
      <c r="BQ43" s="43"/>
      <c r="BR43" s="43"/>
      <c r="BS43" s="45"/>
    </row>
    <row r="44" spans="1:71" ht="15.75" customHeight="1">
      <c r="A44" s="16"/>
      <c r="B44" s="16" t="s">
        <v>346</v>
      </c>
      <c r="C44" s="15" t="s">
        <v>347</v>
      </c>
      <c r="D44" s="55">
        <v>43442</v>
      </c>
      <c r="E44" s="36">
        <v>43454</v>
      </c>
      <c r="F44" s="24"/>
      <c r="G44" s="24"/>
      <c r="H44" s="29"/>
      <c r="I44" s="55">
        <v>43476</v>
      </c>
      <c r="J44" s="33" t="s">
        <v>308</v>
      </c>
      <c r="K44" s="16"/>
      <c r="L44" s="16"/>
      <c r="M44" s="35"/>
      <c r="N44" s="16"/>
      <c r="O44" s="37" t="s">
        <v>487</v>
      </c>
      <c r="P44" s="16"/>
      <c r="Q44" s="16"/>
      <c r="R44" s="16"/>
      <c r="S44" s="16"/>
      <c r="T44" s="16"/>
      <c r="U44" s="16"/>
      <c r="V44" s="40"/>
      <c r="W44" s="16"/>
      <c r="X44" s="16"/>
      <c r="Y44" s="16"/>
      <c r="Z44" s="35"/>
      <c r="AA44" s="15" t="s">
        <v>325</v>
      </c>
      <c r="AB44" s="16"/>
      <c r="AC44" s="16"/>
      <c r="AD44" s="16"/>
      <c r="AE44" s="16"/>
      <c r="AF44" s="137">
        <v>43595</v>
      </c>
      <c r="AG44" s="16"/>
      <c r="AH44" s="16"/>
      <c r="AI44" s="16"/>
      <c r="AJ44" s="35"/>
      <c r="AK44" s="41"/>
      <c r="AL44" s="43"/>
      <c r="AM44" s="43"/>
      <c r="AN44" s="43"/>
      <c r="AO44" s="45"/>
      <c r="AP44" s="41"/>
      <c r="AQ44" s="43"/>
      <c r="AR44" s="43"/>
      <c r="AS44" s="43"/>
      <c r="AT44" s="45"/>
      <c r="AU44" s="41"/>
      <c r="AV44" s="43"/>
      <c r="AW44" s="43"/>
      <c r="AX44" s="43"/>
      <c r="AY44" s="45"/>
      <c r="AZ44" s="41"/>
      <c r="BA44" s="43"/>
      <c r="BB44" s="43"/>
      <c r="BC44" s="43"/>
      <c r="BD44" s="45"/>
      <c r="BE44" s="41"/>
      <c r="BF44" s="43"/>
      <c r="BG44" s="43"/>
      <c r="BH44" s="43"/>
      <c r="BI44" s="45"/>
      <c r="BJ44" s="41"/>
      <c r="BK44" s="43"/>
      <c r="BL44" s="43"/>
      <c r="BM44" s="43"/>
      <c r="BN44" s="45"/>
      <c r="BO44" s="41"/>
      <c r="BP44" s="43"/>
      <c r="BQ44" s="43"/>
      <c r="BR44" s="43"/>
      <c r="BS44" s="45"/>
    </row>
    <row r="45" spans="1:71" ht="15.75" customHeight="1">
      <c r="A45" s="16"/>
      <c r="B45" s="50" t="s">
        <v>221</v>
      </c>
      <c r="C45" s="50" t="s">
        <v>497</v>
      </c>
      <c r="D45" s="55"/>
      <c r="E45" s="36"/>
      <c r="F45" s="24"/>
      <c r="G45" s="24"/>
      <c r="H45" s="29"/>
      <c r="I45" s="55"/>
      <c r="J45" s="33"/>
      <c r="K45" s="16"/>
      <c r="L45" s="16"/>
      <c r="M45" s="35"/>
      <c r="N45" s="16"/>
      <c r="O45" s="37"/>
      <c r="P45" s="16"/>
      <c r="Q45" s="16"/>
      <c r="R45" s="16"/>
      <c r="S45" s="16"/>
      <c r="T45" s="16"/>
      <c r="U45" s="16"/>
      <c r="V45" s="40"/>
      <c r="W45" s="16"/>
      <c r="X45" s="16"/>
      <c r="Y45" s="16"/>
      <c r="Z45" s="35"/>
      <c r="AA45" s="15" t="s">
        <v>455</v>
      </c>
      <c r="AB45" s="15" t="s">
        <v>146</v>
      </c>
      <c r="AC45" s="15" t="s">
        <v>456</v>
      </c>
      <c r="AD45" s="15" t="s">
        <v>489</v>
      </c>
      <c r="AE45" s="16"/>
      <c r="AF45" s="137">
        <v>43592</v>
      </c>
      <c r="AG45" s="136">
        <v>43599</v>
      </c>
      <c r="AH45" s="136">
        <v>43606</v>
      </c>
      <c r="AI45" s="162">
        <v>43613</v>
      </c>
      <c r="AJ45" s="35"/>
      <c r="AK45" s="41"/>
      <c r="AL45" s="43"/>
      <c r="AM45" s="43"/>
      <c r="AN45" s="43"/>
      <c r="AO45" s="45"/>
      <c r="AP45" s="41"/>
      <c r="AQ45" s="43"/>
      <c r="AR45" s="43"/>
      <c r="AS45" s="43"/>
      <c r="AT45" s="45"/>
      <c r="AU45" s="41"/>
      <c r="AV45" s="43"/>
      <c r="AW45" s="43"/>
      <c r="AX45" s="43"/>
      <c r="AY45" s="45"/>
      <c r="AZ45" s="41"/>
      <c r="BA45" s="43"/>
      <c r="BB45" s="43"/>
      <c r="BC45" s="43"/>
      <c r="BD45" s="45"/>
      <c r="BE45" s="41"/>
      <c r="BF45" s="43"/>
      <c r="BG45" s="43"/>
      <c r="BH45" s="43"/>
      <c r="BI45" s="45"/>
      <c r="BJ45" s="41"/>
      <c r="BK45" s="43"/>
      <c r="BL45" s="43"/>
      <c r="BM45" s="43"/>
      <c r="BN45" s="45"/>
      <c r="BO45" s="41"/>
      <c r="BP45" s="43"/>
      <c r="BQ45" s="43"/>
      <c r="BR45" s="43"/>
      <c r="BS45" s="45"/>
    </row>
    <row r="46" spans="1:71" ht="24.75" customHeight="1">
      <c r="A46" s="16"/>
      <c r="B46" s="50" t="s">
        <v>355</v>
      </c>
      <c r="C46" s="50" t="s">
        <v>498</v>
      </c>
      <c r="D46" s="48"/>
      <c r="E46" s="24"/>
      <c r="F46" s="24"/>
      <c r="G46" s="24"/>
      <c r="H46" s="29"/>
      <c r="I46" s="40"/>
      <c r="J46" s="16"/>
      <c r="K46" s="16"/>
      <c r="L46" s="16"/>
      <c r="M46" s="35"/>
      <c r="N46" s="16"/>
      <c r="O46" s="40"/>
      <c r="P46" s="16"/>
      <c r="Q46" s="16"/>
      <c r="R46" s="16"/>
      <c r="S46" s="16"/>
      <c r="T46" s="16"/>
      <c r="U46" s="16"/>
      <c r="V46" s="40"/>
      <c r="W46" s="16"/>
      <c r="X46" s="16"/>
      <c r="Y46" s="16"/>
      <c r="Z46" s="35"/>
      <c r="AA46" s="15" t="s">
        <v>499</v>
      </c>
      <c r="AB46" s="53" t="s">
        <v>146</v>
      </c>
      <c r="AC46" s="53" t="s">
        <v>500</v>
      </c>
      <c r="AD46" s="16"/>
      <c r="AE46" s="16"/>
      <c r="AF46" s="137">
        <v>43594</v>
      </c>
      <c r="AG46" s="142">
        <v>43596</v>
      </c>
      <c r="AH46" s="16"/>
      <c r="AI46" s="16"/>
      <c r="AJ46" s="35"/>
      <c r="AK46" s="41"/>
      <c r="AL46" s="43"/>
      <c r="AM46" s="43"/>
      <c r="AN46" s="43"/>
      <c r="AO46" s="45"/>
      <c r="AP46" s="41"/>
      <c r="AQ46" s="43"/>
      <c r="AR46" s="43"/>
      <c r="AS46" s="43"/>
      <c r="AT46" s="45"/>
      <c r="AU46" s="41"/>
      <c r="AV46" s="43"/>
      <c r="AW46" s="43"/>
      <c r="AX46" s="43"/>
      <c r="AY46" s="45"/>
      <c r="AZ46" s="41"/>
      <c r="BA46" s="43"/>
      <c r="BB46" s="43"/>
      <c r="BC46" s="43"/>
      <c r="BD46" s="45"/>
      <c r="BE46" s="41"/>
      <c r="BF46" s="43"/>
      <c r="BG46" s="43"/>
      <c r="BH46" s="43"/>
      <c r="BI46" s="45"/>
      <c r="BJ46" s="41"/>
      <c r="BK46" s="43"/>
      <c r="BL46" s="43"/>
      <c r="BM46" s="43"/>
      <c r="BN46" s="45"/>
      <c r="BO46" s="41"/>
      <c r="BP46" s="43"/>
      <c r="BQ46" s="43"/>
      <c r="BR46" s="43"/>
      <c r="BS46" s="45"/>
    </row>
    <row r="47" spans="1:71" ht="15.75" customHeight="1">
      <c r="A47" s="16"/>
      <c r="B47" s="16"/>
      <c r="C47" s="16"/>
      <c r="D47" s="48"/>
      <c r="E47" s="24"/>
      <c r="F47" s="24"/>
      <c r="G47" s="24"/>
      <c r="H47" s="29"/>
      <c r="I47" s="40"/>
      <c r="J47" s="16"/>
      <c r="K47" s="16"/>
      <c r="L47" s="16"/>
      <c r="M47" s="35"/>
      <c r="N47" s="16"/>
      <c r="O47" s="40"/>
      <c r="P47" s="16"/>
      <c r="Q47" s="16"/>
      <c r="R47" s="16"/>
      <c r="S47" s="16"/>
      <c r="T47" s="16"/>
      <c r="U47" s="16"/>
      <c r="V47" s="40"/>
      <c r="W47" s="16"/>
      <c r="X47" s="16"/>
      <c r="Y47" s="16"/>
      <c r="Z47" s="35"/>
      <c r="AA47" s="16"/>
      <c r="AB47" s="16"/>
      <c r="AC47" s="16"/>
      <c r="AD47" s="16"/>
      <c r="AE47" s="16"/>
      <c r="AF47" s="40"/>
      <c r="AG47" s="16"/>
      <c r="AH47" s="16"/>
      <c r="AI47" s="16"/>
      <c r="AJ47" s="35"/>
      <c r="AK47" s="41"/>
      <c r="AL47" s="43"/>
      <c r="AM47" s="43"/>
      <c r="AN47" s="43"/>
      <c r="AO47" s="45"/>
      <c r="AP47" s="41"/>
      <c r="AQ47" s="43"/>
      <c r="AR47" s="43"/>
      <c r="AS47" s="43"/>
      <c r="AT47" s="45"/>
      <c r="AU47" s="41"/>
      <c r="AV47" s="43"/>
      <c r="AW47" s="43"/>
      <c r="AX47" s="43"/>
      <c r="AY47" s="45"/>
      <c r="AZ47" s="41"/>
      <c r="BA47" s="43"/>
      <c r="BB47" s="43"/>
      <c r="BC47" s="43"/>
      <c r="BD47" s="45"/>
      <c r="BE47" s="41"/>
      <c r="BF47" s="43"/>
      <c r="BG47" s="43"/>
      <c r="BH47" s="43"/>
      <c r="BI47" s="45"/>
      <c r="BJ47" s="41"/>
      <c r="BK47" s="43"/>
      <c r="BL47" s="43"/>
      <c r="BM47" s="43"/>
      <c r="BN47" s="45"/>
      <c r="BO47" s="41"/>
      <c r="BP47" s="43"/>
      <c r="BQ47" s="43"/>
      <c r="BR47" s="43"/>
      <c r="BS47" s="45"/>
    </row>
    <row r="48" spans="1:71" ht="15.75" customHeight="1">
      <c r="A48" s="61"/>
      <c r="B48" s="62" t="s">
        <v>363</v>
      </c>
      <c r="C48" s="63"/>
      <c r="D48" s="48"/>
      <c r="E48" s="24"/>
      <c r="F48" s="24"/>
      <c r="G48" s="24"/>
      <c r="H48" s="29"/>
      <c r="I48" s="40"/>
      <c r="J48" s="16"/>
      <c r="K48" s="16"/>
      <c r="L48" s="16"/>
      <c r="M48" s="35"/>
      <c r="N48" s="16"/>
      <c r="O48" s="40"/>
      <c r="P48" s="16"/>
      <c r="Q48" s="16"/>
      <c r="R48" s="16"/>
      <c r="S48" s="16"/>
      <c r="T48" s="16"/>
      <c r="U48" s="16"/>
      <c r="V48" s="40"/>
      <c r="W48" s="16"/>
      <c r="X48" s="16"/>
      <c r="Y48" s="16"/>
      <c r="Z48" s="35"/>
      <c r="AA48" s="16"/>
      <c r="AB48" s="16"/>
      <c r="AC48" s="16"/>
      <c r="AD48" s="16"/>
      <c r="AE48" s="16"/>
      <c r="AF48" s="40"/>
      <c r="AG48" s="16"/>
      <c r="AH48" s="16"/>
      <c r="AI48" s="16"/>
      <c r="AJ48" s="35"/>
      <c r="AK48" s="41"/>
      <c r="AL48" s="43"/>
      <c r="AM48" s="43"/>
      <c r="AN48" s="43"/>
      <c r="AO48" s="45"/>
      <c r="AP48" s="41"/>
      <c r="AQ48" s="43"/>
      <c r="AR48" s="43"/>
      <c r="AS48" s="43"/>
      <c r="AT48" s="45"/>
      <c r="AU48" s="41"/>
      <c r="AV48" s="43"/>
      <c r="AW48" s="43"/>
      <c r="AX48" s="43"/>
      <c r="AY48" s="45"/>
      <c r="AZ48" s="41"/>
      <c r="BA48" s="43"/>
      <c r="BB48" s="43"/>
      <c r="BC48" s="43"/>
      <c r="BD48" s="45"/>
      <c r="BE48" s="41"/>
      <c r="BF48" s="43"/>
      <c r="BG48" s="43"/>
      <c r="BH48" s="43"/>
      <c r="BI48" s="45"/>
      <c r="BJ48" s="41"/>
      <c r="BK48" s="43"/>
      <c r="BL48" s="43"/>
      <c r="BM48" s="43"/>
      <c r="BN48" s="45"/>
      <c r="BO48" s="41"/>
      <c r="BP48" s="43"/>
      <c r="BQ48" s="43"/>
      <c r="BR48" s="43"/>
      <c r="BS48" s="45"/>
    </row>
    <row r="49" spans="1:71" ht="15.75" customHeight="1">
      <c r="A49" s="12"/>
      <c r="B49" s="12" t="s">
        <v>366</v>
      </c>
      <c r="C49" s="12" t="s">
        <v>367</v>
      </c>
      <c r="D49" s="103"/>
      <c r="E49" s="104"/>
      <c r="F49" s="104"/>
      <c r="G49" s="104"/>
      <c r="H49" s="105"/>
      <c r="I49" s="41"/>
      <c r="J49" s="43"/>
      <c r="K49" s="43"/>
      <c r="L49" s="43"/>
      <c r="M49" s="45"/>
      <c r="N49" s="43"/>
      <c r="O49" s="41"/>
      <c r="P49" s="43"/>
      <c r="Q49" s="43"/>
      <c r="R49" s="43"/>
      <c r="S49" s="43"/>
      <c r="T49" s="43"/>
      <c r="U49" s="43"/>
      <c r="V49" s="41"/>
      <c r="W49" s="43"/>
      <c r="X49" s="43"/>
      <c r="Y49" s="43"/>
      <c r="Z49" s="45"/>
      <c r="AA49" s="43"/>
      <c r="AB49" s="43"/>
      <c r="AC49" s="43"/>
      <c r="AD49" s="43"/>
      <c r="AE49" s="43"/>
      <c r="AF49" s="41"/>
      <c r="AG49" s="43"/>
      <c r="AH49" s="43"/>
      <c r="AI49" s="43"/>
      <c r="AJ49" s="45"/>
      <c r="AK49" s="41"/>
      <c r="AL49" s="43"/>
      <c r="AM49" s="43"/>
      <c r="AN49" s="43"/>
      <c r="AO49" s="45"/>
      <c r="AP49" s="41"/>
      <c r="AQ49" s="43"/>
      <c r="AR49" s="43"/>
      <c r="AS49" s="43"/>
      <c r="AT49" s="45"/>
      <c r="AU49" s="41"/>
      <c r="AV49" s="43"/>
      <c r="AW49" s="43"/>
      <c r="AX49" s="43"/>
      <c r="AY49" s="45"/>
      <c r="AZ49" s="41"/>
      <c r="BA49" s="43"/>
      <c r="BB49" s="43"/>
      <c r="BC49" s="43"/>
      <c r="BD49" s="45"/>
      <c r="BE49" s="41"/>
      <c r="BF49" s="43"/>
      <c r="BG49" s="43"/>
      <c r="BH49" s="43"/>
      <c r="BI49" s="45"/>
      <c r="BJ49" s="41"/>
      <c r="BK49" s="43"/>
      <c r="BL49" s="43"/>
      <c r="BM49" s="43"/>
      <c r="BN49" s="45"/>
      <c r="BO49" s="41"/>
      <c r="BP49" s="43"/>
      <c r="BQ49" s="43"/>
      <c r="BR49" s="43"/>
      <c r="BS49" s="45"/>
    </row>
    <row r="50" spans="1:71" ht="15.75" customHeight="1">
      <c r="A50" s="12"/>
      <c r="B50" s="12" t="s">
        <v>377</v>
      </c>
      <c r="C50" s="12" t="s">
        <v>379</v>
      </c>
      <c r="D50" s="103"/>
      <c r="E50" s="104"/>
      <c r="F50" s="104"/>
      <c r="G50" s="104"/>
      <c r="H50" s="105"/>
      <c r="I50" s="41"/>
      <c r="J50" s="43"/>
      <c r="K50" s="43"/>
      <c r="L50" s="43"/>
      <c r="M50" s="45"/>
      <c r="N50" s="43"/>
      <c r="O50" s="41"/>
      <c r="P50" s="43"/>
      <c r="Q50" s="43"/>
      <c r="R50" s="43"/>
      <c r="S50" s="43"/>
      <c r="T50" s="43"/>
      <c r="U50" s="43"/>
      <c r="V50" s="41"/>
      <c r="W50" s="43"/>
      <c r="X50" s="43"/>
      <c r="Y50" s="43"/>
      <c r="Z50" s="45"/>
      <c r="AA50" s="43"/>
      <c r="AB50" s="43"/>
      <c r="AC50" s="43"/>
      <c r="AD50" s="43"/>
      <c r="AE50" s="43"/>
      <c r="AF50" s="41"/>
      <c r="AG50" s="43"/>
      <c r="AH50" s="43"/>
      <c r="AI50" s="43"/>
      <c r="AJ50" s="45"/>
      <c r="AK50" s="41"/>
      <c r="AL50" s="43"/>
      <c r="AM50" s="43"/>
      <c r="AN50" s="43"/>
      <c r="AO50" s="45"/>
      <c r="AP50" s="41"/>
      <c r="AQ50" s="43"/>
      <c r="AR50" s="43"/>
      <c r="AS50" s="43"/>
      <c r="AT50" s="45"/>
      <c r="AU50" s="41"/>
      <c r="AV50" s="43"/>
      <c r="AW50" s="43"/>
      <c r="AX50" s="43"/>
      <c r="AY50" s="45"/>
      <c r="AZ50" s="41"/>
      <c r="BA50" s="43"/>
      <c r="BB50" s="43"/>
      <c r="BC50" s="43"/>
      <c r="BD50" s="45"/>
      <c r="BE50" s="41"/>
      <c r="BF50" s="43"/>
      <c r="BG50" s="43"/>
      <c r="BH50" s="43"/>
      <c r="BI50" s="45"/>
      <c r="BJ50" s="41"/>
      <c r="BK50" s="43"/>
      <c r="BL50" s="43"/>
      <c r="BM50" s="43"/>
      <c r="BN50" s="45"/>
      <c r="BO50" s="41"/>
      <c r="BP50" s="43"/>
      <c r="BQ50" s="43"/>
      <c r="BR50" s="43"/>
      <c r="BS50" s="45"/>
    </row>
    <row r="51" spans="1:71" ht="15.75" customHeight="1">
      <c r="A51" s="12"/>
      <c r="B51" s="12" t="s">
        <v>386</v>
      </c>
      <c r="C51" s="12" t="s">
        <v>387</v>
      </c>
      <c r="D51" s="103"/>
      <c r="E51" s="104"/>
      <c r="F51" s="104"/>
      <c r="G51" s="104"/>
      <c r="H51" s="105"/>
      <c r="I51" s="41"/>
      <c r="J51" s="43"/>
      <c r="K51" s="43"/>
      <c r="L51" s="43"/>
      <c r="M51" s="45"/>
      <c r="N51" s="43"/>
      <c r="O51" s="41"/>
      <c r="P51" s="43"/>
      <c r="Q51" s="43"/>
      <c r="R51" s="43"/>
      <c r="S51" s="43"/>
      <c r="T51" s="43"/>
      <c r="U51" s="43"/>
      <c r="V51" s="41"/>
      <c r="W51" s="43"/>
      <c r="X51" s="43"/>
      <c r="Y51" s="43"/>
      <c r="Z51" s="45"/>
      <c r="AA51" s="43"/>
      <c r="AB51" s="43"/>
      <c r="AC51" s="43"/>
      <c r="AD51" s="43"/>
      <c r="AE51" s="43"/>
      <c r="AF51" s="41"/>
      <c r="AG51" s="43"/>
      <c r="AH51" s="43"/>
      <c r="AI51" s="43"/>
      <c r="AJ51" s="45"/>
      <c r="AK51" s="41"/>
      <c r="AL51" s="43"/>
      <c r="AM51" s="43"/>
      <c r="AN51" s="43"/>
      <c r="AO51" s="45"/>
      <c r="AP51" s="41"/>
      <c r="AQ51" s="43"/>
      <c r="AR51" s="43"/>
      <c r="AS51" s="43"/>
      <c r="AT51" s="45"/>
      <c r="AU51" s="41"/>
      <c r="AV51" s="43"/>
      <c r="AW51" s="43"/>
      <c r="AX51" s="43"/>
      <c r="AY51" s="45"/>
      <c r="AZ51" s="41"/>
      <c r="BA51" s="43"/>
      <c r="BB51" s="43"/>
      <c r="BC51" s="43"/>
      <c r="BD51" s="45"/>
      <c r="BE51" s="41"/>
      <c r="BF51" s="43"/>
      <c r="BG51" s="43"/>
      <c r="BH51" s="43"/>
      <c r="BI51" s="45"/>
      <c r="BJ51" s="41"/>
      <c r="BK51" s="43"/>
      <c r="BL51" s="43"/>
      <c r="BM51" s="43"/>
      <c r="BN51" s="45"/>
      <c r="BO51" s="41"/>
      <c r="BP51" s="43"/>
      <c r="BQ51" s="43"/>
      <c r="BR51" s="43"/>
      <c r="BS51" s="45"/>
    </row>
    <row r="52" spans="1:71" ht="15.75" customHeight="1">
      <c r="A52" s="67"/>
      <c r="B52" s="63" t="s">
        <v>391</v>
      </c>
      <c r="C52" s="63" t="s">
        <v>392</v>
      </c>
      <c r="D52" s="48"/>
      <c r="E52" s="24"/>
      <c r="F52" s="24"/>
      <c r="G52" s="24"/>
      <c r="H52" s="29"/>
      <c r="I52" s="40"/>
      <c r="J52" s="16"/>
      <c r="K52" s="16"/>
      <c r="L52" s="16"/>
      <c r="M52" s="35"/>
      <c r="N52" s="16"/>
      <c r="O52" s="40"/>
      <c r="P52" s="16"/>
      <c r="Q52" s="16"/>
      <c r="R52" s="16"/>
      <c r="S52" s="16"/>
      <c r="T52" s="16"/>
      <c r="U52" s="16"/>
      <c r="V52" s="40"/>
      <c r="W52" s="16"/>
      <c r="X52" s="16"/>
      <c r="Y52" s="16"/>
      <c r="Z52" s="35"/>
      <c r="AA52" s="16"/>
      <c r="AB52" s="16"/>
      <c r="AC52" s="16"/>
      <c r="AD52" s="16"/>
      <c r="AE52" s="16"/>
      <c r="AF52" s="40"/>
      <c r="AG52" s="16"/>
      <c r="AH52" s="16"/>
      <c r="AI52" s="16"/>
      <c r="AJ52" s="35"/>
      <c r="AK52" s="41"/>
      <c r="AL52" s="43"/>
      <c r="AM52" s="43"/>
      <c r="AN52" s="43"/>
      <c r="AO52" s="45"/>
      <c r="AP52" s="41"/>
      <c r="AQ52" s="43"/>
      <c r="AR52" s="43"/>
      <c r="AS52" s="43"/>
      <c r="AT52" s="45"/>
      <c r="AU52" s="41"/>
      <c r="AV52" s="43"/>
      <c r="AW52" s="43"/>
      <c r="AX52" s="43"/>
      <c r="AY52" s="45"/>
      <c r="AZ52" s="41"/>
      <c r="BA52" s="43"/>
      <c r="BB52" s="43"/>
      <c r="BC52" s="43"/>
      <c r="BD52" s="45"/>
      <c r="BE52" s="41"/>
      <c r="BF52" s="43"/>
      <c r="BG52" s="43"/>
      <c r="BH52" s="43"/>
      <c r="BI52" s="45"/>
      <c r="BJ52" s="41"/>
      <c r="BK52" s="43"/>
      <c r="BL52" s="43"/>
      <c r="BM52" s="43"/>
      <c r="BN52" s="45"/>
      <c r="BO52" s="41"/>
      <c r="BP52" s="43"/>
      <c r="BQ52" s="43"/>
      <c r="BR52" s="43"/>
      <c r="BS52" s="45"/>
    </row>
    <row r="53" spans="1:71" ht="15.75" customHeight="1">
      <c r="A53" s="69"/>
      <c r="B53" s="70" t="s">
        <v>399</v>
      </c>
      <c r="C53" s="16" t="s">
        <v>400</v>
      </c>
      <c r="D53" s="55">
        <v>43440</v>
      </c>
      <c r="E53" s="36">
        <v>43445</v>
      </c>
      <c r="F53" s="24" t="s">
        <v>501</v>
      </c>
      <c r="G53" s="36">
        <v>43456</v>
      </c>
      <c r="H53" s="29"/>
      <c r="I53" s="40"/>
      <c r="J53" s="16"/>
      <c r="K53" s="16"/>
      <c r="L53" s="16"/>
      <c r="M53" s="35"/>
      <c r="N53" s="16"/>
      <c r="O53" s="40"/>
      <c r="P53" s="16"/>
      <c r="Q53" s="16"/>
      <c r="R53" s="16"/>
      <c r="S53" s="16"/>
      <c r="T53" s="16"/>
      <c r="U53" s="16"/>
      <c r="V53" s="40"/>
      <c r="W53" s="16"/>
      <c r="X53" s="16"/>
      <c r="Y53" s="16"/>
      <c r="Z53" s="35"/>
      <c r="AA53" s="16"/>
      <c r="AB53" s="16"/>
      <c r="AC53" s="16"/>
      <c r="AD53" s="16"/>
      <c r="AE53" s="16"/>
      <c r="AF53" s="40"/>
      <c r="AG53" s="16"/>
      <c r="AH53" s="16"/>
      <c r="AI53" s="16"/>
      <c r="AJ53" s="35"/>
      <c r="AK53" s="41"/>
      <c r="AL53" s="43"/>
      <c r="AM53" s="43"/>
      <c r="AN53" s="43"/>
      <c r="AO53" s="45"/>
      <c r="AP53" s="41"/>
      <c r="AQ53" s="43"/>
      <c r="AR53" s="43"/>
      <c r="AS53" s="43"/>
      <c r="AT53" s="45"/>
      <c r="AU53" s="41"/>
      <c r="AV53" s="43"/>
      <c r="AW53" s="43"/>
      <c r="AX53" s="43"/>
      <c r="AY53" s="45"/>
      <c r="AZ53" s="41"/>
      <c r="BA53" s="43"/>
      <c r="BB53" s="43"/>
      <c r="BC53" s="43"/>
      <c r="BD53" s="45"/>
      <c r="BE53" s="41"/>
      <c r="BF53" s="43"/>
      <c r="BG53" s="43"/>
      <c r="BH53" s="43"/>
      <c r="BI53" s="45"/>
      <c r="BJ53" s="41"/>
      <c r="BK53" s="43"/>
      <c r="BL53" s="43"/>
      <c r="BM53" s="43"/>
      <c r="BN53" s="45"/>
      <c r="BO53" s="41"/>
      <c r="BP53" s="43"/>
      <c r="BQ53" s="43"/>
      <c r="BR53" s="43"/>
      <c r="BS53" s="45"/>
    </row>
    <row r="54" spans="1:71" ht="15.75" customHeight="1">
      <c r="A54" s="16"/>
      <c r="B54" s="71" t="s">
        <v>406</v>
      </c>
      <c r="C54" s="71" t="s">
        <v>407</v>
      </c>
      <c r="D54" s="48"/>
      <c r="E54" s="24"/>
      <c r="F54" s="24"/>
      <c r="G54" s="24"/>
      <c r="H54" s="29"/>
      <c r="I54" s="40"/>
      <c r="J54" s="16"/>
      <c r="K54" s="16"/>
      <c r="L54" s="16"/>
      <c r="M54" s="35"/>
      <c r="N54" s="16"/>
      <c r="P54" s="16"/>
      <c r="Q54" s="16"/>
      <c r="R54" s="16"/>
      <c r="S54" s="16"/>
      <c r="T54" s="16"/>
      <c r="U54" s="16"/>
      <c r="V54" s="40"/>
      <c r="W54" s="16"/>
      <c r="X54" s="16"/>
      <c r="Y54" s="16"/>
      <c r="Z54" s="35"/>
      <c r="AA54" s="16"/>
      <c r="AB54" s="16"/>
      <c r="AC54" s="16"/>
      <c r="AD54" s="16"/>
      <c r="AE54" s="16"/>
      <c r="AF54" s="40"/>
      <c r="AG54" s="16"/>
      <c r="AH54" s="16"/>
      <c r="AI54" s="16"/>
      <c r="AJ54" s="35"/>
      <c r="AK54" s="41"/>
      <c r="AL54" s="43"/>
      <c r="AM54" s="43"/>
      <c r="AN54" s="43"/>
      <c r="AO54" s="45"/>
      <c r="AP54" s="41"/>
      <c r="AQ54" s="43"/>
      <c r="AR54" s="43"/>
      <c r="AS54" s="43"/>
      <c r="AT54" s="45"/>
      <c r="AU54" s="41"/>
      <c r="AV54" s="43"/>
      <c r="AW54" s="43"/>
      <c r="AX54" s="43"/>
      <c r="AY54" s="45"/>
      <c r="AZ54" s="41"/>
      <c r="BA54" s="43"/>
      <c r="BB54" s="43"/>
      <c r="BC54" s="43"/>
      <c r="BD54" s="45"/>
      <c r="BE54" s="41"/>
      <c r="BF54" s="43"/>
      <c r="BG54" s="43"/>
      <c r="BH54" s="43"/>
      <c r="BI54" s="45"/>
      <c r="BJ54" s="41"/>
      <c r="BK54" s="43"/>
      <c r="BL54" s="43"/>
      <c r="BM54" s="43"/>
      <c r="BN54" s="45"/>
      <c r="BO54" s="41"/>
      <c r="BP54" s="43"/>
      <c r="BQ54" s="43"/>
      <c r="BR54" s="43"/>
      <c r="BS54" s="45"/>
    </row>
    <row r="55" spans="1:71" ht="15.75" customHeight="1">
      <c r="A55" s="16"/>
      <c r="B55" s="16" t="s">
        <v>415</v>
      </c>
      <c r="C55" s="16" t="s">
        <v>416</v>
      </c>
      <c r="D55" s="55">
        <v>43439</v>
      </c>
      <c r="E55" s="36">
        <v>43446</v>
      </c>
      <c r="F55" s="24"/>
      <c r="G55" s="24"/>
      <c r="H55" s="29"/>
      <c r="I55" s="31">
        <v>43474</v>
      </c>
      <c r="J55" s="15" t="s">
        <v>254</v>
      </c>
      <c r="K55" s="31">
        <v>43488</v>
      </c>
      <c r="L55" s="15" t="s">
        <v>255</v>
      </c>
      <c r="M55" s="35"/>
      <c r="N55" s="16"/>
      <c r="O55" s="37" t="s">
        <v>257</v>
      </c>
      <c r="P55" s="15" t="s">
        <v>258</v>
      </c>
      <c r="Q55" s="15" t="s">
        <v>259</v>
      </c>
      <c r="R55" s="16"/>
      <c r="S55" s="16"/>
      <c r="T55" s="16"/>
      <c r="U55" s="16"/>
      <c r="V55" s="40"/>
      <c r="W55" s="16"/>
      <c r="X55" s="16"/>
      <c r="Y55" s="16"/>
      <c r="Z55" s="35"/>
      <c r="AA55" s="16"/>
      <c r="AB55" s="16"/>
      <c r="AC55" s="16"/>
      <c r="AD55" s="16"/>
      <c r="AE55" s="16"/>
      <c r="AF55" s="40"/>
      <c r="AG55" s="16"/>
      <c r="AH55" s="16"/>
      <c r="AI55" s="16"/>
      <c r="AJ55" s="35"/>
      <c r="AK55" s="41"/>
      <c r="AL55" s="43"/>
      <c r="AM55" s="43"/>
      <c r="AN55" s="43"/>
      <c r="AO55" s="45"/>
      <c r="AP55" s="41"/>
      <c r="AQ55" s="43"/>
      <c r="AR55" s="43"/>
      <c r="AS55" s="43"/>
      <c r="AT55" s="45"/>
      <c r="AU55" s="41"/>
      <c r="AV55" s="43"/>
      <c r="AW55" s="43"/>
      <c r="AX55" s="43"/>
      <c r="AY55" s="45"/>
      <c r="AZ55" s="41"/>
      <c r="BA55" s="43"/>
      <c r="BB55" s="43"/>
      <c r="BC55" s="43"/>
      <c r="BD55" s="45"/>
      <c r="BE55" s="41"/>
      <c r="BF55" s="43"/>
      <c r="BG55" s="43"/>
      <c r="BH55" s="43"/>
      <c r="BI55" s="45"/>
      <c r="BJ55" s="41"/>
      <c r="BK55" s="43"/>
      <c r="BL55" s="43"/>
      <c r="BM55" s="43"/>
      <c r="BN55" s="45"/>
      <c r="BO55" s="41"/>
      <c r="BP55" s="43"/>
      <c r="BQ55" s="43"/>
      <c r="BR55" s="43"/>
      <c r="BS55" s="45"/>
    </row>
    <row r="56" spans="1:71" ht="15.75" customHeight="1">
      <c r="A56" s="16"/>
      <c r="B56" s="16" t="s">
        <v>422</v>
      </c>
      <c r="C56" s="16" t="s">
        <v>423</v>
      </c>
      <c r="D56" s="48"/>
      <c r="E56" s="24"/>
      <c r="F56" s="24"/>
      <c r="G56" s="24"/>
      <c r="H56" s="29"/>
      <c r="I56" s="31">
        <v>43476</v>
      </c>
      <c r="J56" s="15" t="s">
        <v>308</v>
      </c>
      <c r="K56" s="16"/>
      <c r="L56" s="16"/>
      <c r="M56" s="35"/>
      <c r="N56" s="16"/>
      <c r="O56" s="15" t="s">
        <v>316</v>
      </c>
      <c r="P56" s="15" t="s">
        <v>493</v>
      </c>
      <c r="Q56" s="16"/>
      <c r="R56" s="16"/>
      <c r="S56" s="16"/>
      <c r="T56" s="16"/>
      <c r="U56" s="16"/>
      <c r="V56" s="37" t="s">
        <v>493</v>
      </c>
      <c r="W56" s="15" t="s">
        <v>322</v>
      </c>
      <c r="X56" s="16"/>
      <c r="Y56" s="16"/>
      <c r="Z56" s="35"/>
      <c r="AA56" s="16"/>
      <c r="AB56" s="16"/>
      <c r="AC56" s="16"/>
      <c r="AD56" s="16"/>
      <c r="AE56" s="16"/>
      <c r="AF56" s="40"/>
      <c r="AG56" s="16"/>
      <c r="AH56" s="16"/>
      <c r="AI56" s="16"/>
      <c r="AJ56" s="35"/>
      <c r="AK56" s="41"/>
      <c r="AL56" s="43"/>
      <c r="AM56" s="43"/>
      <c r="AN56" s="43"/>
      <c r="AO56" s="45"/>
      <c r="AP56" s="41"/>
      <c r="AQ56" s="43"/>
      <c r="AR56" s="43"/>
      <c r="AS56" s="43"/>
      <c r="AT56" s="45"/>
      <c r="AU56" s="41"/>
      <c r="AV56" s="43"/>
      <c r="AW56" s="43"/>
      <c r="AX56" s="43"/>
      <c r="AY56" s="45"/>
      <c r="AZ56" s="41"/>
      <c r="BA56" s="43"/>
      <c r="BB56" s="43"/>
      <c r="BC56" s="43"/>
      <c r="BD56" s="45"/>
      <c r="BE56" s="41"/>
      <c r="BF56" s="43"/>
      <c r="BG56" s="43"/>
      <c r="BH56" s="43"/>
      <c r="BI56" s="45"/>
      <c r="BJ56" s="41"/>
      <c r="BK56" s="43"/>
      <c r="BL56" s="43"/>
      <c r="BM56" s="43"/>
      <c r="BN56" s="45"/>
      <c r="BO56" s="41"/>
      <c r="BP56" s="43"/>
      <c r="BQ56" s="43"/>
      <c r="BR56" s="43"/>
      <c r="BS56" s="45"/>
    </row>
    <row r="57" spans="1:71" ht="15.75" customHeight="1">
      <c r="A57" s="73"/>
      <c r="B57" s="73" t="s">
        <v>428</v>
      </c>
      <c r="C57" s="106" t="s">
        <v>429</v>
      </c>
      <c r="D57" s="80"/>
      <c r="E57" s="80"/>
      <c r="F57" s="80"/>
      <c r="G57" s="80"/>
      <c r="H57" s="107"/>
      <c r="I57" s="108"/>
      <c r="J57" s="108"/>
      <c r="K57" s="73"/>
      <c r="L57" s="108"/>
      <c r="M57" s="106"/>
      <c r="N57" s="106"/>
      <c r="O57" s="73"/>
      <c r="P57" s="73"/>
      <c r="Q57" s="73"/>
      <c r="R57" s="73"/>
      <c r="S57" s="73"/>
      <c r="T57" s="73"/>
      <c r="U57" s="106"/>
      <c r="V57" s="73"/>
      <c r="W57" s="73"/>
      <c r="X57" s="73"/>
      <c r="Y57" s="73"/>
      <c r="Z57" s="106"/>
      <c r="AA57" s="73"/>
      <c r="AB57" s="73"/>
      <c r="AC57" s="73"/>
      <c r="AD57" s="73"/>
      <c r="AE57" s="106"/>
      <c r="AF57" s="73"/>
      <c r="AG57" s="73"/>
      <c r="AH57" s="73"/>
      <c r="AI57" s="73"/>
      <c r="AJ57" s="106"/>
      <c r="AK57" s="73"/>
      <c r="AL57" s="73"/>
      <c r="AM57" s="73"/>
      <c r="AN57" s="73"/>
      <c r="AO57" s="106"/>
      <c r="AP57" s="73"/>
      <c r="AQ57" s="73"/>
      <c r="AR57" s="73"/>
      <c r="AS57" s="73"/>
      <c r="AT57" s="106"/>
      <c r="AU57" s="73"/>
      <c r="AV57" s="73"/>
      <c r="AW57" s="73"/>
      <c r="AX57" s="73"/>
      <c r="AY57" s="106"/>
      <c r="AZ57" s="73"/>
      <c r="BA57" s="73"/>
      <c r="BB57" s="73"/>
      <c r="BC57" s="73"/>
      <c r="BD57" s="106"/>
      <c r="BE57" s="73"/>
      <c r="BF57" s="73"/>
      <c r="BG57" s="73"/>
      <c r="BH57" s="73"/>
      <c r="BI57" s="106"/>
      <c r="BJ57" s="73"/>
      <c r="BK57" s="73"/>
      <c r="BL57" s="73"/>
      <c r="BM57" s="73"/>
      <c r="BN57" s="106"/>
      <c r="BO57" s="73"/>
      <c r="BP57" s="73"/>
      <c r="BQ57" s="73"/>
      <c r="BR57" s="73"/>
      <c r="BS57" s="106"/>
    </row>
    <row r="58" spans="1:71" ht="15.75" customHeight="1">
      <c r="A58" s="73"/>
      <c r="B58" s="73" t="s">
        <v>435</v>
      </c>
      <c r="C58" s="106" t="s">
        <v>436</v>
      </c>
      <c r="D58" s="81">
        <v>43438</v>
      </c>
      <c r="E58" s="80"/>
      <c r="F58" s="80"/>
      <c r="G58" s="80"/>
      <c r="H58" s="107"/>
      <c r="I58" s="109" t="s">
        <v>308</v>
      </c>
      <c r="J58" s="73"/>
      <c r="K58" s="73"/>
      <c r="L58" s="73"/>
      <c r="M58" s="106"/>
      <c r="N58" s="106"/>
      <c r="O58" s="73"/>
      <c r="P58" s="73"/>
      <c r="Q58" s="73"/>
      <c r="R58" s="73"/>
      <c r="S58" s="73"/>
      <c r="T58" s="73"/>
      <c r="U58" s="106"/>
      <c r="V58" s="73"/>
      <c r="W58" s="73"/>
      <c r="X58" s="73"/>
      <c r="Y58" s="73"/>
      <c r="Z58" s="106"/>
      <c r="AA58" s="73"/>
      <c r="AB58" s="73"/>
      <c r="AC58" s="73"/>
      <c r="AD58" s="73"/>
      <c r="AE58" s="106"/>
      <c r="AF58" s="73"/>
      <c r="AG58" s="73"/>
      <c r="AH58" s="73"/>
      <c r="AI58" s="73"/>
      <c r="AJ58" s="106"/>
      <c r="AK58" s="73"/>
      <c r="AL58" s="73"/>
      <c r="AM58" s="73"/>
      <c r="AN58" s="73"/>
      <c r="AO58" s="106"/>
      <c r="AP58" s="73"/>
      <c r="AQ58" s="73"/>
      <c r="AR58" s="73"/>
      <c r="AS58" s="73"/>
      <c r="AT58" s="106"/>
      <c r="AU58" s="73"/>
      <c r="AV58" s="73"/>
      <c r="AW58" s="73"/>
      <c r="AX58" s="73"/>
      <c r="AY58" s="106"/>
      <c r="AZ58" s="73"/>
      <c r="BA58" s="73"/>
      <c r="BB58" s="73"/>
      <c r="BC58" s="73"/>
      <c r="BD58" s="106"/>
      <c r="BE58" s="73"/>
      <c r="BF58" s="73"/>
      <c r="BG58" s="73"/>
      <c r="BH58" s="73"/>
      <c r="BI58" s="106"/>
      <c r="BJ58" s="73"/>
      <c r="BK58" s="73"/>
      <c r="BL58" s="73"/>
      <c r="BM58" s="73"/>
      <c r="BN58" s="106"/>
      <c r="BO58" s="73"/>
      <c r="BP58" s="73"/>
      <c r="BQ58" s="73"/>
      <c r="BR58" s="73"/>
      <c r="BS58" s="106"/>
    </row>
    <row r="59" spans="1:71" ht="15.75" customHeight="1">
      <c r="A59" s="73"/>
      <c r="B59" s="73" t="s">
        <v>440</v>
      </c>
      <c r="C59" s="106" t="s">
        <v>441</v>
      </c>
      <c r="D59" s="81">
        <v>43435</v>
      </c>
      <c r="E59" s="81">
        <v>43442</v>
      </c>
      <c r="F59" s="80"/>
      <c r="G59" s="80"/>
      <c r="H59" s="107"/>
      <c r="I59" s="73"/>
      <c r="J59" s="73"/>
      <c r="K59" s="73"/>
      <c r="L59" s="73"/>
      <c r="M59" s="106"/>
      <c r="N59" s="106"/>
      <c r="O59" s="110"/>
      <c r="P59" s="110"/>
      <c r="Q59" s="111"/>
      <c r="R59" s="73"/>
      <c r="S59" s="73"/>
      <c r="T59" s="73"/>
      <c r="U59" s="106"/>
      <c r="V59" s="73"/>
      <c r="W59" s="73"/>
      <c r="X59" s="73"/>
      <c r="Y59" s="73"/>
      <c r="Z59" s="106"/>
      <c r="AA59" s="73"/>
      <c r="AB59" s="73"/>
      <c r="AC59" s="73"/>
      <c r="AD59" s="73"/>
      <c r="AE59" s="106"/>
      <c r="AF59" s="73"/>
      <c r="AG59" s="73"/>
      <c r="AH59" s="73"/>
      <c r="AI59" s="73"/>
      <c r="AJ59" s="106"/>
      <c r="AK59" s="73"/>
      <c r="AL59" s="73"/>
      <c r="AM59" s="73"/>
      <c r="AN59" s="73"/>
      <c r="AO59" s="106"/>
      <c r="AP59" s="73"/>
      <c r="AQ59" s="73"/>
      <c r="AR59" s="73"/>
      <c r="AS59" s="73"/>
      <c r="AT59" s="106"/>
      <c r="AU59" s="73"/>
      <c r="AV59" s="73"/>
      <c r="AW59" s="73"/>
      <c r="AX59" s="73"/>
      <c r="AY59" s="106"/>
      <c r="AZ59" s="73"/>
      <c r="BA59" s="73"/>
      <c r="BB59" s="73"/>
      <c r="BC59" s="73"/>
      <c r="BD59" s="106"/>
      <c r="BE59" s="73"/>
      <c r="BF59" s="73"/>
      <c r="BG59" s="73"/>
      <c r="BH59" s="73"/>
      <c r="BI59" s="106"/>
      <c r="BJ59" s="73"/>
      <c r="BK59" s="73"/>
      <c r="BL59" s="73"/>
      <c r="BM59" s="73"/>
      <c r="BN59" s="106"/>
      <c r="BO59" s="73"/>
      <c r="BP59" s="73"/>
      <c r="BQ59" s="73"/>
      <c r="BR59" s="73"/>
      <c r="BS59" s="106"/>
    </row>
    <row r="60" spans="1:71" ht="15.75" customHeight="1">
      <c r="A60" s="16"/>
      <c r="B60" s="16" t="s">
        <v>460</v>
      </c>
      <c r="C60" s="16" t="s">
        <v>461</v>
      </c>
      <c r="D60" s="48"/>
      <c r="E60" s="24"/>
      <c r="F60" s="24"/>
      <c r="G60" s="24"/>
      <c r="H60" s="29"/>
      <c r="I60" s="40"/>
      <c r="J60" s="16"/>
      <c r="K60" s="16"/>
      <c r="L60" s="16"/>
      <c r="M60" s="35"/>
      <c r="N60" s="16"/>
      <c r="O60" s="37" t="s">
        <v>128</v>
      </c>
      <c r="P60" s="37" t="s">
        <v>128</v>
      </c>
      <c r="Q60" s="112">
        <v>43801</v>
      </c>
      <c r="R60" s="16"/>
      <c r="S60" s="16"/>
      <c r="T60" s="16"/>
      <c r="U60" s="16"/>
      <c r="V60" s="40"/>
      <c r="W60" s="16"/>
      <c r="X60" s="16"/>
      <c r="Y60" s="16"/>
      <c r="Z60" s="35"/>
      <c r="AA60" s="16"/>
      <c r="AB60" s="16"/>
      <c r="AC60" s="16"/>
      <c r="AD60" s="16"/>
      <c r="AE60" s="16"/>
      <c r="AF60" s="40"/>
      <c r="AG60" s="16"/>
      <c r="AH60" s="16"/>
      <c r="AI60" s="16"/>
      <c r="AJ60" s="35"/>
      <c r="AK60" s="41"/>
      <c r="AL60" s="43"/>
      <c r="AM60" s="43"/>
      <c r="AN60" s="43"/>
      <c r="AO60" s="45"/>
      <c r="AP60" s="41"/>
      <c r="AQ60" s="43"/>
      <c r="AR60" s="43"/>
      <c r="AS60" s="43"/>
      <c r="AT60" s="45"/>
      <c r="AU60" s="41"/>
      <c r="AV60" s="43"/>
      <c r="AW60" s="43"/>
      <c r="AX60" s="43"/>
      <c r="AY60" s="45"/>
      <c r="AZ60" s="41"/>
      <c r="BA60" s="43"/>
      <c r="BB60" s="43"/>
      <c r="BC60" s="43"/>
      <c r="BD60" s="45"/>
      <c r="BE60" s="41"/>
      <c r="BF60" s="43"/>
      <c r="BG60" s="43"/>
      <c r="BH60" s="43"/>
      <c r="BI60" s="45"/>
      <c r="BJ60" s="41"/>
      <c r="BK60" s="43"/>
      <c r="BL60" s="43"/>
      <c r="BM60" s="43"/>
      <c r="BN60" s="45"/>
      <c r="BO60" s="41"/>
      <c r="BP60" s="43"/>
      <c r="BQ60" s="43"/>
      <c r="BR60" s="43"/>
      <c r="BS60" s="45"/>
    </row>
    <row r="61" spans="1:71" ht="15.75" customHeight="1">
      <c r="A61" s="73"/>
      <c r="B61" s="73" t="s">
        <v>466</v>
      </c>
      <c r="C61" s="113" t="s">
        <v>467</v>
      </c>
      <c r="D61" s="81">
        <v>43438</v>
      </c>
      <c r="E61" s="80"/>
      <c r="F61" s="80"/>
      <c r="G61" s="80"/>
      <c r="H61" s="107"/>
      <c r="I61" s="73"/>
      <c r="J61" s="73"/>
      <c r="K61" s="73"/>
      <c r="L61" s="73"/>
      <c r="M61" s="106"/>
      <c r="N61" s="106"/>
      <c r="O61" s="73" t="s">
        <v>354</v>
      </c>
      <c r="P61" s="83" t="s">
        <v>259</v>
      </c>
      <c r="Q61" s="83" t="s">
        <v>260</v>
      </c>
      <c r="R61" s="73"/>
      <c r="S61" s="73"/>
      <c r="T61" s="73"/>
      <c r="U61" s="106"/>
      <c r="V61" s="73"/>
      <c r="W61" s="73"/>
      <c r="X61" s="73"/>
      <c r="Y61" s="73"/>
      <c r="Z61" s="106"/>
      <c r="AA61" s="73"/>
      <c r="AB61" s="73"/>
      <c r="AC61" s="73"/>
      <c r="AD61" s="73"/>
      <c r="AE61" s="106"/>
      <c r="AF61" s="73"/>
      <c r="AG61" s="73"/>
      <c r="AH61" s="73"/>
      <c r="AI61" s="73"/>
      <c r="AJ61" s="106"/>
      <c r="AK61" s="73"/>
      <c r="AL61" s="73"/>
      <c r="AM61" s="73"/>
      <c r="AN61" s="73"/>
      <c r="AO61" s="106"/>
      <c r="AP61" s="73"/>
      <c r="AQ61" s="73"/>
      <c r="AR61" s="73"/>
      <c r="AS61" s="73"/>
      <c r="AT61" s="106"/>
      <c r="AU61" s="73"/>
      <c r="AV61" s="73"/>
      <c r="AW61" s="73"/>
      <c r="AX61" s="73"/>
      <c r="AY61" s="106"/>
      <c r="AZ61" s="73"/>
      <c r="BA61" s="73"/>
      <c r="BB61" s="73"/>
      <c r="BC61" s="73"/>
      <c r="BD61" s="106"/>
      <c r="BE61" s="73"/>
      <c r="BF61" s="73"/>
      <c r="BG61" s="73"/>
      <c r="BH61" s="73"/>
      <c r="BI61" s="106"/>
      <c r="BJ61" s="73"/>
      <c r="BK61" s="73"/>
      <c r="BL61" s="73"/>
      <c r="BM61" s="73"/>
      <c r="BN61" s="106"/>
      <c r="BO61" s="73"/>
      <c r="BP61" s="73"/>
      <c r="BQ61" s="73"/>
      <c r="BR61" s="73"/>
      <c r="BS61" s="106"/>
    </row>
    <row r="62" spans="1:71" ht="25.5">
      <c r="A62" s="16"/>
      <c r="B62" s="16" t="s">
        <v>472</v>
      </c>
      <c r="C62" s="16" t="s">
        <v>473</v>
      </c>
      <c r="D62" s="55">
        <v>43453</v>
      </c>
      <c r="E62" s="24"/>
      <c r="F62" s="24"/>
      <c r="G62" s="24"/>
      <c r="H62" s="29"/>
      <c r="I62" s="40"/>
      <c r="J62" s="16"/>
      <c r="K62" s="16"/>
      <c r="L62" s="16"/>
      <c r="M62" s="35"/>
      <c r="N62" s="16"/>
      <c r="O62" s="40"/>
      <c r="P62" s="16"/>
      <c r="Q62" s="16"/>
      <c r="R62" s="16"/>
      <c r="S62" s="16"/>
      <c r="T62" s="16"/>
      <c r="U62" s="16"/>
      <c r="V62" s="40"/>
      <c r="W62" s="16"/>
      <c r="X62" s="16"/>
      <c r="Y62" s="16"/>
      <c r="Z62" s="35"/>
      <c r="AA62" s="16"/>
      <c r="AB62" s="16"/>
      <c r="AC62" s="16"/>
      <c r="AD62" s="16"/>
      <c r="AE62" s="16"/>
      <c r="AF62" s="40"/>
      <c r="AG62" s="16"/>
      <c r="AH62" s="16"/>
      <c r="AI62" s="16"/>
      <c r="AJ62" s="35"/>
      <c r="AK62" s="41"/>
      <c r="AL62" s="43"/>
      <c r="AM62" s="43"/>
      <c r="AN62" s="43"/>
      <c r="AO62" s="45"/>
      <c r="AP62" s="41"/>
      <c r="AQ62" s="43"/>
      <c r="AR62" s="43"/>
      <c r="AS62" s="43"/>
      <c r="AT62" s="45"/>
      <c r="AU62" s="41"/>
      <c r="AV62" s="43"/>
      <c r="AW62" s="43"/>
      <c r="AX62" s="43"/>
      <c r="AY62" s="45"/>
      <c r="AZ62" s="41"/>
      <c r="BA62" s="43"/>
      <c r="BB62" s="43"/>
      <c r="BC62" s="43"/>
      <c r="BD62" s="45"/>
      <c r="BE62" s="41"/>
      <c r="BF62" s="43"/>
      <c r="BG62" s="43"/>
      <c r="BH62" s="43"/>
      <c r="BI62" s="45"/>
      <c r="BJ62" s="41"/>
      <c r="BK62" s="43"/>
      <c r="BL62" s="43"/>
      <c r="BM62" s="43"/>
      <c r="BN62" s="45"/>
      <c r="BO62" s="41"/>
      <c r="BP62" s="43"/>
      <c r="BQ62" s="43"/>
      <c r="BR62" s="43"/>
      <c r="BS62" s="45"/>
    </row>
    <row r="63" spans="1:71" ht="15.75" customHeight="1">
      <c r="A63" s="73"/>
      <c r="B63" s="73" t="s">
        <v>480</v>
      </c>
      <c r="C63" s="106" t="s">
        <v>481</v>
      </c>
      <c r="D63" s="80"/>
      <c r="E63" s="80"/>
      <c r="F63" s="80"/>
      <c r="G63" s="80"/>
      <c r="H63" s="107"/>
      <c r="I63" s="114" t="s">
        <v>225</v>
      </c>
      <c r="J63" s="73"/>
      <c r="K63" s="73"/>
      <c r="L63" s="73"/>
      <c r="M63" s="106"/>
      <c r="N63" s="106"/>
      <c r="O63" s="73"/>
      <c r="P63" s="73"/>
      <c r="Q63" s="73"/>
      <c r="R63" s="73"/>
      <c r="S63" s="73"/>
      <c r="T63" s="73"/>
      <c r="U63" s="106"/>
      <c r="V63" s="73"/>
      <c r="W63" s="73"/>
      <c r="X63" s="73"/>
      <c r="Y63" s="73"/>
      <c r="Z63" s="106"/>
      <c r="AA63" s="73"/>
      <c r="AB63" s="73"/>
      <c r="AC63" s="73"/>
      <c r="AD63" s="73"/>
      <c r="AE63" s="106"/>
      <c r="AF63" s="73"/>
      <c r="AG63" s="73"/>
      <c r="AH63" s="73"/>
      <c r="AI63" s="73"/>
      <c r="AJ63" s="106"/>
      <c r="AK63" s="73"/>
      <c r="AL63" s="73"/>
      <c r="AM63" s="73"/>
      <c r="AN63" s="73"/>
      <c r="AO63" s="106"/>
      <c r="AP63" s="73"/>
      <c r="AQ63" s="73"/>
      <c r="AR63" s="73"/>
      <c r="AS63" s="73"/>
      <c r="AT63" s="106"/>
      <c r="AU63" s="73"/>
      <c r="AV63" s="73"/>
      <c r="AW63" s="73"/>
      <c r="AX63" s="73"/>
      <c r="AY63" s="106"/>
      <c r="AZ63" s="73"/>
      <c r="BA63" s="73"/>
      <c r="BB63" s="73"/>
      <c r="BC63" s="73"/>
      <c r="BD63" s="106"/>
      <c r="BE63" s="73"/>
      <c r="BF63" s="73"/>
      <c r="BG63" s="73"/>
      <c r="BH63" s="73"/>
      <c r="BI63" s="106"/>
      <c r="BJ63" s="73"/>
      <c r="BK63" s="73"/>
      <c r="BL63" s="73"/>
      <c r="BM63" s="73"/>
      <c r="BN63" s="106"/>
      <c r="BO63" s="73"/>
      <c r="BP63" s="73"/>
      <c r="BQ63" s="73"/>
      <c r="BR63" s="73"/>
      <c r="BS63" s="106"/>
    </row>
    <row r="64" spans="1:7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3">
    <mergeCell ref="O1:U1"/>
    <mergeCell ref="AU1:AY1"/>
    <mergeCell ref="I1:M1"/>
    <mergeCell ref="D1:H1"/>
    <mergeCell ref="AA1:AE1"/>
    <mergeCell ref="AK1:AO1"/>
    <mergeCell ref="AF1:AJ1"/>
    <mergeCell ref="AP1:AT1"/>
    <mergeCell ref="AZ1:BD1"/>
    <mergeCell ref="BJ1:BN1"/>
    <mergeCell ref="BO1:BS1"/>
    <mergeCell ref="BE1:BI1"/>
    <mergeCell ref="V1:Z1"/>
  </mergeCells>
  <phoneticPr fontId="10"/>
  <pageMargins left="0.7" right="0.7" top="0.75" bottom="0.75" header="0" footer="0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B026-7013-41DC-8E9B-814494967F81}">
  <dimension ref="A1:D988"/>
  <sheetViews>
    <sheetView zoomScale="90" zoomScaleNormal="9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H23" sqref="H23"/>
    </sheetView>
  </sheetViews>
  <sheetFormatPr defaultColWidth="14.42578125" defaultRowHeight="28.5" customHeight="1"/>
  <cols>
    <col min="1" max="4" width="10.85546875" style="170" customWidth="1"/>
    <col min="5" max="16384" width="14.42578125" style="170"/>
  </cols>
  <sheetData>
    <row r="1" spans="1:4" ht="28.5" customHeight="1">
      <c r="A1" s="7" t="s">
        <v>1</v>
      </c>
      <c r="B1" s="8" t="s">
        <v>9</v>
      </c>
      <c r="C1" s="9" t="s">
        <v>16</v>
      </c>
      <c r="D1" s="9" t="s">
        <v>17</v>
      </c>
    </row>
    <row r="2" spans="1:4" ht="28.5" customHeight="1">
      <c r="A2" s="171"/>
      <c r="B2" s="334"/>
      <c r="C2" s="333"/>
      <c r="D2" s="333"/>
    </row>
    <row r="3" spans="1:4" ht="28.5" customHeight="1">
      <c r="A3" s="32"/>
      <c r="B3" s="32"/>
      <c r="C3" s="32" t="s">
        <v>22</v>
      </c>
      <c r="D3" s="32"/>
    </row>
    <row r="4" spans="1:4" ht="28.5" customHeight="1">
      <c r="A4" s="169" t="s">
        <v>23</v>
      </c>
      <c r="B4" s="169" t="s">
        <v>25</v>
      </c>
      <c r="C4" s="143" t="s">
        <v>515</v>
      </c>
      <c r="D4" s="169">
        <v>6885</v>
      </c>
    </row>
    <row r="5" spans="1:4" ht="28.5" customHeight="1">
      <c r="A5" s="169"/>
      <c r="B5" s="169" t="s">
        <v>45</v>
      </c>
      <c r="C5" s="143" t="s">
        <v>516</v>
      </c>
      <c r="D5" s="169" t="s">
        <v>51</v>
      </c>
    </row>
    <row r="6" spans="1:4" ht="28.5" customHeight="1">
      <c r="A6" s="169"/>
      <c r="B6" s="169" t="s">
        <v>52</v>
      </c>
      <c r="C6" s="169" t="s">
        <v>58</v>
      </c>
      <c r="D6" s="169" t="s">
        <v>59</v>
      </c>
    </row>
    <row r="7" spans="1:4" ht="28.5" customHeight="1">
      <c r="A7" s="169" t="s">
        <v>60</v>
      </c>
      <c r="B7" s="169" t="s">
        <v>61</v>
      </c>
      <c r="C7" s="169" t="s">
        <v>66</v>
      </c>
      <c r="D7" s="169" t="s">
        <v>67</v>
      </c>
    </row>
    <row r="8" spans="1:4" ht="28.5" customHeight="1">
      <c r="A8" s="169" t="s">
        <v>68</v>
      </c>
      <c r="B8" s="169" t="s">
        <v>69</v>
      </c>
      <c r="C8" s="169" t="s">
        <v>75</v>
      </c>
      <c r="D8" s="169" t="s">
        <v>76</v>
      </c>
    </row>
    <row r="9" spans="1:4" ht="28.5" customHeight="1">
      <c r="A9" s="169" t="s">
        <v>77</v>
      </c>
      <c r="B9" s="169" t="s">
        <v>78</v>
      </c>
      <c r="C9" s="169" t="s">
        <v>84</v>
      </c>
      <c r="D9" s="169" t="s">
        <v>67</v>
      </c>
    </row>
    <row r="10" spans="1:4" ht="28.5" customHeight="1">
      <c r="A10" s="169" t="s">
        <v>85</v>
      </c>
      <c r="B10" s="169" t="s">
        <v>86</v>
      </c>
      <c r="C10" s="169" t="s">
        <v>91</v>
      </c>
      <c r="D10" s="169" t="s">
        <v>67</v>
      </c>
    </row>
    <row r="11" spans="1:4" ht="28.5" customHeight="1">
      <c r="A11" s="169" t="s">
        <v>93</v>
      </c>
      <c r="B11" s="169" t="s">
        <v>94</v>
      </c>
      <c r="C11" s="169" t="s">
        <v>100</v>
      </c>
      <c r="D11" s="169" t="s">
        <v>51</v>
      </c>
    </row>
    <row r="12" spans="1:4" ht="28.5" customHeight="1">
      <c r="A12" s="169" t="s">
        <v>101</v>
      </c>
      <c r="B12" s="169" t="s">
        <v>102</v>
      </c>
      <c r="C12" s="169" t="s">
        <v>58</v>
      </c>
      <c r="D12" s="169" t="s">
        <v>59</v>
      </c>
    </row>
    <row r="13" spans="1:4" ht="28.5" customHeight="1">
      <c r="A13" s="169" t="s">
        <v>107</v>
      </c>
      <c r="B13" s="169" t="s">
        <v>108</v>
      </c>
      <c r="C13" s="169" t="s">
        <v>113</v>
      </c>
      <c r="D13" s="169" t="s">
        <v>67</v>
      </c>
    </row>
    <row r="14" spans="1:4" ht="28.5" customHeight="1">
      <c r="A14" s="169" t="s">
        <v>114</v>
      </c>
      <c r="B14" s="169" t="s">
        <v>115</v>
      </c>
      <c r="C14" s="169" t="s">
        <v>100</v>
      </c>
      <c r="D14" s="169" t="s">
        <v>51</v>
      </c>
    </row>
    <row r="15" spans="1:4" ht="28.5" customHeight="1">
      <c r="A15" s="169"/>
      <c r="B15" s="144" t="s">
        <v>517</v>
      </c>
      <c r="C15" s="169" t="s">
        <v>126</v>
      </c>
      <c r="D15" s="169" t="s">
        <v>127</v>
      </c>
    </row>
    <row r="16" spans="1:4" ht="28.5" customHeight="1">
      <c r="A16" s="169"/>
      <c r="B16" s="169" t="s">
        <v>129</v>
      </c>
      <c r="C16" s="169" t="s">
        <v>91</v>
      </c>
      <c r="D16" s="169">
        <v>8640</v>
      </c>
    </row>
    <row r="17" spans="1:4" ht="28.5" customHeight="1">
      <c r="A17" s="169"/>
      <c r="B17" s="169" t="s">
        <v>137</v>
      </c>
      <c r="C17" s="169" t="s">
        <v>91</v>
      </c>
      <c r="D17" s="169" t="s">
        <v>67</v>
      </c>
    </row>
    <row r="18" spans="1:4" ht="28.5" customHeight="1">
      <c r="A18" s="169"/>
      <c r="B18" s="169" t="s">
        <v>147</v>
      </c>
      <c r="C18" s="169" t="s">
        <v>154</v>
      </c>
      <c r="D18" s="169" t="s">
        <v>155</v>
      </c>
    </row>
    <row r="19" spans="1:4" ht="28.5" customHeight="1">
      <c r="A19" s="169"/>
      <c r="B19" s="169" t="s">
        <v>156</v>
      </c>
      <c r="C19" s="169" t="s">
        <v>162</v>
      </c>
      <c r="D19" s="169" t="s">
        <v>67</v>
      </c>
    </row>
    <row r="20" spans="1:4" ht="28.5" customHeight="1">
      <c r="A20" s="169"/>
      <c r="B20" s="169" t="s">
        <v>163</v>
      </c>
      <c r="C20" s="169" t="s">
        <v>66</v>
      </c>
      <c r="D20" s="169" t="s">
        <v>67</v>
      </c>
    </row>
    <row r="21" spans="1:4" ht="28.5" customHeight="1">
      <c r="A21" s="169"/>
      <c r="B21" s="169" t="s">
        <v>168</v>
      </c>
      <c r="C21" s="169" t="s">
        <v>91</v>
      </c>
      <c r="D21" s="169" t="s">
        <v>136</v>
      </c>
    </row>
    <row r="22" spans="1:4" ht="28.5" customHeight="1">
      <c r="A22" s="169"/>
      <c r="B22" s="169" t="s">
        <v>174</v>
      </c>
      <c r="C22" s="169" t="s">
        <v>179</v>
      </c>
      <c r="D22" s="169" t="s">
        <v>155</v>
      </c>
    </row>
    <row r="23" spans="1:4" ht="28.5" customHeight="1">
      <c r="A23" s="169"/>
      <c r="B23" s="169" t="s">
        <v>180</v>
      </c>
      <c r="C23" s="169" t="s">
        <v>100</v>
      </c>
      <c r="D23" s="169" t="s">
        <v>51</v>
      </c>
    </row>
    <row r="24" spans="1:4" ht="28.5" customHeight="1">
      <c r="A24" s="169"/>
      <c r="B24" s="144" t="s">
        <v>518</v>
      </c>
      <c r="C24" s="169" t="s">
        <v>189</v>
      </c>
      <c r="D24" s="169" t="s">
        <v>190</v>
      </c>
    </row>
    <row r="25" spans="1:4" ht="28.5" customHeight="1">
      <c r="A25" s="169"/>
      <c r="B25" s="169" t="s">
        <v>191</v>
      </c>
      <c r="C25" s="169" t="s">
        <v>196</v>
      </c>
      <c r="D25" s="169" t="s">
        <v>67</v>
      </c>
    </row>
    <row r="26" spans="1:4" ht="28.5" customHeight="1">
      <c r="A26" s="169"/>
      <c r="B26" s="169" t="s">
        <v>197</v>
      </c>
      <c r="C26" s="169" t="s">
        <v>66</v>
      </c>
      <c r="D26" s="169" t="s">
        <v>67</v>
      </c>
    </row>
    <row r="27" spans="1:4" ht="28.5" customHeight="1">
      <c r="A27" s="169"/>
      <c r="B27" s="169" t="s">
        <v>202</v>
      </c>
      <c r="C27" s="169" t="s">
        <v>91</v>
      </c>
      <c r="D27" s="169" t="s">
        <v>67</v>
      </c>
    </row>
    <row r="28" spans="1:4" ht="28.5" customHeight="1">
      <c r="A28" s="169"/>
      <c r="B28" s="169" t="s">
        <v>207</v>
      </c>
      <c r="C28" s="169" t="s">
        <v>212</v>
      </c>
      <c r="D28" s="169" t="s">
        <v>67</v>
      </c>
    </row>
    <row r="29" spans="1:4" ht="28.5" customHeight="1">
      <c r="A29" s="169"/>
      <c r="B29" s="169" t="s">
        <v>213</v>
      </c>
      <c r="C29" s="169" t="s">
        <v>219</v>
      </c>
      <c r="D29" s="169" t="s">
        <v>220</v>
      </c>
    </row>
    <row r="30" spans="1:4" ht="91.5" customHeight="1">
      <c r="A30" s="169"/>
      <c r="B30" s="169" t="s">
        <v>242</v>
      </c>
      <c r="C30" s="169" t="s">
        <v>100</v>
      </c>
      <c r="D30" s="169" t="s">
        <v>51</v>
      </c>
    </row>
    <row r="31" spans="1:4" ht="28.5" customHeight="1">
      <c r="A31" s="169"/>
      <c r="B31" s="169" t="s">
        <v>246</v>
      </c>
      <c r="C31" s="169" t="s">
        <v>91</v>
      </c>
      <c r="D31" s="169" t="s">
        <v>67</v>
      </c>
    </row>
    <row r="32" spans="1:4" ht="28.5" customHeight="1">
      <c r="A32" s="169"/>
      <c r="B32" s="169" t="s">
        <v>250</v>
      </c>
      <c r="C32" s="169" t="s">
        <v>66</v>
      </c>
      <c r="D32" s="169" t="s">
        <v>67</v>
      </c>
    </row>
    <row r="33" spans="1:4" ht="28.5" customHeight="1">
      <c r="A33" s="169"/>
      <c r="B33" s="169" t="s">
        <v>261</v>
      </c>
      <c r="C33" s="169" t="s">
        <v>272</v>
      </c>
      <c r="D33" s="139">
        <v>12960</v>
      </c>
    </row>
    <row r="34" spans="1:4" ht="28.5" customHeight="1">
      <c r="A34" s="169"/>
      <c r="B34" s="169" t="s">
        <v>273</v>
      </c>
      <c r="C34" s="169" t="s">
        <v>277</v>
      </c>
      <c r="D34" s="169" t="s">
        <v>190</v>
      </c>
    </row>
    <row r="35" spans="1:4" ht="28.5" customHeight="1">
      <c r="A35" s="169"/>
      <c r="B35" s="140" t="s">
        <v>511</v>
      </c>
      <c r="C35" s="169" t="s">
        <v>284</v>
      </c>
      <c r="D35" s="169" t="s">
        <v>285</v>
      </c>
    </row>
    <row r="36" spans="1:4" ht="28.5" customHeight="1">
      <c r="A36" s="169"/>
      <c r="B36" s="169" t="s">
        <v>286</v>
      </c>
      <c r="C36" s="169" t="s">
        <v>292</v>
      </c>
      <c r="D36" s="349" t="s">
        <v>293</v>
      </c>
    </row>
    <row r="37" spans="1:4" ht="28.5" customHeight="1">
      <c r="A37" s="169"/>
      <c r="B37" s="169" t="s">
        <v>294</v>
      </c>
      <c r="C37" s="169" t="s">
        <v>292</v>
      </c>
      <c r="D37" s="333"/>
    </row>
    <row r="38" spans="1:4" ht="28.5" customHeight="1">
      <c r="A38" s="169"/>
      <c r="B38" s="169" t="s">
        <v>296</v>
      </c>
      <c r="C38" s="169" t="s">
        <v>302</v>
      </c>
      <c r="D38" s="169" t="s">
        <v>303</v>
      </c>
    </row>
    <row r="39" spans="1:4" ht="28.5" customHeight="1">
      <c r="A39" s="169"/>
      <c r="B39" s="169" t="s">
        <v>304</v>
      </c>
      <c r="C39" s="169" t="s">
        <v>309</v>
      </c>
      <c r="D39" s="169" t="s">
        <v>310</v>
      </c>
    </row>
    <row r="40" spans="1:4" ht="28.5" customHeight="1">
      <c r="A40" s="169"/>
      <c r="B40" s="169" t="s">
        <v>311</v>
      </c>
      <c r="C40" s="169" t="s">
        <v>212</v>
      </c>
      <c r="D40" s="169" t="s">
        <v>67</v>
      </c>
    </row>
    <row r="41" spans="1:4" ht="28.5" customHeight="1">
      <c r="A41" s="169"/>
      <c r="B41" s="169" t="s">
        <v>327</v>
      </c>
      <c r="C41" s="169" t="s">
        <v>100</v>
      </c>
      <c r="D41" s="139">
        <v>12960</v>
      </c>
    </row>
    <row r="42" spans="1:4" ht="28.5" customHeight="1">
      <c r="A42" s="169"/>
      <c r="B42" s="169" t="s">
        <v>333</v>
      </c>
      <c r="C42" s="169" t="s">
        <v>212</v>
      </c>
      <c r="D42" s="169" t="s">
        <v>67</v>
      </c>
    </row>
    <row r="43" spans="1:4" ht="28.5" customHeight="1">
      <c r="A43" s="169"/>
      <c r="B43" s="169" t="s">
        <v>338</v>
      </c>
      <c r="C43" s="169" t="s">
        <v>344</v>
      </c>
      <c r="D43" s="169" t="s">
        <v>345</v>
      </c>
    </row>
    <row r="44" spans="1:4" ht="28.5" customHeight="1">
      <c r="A44" s="169"/>
      <c r="B44" s="169" t="s">
        <v>346</v>
      </c>
      <c r="C44" s="169" t="s">
        <v>344</v>
      </c>
      <c r="D44" s="169" t="s">
        <v>345</v>
      </c>
    </row>
    <row r="45" spans="1:4" ht="28.5" customHeight="1">
      <c r="A45" s="169"/>
      <c r="B45" s="84" t="s">
        <v>351</v>
      </c>
      <c r="C45" s="169" t="s">
        <v>277</v>
      </c>
      <c r="D45" s="169" t="s">
        <v>190</v>
      </c>
    </row>
    <row r="46" spans="1:4" ht="28.5" customHeight="1">
      <c r="A46" s="169"/>
      <c r="B46" s="84" t="s">
        <v>355</v>
      </c>
      <c r="C46" s="169" t="s">
        <v>359</v>
      </c>
      <c r="D46" s="169" t="s">
        <v>127</v>
      </c>
    </row>
    <row r="47" spans="1:4" ht="28.5" customHeight="1">
      <c r="A47" s="169"/>
      <c r="B47" s="169"/>
      <c r="C47" s="169"/>
      <c r="D47" s="169"/>
    </row>
    <row r="48" spans="1:4" ht="28.5" customHeight="1">
      <c r="A48" s="61"/>
      <c r="B48" s="62" t="s">
        <v>363</v>
      </c>
      <c r="C48" s="63"/>
      <c r="D48" s="63"/>
    </row>
    <row r="49" spans="1:4" ht="28.5" customHeight="1">
      <c r="A49" s="32"/>
      <c r="B49" s="32" t="s">
        <v>366</v>
      </c>
      <c r="C49" s="32" t="s">
        <v>371</v>
      </c>
      <c r="D49" s="65" t="s">
        <v>220</v>
      </c>
    </row>
    <row r="50" spans="1:4" ht="28.5" customHeight="1">
      <c r="A50" s="32"/>
      <c r="B50" s="32" t="s">
        <v>377</v>
      </c>
      <c r="C50" s="32" t="s">
        <v>383</v>
      </c>
      <c r="D50" s="65" t="s">
        <v>136</v>
      </c>
    </row>
    <row r="51" spans="1:4" ht="28.5" customHeight="1">
      <c r="A51" s="32"/>
      <c r="B51" s="32" t="s">
        <v>386</v>
      </c>
      <c r="C51" s="32" t="s">
        <v>91</v>
      </c>
      <c r="D51" s="65" t="s">
        <v>67</v>
      </c>
    </row>
    <row r="52" spans="1:4" ht="28.5" customHeight="1">
      <c r="A52" s="67"/>
      <c r="B52" s="63" t="s">
        <v>391</v>
      </c>
      <c r="C52" s="63" t="s">
        <v>84</v>
      </c>
      <c r="D52" s="63"/>
    </row>
    <row r="53" spans="1:4" ht="28.5" customHeight="1">
      <c r="A53" s="69"/>
      <c r="B53" s="70" t="s">
        <v>399</v>
      </c>
      <c r="C53" s="169" t="s">
        <v>84</v>
      </c>
      <c r="D53" s="169" t="s">
        <v>136</v>
      </c>
    </row>
    <row r="54" spans="1:4" ht="28.5" customHeight="1">
      <c r="A54" s="169"/>
      <c r="B54" s="71" t="s">
        <v>406</v>
      </c>
      <c r="C54" s="71" t="s">
        <v>412</v>
      </c>
      <c r="D54" s="71" t="s">
        <v>285</v>
      </c>
    </row>
    <row r="55" spans="1:4" ht="28.5" customHeight="1">
      <c r="A55" s="169"/>
      <c r="B55" s="71" t="s">
        <v>415</v>
      </c>
      <c r="C55" s="71" t="s">
        <v>91</v>
      </c>
      <c r="D55" s="71" t="s">
        <v>67</v>
      </c>
    </row>
    <row r="56" spans="1:4" ht="28.5" customHeight="1">
      <c r="A56" s="169"/>
      <c r="B56" s="169" t="s">
        <v>422</v>
      </c>
      <c r="C56" s="169" t="s">
        <v>84</v>
      </c>
      <c r="D56" s="169" t="s">
        <v>67</v>
      </c>
    </row>
    <row r="57" spans="1:4" ht="28.5" customHeight="1">
      <c r="A57" s="169"/>
      <c r="B57" s="169" t="s">
        <v>428</v>
      </c>
      <c r="C57" s="169" t="s">
        <v>434</v>
      </c>
      <c r="D57" s="169" t="s">
        <v>220</v>
      </c>
    </row>
    <row r="58" spans="1:4" ht="28.5" customHeight="1">
      <c r="A58" s="169"/>
      <c r="B58" s="169" t="s">
        <v>435</v>
      </c>
      <c r="C58" s="169" t="s">
        <v>219</v>
      </c>
      <c r="D58" s="169" t="s">
        <v>220</v>
      </c>
    </row>
    <row r="59" spans="1:4" ht="28.5" customHeight="1">
      <c r="A59" s="110"/>
      <c r="B59" s="110" t="s">
        <v>440</v>
      </c>
      <c r="C59" s="110" t="s">
        <v>91</v>
      </c>
      <c r="D59" s="110" t="s">
        <v>136</v>
      </c>
    </row>
    <row r="60" spans="1:4" ht="28.5" customHeight="1">
      <c r="A60" s="110"/>
      <c r="B60" s="110" t="s">
        <v>460</v>
      </c>
      <c r="C60" s="110" t="s">
        <v>84</v>
      </c>
      <c r="D60" s="110" t="s">
        <v>67</v>
      </c>
    </row>
    <row r="61" spans="1:4" ht="28.5" customHeight="1">
      <c r="A61" s="169"/>
      <c r="B61" s="169" t="s">
        <v>466</v>
      </c>
      <c r="C61" s="169" t="s">
        <v>470</v>
      </c>
      <c r="D61" s="169" t="s">
        <v>471</v>
      </c>
    </row>
    <row r="62" spans="1:4" ht="28.5" customHeight="1">
      <c r="A62" s="110"/>
      <c r="B62" s="110" t="s">
        <v>472</v>
      </c>
      <c r="C62" s="110" t="s">
        <v>477</v>
      </c>
      <c r="D62" s="110" t="s">
        <v>67</v>
      </c>
    </row>
    <row r="63" spans="1:4" ht="28.5" customHeight="1">
      <c r="A63" s="169"/>
      <c r="B63" s="169" t="s">
        <v>480</v>
      </c>
      <c r="C63" s="169" t="s">
        <v>50</v>
      </c>
      <c r="D63" s="169" t="s">
        <v>485</v>
      </c>
    </row>
    <row r="64" spans="1:4" ht="28.5" customHeight="1">
      <c r="A64" s="124"/>
      <c r="B64" s="124"/>
      <c r="C64" s="124"/>
      <c r="D64" s="124"/>
    </row>
    <row r="65" spans="1:4" ht="28.5" customHeight="1">
      <c r="A65" s="124"/>
      <c r="B65" s="124"/>
      <c r="C65" s="124"/>
      <c r="D65" s="124"/>
    </row>
    <row r="66" spans="1:4" ht="28.5" customHeight="1">
      <c r="A66" s="124"/>
      <c r="B66" s="124"/>
      <c r="C66" s="124"/>
      <c r="D66" s="124"/>
    </row>
    <row r="67" spans="1:4" ht="28.5" customHeight="1">
      <c r="A67" s="124"/>
      <c r="B67" s="124"/>
      <c r="C67" s="124"/>
      <c r="D67" s="124"/>
    </row>
    <row r="68" spans="1:4" ht="28.5" customHeight="1">
      <c r="A68" s="124"/>
      <c r="B68" s="124"/>
      <c r="C68" s="124"/>
      <c r="D68" s="124"/>
    </row>
    <row r="69" spans="1:4" ht="28.5" customHeight="1">
      <c r="A69" s="124"/>
      <c r="B69" s="124"/>
      <c r="C69" s="124"/>
      <c r="D69" s="124"/>
    </row>
    <row r="70" spans="1:4" ht="28.5" customHeight="1">
      <c r="A70" s="124"/>
      <c r="B70" s="124"/>
      <c r="C70" s="124"/>
      <c r="D70" s="124"/>
    </row>
    <row r="71" spans="1:4" ht="28.5" customHeight="1">
      <c r="A71" s="124"/>
      <c r="B71" s="124"/>
      <c r="C71" s="124"/>
      <c r="D71" s="124"/>
    </row>
    <row r="72" spans="1:4" ht="28.5" customHeight="1">
      <c r="A72" s="124"/>
      <c r="B72" s="124"/>
      <c r="C72" s="124"/>
      <c r="D72" s="124"/>
    </row>
    <row r="73" spans="1:4" ht="28.5" customHeight="1">
      <c r="A73" s="124"/>
      <c r="B73" s="124"/>
      <c r="C73" s="124"/>
      <c r="D73" s="124"/>
    </row>
    <row r="74" spans="1:4" ht="28.5" customHeight="1">
      <c r="A74" s="124"/>
      <c r="B74" s="124"/>
      <c r="C74" s="124"/>
      <c r="D74" s="124"/>
    </row>
    <row r="75" spans="1:4" ht="28.5" customHeight="1">
      <c r="A75" s="124"/>
      <c r="B75" s="124"/>
      <c r="C75" s="124"/>
      <c r="D75" s="124"/>
    </row>
    <row r="76" spans="1:4" ht="28.5" customHeight="1">
      <c r="A76" s="124"/>
      <c r="B76" s="124"/>
      <c r="C76" s="124"/>
      <c r="D76" s="124"/>
    </row>
    <row r="77" spans="1:4" ht="28.5" customHeight="1">
      <c r="A77" s="124"/>
      <c r="B77" s="124"/>
      <c r="C77" s="124"/>
      <c r="D77" s="124"/>
    </row>
    <row r="78" spans="1:4" ht="28.5" customHeight="1">
      <c r="A78" s="124"/>
      <c r="B78" s="124"/>
      <c r="C78" s="124"/>
      <c r="D78" s="124"/>
    </row>
    <row r="79" spans="1:4" ht="28.5" customHeight="1">
      <c r="A79" s="124"/>
      <c r="B79" s="124"/>
      <c r="C79" s="124"/>
      <c r="D79" s="124"/>
    </row>
    <row r="80" spans="1:4" ht="28.5" customHeight="1">
      <c r="A80" s="124"/>
      <c r="B80" s="124"/>
      <c r="C80" s="124"/>
      <c r="D80" s="124"/>
    </row>
    <row r="81" spans="1:4" ht="28.5" customHeight="1">
      <c r="A81" s="124"/>
      <c r="B81" s="124"/>
      <c r="C81" s="124"/>
      <c r="D81" s="124"/>
    </row>
    <row r="82" spans="1:4" ht="28.5" customHeight="1">
      <c r="A82" s="124"/>
      <c r="B82" s="124"/>
      <c r="C82" s="124"/>
      <c r="D82" s="124"/>
    </row>
    <row r="83" spans="1:4" ht="28.5" customHeight="1">
      <c r="A83" s="124"/>
      <c r="B83" s="124"/>
      <c r="C83" s="124"/>
      <c r="D83" s="124"/>
    </row>
    <row r="84" spans="1:4" ht="28.5" customHeight="1">
      <c r="A84" s="124"/>
      <c r="B84" s="124"/>
      <c r="C84" s="124"/>
      <c r="D84" s="124"/>
    </row>
    <row r="85" spans="1:4" ht="28.5" customHeight="1">
      <c r="A85" s="124"/>
      <c r="B85" s="124"/>
      <c r="C85" s="124"/>
      <c r="D85" s="124"/>
    </row>
    <row r="86" spans="1:4" ht="28.5" customHeight="1">
      <c r="A86" s="124"/>
      <c r="B86" s="124"/>
      <c r="C86" s="124"/>
      <c r="D86" s="124"/>
    </row>
    <row r="87" spans="1:4" ht="28.5" customHeight="1">
      <c r="A87" s="124"/>
      <c r="B87" s="124"/>
      <c r="C87" s="124"/>
      <c r="D87" s="124"/>
    </row>
    <row r="88" spans="1:4" ht="28.5" customHeight="1">
      <c r="A88" s="124"/>
      <c r="B88" s="124"/>
      <c r="C88" s="124"/>
      <c r="D88" s="124"/>
    </row>
    <row r="89" spans="1:4" ht="28.5" customHeight="1">
      <c r="A89" s="124"/>
      <c r="B89" s="124"/>
      <c r="C89" s="124"/>
      <c r="D89" s="124"/>
    </row>
    <row r="90" spans="1:4" ht="28.5" customHeight="1">
      <c r="A90" s="124"/>
      <c r="B90" s="124"/>
      <c r="C90" s="124"/>
      <c r="D90" s="124"/>
    </row>
    <row r="91" spans="1:4" ht="28.5" customHeight="1">
      <c r="A91" s="124"/>
      <c r="B91" s="124"/>
      <c r="C91" s="124"/>
      <c r="D91" s="124"/>
    </row>
    <row r="92" spans="1:4" ht="28.5" customHeight="1">
      <c r="A92" s="124"/>
      <c r="B92" s="124"/>
      <c r="C92" s="124"/>
      <c r="D92" s="124"/>
    </row>
    <row r="93" spans="1:4" ht="28.5" customHeight="1">
      <c r="A93" s="124"/>
      <c r="B93" s="124"/>
      <c r="C93" s="124"/>
      <c r="D93" s="124"/>
    </row>
    <row r="94" spans="1:4" ht="28.5" customHeight="1">
      <c r="A94" s="124"/>
      <c r="B94" s="124"/>
      <c r="C94" s="124"/>
      <c r="D94" s="124"/>
    </row>
    <row r="95" spans="1:4" ht="28.5" customHeight="1">
      <c r="A95" s="124"/>
      <c r="B95" s="124"/>
      <c r="C95" s="124"/>
      <c r="D95" s="124"/>
    </row>
    <row r="96" spans="1:4" ht="28.5" customHeight="1">
      <c r="A96" s="124"/>
      <c r="B96" s="124"/>
      <c r="C96" s="124"/>
      <c r="D96" s="124"/>
    </row>
    <row r="97" spans="1:4" ht="28.5" customHeight="1">
      <c r="A97" s="124"/>
      <c r="B97" s="124"/>
      <c r="C97" s="124"/>
      <c r="D97" s="124"/>
    </row>
    <row r="98" spans="1:4" ht="28.5" customHeight="1">
      <c r="A98" s="124"/>
      <c r="B98" s="124"/>
      <c r="C98" s="124"/>
      <c r="D98" s="124"/>
    </row>
    <row r="99" spans="1:4" ht="28.5" customHeight="1">
      <c r="A99" s="124"/>
      <c r="B99" s="124"/>
      <c r="C99" s="124"/>
      <c r="D99" s="124"/>
    </row>
    <row r="100" spans="1:4" ht="28.5" customHeight="1">
      <c r="A100" s="124"/>
      <c r="B100" s="124"/>
      <c r="C100" s="124"/>
      <c r="D100" s="124"/>
    </row>
    <row r="101" spans="1:4" ht="28.5" customHeight="1">
      <c r="A101" s="124"/>
      <c r="B101" s="124"/>
      <c r="C101" s="124"/>
      <c r="D101" s="124"/>
    </row>
    <row r="102" spans="1:4" ht="28.5" customHeight="1">
      <c r="A102" s="124"/>
      <c r="B102" s="124"/>
      <c r="C102" s="124"/>
      <c r="D102" s="124"/>
    </row>
    <row r="103" spans="1:4" ht="28.5" customHeight="1">
      <c r="A103" s="124"/>
      <c r="B103" s="124"/>
      <c r="C103" s="124"/>
      <c r="D103" s="124"/>
    </row>
    <row r="104" spans="1:4" ht="28.5" customHeight="1">
      <c r="A104" s="124"/>
      <c r="B104" s="124"/>
      <c r="C104" s="124"/>
      <c r="D104" s="124"/>
    </row>
    <row r="105" spans="1:4" ht="28.5" customHeight="1">
      <c r="A105" s="124"/>
      <c r="B105" s="124"/>
      <c r="C105" s="124"/>
      <c r="D105" s="124"/>
    </row>
    <row r="106" spans="1:4" ht="28.5" customHeight="1">
      <c r="A106" s="124"/>
      <c r="B106" s="124"/>
      <c r="C106" s="124"/>
      <c r="D106" s="124"/>
    </row>
    <row r="107" spans="1:4" ht="28.5" customHeight="1">
      <c r="A107" s="124"/>
      <c r="B107" s="124"/>
      <c r="C107" s="124"/>
      <c r="D107" s="124"/>
    </row>
    <row r="108" spans="1:4" ht="28.5" customHeight="1">
      <c r="A108" s="124"/>
      <c r="B108" s="124"/>
      <c r="C108" s="124"/>
      <c r="D108" s="124"/>
    </row>
    <row r="109" spans="1:4" ht="28.5" customHeight="1">
      <c r="A109" s="124"/>
      <c r="B109" s="124"/>
      <c r="C109" s="124"/>
      <c r="D109" s="124"/>
    </row>
    <row r="110" spans="1:4" ht="28.5" customHeight="1">
      <c r="A110" s="124"/>
      <c r="B110" s="124"/>
      <c r="C110" s="124"/>
      <c r="D110" s="124"/>
    </row>
    <row r="111" spans="1:4" ht="28.5" customHeight="1">
      <c r="A111" s="124"/>
      <c r="B111" s="124"/>
      <c r="C111" s="124"/>
      <c r="D111" s="124"/>
    </row>
    <row r="112" spans="1:4" ht="28.5" customHeight="1">
      <c r="A112" s="124"/>
      <c r="B112" s="124"/>
      <c r="C112" s="124"/>
      <c r="D112" s="124"/>
    </row>
    <row r="113" spans="1:4" ht="28.5" customHeight="1">
      <c r="A113" s="124"/>
      <c r="B113" s="124"/>
      <c r="C113" s="124"/>
      <c r="D113" s="124"/>
    </row>
    <row r="114" spans="1:4" ht="28.5" customHeight="1">
      <c r="A114" s="124"/>
      <c r="B114" s="124"/>
      <c r="C114" s="124"/>
      <c r="D114" s="124"/>
    </row>
    <row r="115" spans="1:4" ht="28.5" customHeight="1">
      <c r="A115" s="124"/>
      <c r="B115" s="124"/>
      <c r="C115" s="124"/>
      <c r="D115" s="124"/>
    </row>
    <row r="116" spans="1:4" ht="28.5" customHeight="1">
      <c r="A116" s="124"/>
      <c r="B116" s="124"/>
      <c r="C116" s="124"/>
      <c r="D116" s="124"/>
    </row>
    <row r="117" spans="1:4" ht="28.5" customHeight="1">
      <c r="A117" s="124"/>
      <c r="B117" s="124"/>
      <c r="C117" s="124"/>
      <c r="D117" s="124"/>
    </row>
    <row r="118" spans="1:4" ht="28.5" customHeight="1">
      <c r="A118" s="124"/>
      <c r="B118" s="124"/>
      <c r="C118" s="124"/>
      <c r="D118" s="124"/>
    </row>
    <row r="119" spans="1:4" ht="28.5" customHeight="1">
      <c r="A119" s="124"/>
      <c r="B119" s="124"/>
      <c r="C119" s="124"/>
      <c r="D119" s="124"/>
    </row>
    <row r="120" spans="1:4" ht="28.5" customHeight="1">
      <c r="A120" s="124"/>
      <c r="B120" s="124"/>
      <c r="C120" s="124"/>
      <c r="D120" s="124"/>
    </row>
    <row r="121" spans="1:4" ht="28.5" customHeight="1">
      <c r="A121" s="124"/>
      <c r="B121" s="124"/>
      <c r="C121" s="124"/>
      <c r="D121" s="124"/>
    </row>
    <row r="122" spans="1:4" ht="28.5" customHeight="1">
      <c r="A122" s="124"/>
      <c r="B122" s="124"/>
      <c r="C122" s="124"/>
      <c r="D122" s="124"/>
    </row>
    <row r="123" spans="1:4" ht="28.5" customHeight="1">
      <c r="A123" s="124"/>
      <c r="B123" s="124"/>
      <c r="C123" s="124"/>
      <c r="D123" s="124"/>
    </row>
    <row r="124" spans="1:4" ht="28.5" customHeight="1">
      <c r="A124" s="124"/>
      <c r="B124" s="124"/>
      <c r="C124" s="124"/>
      <c r="D124" s="124"/>
    </row>
    <row r="125" spans="1:4" ht="28.5" customHeight="1">
      <c r="A125" s="124"/>
      <c r="B125" s="124"/>
      <c r="C125" s="124"/>
      <c r="D125" s="124"/>
    </row>
    <row r="126" spans="1:4" ht="28.5" customHeight="1">
      <c r="A126" s="124"/>
      <c r="B126" s="124"/>
      <c r="C126" s="124"/>
      <c r="D126" s="124"/>
    </row>
    <row r="127" spans="1:4" ht="28.5" customHeight="1">
      <c r="A127" s="124"/>
      <c r="B127" s="124"/>
      <c r="C127" s="124"/>
      <c r="D127" s="124"/>
    </row>
    <row r="128" spans="1:4" ht="28.5" customHeight="1">
      <c r="A128" s="124"/>
      <c r="B128" s="124"/>
      <c r="C128" s="124"/>
      <c r="D128" s="124"/>
    </row>
    <row r="129" spans="1:4" ht="28.5" customHeight="1">
      <c r="A129" s="124"/>
      <c r="B129" s="124"/>
      <c r="C129" s="124"/>
      <c r="D129" s="124"/>
    </row>
    <row r="130" spans="1:4" ht="28.5" customHeight="1">
      <c r="A130" s="124"/>
      <c r="B130" s="124"/>
      <c r="C130" s="124"/>
      <c r="D130" s="124"/>
    </row>
    <row r="131" spans="1:4" ht="28.5" customHeight="1">
      <c r="A131" s="124"/>
      <c r="B131" s="124"/>
      <c r="C131" s="124"/>
      <c r="D131" s="124"/>
    </row>
    <row r="132" spans="1:4" ht="28.5" customHeight="1">
      <c r="A132" s="124"/>
      <c r="B132" s="124"/>
      <c r="C132" s="124"/>
      <c r="D132" s="124"/>
    </row>
    <row r="133" spans="1:4" ht="28.5" customHeight="1">
      <c r="A133" s="124"/>
      <c r="B133" s="124"/>
      <c r="C133" s="124"/>
      <c r="D133" s="124"/>
    </row>
    <row r="134" spans="1:4" ht="28.5" customHeight="1">
      <c r="A134" s="124"/>
      <c r="B134" s="124"/>
      <c r="C134" s="124"/>
      <c r="D134" s="124"/>
    </row>
    <row r="135" spans="1:4" ht="28.5" customHeight="1">
      <c r="A135" s="124"/>
      <c r="B135" s="124"/>
      <c r="C135" s="124"/>
      <c r="D135" s="124"/>
    </row>
    <row r="136" spans="1:4" ht="28.5" customHeight="1">
      <c r="A136" s="124"/>
      <c r="B136" s="124"/>
      <c r="C136" s="124"/>
      <c r="D136" s="124"/>
    </row>
    <row r="137" spans="1:4" ht="28.5" customHeight="1">
      <c r="A137" s="124"/>
      <c r="B137" s="124"/>
      <c r="C137" s="124"/>
      <c r="D137" s="124"/>
    </row>
    <row r="138" spans="1:4" ht="28.5" customHeight="1">
      <c r="A138" s="124"/>
      <c r="B138" s="124"/>
      <c r="C138" s="124"/>
      <c r="D138" s="124"/>
    </row>
    <row r="139" spans="1:4" ht="28.5" customHeight="1">
      <c r="A139" s="124"/>
      <c r="B139" s="124"/>
      <c r="C139" s="124"/>
      <c r="D139" s="124"/>
    </row>
    <row r="140" spans="1:4" ht="28.5" customHeight="1">
      <c r="A140" s="124"/>
      <c r="B140" s="124"/>
      <c r="C140" s="124"/>
      <c r="D140" s="124"/>
    </row>
    <row r="141" spans="1:4" ht="28.5" customHeight="1">
      <c r="A141" s="124"/>
      <c r="B141" s="124"/>
      <c r="C141" s="124"/>
      <c r="D141" s="124"/>
    </row>
    <row r="142" spans="1:4" ht="28.5" customHeight="1">
      <c r="A142" s="124"/>
      <c r="B142" s="124"/>
      <c r="C142" s="124"/>
      <c r="D142" s="124"/>
    </row>
    <row r="143" spans="1:4" ht="28.5" customHeight="1">
      <c r="A143" s="124"/>
      <c r="B143" s="124"/>
      <c r="C143" s="124"/>
      <c r="D143" s="124"/>
    </row>
    <row r="144" spans="1:4" ht="28.5" customHeight="1">
      <c r="A144" s="124"/>
      <c r="B144" s="124"/>
      <c r="C144" s="124"/>
      <c r="D144" s="124"/>
    </row>
    <row r="145" spans="1:4" ht="28.5" customHeight="1">
      <c r="A145" s="124"/>
      <c r="B145" s="124"/>
      <c r="C145" s="124"/>
      <c r="D145" s="124"/>
    </row>
    <row r="146" spans="1:4" ht="28.5" customHeight="1">
      <c r="A146" s="124"/>
      <c r="B146" s="124"/>
      <c r="C146" s="124"/>
      <c r="D146" s="124"/>
    </row>
    <row r="147" spans="1:4" ht="28.5" customHeight="1">
      <c r="A147" s="124"/>
      <c r="B147" s="124"/>
      <c r="C147" s="124"/>
      <c r="D147" s="124"/>
    </row>
    <row r="148" spans="1:4" ht="28.5" customHeight="1">
      <c r="A148" s="124"/>
      <c r="B148" s="124"/>
      <c r="C148" s="124"/>
      <c r="D148" s="124"/>
    </row>
    <row r="149" spans="1:4" ht="28.5" customHeight="1">
      <c r="A149" s="124"/>
      <c r="B149" s="124"/>
      <c r="C149" s="124"/>
      <c r="D149" s="124"/>
    </row>
    <row r="150" spans="1:4" ht="28.5" customHeight="1">
      <c r="A150" s="124"/>
      <c r="B150" s="124"/>
      <c r="C150" s="124"/>
      <c r="D150" s="124"/>
    </row>
    <row r="151" spans="1:4" ht="28.5" customHeight="1">
      <c r="A151" s="124"/>
      <c r="B151" s="124"/>
      <c r="C151" s="124"/>
      <c r="D151" s="124"/>
    </row>
    <row r="152" spans="1:4" ht="28.5" customHeight="1">
      <c r="A152" s="124"/>
      <c r="B152" s="124"/>
      <c r="C152" s="124"/>
      <c r="D152" s="124"/>
    </row>
    <row r="153" spans="1:4" ht="28.5" customHeight="1">
      <c r="A153" s="124"/>
      <c r="B153" s="124"/>
      <c r="C153" s="124"/>
      <c r="D153" s="124"/>
    </row>
    <row r="154" spans="1:4" ht="28.5" customHeight="1">
      <c r="A154" s="124"/>
      <c r="B154" s="124"/>
      <c r="C154" s="124"/>
      <c r="D154" s="124"/>
    </row>
    <row r="155" spans="1:4" ht="28.5" customHeight="1">
      <c r="A155" s="124"/>
      <c r="B155" s="124"/>
      <c r="C155" s="124"/>
      <c r="D155" s="124"/>
    </row>
    <row r="156" spans="1:4" ht="28.5" customHeight="1">
      <c r="A156" s="124"/>
      <c r="B156" s="124"/>
      <c r="C156" s="124"/>
      <c r="D156" s="124"/>
    </row>
    <row r="157" spans="1:4" ht="28.5" customHeight="1">
      <c r="A157" s="124"/>
      <c r="B157" s="124"/>
      <c r="C157" s="124"/>
      <c r="D157" s="124"/>
    </row>
    <row r="158" spans="1:4" ht="28.5" customHeight="1">
      <c r="A158" s="124"/>
      <c r="B158" s="124"/>
      <c r="C158" s="124"/>
      <c r="D158" s="124"/>
    </row>
    <row r="159" spans="1:4" ht="28.5" customHeight="1">
      <c r="A159" s="124"/>
      <c r="B159" s="124"/>
      <c r="C159" s="124"/>
      <c r="D159" s="124"/>
    </row>
    <row r="160" spans="1:4" ht="28.5" customHeight="1">
      <c r="A160" s="124"/>
      <c r="B160" s="124"/>
      <c r="C160" s="124"/>
      <c r="D160" s="124"/>
    </row>
    <row r="161" spans="1:4" ht="28.5" customHeight="1">
      <c r="A161" s="124"/>
      <c r="B161" s="124"/>
      <c r="C161" s="124"/>
      <c r="D161" s="124"/>
    </row>
    <row r="162" spans="1:4" ht="28.5" customHeight="1">
      <c r="A162" s="124"/>
      <c r="B162" s="124"/>
      <c r="C162" s="124"/>
      <c r="D162" s="124"/>
    </row>
    <row r="163" spans="1:4" ht="28.5" customHeight="1">
      <c r="A163" s="124"/>
      <c r="B163" s="124"/>
      <c r="C163" s="124"/>
      <c r="D163" s="124"/>
    </row>
    <row r="164" spans="1:4" ht="28.5" customHeight="1">
      <c r="A164" s="124"/>
      <c r="B164" s="124"/>
      <c r="C164" s="124"/>
      <c r="D164" s="124"/>
    </row>
    <row r="165" spans="1:4" ht="28.5" customHeight="1">
      <c r="A165" s="124"/>
      <c r="B165" s="124"/>
      <c r="C165" s="124"/>
      <c r="D165" s="124"/>
    </row>
    <row r="166" spans="1:4" ht="28.5" customHeight="1">
      <c r="A166" s="124"/>
      <c r="B166" s="124"/>
      <c r="C166" s="124"/>
      <c r="D166" s="124"/>
    </row>
    <row r="167" spans="1:4" ht="28.5" customHeight="1">
      <c r="A167" s="124"/>
      <c r="B167" s="124"/>
      <c r="C167" s="124"/>
      <c r="D167" s="124"/>
    </row>
    <row r="168" spans="1:4" ht="28.5" customHeight="1">
      <c r="A168" s="124"/>
      <c r="B168" s="124"/>
      <c r="C168" s="124"/>
      <c r="D168" s="124"/>
    </row>
    <row r="169" spans="1:4" ht="28.5" customHeight="1">
      <c r="A169" s="124"/>
      <c r="B169" s="124"/>
      <c r="C169" s="124"/>
      <c r="D169" s="124"/>
    </row>
    <row r="170" spans="1:4" ht="28.5" customHeight="1">
      <c r="A170" s="124"/>
      <c r="B170" s="124"/>
      <c r="C170" s="124"/>
      <c r="D170" s="124"/>
    </row>
    <row r="171" spans="1:4" ht="28.5" customHeight="1">
      <c r="A171" s="124"/>
      <c r="B171" s="124"/>
      <c r="C171" s="124"/>
      <c r="D171" s="124"/>
    </row>
    <row r="172" spans="1:4" ht="28.5" customHeight="1">
      <c r="A172" s="124"/>
      <c r="B172" s="124"/>
      <c r="C172" s="124"/>
      <c r="D172" s="124"/>
    </row>
    <row r="173" spans="1:4" ht="28.5" customHeight="1">
      <c r="A173" s="124"/>
      <c r="B173" s="124"/>
      <c r="C173" s="124"/>
      <c r="D173" s="124"/>
    </row>
    <row r="174" spans="1:4" ht="28.5" customHeight="1">
      <c r="A174" s="124"/>
      <c r="B174" s="124"/>
      <c r="C174" s="124"/>
      <c r="D174" s="124"/>
    </row>
    <row r="175" spans="1:4" ht="28.5" customHeight="1">
      <c r="A175" s="124"/>
      <c r="B175" s="124"/>
      <c r="C175" s="124"/>
      <c r="D175" s="124"/>
    </row>
    <row r="176" spans="1:4" ht="28.5" customHeight="1">
      <c r="A176" s="124"/>
      <c r="B176" s="124"/>
      <c r="C176" s="124"/>
      <c r="D176" s="124"/>
    </row>
    <row r="177" spans="1:4" ht="28.5" customHeight="1">
      <c r="A177" s="124"/>
      <c r="B177" s="124"/>
      <c r="C177" s="124"/>
      <c r="D177" s="124"/>
    </row>
    <row r="178" spans="1:4" ht="28.5" customHeight="1">
      <c r="A178" s="124"/>
      <c r="B178" s="124"/>
      <c r="C178" s="124"/>
      <c r="D178" s="124"/>
    </row>
    <row r="179" spans="1:4" ht="28.5" customHeight="1">
      <c r="A179" s="124"/>
      <c r="B179" s="124"/>
      <c r="C179" s="124"/>
      <c r="D179" s="124"/>
    </row>
    <row r="180" spans="1:4" ht="28.5" customHeight="1">
      <c r="A180" s="124"/>
      <c r="B180" s="124"/>
      <c r="C180" s="124"/>
      <c r="D180" s="124"/>
    </row>
    <row r="181" spans="1:4" ht="28.5" customHeight="1">
      <c r="A181" s="124"/>
      <c r="B181" s="124"/>
      <c r="C181" s="124"/>
      <c r="D181" s="124"/>
    </row>
    <row r="182" spans="1:4" ht="28.5" customHeight="1">
      <c r="A182" s="124"/>
      <c r="B182" s="124"/>
      <c r="C182" s="124"/>
      <c r="D182" s="124"/>
    </row>
    <row r="183" spans="1:4" ht="28.5" customHeight="1">
      <c r="A183" s="124"/>
      <c r="B183" s="124"/>
      <c r="C183" s="124"/>
      <c r="D183" s="124"/>
    </row>
    <row r="184" spans="1:4" ht="28.5" customHeight="1">
      <c r="A184" s="124"/>
      <c r="B184" s="124"/>
      <c r="C184" s="124"/>
      <c r="D184" s="124"/>
    </row>
    <row r="185" spans="1:4" ht="28.5" customHeight="1">
      <c r="A185" s="124"/>
      <c r="B185" s="124"/>
      <c r="C185" s="124"/>
      <c r="D185" s="124"/>
    </row>
    <row r="186" spans="1:4" ht="28.5" customHeight="1">
      <c r="A186" s="124"/>
      <c r="B186" s="124"/>
      <c r="C186" s="124"/>
      <c r="D186" s="124"/>
    </row>
    <row r="187" spans="1:4" ht="28.5" customHeight="1">
      <c r="A187" s="124"/>
      <c r="B187" s="124"/>
      <c r="C187" s="124"/>
      <c r="D187" s="124"/>
    </row>
    <row r="188" spans="1:4" ht="28.5" customHeight="1">
      <c r="A188" s="124"/>
      <c r="B188" s="124"/>
      <c r="C188" s="124"/>
      <c r="D188" s="124"/>
    </row>
    <row r="189" spans="1:4" ht="28.5" customHeight="1">
      <c r="A189" s="124"/>
      <c r="B189" s="124"/>
      <c r="C189" s="124"/>
      <c r="D189" s="124"/>
    </row>
    <row r="190" spans="1:4" ht="28.5" customHeight="1">
      <c r="A190" s="124"/>
      <c r="B190" s="124"/>
      <c r="C190" s="124"/>
      <c r="D190" s="124"/>
    </row>
    <row r="191" spans="1:4" ht="28.5" customHeight="1">
      <c r="A191" s="124"/>
      <c r="B191" s="124"/>
      <c r="C191" s="124"/>
      <c r="D191" s="124"/>
    </row>
    <row r="192" spans="1:4" ht="28.5" customHeight="1">
      <c r="A192" s="124"/>
      <c r="B192" s="124"/>
      <c r="C192" s="124"/>
      <c r="D192" s="124"/>
    </row>
    <row r="193" spans="1:4" ht="28.5" customHeight="1">
      <c r="A193" s="124"/>
      <c r="B193" s="124"/>
      <c r="C193" s="124"/>
      <c r="D193" s="124"/>
    </row>
    <row r="194" spans="1:4" ht="28.5" customHeight="1">
      <c r="A194" s="124"/>
      <c r="B194" s="124"/>
      <c r="C194" s="124"/>
      <c r="D194" s="124"/>
    </row>
    <row r="195" spans="1:4" ht="28.5" customHeight="1">
      <c r="A195" s="124"/>
      <c r="B195" s="124"/>
      <c r="C195" s="124"/>
      <c r="D195" s="124"/>
    </row>
    <row r="196" spans="1:4" ht="28.5" customHeight="1">
      <c r="A196" s="124"/>
      <c r="B196" s="124"/>
      <c r="C196" s="124"/>
      <c r="D196" s="124"/>
    </row>
    <row r="197" spans="1:4" ht="28.5" customHeight="1">
      <c r="A197" s="124"/>
      <c r="B197" s="124"/>
      <c r="C197" s="124"/>
      <c r="D197" s="124"/>
    </row>
    <row r="198" spans="1:4" ht="28.5" customHeight="1">
      <c r="A198" s="124"/>
      <c r="B198" s="124"/>
      <c r="C198" s="124"/>
      <c r="D198" s="124"/>
    </row>
    <row r="199" spans="1:4" ht="28.5" customHeight="1">
      <c r="A199" s="124"/>
      <c r="B199" s="124"/>
      <c r="C199" s="124"/>
      <c r="D199" s="124"/>
    </row>
    <row r="200" spans="1:4" ht="28.5" customHeight="1">
      <c r="A200" s="124"/>
      <c r="B200" s="124"/>
      <c r="C200" s="124"/>
      <c r="D200" s="124"/>
    </row>
    <row r="201" spans="1:4" ht="28.5" customHeight="1">
      <c r="A201" s="124"/>
      <c r="B201" s="124"/>
      <c r="C201" s="124"/>
      <c r="D201" s="124"/>
    </row>
    <row r="202" spans="1:4" ht="28.5" customHeight="1">
      <c r="A202" s="124"/>
      <c r="B202" s="124"/>
      <c r="C202" s="124"/>
      <c r="D202" s="124"/>
    </row>
    <row r="203" spans="1:4" ht="28.5" customHeight="1">
      <c r="A203" s="124"/>
      <c r="B203" s="124"/>
      <c r="C203" s="124"/>
      <c r="D203" s="124"/>
    </row>
    <row r="204" spans="1:4" ht="28.5" customHeight="1">
      <c r="A204" s="124"/>
      <c r="B204" s="124"/>
      <c r="C204" s="124"/>
      <c r="D204" s="124"/>
    </row>
    <row r="205" spans="1:4" ht="28.5" customHeight="1">
      <c r="A205" s="124"/>
      <c r="B205" s="124"/>
      <c r="C205" s="124"/>
      <c r="D205" s="124"/>
    </row>
    <row r="206" spans="1:4" ht="28.5" customHeight="1">
      <c r="A206" s="124"/>
      <c r="B206" s="124"/>
      <c r="C206" s="124"/>
      <c r="D206" s="124"/>
    </row>
    <row r="207" spans="1:4" ht="28.5" customHeight="1">
      <c r="A207" s="124"/>
      <c r="B207" s="124"/>
      <c r="C207" s="124"/>
      <c r="D207" s="124"/>
    </row>
    <row r="208" spans="1:4" ht="28.5" customHeight="1">
      <c r="A208" s="124"/>
      <c r="B208" s="124"/>
      <c r="C208" s="124"/>
      <c r="D208" s="124"/>
    </row>
    <row r="209" spans="1:4" ht="28.5" customHeight="1">
      <c r="A209" s="124"/>
      <c r="B209" s="124"/>
      <c r="C209" s="124"/>
      <c r="D209" s="124"/>
    </row>
    <row r="210" spans="1:4" ht="28.5" customHeight="1">
      <c r="A210" s="124"/>
      <c r="B210" s="124"/>
      <c r="C210" s="124"/>
      <c r="D210" s="124"/>
    </row>
    <row r="211" spans="1:4" ht="28.5" customHeight="1">
      <c r="A211" s="124"/>
      <c r="B211" s="124"/>
      <c r="C211" s="124"/>
      <c r="D211" s="124"/>
    </row>
    <row r="212" spans="1:4" ht="28.5" customHeight="1">
      <c r="A212" s="124"/>
      <c r="B212" s="124"/>
      <c r="C212" s="124"/>
      <c r="D212" s="124"/>
    </row>
    <row r="213" spans="1:4" ht="28.5" customHeight="1">
      <c r="A213" s="124"/>
      <c r="B213" s="124"/>
      <c r="C213" s="124"/>
      <c r="D213" s="124"/>
    </row>
    <row r="214" spans="1:4" ht="28.5" customHeight="1">
      <c r="A214" s="124"/>
      <c r="B214" s="124"/>
      <c r="C214" s="124"/>
      <c r="D214" s="124"/>
    </row>
    <row r="215" spans="1:4" ht="28.5" customHeight="1">
      <c r="A215" s="124"/>
      <c r="B215" s="124"/>
      <c r="C215" s="124"/>
      <c r="D215" s="124"/>
    </row>
    <row r="216" spans="1:4" ht="28.5" customHeight="1">
      <c r="A216" s="124"/>
      <c r="B216" s="124"/>
      <c r="C216" s="124"/>
      <c r="D216" s="124"/>
    </row>
    <row r="217" spans="1:4" ht="28.5" customHeight="1">
      <c r="A217" s="124"/>
      <c r="B217" s="124"/>
      <c r="C217" s="124"/>
      <c r="D217" s="124"/>
    </row>
    <row r="218" spans="1:4" ht="28.5" customHeight="1">
      <c r="A218" s="124"/>
      <c r="B218" s="124"/>
      <c r="C218" s="124"/>
      <c r="D218" s="124"/>
    </row>
    <row r="219" spans="1:4" ht="28.5" customHeight="1">
      <c r="A219" s="124"/>
      <c r="B219" s="124"/>
      <c r="C219" s="124"/>
      <c r="D219" s="124"/>
    </row>
    <row r="220" spans="1:4" ht="28.5" customHeight="1">
      <c r="A220" s="124"/>
      <c r="B220" s="124"/>
      <c r="C220" s="124"/>
      <c r="D220" s="124"/>
    </row>
    <row r="221" spans="1:4" ht="28.5" customHeight="1">
      <c r="A221" s="124"/>
      <c r="B221" s="124"/>
      <c r="C221" s="124"/>
      <c r="D221" s="124"/>
    </row>
    <row r="222" spans="1:4" ht="28.5" customHeight="1">
      <c r="A222" s="124"/>
      <c r="B222" s="124"/>
      <c r="C222" s="124"/>
      <c r="D222" s="124"/>
    </row>
    <row r="223" spans="1:4" ht="28.5" customHeight="1">
      <c r="A223" s="124"/>
      <c r="B223" s="124"/>
      <c r="C223" s="124"/>
      <c r="D223" s="124"/>
    </row>
    <row r="224" spans="1:4" ht="28.5" customHeight="1">
      <c r="A224" s="124"/>
      <c r="B224" s="124"/>
      <c r="C224" s="124"/>
      <c r="D224" s="124"/>
    </row>
    <row r="225" spans="1:4" ht="28.5" customHeight="1">
      <c r="A225" s="124"/>
      <c r="B225" s="124"/>
      <c r="C225" s="124"/>
      <c r="D225" s="124"/>
    </row>
    <row r="226" spans="1:4" ht="28.5" customHeight="1">
      <c r="A226" s="124"/>
      <c r="B226" s="124"/>
      <c r="C226" s="124"/>
      <c r="D226" s="124"/>
    </row>
    <row r="227" spans="1:4" ht="28.5" customHeight="1">
      <c r="A227" s="124"/>
      <c r="B227" s="124"/>
      <c r="C227" s="124"/>
      <c r="D227" s="124"/>
    </row>
    <row r="228" spans="1:4" ht="28.5" customHeight="1">
      <c r="A228" s="124"/>
      <c r="B228" s="124"/>
      <c r="C228" s="124"/>
      <c r="D228" s="124"/>
    </row>
    <row r="229" spans="1:4" ht="28.5" customHeight="1">
      <c r="A229" s="124"/>
      <c r="B229" s="124"/>
      <c r="C229" s="124"/>
      <c r="D229" s="124"/>
    </row>
    <row r="230" spans="1:4" ht="28.5" customHeight="1">
      <c r="A230" s="124"/>
      <c r="B230" s="124"/>
      <c r="C230" s="124"/>
      <c r="D230" s="124"/>
    </row>
    <row r="231" spans="1:4" ht="28.5" customHeight="1">
      <c r="A231" s="124"/>
      <c r="B231" s="124"/>
      <c r="C231" s="124"/>
      <c r="D231" s="124"/>
    </row>
    <row r="232" spans="1:4" ht="28.5" customHeight="1">
      <c r="A232" s="124"/>
      <c r="B232" s="124"/>
      <c r="C232" s="124"/>
      <c r="D232" s="124"/>
    </row>
    <row r="233" spans="1:4" ht="28.5" customHeight="1">
      <c r="A233" s="124"/>
      <c r="B233" s="124"/>
      <c r="C233" s="124"/>
      <c r="D233" s="124"/>
    </row>
    <row r="234" spans="1:4" ht="28.5" customHeight="1">
      <c r="A234" s="124"/>
      <c r="B234" s="124"/>
      <c r="C234" s="124"/>
      <c r="D234" s="124"/>
    </row>
    <row r="235" spans="1:4" ht="28.5" customHeight="1">
      <c r="A235" s="124"/>
      <c r="B235" s="124"/>
      <c r="C235" s="124"/>
      <c r="D235" s="124"/>
    </row>
    <row r="236" spans="1:4" ht="28.5" customHeight="1">
      <c r="A236" s="124"/>
      <c r="B236" s="124"/>
      <c r="C236" s="124"/>
      <c r="D236" s="124"/>
    </row>
    <row r="237" spans="1:4" ht="28.5" customHeight="1">
      <c r="A237" s="124"/>
      <c r="B237" s="124"/>
      <c r="C237" s="124"/>
      <c r="D237" s="124"/>
    </row>
    <row r="238" spans="1:4" ht="28.5" customHeight="1">
      <c r="A238" s="124"/>
      <c r="B238" s="124"/>
      <c r="C238" s="124"/>
      <c r="D238" s="124"/>
    </row>
    <row r="239" spans="1:4" ht="28.5" customHeight="1">
      <c r="A239" s="124"/>
      <c r="B239" s="124"/>
      <c r="C239" s="124"/>
      <c r="D239" s="124"/>
    </row>
    <row r="240" spans="1:4" ht="28.5" customHeight="1">
      <c r="A240" s="124"/>
      <c r="B240" s="124"/>
      <c r="C240" s="124"/>
      <c r="D240" s="124"/>
    </row>
    <row r="241" spans="1:4" ht="28.5" customHeight="1">
      <c r="A241" s="124"/>
      <c r="B241" s="124"/>
      <c r="C241" s="124"/>
      <c r="D241" s="124"/>
    </row>
    <row r="242" spans="1:4" ht="28.5" customHeight="1">
      <c r="A242" s="124"/>
      <c r="B242" s="124"/>
      <c r="C242" s="124"/>
      <c r="D242" s="124"/>
    </row>
    <row r="243" spans="1:4" ht="28.5" customHeight="1">
      <c r="A243" s="124"/>
      <c r="B243" s="124"/>
      <c r="C243" s="124"/>
      <c r="D243" s="124"/>
    </row>
    <row r="244" spans="1:4" ht="28.5" customHeight="1">
      <c r="A244" s="124"/>
      <c r="B244" s="124"/>
      <c r="C244" s="124"/>
      <c r="D244" s="124"/>
    </row>
    <row r="245" spans="1:4" ht="28.5" customHeight="1">
      <c r="A245" s="124"/>
      <c r="B245" s="124"/>
      <c r="C245" s="124"/>
      <c r="D245" s="124"/>
    </row>
    <row r="246" spans="1:4" ht="28.5" customHeight="1">
      <c r="A246" s="124"/>
      <c r="B246" s="124"/>
      <c r="C246" s="124"/>
      <c r="D246" s="124"/>
    </row>
    <row r="247" spans="1:4" ht="28.5" customHeight="1">
      <c r="A247" s="124"/>
      <c r="B247" s="124"/>
      <c r="C247" s="124"/>
      <c r="D247" s="124"/>
    </row>
    <row r="248" spans="1:4" ht="28.5" customHeight="1">
      <c r="A248" s="124"/>
      <c r="B248" s="124"/>
      <c r="C248" s="124"/>
      <c r="D248" s="124"/>
    </row>
    <row r="249" spans="1:4" ht="28.5" customHeight="1">
      <c r="A249" s="124"/>
      <c r="B249" s="124"/>
      <c r="C249" s="124"/>
      <c r="D249" s="124"/>
    </row>
    <row r="250" spans="1:4" ht="28.5" customHeight="1">
      <c r="A250" s="124"/>
      <c r="B250" s="124"/>
      <c r="C250" s="124"/>
      <c r="D250" s="124"/>
    </row>
    <row r="251" spans="1:4" ht="28.5" customHeight="1">
      <c r="A251" s="124"/>
      <c r="B251" s="124"/>
      <c r="C251" s="124"/>
      <c r="D251" s="124"/>
    </row>
    <row r="252" spans="1:4" ht="28.5" customHeight="1">
      <c r="A252" s="124"/>
      <c r="B252" s="124"/>
      <c r="C252" s="124"/>
      <c r="D252" s="124"/>
    </row>
    <row r="253" spans="1:4" ht="28.5" customHeight="1">
      <c r="A253" s="124"/>
      <c r="B253" s="124"/>
      <c r="C253" s="124"/>
      <c r="D253" s="124"/>
    </row>
    <row r="254" spans="1:4" ht="28.5" customHeight="1">
      <c r="A254" s="124"/>
      <c r="B254" s="124"/>
      <c r="C254" s="124"/>
      <c r="D254" s="124"/>
    </row>
    <row r="255" spans="1:4" ht="28.5" customHeight="1">
      <c r="A255" s="124"/>
      <c r="B255" s="41"/>
      <c r="C255" s="124"/>
      <c r="D255" s="124"/>
    </row>
    <row r="256" spans="1:4" ht="28.5" customHeight="1">
      <c r="A256" s="124"/>
      <c r="B256" s="41"/>
      <c r="C256" s="124"/>
      <c r="D256" s="124"/>
    </row>
    <row r="257" spans="1:4" ht="28.5" customHeight="1">
      <c r="A257" s="124"/>
      <c r="B257" s="41"/>
      <c r="C257" s="124"/>
      <c r="D257" s="124"/>
    </row>
    <row r="258" spans="1:4" ht="28.5" customHeight="1">
      <c r="A258" s="124"/>
      <c r="B258" s="41"/>
      <c r="C258" s="124"/>
      <c r="D258" s="124"/>
    </row>
    <row r="259" spans="1:4" ht="28.5" customHeight="1">
      <c r="A259" s="124"/>
      <c r="B259" s="41"/>
      <c r="C259" s="124"/>
      <c r="D259" s="124"/>
    </row>
    <row r="260" spans="1:4" ht="28.5" customHeight="1">
      <c r="A260" s="124"/>
      <c r="B260" s="41"/>
      <c r="C260" s="124"/>
      <c r="D260" s="124"/>
    </row>
    <row r="261" spans="1:4" ht="28.5" customHeight="1">
      <c r="A261" s="124"/>
      <c r="B261" s="41"/>
      <c r="C261" s="124"/>
      <c r="D261" s="124"/>
    </row>
    <row r="262" spans="1:4" ht="28.5" customHeight="1">
      <c r="A262" s="124"/>
      <c r="B262" s="41"/>
      <c r="C262" s="124"/>
      <c r="D262" s="124"/>
    </row>
    <row r="263" spans="1:4" ht="28.5" customHeight="1">
      <c r="A263" s="124"/>
      <c r="B263" s="41"/>
      <c r="C263" s="124"/>
      <c r="D263" s="124"/>
    </row>
    <row r="264" spans="1:4" ht="28.5" customHeight="1">
      <c r="A264" s="124"/>
      <c r="B264" s="41"/>
      <c r="C264" s="124"/>
      <c r="D264" s="124"/>
    </row>
    <row r="265" spans="1:4" ht="28.5" customHeight="1">
      <c r="A265" s="124"/>
      <c r="B265" s="41"/>
      <c r="C265" s="124"/>
      <c r="D265" s="124"/>
    </row>
    <row r="266" spans="1:4" ht="28.5" customHeight="1">
      <c r="A266" s="124"/>
      <c r="B266" s="41"/>
      <c r="C266" s="124"/>
      <c r="D266" s="124"/>
    </row>
    <row r="267" spans="1:4" ht="28.5" customHeight="1">
      <c r="A267" s="124"/>
      <c r="B267" s="41"/>
      <c r="C267" s="124"/>
      <c r="D267" s="124"/>
    </row>
    <row r="268" spans="1:4" ht="28.5" customHeight="1">
      <c r="A268" s="124"/>
      <c r="B268" s="41"/>
      <c r="C268" s="124"/>
      <c r="D268" s="124"/>
    </row>
    <row r="269" spans="1:4" ht="28.5" customHeight="1">
      <c r="A269" s="124"/>
      <c r="B269" s="41"/>
      <c r="C269" s="124"/>
      <c r="D269" s="124"/>
    </row>
    <row r="270" spans="1:4" ht="28.5" customHeight="1">
      <c r="A270" s="124"/>
      <c r="B270" s="41"/>
      <c r="C270" s="124"/>
      <c r="D270" s="124"/>
    </row>
    <row r="271" spans="1:4" ht="28.5" customHeight="1">
      <c r="A271" s="124"/>
      <c r="B271" s="41"/>
      <c r="C271" s="124"/>
      <c r="D271" s="124"/>
    </row>
    <row r="272" spans="1:4" ht="28.5" customHeight="1">
      <c r="A272" s="124"/>
      <c r="B272" s="41"/>
      <c r="C272" s="124"/>
      <c r="D272" s="124"/>
    </row>
    <row r="273" spans="1:4" ht="28.5" customHeight="1">
      <c r="A273" s="124"/>
      <c r="B273" s="41"/>
      <c r="C273" s="124"/>
      <c r="D273" s="124"/>
    </row>
    <row r="274" spans="1:4" ht="28.5" customHeight="1">
      <c r="A274" s="124"/>
      <c r="B274" s="41"/>
      <c r="C274" s="124"/>
      <c r="D274" s="124"/>
    </row>
    <row r="275" spans="1:4" ht="28.5" customHeight="1">
      <c r="A275" s="124"/>
      <c r="B275" s="41"/>
      <c r="C275" s="124"/>
      <c r="D275" s="124"/>
    </row>
    <row r="276" spans="1:4" ht="28.5" customHeight="1">
      <c r="A276" s="124"/>
      <c r="B276" s="41"/>
      <c r="C276" s="124"/>
      <c r="D276" s="124"/>
    </row>
    <row r="277" spans="1:4" ht="28.5" customHeight="1">
      <c r="A277" s="124"/>
      <c r="B277" s="41"/>
      <c r="C277" s="124"/>
      <c r="D277" s="124"/>
    </row>
    <row r="278" spans="1:4" ht="28.5" customHeight="1">
      <c r="A278" s="124"/>
      <c r="B278" s="41"/>
      <c r="C278" s="124"/>
      <c r="D278" s="124"/>
    </row>
    <row r="279" spans="1:4" ht="28.5" customHeight="1">
      <c r="A279" s="124"/>
      <c r="B279" s="41"/>
      <c r="C279" s="124"/>
      <c r="D279" s="124"/>
    </row>
    <row r="280" spans="1:4" ht="28.5" customHeight="1">
      <c r="A280" s="124"/>
      <c r="B280" s="41"/>
      <c r="C280" s="124"/>
      <c r="D280" s="124"/>
    </row>
    <row r="281" spans="1:4" ht="28.5" customHeight="1">
      <c r="A281" s="124"/>
      <c r="B281" s="41"/>
      <c r="C281" s="124"/>
      <c r="D281" s="124"/>
    </row>
    <row r="282" spans="1:4" ht="28.5" customHeight="1">
      <c r="A282" s="124"/>
      <c r="B282" s="41"/>
      <c r="C282" s="124"/>
      <c r="D282" s="124"/>
    </row>
    <row r="283" spans="1:4" ht="28.5" customHeight="1">
      <c r="A283" s="124"/>
      <c r="B283" s="41"/>
      <c r="C283" s="124"/>
      <c r="D283" s="124"/>
    </row>
    <row r="284" spans="1:4" ht="28.5" customHeight="1">
      <c r="A284" s="124"/>
      <c r="B284" s="41"/>
      <c r="C284" s="124"/>
      <c r="D284" s="124"/>
    </row>
    <row r="285" spans="1:4" ht="28.5" customHeight="1">
      <c r="A285" s="124"/>
      <c r="B285" s="41"/>
      <c r="C285" s="124"/>
      <c r="D285" s="124"/>
    </row>
    <row r="286" spans="1:4" ht="28.5" customHeight="1">
      <c r="A286" s="124"/>
      <c r="B286" s="41"/>
      <c r="C286" s="124"/>
      <c r="D286" s="124"/>
    </row>
    <row r="287" spans="1:4" ht="28.5" customHeight="1">
      <c r="A287" s="124"/>
      <c r="B287" s="41"/>
      <c r="C287" s="124"/>
      <c r="D287" s="124"/>
    </row>
    <row r="288" spans="1:4" ht="28.5" customHeight="1">
      <c r="A288" s="124"/>
      <c r="B288" s="41"/>
      <c r="C288" s="124"/>
      <c r="D288" s="124"/>
    </row>
    <row r="289" spans="1:4" ht="28.5" customHeight="1">
      <c r="A289" s="124"/>
      <c r="B289" s="41"/>
      <c r="C289" s="124"/>
      <c r="D289" s="124"/>
    </row>
    <row r="290" spans="1:4" ht="28.5" customHeight="1">
      <c r="A290" s="124"/>
      <c r="B290" s="41"/>
      <c r="C290" s="124"/>
      <c r="D290" s="124"/>
    </row>
    <row r="291" spans="1:4" ht="28.5" customHeight="1">
      <c r="A291" s="124"/>
      <c r="B291" s="41"/>
      <c r="C291" s="124"/>
      <c r="D291" s="124"/>
    </row>
    <row r="292" spans="1:4" ht="28.5" customHeight="1">
      <c r="A292" s="124"/>
      <c r="B292" s="41"/>
      <c r="C292" s="124"/>
      <c r="D292" s="124"/>
    </row>
    <row r="293" spans="1:4" ht="28.5" customHeight="1">
      <c r="A293" s="124"/>
      <c r="B293" s="41"/>
      <c r="C293" s="124"/>
      <c r="D293" s="124"/>
    </row>
    <row r="294" spans="1:4" ht="28.5" customHeight="1">
      <c r="A294" s="124"/>
      <c r="B294" s="41"/>
      <c r="C294" s="124"/>
      <c r="D294" s="124"/>
    </row>
    <row r="295" spans="1:4" ht="28.5" customHeight="1">
      <c r="A295" s="124"/>
      <c r="B295" s="41"/>
      <c r="C295" s="124"/>
      <c r="D295" s="124"/>
    </row>
    <row r="296" spans="1:4" ht="28.5" customHeight="1">
      <c r="A296" s="124"/>
      <c r="B296" s="41"/>
      <c r="C296" s="124"/>
      <c r="D296" s="124"/>
    </row>
    <row r="297" spans="1:4" ht="28.5" customHeight="1">
      <c r="A297" s="124"/>
      <c r="B297" s="41"/>
      <c r="C297" s="124"/>
      <c r="D297" s="124"/>
    </row>
    <row r="298" spans="1:4" ht="28.5" customHeight="1">
      <c r="A298" s="124"/>
      <c r="B298" s="41"/>
      <c r="C298" s="124"/>
      <c r="D298" s="124"/>
    </row>
    <row r="299" spans="1:4" ht="28.5" customHeight="1">
      <c r="A299" s="124"/>
      <c r="B299" s="41"/>
      <c r="C299" s="124"/>
      <c r="D299" s="124"/>
    </row>
    <row r="300" spans="1:4" ht="28.5" customHeight="1">
      <c r="A300" s="124"/>
      <c r="B300" s="41"/>
      <c r="C300" s="124"/>
      <c r="D300" s="124"/>
    </row>
    <row r="301" spans="1:4" ht="28.5" customHeight="1">
      <c r="A301" s="124"/>
      <c r="B301" s="41"/>
      <c r="C301" s="124"/>
      <c r="D301" s="124"/>
    </row>
    <row r="302" spans="1:4" ht="28.5" customHeight="1">
      <c r="A302" s="124"/>
      <c r="B302" s="41"/>
      <c r="C302" s="124"/>
      <c r="D302" s="124"/>
    </row>
    <row r="303" spans="1:4" ht="28.5" customHeight="1">
      <c r="A303" s="124"/>
      <c r="B303" s="41"/>
      <c r="C303" s="124"/>
      <c r="D303" s="124"/>
    </row>
    <row r="304" spans="1:4" ht="28.5" customHeight="1">
      <c r="A304" s="124"/>
      <c r="B304" s="41"/>
      <c r="C304" s="124"/>
      <c r="D304" s="124"/>
    </row>
    <row r="305" spans="1:4" ht="28.5" customHeight="1">
      <c r="A305" s="124"/>
      <c r="B305" s="41"/>
      <c r="C305" s="124"/>
      <c r="D305" s="124"/>
    </row>
    <row r="306" spans="1:4" ht="28.5" customHeight="1">
      <c r="A306" s="124"/>
      <c r="B306" s="41"/>
      <c r="C306" s="124"/>
      <c r="D306" s="124"/>
    </row>
    <row r="307" spans="1:4" ht="28.5" customHeight="1">
      <c r="A307" s="124"/>
      <c r="B307" s="41"/>
      <c r="C307" s="124"/>
      <c r="D307" s="124"/>
    </row>
    <row r="308" spans="1:4" ht="28.5" customHeight="1">
      <c r="A308" s="124"/>
      <c r="B308" s="41"/>
      <c r="C308" s="124"/>
      <c r="D308" s="124"/>
    </row>
    <row r="309" spans="1:4" ht="28.5" customHeight="1">
      <c r="A309" s="124"/>
      <c r="B309" s="41"/>
      <c r="C309" s="124"/>
      <c r="D309" s="124"/>
    </row>
    <row r="310" spans="1:4" ht="28.5" customHeight="1">
      <c r="A310" s="124"/>
      <c r="B310" s="41"/>
      <c r="C310" s="124"/>
      <c r="D310" s="124"/>
    </row>
    <row r="311" spans="1:4" ht="28.5" customHeight="1">
      <c r="A311" s="124"/>
      <c r="B311" s="41"/>
      <c r="C311" s="124"/>
      <c r="D311" s="124"/>
    </row>
    <row r="312" spans="1:4" ht="28.5" customHeight="1">
      <c r="A312" s="124"/>
      <c r="B312" s="41"/>
      <c r="C312" s="124"/>
      <c r="D312" s="124"/>
    </row>
    <row r="313" spans="1:4" ht="28.5" customHeight="1">
      <c r="A313" s="124"/>
      <c r="B313" s="41"/>
      <c r="C313" s="124"/>
      <c r="D313" s="124"/>
    </row>
    <row r="314" spans="1:4" ht="28.5" customHeight="1">
      <c r="A314" s="124"/>
      <c r="B314" s="41"/>
      <c r="C314" s="124"/>
      <c r="D314" s="124"/>
    </row>
    <row r="315" spans="1:4" ht="28.5" customHeight="1">
      <c r="A315" s="124"/>
      <c r="B315" s="41"/>
      <c r="C315" s="124"/>
      <c r="D315" s="124"/>
    </row>
    <row r="316" spans="1:4" ht="28.5" customHeight="1">
      <c r="A316" s="124"/>
      <c r="B316" s="41"/>
      <c r="C316" s="124"/>
      <c r="D316" s="124"/>
    </row>
    <row r="317" spans="1:4" ht="28.5" customHeight="1">
      <c r="A317" s="124"/>
      <c r="B317" s="41"/>
      <c r="C317" s="124"/>
      <c r="D317" s="124"/>
    </row>
    <row r="318" spans="1:4" ht="28.5" customHeight="1">
      <c r="A318" s="124"/>
      <c r="B318" s="41"/>
      <c r="C318" s="124"/>
      <c r="D318" s="124"/>
    </row>
    <row r="319" spans="1:4" ht="28.5" customHeight="1">
      <c r="A319" s="124"/>
      <c r="B319" s="41"/>
      <c r="C319" s="124"/>
      <c r="D319" s="124"/>
    </row>
    <row r="320" spans="1:4" ht="28.5" customHeight="1">
      <c r="A320" s="124"/>
      <c r="B320" s="41"/>
      <c r="C320" s="124"/>
      <c r="D320" s="124"/>
    </row>
    <row r="321" spans="1:4" ht="28.5" customHeight="1">
      <c r="A321" s="124"/>
      <c r="B321" s="41"/>
      <c r="C321" s="124"/>
      <c r="D321" s="124"/>
    </row>
    <row r="322" spans="1:4" ht="28.5" customHeight="1">
      <c r="A322" s="124"/>
      <c r="B322" s="41"/>
      <c r="C322" s="124"/>
      <c r="D322" s="124"/>
    </row>
    <row r="323" spans="1:4" ht="28.5" customHeight="1">
      <c r="A323" s="124"/>
      <c r="B323" s="41"/>
      <c r="C323" s="124"/>
      <c r="D323" s="124"/>
    </row>
    <row r="324" spans="1:4" ht="28.5" customHeight="1">
      <c r="A324" s="124"/>
      <c r="B324" s="41"/>
      <c r="C324" s="124"/>
      <c r="D324" s="124"/>
    </row>
    <row r="325" spans="1:4" ht="28.5" customHeight="1">
      <c r="A325" s="124"/>
      <c r="B325" s="41"/>
      <c r="C325" s="124"/>
      <c r="D325" s="124"/>
    </row>
    <row r="326" spans="1:4" ht="28.5" customHeight="1">
      <c r="A326" s="124"/>
      <c r="B326" s="41"/>
      <c r="C326" s="124"/>
      <c r="D326" s="124"/>
    </row>
    <row r="327" spans="1:4" ht="28.5" customHeight="1">
      <c r="A327" s="124"/>
      <c r="B327" s="41"/>
      <c r="C327" s="124"/>
      <c r="D327" s="124"/>
    </row>
    <row r="328" spans="1:4" ht="28.5" customHeight="1">
      <c r="A328" s="124"/>
      <c r="B328" s="41"/>
      <c r="C328" s="124"/>
      <c r="D328" s="124"/>
    </row>
    <row r="329" spans="1:4" ht="28.5" customHeight="1">
      <c r="A329" s="124"/>
      <c r="B329" s="41"/>
      <c r="C329" s="124"/>
      <c r="D329" s="124"/>
    </row>
    <row r="330" spans="1:4" ht="28.5" customHeight="1">
      <c r="A330" s="124"/>
      <c r="B330" s="41"/>
      <c r="C330" s="124"/>
      <c r="D330" s="124"/>
    </row>
    <row r="331" spans="1:4" ht="28.5" customHeight="1">
      <c r="A331" s="124"/>
      <c r="B331" s="41"/>
      <c r="C331" s="124"/>
      <c r="D331" s="124"/>
    </row>
    <row r="332" spans="1:4" ht="28.5" customHeight="1">
      <c r="A332" s="124"/>
      <c r="B332" s="41"/>
      <c r="C332" s="124"/>
      <c r="D332" s="124"/>
    </row>
    <row r="333" spans="1:4" ht="28.5" customHeight="1">
      <c r="A333" s="124"/>
      <c r="B333" s="41"/>
      <c r="C333" s="124"/>
      <c r="D333" s="124"/>
    </row>
    <row r="334" spans="1:4" ht="28.5" customHeight="1">
      <c r="A334" s="124"/>
      <c r="B334" s="41"/>
      <c r="C334" s="124"/>
      <c r="D334" s="124"/>
    </row>
    <row r="335" spans="1:4" ht="28.5" customHeight="1">
      <c r="A335" s="124"/>
      <c r="B335" s="41"/>
      <c r="C335" s="124"/>
      <c r="D335" s="124"/>
    </row>
    <row r="336" spans="1:4" ht="28.5" customHeight="1">
      <c r="A336" s="124"/>
      <c r="B336" s="41"/>
      <c r="C336" s="124"/>
      <c r="D336" s="124"/>
    </row>
    <row r="337" spans="1:4" ht="28.5" customHeight="1">
      <c r="A337" s="124"/>
      <c r="B337" s="41"/>
      <c r="C337" s="124"/>
      <c r="D337" s="124"/>
    </row>
    <row r="338" spans="1:4" ht="28.5" customHeight="1">
      <c r="A338" s="124"/>
      <c r="B338" s="41"/>
      <c r="C338" s="124"/>
      <c r="D338" s="124"/>
    </row>
    <row r="339" spans="1:4" ht="28.5" customHeight="1">
      <c r="A339" s="124"/>
      <c r="B339" s="41"/>
      <c r="C339" s="124"/>
      <c r="D339" s="124"/>
    </row>
    <row r="340" spans="1:4" ht="28.5" customHeight="1">
      <c r="A340" s="124"/>
      <c r="B340" s="41"/>
      <c r="C340" s="124"/>
      <c r="D340" s="124"/>
    </row>
    <row r="341" spans="1:4" ht="28.5" customHeight="1">
      <c r="A341" s="124"/>
      <c r="B341" s="41"/>
      <c r="C341" s="124"/>
      <c r="D341" s="124"/>
    </row>
    <row r="342" spans="1:4" ht="28.5" customHeight="1">
      <c r="A342" s="124"/>
      <c r="B342" s="41"/>
      <c r="C342" s="124"/>
      <c r="D342" s="124"/>
    </row>
    <row r="343" spans="1:4" ht="28.5" customHeight="1">
      <c r="A343" s="124"/>
      <c r="B343" s="41"/>
      <c r="C343" s="124"/>
      <c r="D343" s="124"/>
    </row>
    <row r="344" spans="1:4" ht="28.5" customHeight="1">
      <c r="A344" s="124"/>
      <c r="B344" s="41"/>
      <c r="C344" s="124"/>
      <c r="D344" s="124"/>
    </row>
    <row r="345" spans="1:4" ht="28.5" customHeight="1">
      <c r="A345" s="124"/>
      <c r="B345" s="41"/>
      <c r="C345" s="124"/>
      <c r="D345" s="124"/>
    </row>
    <row r="346" spans="1:4" ht="28.5" customHeight="1">
      <c r="A346" s="124"/>
      <c r="B346" s="41"/>
      <c r="C346" s="124"/>
      <c r="D346" s="124"/>
    </row>
    <row r="347" spans="1:4" ht="28.5" customHeight="1">
      <c r="A347" s="124"/>
      <c r="B347" s="41"/>
      <c r="C347" s="124"/>
      <c r="D347" s="124"/>
    </row>
    <row r="348" spans="1:4" ht="28.5" customHeight="1">
      <c r="A348" s="124"/>
      <c r="B348" s="41"/>
      <c r="C348" s="124"/>
      <c r="D348" s="124"/>
    </row>
    <row r="349" spans="1:4" ht="28.5" customHeight="1">
      <c r="A349" s="124"/>
      <c r="B349" s="41"/>
      <c r="C349" s="124"/>
      <c r="D349" s="124"/>
    </row>
    <row r="350" spans="1:4" ht="28.5" customHeight="1">
      <c r="A350" s="124"/>
      <c r="B350" s="41"/>
      <c r="C350" s="124"/>
      <c r="D350" s="124"/>
    </row>
    <row r="351" spans="1:4" ht="28.5" customHeight="1">
      <c r="A351" s="124"/>
      <c r="B351" s="41"/>
      <c r="C351" s="124"/>
      <c r="D351" s="124"/>
    </row>
    <row r="352" spans="1:4" ht="28.5" customHeight="1">
      <c r="A352" s="124"/>
      <c r="B352" s="41"/>
      <c r="C352" s="124"/>
      <c r="D352" s="124"/>
    </row>
    <row r="353" spans="1:4" ht="28.5" customHeight="1">
      <c r="A353" s="124"/>
      <c r="B353" s="41"/>
      <c r="C353" s="124"/>
      <c r="D353" s="124"/>
    </row>
    <row r="354" spans="1:4" ht="28.5" customHeight="1">
      <c r="A354" s="124"/>
      <c r="B354" s="41"/>
      <c r="C354" s="124"/>
      <c r="D354" s="124"/>
    </row>
    <row r="355" spans="1:4" ht="28.5" customHeight="1">
      <c r="A355" s="124"/>
      <c r="B355" s="41"/>
      <c r="C355" s="124"/>
      <c r="D355" s="124"/>
    </row>
    <row r="356" spans="1:4" ht="28.5" customHeight="1">
      <c r="A356" s="124"/>
      <c r="B356" s="41"/>
      <c r="C356" s="124"/>
      <c r="D356" s="124"/>
    </row>
    <row r="357" spans="1:4" ht="28.5" customHeight="1">
      <c r="A357" s="124"/>
      <c r="B357" s="41"/>
      <c r="C357" s="124"/>
      <c r="D357" s="124"/>
    </row>
    <row r="358" spans="1:4" ht="28.5" customHeight="1">
      <c r="A358" s="124"/>
      <c r="B358" s="41"/>
      <c r="C358" s="124"/>
      <c r="D358" s="124"/>
    </row>
    <row r="359" spans="1:4" ht="28.5" customHeight="1">
      <c r="A359" s="124"/>
      <c r="B359" s="41"/>
      <c r="C359" s="124"/>
      <c r="D359" s="124"/>
    </row>
    <row r="360" spans="1:4" ht="28.5" customHeight="1">
      <c r="A360" s="124"/>
      <c r="B360" s="41"/>
      <c r="C360" s="124"/>
      <c r="D360" s="124"/>
    </row>
    <row r="361" spans="1:4" ht="28.5" customHeight="1">
      <c r="A361" s="124"/>
      <c r="B361" s="41"/>
      <c r="C361" s="124"/>
      <c r="D361" s="124"/>
    </row>
    <row r="362" spans="1:4" ht="28.5" customHeight="1">
      <c r="A362" s="124"/>
      <c r="B362" s="41"/>
      <c r="C362" s="124"/>
      <c r="D362" s="124"/>
    </row>
    <row r="363" spans="1:4" ht="28.5" customHeight="1">
      <c r="A363" s="124"/>
      <c r="B363" s="41"/>
      <c r="C363" s="124"/>
      <c r="D363" s="124"/>
    </row>
    <row r="364" spans="1:4" ht="28.5" customHeight="1">
      <c r="A364" s="124"/>
      <c r="B364" s="41"/>
      <c r="C364" s="124"/>
      <c r="D364" s="124"/>
    </row>
    <row r="365" spans="1:4" ht="28.5" customHeight="1">
      <c r="A365" s="124"/>
      <c r="B365" s="41"/>
      <c r="C365" s="124"/>
      <c r="D365" s="124"/>
    </row>
    <row r="366" spans="1:4" ht="28.5" customHeight="1">
      <c r="A366" s="124"/>
      <c r="B366" s="41"/>
      <c r="C366" s="124"/>
      <c r="D366" s="124"/>
    </row>
    <row r="367" spans="1:4" ht="28.5" customHeight="1">
      <c r="A367" s="124"/>
      <c r="B367" s="41"/>
      <c r="C367" s="124"/>
      <c r="D367" s="124"/>
    </row>
    <row r="368" spans="1:4" ht="28.5" customHeight="1">
      <c r="A368" s="124"/>
      <c r="B368" s="41"/>
      <c r="C368" s="124"/>
      <c r="D368" s="124"/>
    </row>
    <row r="369" spans="1:4" ht="28.5" customHeight="1">
      <c r="A369" s="124"/>
      <c r="B369" s="41"/>
      <c r="C369" s="124"/>
      <c r="D369" s="124"/>
    </row>
    <row r="370" spans="1:4" ht="28.5" customHeight="1">
      <c r="A370" s="124"/>
      <c r="B370" s="41"/>
      <c r="C370" s="124"/>
      <c r="D370" s="124"/>
    </row>
    <row r="371" spans="1:4" ht="28.5" customHeight="1">
      <c r="A371" s="124"/>
      <c r="B371" s="41"/>
      <c r="C371" s="124"/>
      <c r="D371" s="124"/>
    </row>
    <row r="372" spans="1:4" ht="28.5" customHeight="1">
      <c r="A372" s="124"/>
      <c r="B372" s="41"/>
      <c r="C372" s="124"/>
      <c r="D372" s="124"/>
    </row>
    <row r="373" spans="1:4" ht="28.5" customHeight="1">
      <c r="A373" s="124"/>
      <c r="B373" s="41"/>
      <c r="C373" s="124"/>
      <c r="D373" s="124"/>
    </row>
    <row r="374" spans="1:4" ht="28.5" customHeight="1">
      <c r="A374" s="124"/>
      <c r="B374" s="41"/>
      <c r="C374" s="124"/>
      <c r="D374" s="124"/>
    </row>
    <row r="375" spans="1:4" ht="28.5" customHeight="1">
      <c r="A375" s="124"/>
      <c r="B375" s="41"/>
      <c r="C375" s="124"/>
      <c r="D375" s="124"/>
    </row>
    <row r="376" spans="1:4" ht="28.5" customHeight="1">
      <c r="A376" s="124"/>
      <c r="B376" s="41"/>
      <c r="C376" s="124"/>
      <c r="D376" s="124"/>
    </row>
    <row r="377" spans="1:4" ht="28.5" customHeight="1">
      <c r="A377" s="124"/>
      <c r="B377" s="41"/>
      <c r="C377" s="124"/>
      <c r="D377" s="124"/>
    </row>
    <row r="378" spans="1:4" ht="28.5" customHeight="1">
      <c r="A378" s="124"/>
      <c r="B378" s="41"/>
      <c r="C378" s="124"/>
      <c r="D378" s="124"/>
    </row>
    <row r="379" spans="1:4" ht="28.5" customHeight="1">
      <c r="A379" s="124"/>
      <c r="B379" s="41"/>
      <c r="C379" s="124"/>
      <c r="D379" s="124"/>
    </row>
    <row r="380" spans="1:4" ht="28.5" customHeight="1">
      <c r="A380" s="124"/>
      <c r="B380" s="41"/>
      <c r="C380" s="124"/>
      <c r="D380" s="124"/>
    </row>
    <row r="381" spans="1:4" ht="28.5" customHeight="1">
      <c r="A381" s="124"/>
      <c r="B381" s="41"/>
      <c r="C381" s="124"/>
      <c r="D381" s="124"/>
    </row>
    <row r="382" spans="1:4" ht="28.5" customHeight="1">
      <c r="A382" s="124"/>
      <c r="B382" s="41"/>
      <c r="C382" s="124"/>
      <c r="D382" s="124"/>
    </row>
    <row r="383" spans="1:4" ht="28.5" customHeight="1">
      <c r="A383" s="124"/>
      <c r="B383" s="41"/>
      <c r="C383" s="124"/>
      <c r="D383" s="124"/>
    </row>
    <row r="384" spans="1:4" ht="28.5" customHeight="1">
      <c r="A384" s="124"/>
      <c r="B384" s="41"/>
      <c r="C384" s="124"/>
      <c r="D384" s="124"/>
    </row>
    <row r="385" spans="1:4" ht="28.5" customHeight="1">
      <c r="A385" s="124"/>
      <c r="B385" s="41"/>
      <c r="C385" s="124"/>
      <c r="D385" s="124"/>
    </row>
    <row r="386" spans="1:4" ht="28.5" customHeight="1">
      <c r="A386" s="124"/>
      <c r="B386" s="41"/>
      <c r="C386" s="124"/>
      <c r="D386" s="124"/>
    </row>
    <row r="387" spans="1:4" ht="28.5" customHeight="1">
      <c r="A387" s="124"/>
      <c r="B387" s="41"/>
      <c r="C387" s="124"/>
      <c r="D387" s="124"/>
    </row>
    <row r="388" spans="1:4" ht="28.5" customHeight="1">
      <c r="A388" s="124"/>
      <c r="B388" s="41"/>
      <c r="C388" s="124"/>
      <c r="D388" s="124"/>
    </row>
    <row r="389" spans="1:4" ht="28.5" customHeight="1">
      <c r="A389" s="124"/>
      <c r="B389" s="41"/>
      <c r="C389" s="124"/>
      <c r="D389" s="124"/>
    </row>
    <row r="390" spans="1:4" ht="28.5" customHeight="1">
      <c r="A390" s="124"/>
      <c r="B390" s="41"/>
      <c r="C390" s="124"/>
      <c r="D390" s="124"/>
    </row>
    <row r="391" spans="1:4" ht="28.5" customHeight="1">
      <c r="A391" s="124"/>
      <c r="B391" s="41"/>
      <c r="C391" s="124"/>
      <c r="D391" s="124"/>
    </row>
    <row r="392" spans="1:4" ht="28.5" customHeight="1">
      <c r="A392" s="124"/>
      <c r="B392" s="41"/>
      <c r="C392" s="124"/>
      <c r="D392" s="124"/>
    </row>
    <row r="393" spans="1:4" ht="28.5" customHeight="1">
      <c r="A393" s="124"/>
      <c r="B393" s="41"/>
      <c r="C393" s="124"/>
      <c r="D393" s="124"/>
    </row>
    <row r="394" spans="1:4" ht="28.5" customHeight="1">
      <c r="A394" s="124"/>
      <c r="B394" s="41"/>
      <c r="C394" s="124"/>
      <c r="D394" s="124"/>
    </row>
    <row r="395" spans="1:4" ht="28.5" customHeight="1">
      <c r="A395" s="124"/>
      <c r="B395" s="41"/>
      <c r="C395" s="124"/>
      <c r="D395" s="124"/>
    </row>
    <row r="396" spans="1:4" ht="28.5" customHeight="1">
      <c r="A396" s="124"/>
      <c r="B396" s="41"/>
      <c r="C396" s="124"/>
      <c r="D396" s="124"/>
    </row>
    <row r="397" spans="1:4" ht="28.5" customHeight="1">
      <c r="A397" s="124"/>
      <c r="B397" s="41"/>
      <c r="C397" s="124"/>
      <c r="D397" s="124"/>
    </row>
    <row r="398" spans="1:4" ht="28.5" customHeight="1">
      <c r="A398" s="124"/>
      <c r="B398" s="41"/>
      <c r="C398" s="124"/>
      <c r="D398" s="124"/>
    </row>
    <row r="399" spans="1:4" ht="28.5" customHeight="1">
      <c r="A399" s="124"/>
      <c r="B399" s="41"/>
      <c r="C399" s="124"/>
      <c r="D399" s="124"/>
    </row>
    <row r="400" spans="1:4" ht="28.5" customHeight="1">
      <c r="A400" s="124"/>
      <c r="B400" s="41"/>
      <c r="C400" s="124"/>
      <c r="D400" s="124"/>
    </row>
    <row r="401" spans="1:4" ht="28.5" customHeight="1">
      <c r="A401" s="124"/>
      <c r="B401" s="41"/>
      <c r="C401" s="124"/>
      <c r="D401" s="124"/>
    </row>
    <row r="402" spans="1:4" ht="28.5" customHeight="1">
      <c r="A402" s="124"/>
      <c r="B402" s="41"/>
      <c r="C402" s="124"/>
      <c r="D402" s="124"/>
    </row>
    <row r="403" spans="1:4" ht="28.5" customHeight="1">
      <c r="A403" s="124"/>
      <c r="B403" s="41"/>
      <c r="C403" s="124"/>
      <c r="D403" s="124"/>
    </row>
    <row r="404" spans="1:4" ht="28.5" customHeight="1">
      <c r="A404" s="124"/>
      <c r="B404" s="41"/>
      <c r="C404" s="124"/>
      <c r="D404" s="124"/>
    </row>
    <row r="405" spans="1:4" ht="28.5" customHeight="1">
      <c r="A405" s="124"/>
      <c r="B405" s="41"/>
      <c r="C405" s="124"/>
      <c r="D405" s="124"/>
    </row>
    <row r="406" spans="1:4" ht="28.5" customHeight="1">
      <c r="A406" s="124"/>
      <c r="B406" s="41"/>
      <c r="C406" s="124"/>
      <c r="D406" s="124"/>
    </row>
    <row r="407" spans="1:4" ht="28.5" customHeight="1">
      <c r="A407" s="124"/>
      <c r="B407" s="41"/>
      <c r="C407" s="124"/>
      <c r="D407" s="124"/>
    </row>
    <row r="408" spans="1:4" ht="28.5" customHeight="1">
      <c r="A408" s="124"/>
      <c r="B408" s="41"/>
      <c r="C408" s="124"/>
      <c r="D408" s="124"/>
    </row>
    <row r="409" spans="1:4" ht="28.5" customHeight="1">
      <c r="A409" s="124"/>
      <c r="B409" s="41"/>
      <c r="C409" s="124"/>
      <c r="D409" s="124"/>
    </row>
    <row r="410" spans="1:4" ht="28.5" customHeight="1">
      <c r="A410" s="124"/>
      <c r="B410" s="41"/>
      <c r="C410" s="124"/>
      <c r="D410" s="124"/>
    </row>
    <row r="411" spans="1:4" ht="28.5" customHeight="1">
      <c r="A411" s="124"/>
      <c r="B411" s="41"/>
      <c r="C411" s="124"/>
      <c r="D411" s="124"/>
    </row>
    <row r="412" spans="1:4" ht="28.5" customHeight="1">
      <c r="A412" s="124"/>
      <c r="B412" s="41"/>
      <c r="C412" s="124"/>
      <c r="D412" s="124"/>
    </row>
    <row r="413" spans="1:4" ht="28.5" customHeight="1">
      <c r="A413" s="124"/>
      <c r="B413" s="41"/>
      <c r="C413" s="124"/>
      <c r="D413" s="124"/>
    </row>
    <row r="414" spans="1:4" ht="28.5" customHeight="1">
      <c r="A414" s="124"/>
      <c r="B414" s="41"/>
      <c r="C414" s="124"/>
      <c r="D414" s="124"/>
    </row>
    <row r="415" spans="1:4" ht="28.5" customHeight="1">
      <c r="A415" s="124"/>
      <c r="B415" s="41"/>
      <c r="C415" s="124"/>
      <c r="D415" s="124"/>
    </row>
    <row r="416" spans="1:4" ht="28.5" customHeight="1">
      <c r="A416" s="124"/>
      <c r="B416" s="41"/>
      <c r="C416" s="124"/>
      <c r="D416" s="124"/>
    </row>
    <row r="417" spans="1:4" ht="28.5" customHeight="1">
      <c r="A417" s="124"/>
      <c r="B417" s="41"/>
      <c r="C417" s="124"/>
      <c r="D417" s="124"/>
    </row>
    <row r="418" spans="1:4" ht="28.5" customHeight="1">
      <c r="A418" s="124"/>
      <c r="B418" s="41"/>
      <c r="C418" s="124"/>
      <c r="D418" s="124"/>
    </row>
    <row r="419" spans="1:4" ht="28.5" customHeight="1">
      <c r="A419" s="124"/>
      <c r="B419" s="41"/>
      <c r="C419" s="124"/>
      <c r="D419" s="124"/>
    </row>
    <row r="420" spans="1:4" ht="28.5" customHeight="1">
      <c r="A420" s="124"/>
      <c r="B420" s="41"/>
      <c r="C420" s="124"/>
      <c r="D420" s="124"/>
    </row>
    <row r="421" spans="1:4" ht="28.5" customHeight="1">
      <c r="A421" s="124"/>
      <c r="B421" s="41"/>
      <c r="C421" s="124"/>
      <c r="D421" s="124"/>
    </row>
    <row r="422" spans="1:4" ht="28.5" customHeight="1">
      <c r="A422" s="124"/>
      <c r="B422" s="41"/>
      <c r="C422" s="124"/>
      <c r="D422" s="124"/>
    </row>
    <row r="423" spans="1:4" ht="28.5" customHeight="1">
      <c r="A423" s="124"/>
      <c r="B423" s="41"/>
      <c r="C423" s="124"/>
      <c r="D423" s="124"/>
    </row>
    <row r="424" spans="1:4" ht="28.5" customHeight="1">
      <c r="A424" s="124"/>
      <c r="B424" s="41"/>
      <c r="C424" s="124"/>
      <c r="D424" s="124"/>
    </row>
    <row r="425" spans="1:4" ht="28.5" customHeight="1">
      <c r="A425" s="124"/>
      <c r="B425" s="41"/>
      <c r="C425" s="124"/>
      <c r="D425" s="124"/>
    </row>
    <row r="426" spans="1:4" ht="28.5" customHeight="1">
      <c r="A426" s="124"/>
      <c r="B426" s="41"/>
      <c r="C426" s="124"/>
      <c r="D426" s="124"/>
    </row>
    <row r="427" spans="1:4" ht="28.5" customHeight="1">
      <c r="A427" s="124"/>
      <c r="B427" s="41"/>
      <c r="C427" s="124"/>
      <c r="D427" s="124"/>
    </row>
    <row r="428" spans="1:4" ht="28.5" customHeight="1">
      <c r="A428" s="124"/>
      <c r="B428" s="41"/>
      <c r="C428" s="124"/>
      <c r="D428" s="124"/>
    </row>
    <row r="429" spans="1:4" ht="28.5" customHeight="1">
      <c r="A429" s="124"/>
      <c r="B429" s="41"/>
      <c r="C429" s="124"/>
      <c r="D429" s="124"/>
    </row>
    <row r="430" spans="1:4" ht="28.5" customHeight="1">
      <c r="A430" s="124"/>
      <c r="B430" s="41"/>
      <c r="C430" s="124"/>
      <c r="D430" s="124"/>
    </row>
    <row r="431" spans="1:4" ht="28.5" customHeight="1">
      <c r="A431" s="124"/>
      <c r="B431" s="41"/>
      <c r="C431" s="124"/>
      <c r="D431" s="124"/>
    </row>
    <row r="432" spans="1:4" ht="28.5" customHeight="1">
      <c r="A432" s="124"/>
      <c r="B432" s="41"/>
      <c r="C432" s="124"/>
      <c r="D432" s="124"/>
    </row>
    <row r="433" spans="1:4" ht="28.5" customHeight="1">
      <c r="A433" s="124"/>
      <c r="B433" s="41"/>
      <c r="C433" s="124"/>
      <c r="D433" s="124"/>
    </row>
    <row r="434" spans="1:4" ht="28.5" customHeight="1">
      <c r="A434" s="124"/>
      <c r="B434" s="41"/>
      <c r="C434" s="124"/>
      <c r="D434" s="124"/>
    </row>
    <row r="435" spans="1:4" ht="28.5" customHeight="1">
      <c r="A435" s="124"/>
      <c r="B435" s="41"/>
      <c r="C435" s="124"/>
      <c r="D435" s="124"/>
    </row>
    <row r="436" spans="1:4" ht="28.5" customHeight="1">
      <c r="A436" s="124"/>
      <c r="B436" s="41"/>
      <c r="C436" s="124"/>
      <c r="D436" s="124"/>
    </row>
    <row r="437" spans="1:4" ht="28.5" customHeight="1">
      <c r="A437" s="124"/>
      <c r="B437" s="41"/>
      <c r="C437" s="124"/>
      <c r="D437" s="124"/>
    </row>
    <row r="438" spans="1:4" ht="28.5" customHeight="1">
      <c r="A438" s="124"/>
      <c r="B438" s="41"/>
      <c r="C438" s="124"/>
      <c r="D438" s="124"/>
    </row>
    <row r="439" spans="1:4" ht="28.5" customHeight="1">
      <c r="A439" s="124"/>
      <c r="B439" s="41"/>
      <c r="C439" s="124"/>
      <c r="D439" s="124"/>
    </row>
    <row r="440" spans="1:4" ht="28.5" customHeight="1">
      <c r="A440" s="124"/>
      <c r="B440" s="41"/>
      <c r="C440" s="124"/>
      <c r="D440" s="124"/>
    </row>
    <row r="441" spans="1:4" ht="28.5" customHeight="1">
      <c r="A441" s="124"/>
      <c r="B441" s="41"/>
      <c r="C441" s="124"/>
      <c r="D441" s="124"/>
    </row>
    <row r="442" spans="1:4" ht="28.5" customHeight="1">
      <c r="A442" s="124"/>
      <c r="B442" s="41"/>
      <c r="C442" s="124"/>
      <c r="D442" s="124"/>
    </row>
    <row r="443" spans="1:4" ht="28.5" customHeight="1">
      <c r="A443" s="124"/>
      <c r="B443" s="41"/>
      <c r="C443" s="124"/>
      <c r="D443" s="124"/>
    </row>
    <row r="444" spans="1:4" ht="28.5" customHeight="1">
      <c r="A444" s="124"/>
      <c r="B444" s="41"/>
      <c r="C444" s="124"/>
      <c r="D444" s="124"/>
    </row>
    <row r="445" spans="1:4" ht="28.5" customHeight="1">
      <c r="A445" s="124"/>
      <c r="B445" s="41"/>
      <c r="C445" s="124"/>
      <c r="D445" s="124"/>
    </row>
    <row r="446" spans="1:4" ht="28.5" customHeight="1">
      <c r="A446" s="124"/>
      <c r="B446" s="41"/>
      <c r="C446" s="124"/>
      <c r="D446" s="124"/>
    </row>
    <row r="447" spans="1:4" ht="28.5" customHeight="1">
      <c r="A447" s="124"/>
      <c r="B447" s="41"/>
      <c r="C447" s="124"/>
      <c r="D447" s="124"/>
    </row>
    <row r="448" spans="1:4" ht="28.5" customHeight="1">
      <c r="A448" s="124"/>
      <c r="B448" s="41"/>
      <c r="C448" s="124"/>
      <c r="D448" s="124"/>
    </row>
    <row r="449" spans="1:4" ht="28.5" customHeight="1">
      <c r="A449" s="124"/>
      <c r="B449" s="41"/>
      <c r="C449" s="124"/>
      <c r="D449" s="124"/>
    </row>
    <row r="450" spans="1:4" ht="28.5" customHeight="1">
      <c r="A450" s="124"/>
      <c r="B450" s="41"/>
      <c r="C450" s="124"/>
      <c r="D450" s="124"/>
    </row>
    <row r="451" spans="1:4" ht="28.5" customHeight="1">
      <c r="A451" s="124"/>
      <c r="B451" s="41"/>
      <c r="C451" s="124"/>
      <c r="D451" s="124"/>
    </row>
    <row r="452" spans="1:4" ht="28.5" customHeight="1">
      <c r="A452" s="124"/>
      <c r="B452" s="41"/>
      <c r="C452" s="124"/>
      <c r="D452" s="124"/>
    </row>
    <row r="453" spans="1:4" ht="28.5" customHeight="1">
      <c r="A453" s="124"/>
      <c r="B453" s="41"/>
      <c r="C453" s="124"/>
      <c r="D453" s="124"/>
    </row>
    <row r="454" spans="1:4" ht="28.5" customHeight="1">
      <c r="A454" s="124"/>
      <c r="B454" s="41"/>
      <c r="C454" s="124"/>
      <c r="D454" s="124"/>
    </row>
    <row r="455" spans="1:4" ht="28.5" customHeight="1">
      <c r="A455" s="124"/>
      <c r="B455" s="41"/>
      <c r="C455" s="124"/>
      <c r="D455" s="124"/>
    </row>
    <row r="456" spans="1:4" ht="28.5" customHeight="1">
      <c r="A456" s="124"/>
      <c r="B456" s="41"/>
      <c r="C456" s="124"/>
      <c r="D456" s="124"/>
    </row>
    <row r="457" spans="1:4" ht="28.5" customHeight="1">
      <c r="A457" s="124"/>
      <c r="B457" s="41"/>
      <c r="C457" s="124"/>
      <c r="D457" s="124"/>
    </row>
    <row r="458" spans="1:4" ht="28.5" customHeight="1">
      <c r="A458" s="124"/>
      <c r="B458" s="41"/>
      <c r="C458" s="124"/>
      <c r="D458" s="124"/>
    </row>
    <row r="459" spans="1:4" ht="28.5" customHeight="1">
      <c r="A459" s="124"/>
      <c r="B459" s="41"/>
      <c r="C459" s="124"/>
      <c r="D459" s="124"/>
    </row>
    <row r="460" spans="1:4" ht="28.5" customHeight="1">
      <c r="A460" s="124"/>
      <c r="B460" s="41"/>
      <c r="C460" s="124"/>
      <c r="D460" s="124"/>
    </row>
    <row r="461" spans="1:4" ht="28.5" customHeight="1">
      <c r="A461" s="124"/>
      <c r="B461" s="41"/>
      <c r="C461" s="124"/>
      <c r="D461" s="124"/>
    </row>
    <row r="462" spans="1:4" ht="28.5" customHeight="1">
      <c r="A462" s="124"/>
      <c r="B462" s="41"/>
      <c r="C462" s="124"/>
      <c r="D462" s="124"/>
    </row>
    <row r="463" spans="1:4" ht="28.5" customHeight="1">
      <c r="A463" s="124"/>
      <c r="B463" s="41"/>
      <c r="C463" s="124"/>
      <c r="D463" s="124"/>
    </row>
    <row r="464" spans="1:4" ht="28.5" customHeight="1">
      <c r="A464" s="124"/>
      <c r="B464" s="41"/>
      <c r="C464" s="124"/>
      <c r="D464" s="124"/>
    </row>
    <row r="465" spans="1:4" ht="28.5" customHeight="1">
      <c r="A465" s="124"/>
      <c r="B465" s="41"/>
      <c r="C465" s="124"/>
      <c r="D465" s="124"/>
    </row>
    <row r="466" spans="1:4" ht="28.5" customHeight="1">
      <c r="A466" s="124"/>
      <c r="B466" s="41"/>
      <c r="C466" s="124"/>
      <c r="D466" s="124"/>
    </row>
    <row r="467" spans="1:4" ht="28.5" customHeight="1">
      <c r="A467" s="124"/>
      <c r="B467" s="41"/>
      <c r="C467" s="124"/>
      <c r="D467" s="124"/>
    </row>
    <row r="468" spans="1:4" ht="28.5" customHeight="1">
      <c r="A468" s="124"/>
      <c r="B468" s="41"/>
      <c r="C468" s="124"/>
      <c r="D468" s="124"/>
    </row>
    <row r="469" spans="1:4" ht="28.5" customHeight="1">
      <c r="A469" s="124"/>
      <c r="B469" s="41"/>
      <c r="C469" s="124"/>
      <c r="D469" s="124"/>
    </row>
    <row r="470" spans="1:4" ht="28.5" customHeight="1">
      <c r="A470" s="124"/>
      <c r="B470" s="41"/>
      <c r="C470" s="124"/>
      <c r="D470" s="124"/>
    </row>
    <row r="471" spans="1:4" ht="28.5" customHeight="1">
      <c r="A471" s="124"/>
      <c r="B471" s="41"/>
      <c r="C471" s="124"/>
      <c r="D471" s="124"/>
    </row>
    <row r="472" spans="1:4" ht="28.5" customHeight="1">
      <c r="A472" s="124"/>
      <c r="B472" s="41"/>
      <c r="C472" s="124"/>
      <c r="D472" s="124"/>
    </row>
    <row r="473" spans="1:4" ht="28.5" customHeight="1">
      <c r="A473" s="124"/>
      <c r="B473" s="41"/>
      <c r="C473" s="124"/>
      <c r="D473" s="124"/>
    </row>
    <row r="474" spans="1:4" ht="28.5" customHeight="1">
      <c r="A474" s="124"/>
      <c r="B474" s="41"/>
      <c r="C474" s="124"/>
      <c r="D474" s="124"/>
    </row>
    <row r="475" spans="1:4" ht="28.5" customHeight="1">
      <c r="A475" s="124"/>
      <c r="B475" s="41"/>
      <c r="C475" s="124"/>
      <c r="D475" s="124"/>
    </row>
    <row r="476" spans="1:4" ht="28.5" customHeight="1">
      <c r="A476" s="124"/>
      <c r="B476" s="41"/>
      <c r="C476" s="124"/>
      <c r="D476" s="124"/>
    </row>
    <row r="477" spans="1:4" ht="28.5" customHeight="1">
      <c r="A477" s="124"/>
      <c r="B477" s="41"/>
      <c r="C477" s="124"/>
      <c r="D477" s="124"/>
    </row>
    <row r="478" spans="1:4" ht="28.5" customHeight="1">
      <c r="A478" s="124"/>
      <c r="B478" s="41"/>
      <c r="C478" s="124"/>
      <c r="D478" s="124"/>
    </row>
    <row r="479" spans="1:4" ht="28.5" customHeight="1">
      <c r="A479" s="124"/>
      <c r="B479" s="41"/>
      <c r="C479" s="124"/>
      <c r="D479" s="124"/>
    </row>
    <row r="480" spans="1:4" ht="28.5" customHeight="1">
      <c r="A480" s="124"/>
      <c r="B480" s="41"/>
      <c r="C480" s="124"/>
      <c r="D480" s="124"/>
    </row>
    <row r="481" spans="1:4" ht="28.5" customHeight="1">
      <c r="A481" s="124"/>
      <c r="B481" s="41"/>
      <c r="C481" s="124"/>
      <c r="D481" s="124"/>
    </row>
    <row r="482" spans="1:4" ht="28.5" customHeight="1">
      <c r="A482" s="124"/>
      <c r="B482" s="41"/>
      <c r="C482" s="124"/>
      <c r="D482" s="124"/>
    </row>
    <row r="483" spans="1:4" ht="28.5" customHeight="1">
      <c r="A483" s="124"/>
      <c r="B483" s="41"/>
      <c r="C483" s="124"/>
      <c r="D483" s="124"/>
    </row>
    <row r="484" spans="1:4" ht="28.5" customHeight="1">
      <c r="A484" s="124"/>
      <c r="B484" s="41"/>
      <c r="C484" s="124"/>
      <c r="D484" s="124"/>
    </row>
    <row r="485" spans="1:4" ht="28.5" customHeight="1">
      <c r="A485" s="124"/>
      <c r="B485" s="41"/>
      <c r="C485" s="124"/>
      <c r="D485" s="124"/>
    </row>
    <row r="486" spans="1:4" ht="28.5" customHeight="1">
      <c r="A486" s="124"/>
      <c r="B486" s="41"/>
      <c r="C486" s="124"/>
      <c r="D486" s="124"/>
    </row>
    <row r="487" spans="1:4" ht="28.5" customHeight="1">
      <c r="A487" s="124"/>
      <c r="B487" s="41"/>
      <c r="C487" s="124"/>
      <c r="D487" s="124"/>
    </row>
    <row r="488" spans="1:4" ht="28.5" customHeight="1">
      <c r="A488" s="124"/>
      <c r="B488" s="41"/>
      <c r="C488" s="124"/>
      <c r="D488" s="124"/>
    </row>
    <row r="489" spans="1:4" ht="28.5" customHeight="1">
      <c r="A489" s="124"/>
      <c r="B489" s="41"/>
      <c r="C489" s="124"/>
      <c r="D489" s="124"/>
    </row>
    <row r="490" spans="1:4" ht="28.5" customHeight="1">
      <c r="A490" s="124"/>
      <c r="B490" s="41"/>
      <c r="C490" s="124"/>
      <c r="D490" s="124"/>
    </row>
    <row r="491" spans="1:4" ht="28.5" customHeight="1">
      <c r="A491" s="124"/>
      <c r="B491" s="41"/>
      <c r="C491" s="124"/>
      <c r="D491" s="124"/>
    </row>
    <row r="492" spans="1:4" ht="28.5" customHeight="1">
      <c r="A492" s="124"/>
      <c r="B492" s="41"/>
      <c r="C492" s="124"/>
      <c r="D492" s="124"/>
    </row>
    <row r="493" spans="1:4" ht="28.5" customHeight="1">
      <c r="A493" s="124"/>
      <c r="B493" s="41"/>
      <c r="C493" s="124"/>
      <c r="D493" s="124"/>
    </row>
    <row r="494" spans="1:4" ht="28.5" customHeight="1">
      <c r="A494" s="124"/>
      <c r="B494" s="41"/>
      <c r="C494" s="124"/>
      <c r="D494" s="124"/>
    </row>
    <row r="495" spans="1:4" ht="28.5" customHeight="1">
      <c r="A495" s="124"/>
      <c r="B495" s="41"/>
      <c r="C495" s="124"/>
      <c r="D495" s="124"/>
    </row>
    <row r="496" spans="1:4" ht="28.5" customHeight="1">
      <c r="A496" s="124"/>
      <c r="B496" s="41"/>
      <c r="C496" s="124"/>
      <c r="D496" s="124"/>
    </row>
    <row r="497" spans="1:4" ht="28.5" customHeight="1">
      <c r="A497" s="124"/>
      <c r="B497" s="41"/>
      <c r="C497" s="124"/>
      <c r="D497" s="124"/>
    </row>
    <row r="498" spans="1:4" ht="28.5" customHeight="1">
      <c r="A498" s="124"/>
      <c r="B498" s="41"/>
      <c r="C498" s="124"/>
      <c r="D498" s="124"/>
    </row>
    <row r="499" spans="1:4" ht="28.5" customHeight="1">
      <c r="A499" s="124"/>
      <c r="B499" s="41"/>
      <c r="C499" s="124"/>
      <c r="D499" s="124"/>
    </row>
    <row r="500" spans="1:4" ht="28.5" customHeight="1">
      <c r="A500" s="124"/>
      <c r="B500" s="41"/>
      <c r="C500" s="124"/>
      <c r="D500" s="124"/>
    </row>
    <row r="501" spans="1:4" ht="28.5" customHeight="1">
      <c r="A501" s="124"/>
      <c r="B501" s="41"/>
      <c r="C501" s="124"/>
      <c r="D501" s="124"/>
    </row>
    <row r="502" spans="1:4" ht="28.5" customHeight="1">
      <c r="A502" s="124"/>
      <c r="B502" s="41"/>
      <c r="C502" s="124"/>
      <c r="D502" s="124"/>
    </row>
    <row r="503" spans="1:4" ht="28.5" customHeight="1">
      <c r="A503" s="124"/>
      <c r="B503" s="41"/>
      <c r="C503" s="124"/>
      <c r="D503" s="124"/>
    </row>
    <row r="504" spans="1:4" ht="28.5" customHeight="1">
      <c r="A504" s="124"/>
      <c r="B504" s="41"/>
      <c r="C504" s="124"/>
      <c r="D504" s="124"/>
    </row>
    <row r="505" spans="1:4" ht="28.5" customHeight="1">
      <c r="A505" s="124"/>
      <c r="B505" s="41"/>
      <c r="C505" s="124"/>
      <c r="D505" s="124"/>
    </row>
    <row r="506" spans="1:4" ht="28.5" customHeight="1">
      <c r="A506" s="124"/>
      <c r="B506" s="41"/>
      <c r="C506" s="124"/>
      <c r="D506" s="124"/>
    </row>
    <row r="507" spans="1:4" ht="28.5" customHeight="1">
      <c r="A507" s="124"/>
      <c r="B507" s="41"/>
      <c r="C507" s="124"/>
      <c r="D507" s="124"/>
    </row>
    <row r="508" spans="1:4" ht="28.5" customHeight="1">
      <c r="A508" s="124"/>
      <c r="B508" s="41"/>
      <c r="C508" s="124"/>
      <c r="D508" s="124"/>
    </row>
    <row r="509" spans="1:4" ht="28.5" customHeight="1">
      <c r="A509" s="124"/>
      <c r="B509" s="41"/>
      <c r="C509" s="124"/>
      <c r="D509" s="124"/>
    </row>
    <row r="510" spans="1:4" ht="28.5" customHeight="1">
      <c r="A510" s="124"/>
      <c r="B510" s="41"/>
      <c r="C510" s="124"/>
      <c r="D510" s="124"/>
    </row>
    <row r="511" spans="1:4" ht="28.5" customHeight="1">
      <c r="A511" s="124"/>
      <c r="B511" s="41"/>
      <c r="C511" s="124"/>
      <c r="D511" s="124"/>
    </row>
    <row r="512" spans="1:4" ht="28.5" customHeight="1">
      <c r="A512" s="124"/>
      <c r="B512" s="41"/>
      <c r="C512" s="124"/>
      <c r="D512" s="124"/>
    </row>
    <row r="513" spans="1:4" ht="28.5" customHeight="1">
      <c r="A513" s="124"/>
      <c r="B513" s="41"/>
      <c r="C513" s="124"/>
      <c r="D513" s="124"/>
    </row>
    <row r="514" spans="1:4" ht="28.5" customHeight="1">
      <c r="A514" s="124"/>
      <c r="B514" s="41"/>
      <c r="C514" s="124"/>
      <c r="D514" s="124"/>
    </row>
    <row r="515" spans="1:4" ht="28.5" customHeight="1">
      <c r="A515" s="124"/>
      <c r="B515" s="41"/>
      <c r="C515" s="124"/>
      <c r="D515" s="124"/>
    </row>
    <row r="516" spans="1:4" ht="28.5" customHeight="1">
      <c r="A516" s="124"/>
      <c r="B516" s="41"/>
      <c r="C516" s="124"/>
      <c r="D516" s="124"/>
    </row>
    <row r="517" spans="1:4" ht="28.5" customHeight="1">
      <c r="A517" s="124"/>
      <c r="B517" s="41"/>
      <c r="C517" s="124"/>
      <c r="D517" s="124"/>
    </row>
    <row r="518" spans="1:4" ht="28.5" customHeight="1">
      <c r="A518" s="124"/>
      <c r="B518" s="41"/>
      <c r="C518" s="124"/>
      <c r="D518" s="124"/>
    </row>
    <row r="519" spans="1:4" ht="28.5" customHeight="1">
      <c r="A519" s="124"/>
      <c r="B519" s="41"/>
      <c r="C519" s="124"/>
      <c r="D519" s="124"/>
    </row>
    <row r="520" spans="1:4" ht="28.5" customHeight="1">
      <c r="A520" s="124"/>
      <c r="B520" s="41"/>
      <c r="C520" s="124"/>
      <c r="D520" s="124"/>
    </row>
    <row r="521" spans="1:4" ht="28.5" customHeight="1">
      <c r="A521" s="124"/>
      <c r="B521" s="41"/>
      <c r="C521" s="124"/>
      <c r="D521" s="124"/>
    </row>
    <row r="522" spans="1:4" ht="28.5" customHeight="1">
      <c r="A522" s="124"/>
      <c r="B522" s="41"/>
      <c r="C522" s="124"/>
      <c r="D522" s="124"/>
    </row>
    <row r="523" spans="1:4" ht="28.5" customHeight="1">
      <c r="A523" s="124"/>
      <c r="B523" s="41"/>
      <c r="C523" s="124"/>
      <c r="D523" s="124"/>
    </row>
    <row r="524" spans="1:4" ht="28.5" customHeight="1">
      <c r="A524" s="124"/>
      <c r="B524" s="41"/>
      <c r="C524" s="124"/>
      <c r="D524" s="124"/>
    </row>
    <row r="525" spans="1:4" ht="28.5" customHeight="1">
      <c r="A525" s="124"/>
      <c r="B525" s="41"/>
      <c r="C525" s="124"/>
      <c r="D525" s="124"/>
    </row>
    <row r="526" spans="1:4" ht="28.5" customHeight="1">
      <c r="A526" s="124"/>
      <c r="B526" s="41"/>
      <c r="C526" s="124"/>
      <c r="D526" s="124"/>
    </row>
    <row r="527" spans="1:4" ht="28.5" customHeight="1">
      <c r="A527" s="124"/>
      <c r="B527" s="41"/>
      <c r="C527" s="124"/>
      <c r="D527" s="124"/>
    </row>
    <row r="528" spans="1:4" ht="28.5" customHeight="1">
      <c r="A528" s="124"/>
      <c r="B528" s="41"/>
      <c r="C528" s="124"/>
      <c r="D528" s="124"/>
    </row>
    <row r="529" spans="1:4" ht="28.5" customHeight="1">
      <c r="A529" s="124"/>
      <c r="B529" s="41"/>
      <c r="C529" s="124"/>
      <c r="D529" s="124"/>
    </row>
    <row r="530" spans="1:4" ht="28.5" customHeight="1">
      <c r="A530" s="124"/>
      <c r="B530" s="41"/>
      <c r="C530" s="124"/>
      <c r="D530" s="124"/>
    </row>
    <row r="531" spans="1:4" ht="28.5" customHeight="1">
      <c r="A531" s="124"/>
      <c r="B531" s="41"/>
      <c r="C531" s="124"/>
      <c r="D531" s="124"/>
    </row>
    <row r="532" spans="1:4" ht="28.5" customHeight="1">
      <c r="A532" s="124"/>
      <c r="B532" s="41"/>
      <c r="C532" s="124"/>
      <c r="D532" s="124"/>
    </row>
    <row r="533" spans="1:4" ht="28.5" customHeight="1">
      <c r="A533" s="124"/>
      <c r="B533" s="41"/>
      <c r="C533" s="124"/>
      <c r="D533" s="124"/>
    </row>
    <row r="534" spans="1:4" ht="28.5" customHeight="1">
      <c r="A534" s="124"/>
      <c r="B534" s="41"/>
      <c r="C534" s="124"/>
      <c r="D534" s="124"/>
    </row>
    <row r="535" spans="1:4" ht="28.5" customHeight="1">
      <c r="A535" s="124"/>
      <c r="B535" s="41"/>
      <c r="C535" s="124"/>
      <c r="D535" s="124"/>
    </row>
    <row r="536" spans="1:4" ht="28.5" customHeight="1">
      <c r="A536" s="124"/>
      <c r="B536" s="41"/>
      <c r="C536" s="124"/>
      <c r="D536" s="124"/>
    </row>
    <row r="537" spans="1:4" ht="28.5" customHeight="1">
      <c r="A537" s="124"/>
      <c r="B537" s="41"/>
      <c r="C537" s="124"/>
      <c r="D537" s="124"/>
    </row>
    <row r="538" spans="1:4" ht="28.5" customHeight="1">
      <c r="A538" s="124"/>
      <c r="B538" s="41"/>
      <c r="C538" s="124"/>
      <c r="D538" s="124"/>
    </row>
    <row r="539" spans="1:4" ht="28.5" customHeight="1">
      <c r="A539" s="124"/>
      <c r="B539" s="41"/>
      <c r="C539" s="124"/>
      <c r="D539" s="124"/>
    </row>
    <row r="540" spans="1:4" ht="28.5" customHeight="1">
      <c r="A540" s="124"/>
      <c r="B540" s="41"/>
      <c r="C540" s="124"/>
      <c r="D540" s="124"/>
    </row>
    <row r="541" spans="1:4" ht="28.5" customHeight="1">
      <c r="A541" s="124"/>
      <c r="B541" s="41"/>
      <c r="C541" s="124"/>
      <c r="D541" s="124"/>
    </row>
    <row r="542" spans="1:4" ht="28.5" customHeight="1">
      <c r="A542" s="124"/>
      <c r="B542" s="41"/>
      <c r="C542" s="124"/>
      <c r="D542" s="124"/>
    </row>
    <row r="543" spans="1:4" ht="28.5" customHeight="1">
      <c r="A543" s="124"/>
      <c r="B543" s="41"/>
      <c r="C543" s="124"/>
      <c r="D543" s="124"/>
    </row>
    <row r="544" spans="1:4" ht="28.5" customHeight="1">
      <c r="A544" s="124"/>
      <c r="B544" s="41"/>
      <c r="C544" s="124"/>
      <c r="D544" s="124"/>
    </row>
    <row r="545" spans="1:4" ht="28.5" customHeight="1">
      <c r="A545" s="124"/>
      <c r="B545" s="41"/>
      <c r="C545" s="124"/>
      <c r="D545" s="124"/>
    </row>
    <row r="546" spans="1:4" ht="28.5" customHeight="1">
      <c r="A546" s="124"/>
      <c r="B546" s="41"/>
      <c r="C546" s="124"/>
      <c r="D546" s="124"/>
    </row>
    <row r="547" spans="1:4" ht="28.5" customHeight="1">
      <c r="A547" s="124"/>
      <c r="B547" s="41"/>
      <c r="C547" s="124"/>
      <c r="D547" s="124"/>
    </row>
    <row r="548" spans="1:4" ht="28.5" customHeight="1">
      <c r="A548" s="124"/>
      <c r="B548" s="41"/>
      <c r="C548" s="124"/>
      <c r="D548" s="124"/>
    </row>
    <row r="549" spans="1:4" ht="28.5" customHeight="1">
      <c r="A549" s="124"/>
      <c r="B549" s="41"/>
      <c r="C549" s="124"/>
      <c r="D549" s="124"/>
    </row>
    <row r="550" spans="1:4" ht="28.5" customHeight="1">
      <c r="A550" s="124"/>
      <c r="B550" s="41"/>
      <c r="C550" s="124"/>
      <c r="D550" s="124"/>
    </row>
    <row r="551" spans="1:4" ht="28.5" customHeight="1">
      <c r="A551" s="124"/>
      <c r="B551" s="41"/>
      <c r="C551" s="124"/>
      <c r="D551" s="124"/>
    </row>
    <row r="552" spans="1:4" ht="28.5" customHeight="1">
      <c r="A552" s="124"/>
      <c r="B552" s="41"/>
      <c r="C552" s="124"/>
      <c r="D552" s="124"/>
    </row>
    <row r="553" spans="1:4" ht="28.5" customHeight="1">
      <c r="A553" s="124"/>
      <c r="B553" s="41"/>
      <c r="C553" s="124"/>
      <c r="D553" s="124"/>
    </row>
    <row r="554" spans="1:4" ht="28.5" customHeight="1">
      <c r="A554" s="124"/>
      <c r="B554" s="41"/>
      <c r="C554" s="124"/>
      <c r="D554" s="124"/>
    </row>
    <row r="555" spans="1:4" ht="28.5" customHeight="1">
      <c r="A555" s="124"/>
      <c r="B555" s="41"/>
      <c r="C555" s="124"/>
      <c r="D555" s="124"/>
    </row>
    <row r="556" spans="1:4" ht="28.5" customHeight="1">
      <c r="A556" s="124"/>
      <c r="B556" s="41"/>
      <c r="C556" s="124"/>
      <c r="D556" s="124"/>
    </row>
    <row r="557" spans="1:4" ht="28.5" customHeight="1">
      <c r="A557" s="124"/>
      <c r="B557" s="41"/>
      <c r="C557" s="124"/>
      <c r="D557" s="124"/>
    </row>
    <row r="558" spans="1:4" ht="28.5" customHeight="1">
      <c r="A558" s="124"/>
      <c r="B558" s="41"/>
      <c r="C558" s="124"/>
      <c r="D558" s="124"/>
    </row>
    <row r="559" spans="1:4" ht="28.5" customHeight="1">
      <c r="A559" s="124"/>
      <c r="B559" s="41"/>
      <c r="C559" s="124"/>
      <c r="D559" s="124"/>
    </row>
    <row r="560" spans="1:4" ht="28.5" customHeight="1">
      <c r="A560" s="124"/>
      <c r="B560" s="41"/>
      <c r="C560" s="124"/>
      <c r="D560" s="124"/>
    </row>
    <row r="561" spans="1:4" ht="28.5" customHeight="1">
      <c r="A561" s="124"/>
      <c r="B561" s="41"/>
      <c r="C561" s="124"/>
      <c r="D561" s="124"/>
    </row>
    <row r="562" spans="1:4" ht="28.5" customHeight="1">
      <c r="A562" s="124"/>
      <c r="B562" s="41"/>
      <c r="C562" s="124"/>
      <c r="D562" s="124"/>
    </row>
    <row r="563" spans="1:4" ht="28.5" customHeight="1">
      <c r="A563" s="124"/>
      <c r="B563" s="41"/>
      <c r="C563" s="124"/>
      <c r="D563" s="124"/>
    </row>
    <row r="564" spans="1:4" ht="28.5" customHeight="1">
      <c r="A564" s="124"/>
      <c r="B564" s="41"/>
      <c r="C564" s="124"/>
      <c r="D564" s="124"/>
    </row>
    <row r="565" spans="1:4" ht="28.5" customHeight="1">
      <c r="A565" s="124"/>
      <c r="B565" s="41"/>
      <c r="C565" s="124"/>
      <c r="D565" s="124"/>
    </row>
    <row r="566" spans="1:4" ht="28.5" customHeight="1">
      <c r="A566" s="124"/>
      <c r="B566" s="41"/>
      <c r="C566" s="124"/>
      <c r="D566" s="124"/>
    </row>
    <row r="567" spans="1:4" ht="28.5" customHeight="1">
      <c r="A567" s="124"/>
      <c r="B567" s="41"/>
      <c r="C567" s="124"/>
      <c r="D567" s="124"/>
    </row>
    <row r="568" spans="1:4" ht="28.5" customHeight="1">
      <c r="A568" s="124"/>
      <c r="B568" s="41"/>
      <c r="C568" s="124"/>
      <c r="D568" s="124"/>
    </row>
    <row r="569" spans="1:4" ht="28.5" customHeight="1">
      <c r="A569" s="124"/>
      <c r="B569" s="41"/>
      <c r="C569" s="124"/>
      <c r="D569" s="124"/>
    </row>
    <row r="570" spans="1:4" ht="28.5" customHeight="1">
      <c r="A570" s="124"/>
      <c r="B570" s="41"/>
      <c r="C570" s="124"/>
      <c r="D570" s="124"/>
    </row>
    <row r="571" spans="1:4" ht="28.5" customHeight="1">
      <c r="A571" s="124"/>
      <c r="B571" s="41"/>
      <c r="C571" s="124"/>
      <c r="D571" s="124"/>
    </row>
    <row r="572" spans="1:4" ht="28.5" customHeight="1">
      <c r="A572" s="124"/>
      <c r="B572" s="41"/>
      <c r="C572" s="124"/>
      <c r="D572" s="124"/>
    </row>
    <row r="573" spans="1:4" ht="28.5" customHeight="1">
      <c r="A573" s="124"/>
      <c r="B573" s="41"/>
      <c r="C573" s="124"/>
      <c r="D573" s="124"/>
    </row>
    <row r="574" spans="1:4" ht="28.5" customHeight="1">
      <c r="A574" s="124"/>
      <c r="B574" s="41"/>
      <c r="C574" s="124"/>
      <c r="D574" s="124"/>
    </row>
    <row r="575" spans="1:4" ht="28.5" customHeight="1">
      <c r="A575" s="124"/>
      <c r="B575" s="41"/>
      <c r="C575" s="124"/>
      <c r="D575" s="124"/>
    </row>
    <row r="576" spans="1:4" ht="28.5" customHeight="1">
      <c r="A576" s="124"/>
      <c r="B576" s="41"/>
      <c r="C576" s="124"/>
      <c r="D576" s="124"/>
    </row>
    <row r="577" spans="1:4" ht="28.5" customHeight="1">
      <c r="A577" s="124"/>
      <c r="B577" s="41"/>
      <c r="C577" s="124"/>
      <c r="D577" s="124"/>
    </row>
    <row r="578" spans="1:4" ht="28.5" customHeight="1">
      <c r="A578" s="124"/>
      <c r="B578" s="41"/>
      <c r="C578" s="124"/>
      <c r="D578" s="124"/>
    </row>
    <row r="579" spans="1:4" ht="28.5" customHeight="1">
      <c r="A579" s="124"/>
      <c r="B579" s="41"/>
      <c r="C579" s="124"/>
      <c r="D579" s="124"/>
    </row>
    <row r="580" spans="1:4" ht="28.5" customHeight="1">
      <c r="A580" s="124"/>
      <c r="B580" s="41"/>
      <c r="C580" s="124"/>
      <c r="D580" s="124"/>
    </row>
    <row r="581" spans="1:4" ht="28.5" customHeight="1">
      <c r="A581" s="124"/>
      <c r="B581" s="41"/>
      <c r="C581" s="124"/>
      <c r="D581" s="124"/>
    </row>
    <row r="582" spans="1:4" ht="28.5" customHeight="1">
      <c r="A582" s="124"/>
      <c r="B582" s="41"/>
      <c r="C582" s="124"/>
      <c r="D582" s="124"/>
    </row>
    <row r="583" spans="1:4" ht="28.5" customHeight="1">
      <c r="A583" s="124"/>
      <c r="B583" s="41"/>
      <c r="C583" s="124"/>
      <c r="D583" s="124"/>
    </row>
    <row r="584" spans="1:4" ht="28.5" customHeight="1">
      <c r="A584" s="124"/>
      <c r="B584" s="41"/>
      <c r="C584" s="124"/>
      <c r="D584" s="124"/>
    </row>
    <row r="585" spans="1:4" ht="28.5" customHeight="1">
      <c r="A585" s="124"/>
      <c r="B585" s="41"/>
      <c r="C585" s="124"/>
      <c r="D585" s="124"/>
    </row>
    <row r="586" spans="1:4" ht="28.5" customHeight="1">
      <c r="A586" s="124"/>
      <c r="B586" s="41"/>
      <c r="C586" s="124"/>
      <c r="D586" s="124"/>
    </row>
    <row r="587" spans="1:4" ht="28.5" customHeight="1">
      <c r="A587" s="124"/>
      <c r="B587" s="41"/>
      <c r="C587" s="124"/>
      <c r="D587" s="124"/>
    </row>
    <row r="588" spans="1:4" ht="28.5" customHeight="1">
      <c r="A588" s="124"/>
      <c r="B588" s="41"/>
      <c r="C588" s="124"/>
      <c r="D588" s="124"/>
    </row>
    <row r="589" spans="1:4" ht="28.5" customHeight="1">
      <c r="A589" s="124"/>
      <c r="B589" s="41"/>
      <c r="C589" s="124"/>
      <c r="D589" s="124"/>
    </row>
    <row r="590" spans="1:4" ht="28.5" customHeight="1">
      <c r="A590" s="124"/>
      <c r="B590" s="41"/>
      <c r="C590" s="124"/>
      <c r="D590" s="124"/>
    </row>
    <row r="591" spans="1:4" ht="28.5" customHeight="1">
      <c r="A591" s="124"/>
      <c r="B591" s="41"/>
      <c r="C591" s="124"/>
      <c r="D591" s="124"/>
    </row>
    <row r="592" spans="1:4" ht="28.5" customHeight="1">
      <c r="A592" s="124"/>
      <c r="B592" s="41"/>
      <c r="C592" s="124"/>
      <c r="D592" s="124"/>
    </row>
    <row r="593" spans="1:4" ht="28.5" customHeight="1">
      <c r="A593" s="124"/>
      <c r="B593" s="41"/>
      <c r="C593" s="124"/>
      <c r="D593" s="124"/>
    </row>
    <row r="594" spans="1:4" ht="28.5" customHeight="1">
      <c r="A594" s="124"/>
      <c r="B594" s="41"/>
      <c r="C594" s="124"/>
      <c r="D594" s="124"/>
    </row>
    <row r="595" spans="1:4" ht="28.5" customHeight="1">
      <c r="A595" s="124"/>
      <c r="B595" s="41"/>
      <c r="C595" s="124"/>
      <c r="D595" s="124"/>
    </row>
    <row r="596" spans="1:4" ht="28.5" customHeight="1">
      <c r="A596" s="124"/>
      <c r="B596" s="41"/>
      <c r="C596" s="124"/>
      <c r="D596" s="124"/>
    </row>
    <row r="597" spans="1:4" ht="28.5" customHeight="1">
      <c r="A597" s="124"/>
      <c r="B597" s="41"/>
      <c r="C597" s="124"/>
      <c r="D597" s="124"/>
    </row>
    <row r="598" spans="1:4" ht="28.5" customHeight="1">
      <c r="A598" s="124"/>
      <c r="B598" s="41"/>
      <c r="C598" s="124"/>
      <c r="D598" s="124"/>
    </row>
    <row r="599" spans="1:4" ht="28.5" customHeight="1">
      <c r="A599" s="124"/>
      <c r="B599" s="41"/>
      <c r="C599" s="124"/>
      <c r="D599" s="124"/>
    </row>
    <row r="600" spans="1:4" ht="28.5" customHeight="1">
      <c r="A600" s="124"/>
      <c r="B600" s="41"/>
      <c r="C600" s="124"/>
      <c r="D600" s="124"/>
    </row>
    <row r="601" spans="1:4" ht="28.5" customHeight="1">
      <c r="A601" s="124"/>
      <c r="B601" s="41"/>
      <c r="C601" s="124"/>
      <c r="D601" s="124"/>
    </row>
    <row r="602" spans="1:4" ht="28.5" customHeight="1">
      <c r="A602" s="124"/>
      <c r="B602" s="41"/>
      <c r="C602" s="124"/>
      <c r="D602" s="124"/>
    </row>
    <row r="603" spans="1:4" ht="28.5" customHeight="1">
      <c r="A603" s="124"/>
      <c r="B603" s="41"/>
      <c r="C603" s="124"/>
      <c r="D603" s="124"/>
    </row>
    <row r="604" spans="1:4" ht="28.5" customHeight="1">
      <c r="A604" s="124"/>
      <c r="B604" s="41"/>
      <c r="C604" s="124"/>
      <c r="D604" s="124"/>
    </row>
    <row r="605" spans="1:4" ht="28.5" customHeight="1">
      <c r="A605" s="124"/>
      <c r="B605" s="41"/>
      <c r="C605" s="124"/>
      <c r="D605" s="124"/>
    </row>
    <row r="606" spans="1:4" ht="28.5" customHeight="1">
      <c r="A606" s="124"/>
      <c r="B606" s="41"/>
      <c r="C606" s="124"/>
      <c r="D606" s="124"/>
    </row>
    <row r="607" spans="1:4" ht="28.5" customHeight="1">
      <c r="A607" s="124"/>
      <c r="B607" s="41"/>
      <c r="C607" s="124"/>
      <c r="D607" s="124"/>
    </row>
    <row r="608" spans="1:4" ht="28.5" customHeight="1">
      <c r="A608" s="124"/>
      <c r="B608" s="41"/>
      <c r="C608" s="124"/>
      <c r="D608" s="124"/>
    </row>
    <row r="609" spans="1:4" ht="28.5" customHeight="1">
      <c r="A609" s="124"/>
      <c r="B609" s="41"/>
      <c r="C609" s="124"/>
      <c r="D609" s="124"/>
    </row>
    <row r="610" spans="1:4" ht="28.5" customHeight="1">
      <c r="A610" s="124"/>
      <c r="B610" s="41"/>
      <c r="C610" s="124"/>
      <c r="D610" s="124"/>
    </row>
    <row r="611" spans="1:4" ht="28.5" customHeight="1">
      <c r="A611" s="124"/>
      <c r="B611" s="41"/>
      <c r="C611" s="124"/>
      <c r="D611" s="124"/>
    </row>
    <row r="612" spans="1:4" ht="28.5" customHeight="1">
      <c r="A612" s="124"/>
      <c r="B612" s="41"/>
      <c r="C612" s="124"/>
      <c r="D612" s="124"/>
    </row>
    <row r="613" spans="1:4" ht="28.5" customHeight="1">
      <c r="A613" s="124"/>
      <c r="B613" s="41"/>
      <c r="C613" s="124"/>
      <c r="D613" s="124"/>
    </row>
    <row r="614" spans="1:4" ht="28.5" customHeight="1">
      <c r="A614" s="124"/>
      <c r="B614" s="41"/>
      <c r="C614" s="124"/>
      <c r="D614" s="124"/>
    </row>
    <row r="615" spans="1:4" ht="28.5" customHeight="1">
      <c r="A615" s="124"/>
      <c r="B615" s="41"/>
      <c r="C615" s="124"/>
      <c r="D615" s="124"/>
    </row>
    <row r="616" spans="1:4" ht="28.5" customHeight="1">
      <c r="A616" s="124"/>
      <c r="B616" s="41"/>
      <c r="C616" s="124"/>
      <c r="D616" s="124"/>
    </row>
    <row r="617" spans="1:4" ht="28.5" customHeight="1">
      <c r="A617" s="124"/>
      <c r="B617" s="41"/>
      <c r="C617" s="124"/>
      <c r="D617" s="124"/>
    </row>
    <row r="618" spans="1:4" ht="28.5" customHeight="1">
      <c r="A618" s="124"/>
      <c r="B618" s="41"/>
      <c r="C618" s="124"/>
      <c r="D618" s="124"/>
    </row>
    <row r="619" spans="1:4" ht="28.5" customHeight="1">
      <c r="A619" s="124"/>
      <c r="B619" s="41"/>
      <c r="C619" s="124"/>
      <c r="D619" s="124"/>
    </row>
    <row r="620" spans="1:4" ht="28.5" customHeight="1">
      <c r="A620" s="124"/>
      <c r="B620" s="41"/>
      <c r="C620" s="124"/>
      <c r="D620" s="124"/>
    </row>
    <row r="621" spans="1:4" ht="28.5" customHeight="1">
      <c r="A621" s="124"/>
      <c r="B621" s="41"/>
      <c r="C621" s="124"/>
      <c r="D621" s="124"/>
    </row>
    <row r="622" spans="1:4" ht="28.5" customHeight="1">
      <c r="A622" s="124"/>
      <c r="B622" s="41"/>
      <c r="C622" s="124"/>
      <c r="D622" s="124"/>
    </row>
    <row r="623" spans="1:4" ht="28.5" customHeight="1">
      <c r="A623" s="124"/>
      <c r="B623" s="41"/>
      <c r="C623" s="124"/>
      <c r="D623" s="124"/>
    </row>
    <row r="624" spans="1:4" ht="28.5" customHeight="1">
      <c r="A624" s="124"/>
      <c r="B624" s="41"/>
      <c r="C624" s="124"/>
      <c r="D624" s="124"/>
    </row>
    <row r="625" spans="1:4" ht="28.5" customHeight="1">
      <c r="A625" s="124"/>
      <c r="B625" s="41"/>
      <c r="C625" s="124"/>
      <c r="D625" s="124"/>
    </row>
    <row r="626" spans="1:4" ht="28.5" customHeight="1">
      <c r="A626" s="124"/>
      <c r="B626" s="41"/>
      <c r="C626" s="124"/>
      <c r="D626" s="124"/>
    </row>
    <row r="627" spans="1:4" ht="28.5" customHeight="1">
      <c r="A627" s="124"/>
      <c r="B627" s="41"/>
      <c r="C627" s="124"/>
      <c r="D627" s="124"/>
    </row>
    <row r="628" spans="1:4" ht="28.5" customHeight="1">
      <c r="A628" s="124"/>
      <c r="B628" s="41"/>
      <c r="C628" s="124"/>
      <c r="D628" s="124"/>
    </row>
    <row r="629" spans="1:4" ht="28.5" customHeight="1">
      <c r="A629" s="124"/>
      <c r="B629" s="41"/>
      <c r="C629" s="124"/>
      <c r="D629" s="124"/>
    </row>
    <row r="630" spans="1:4" ht="28.5" customHeight="1">
      <c r="A630" s="124"/>
      <c r="B630" s="41"/>
      <c r="C630" s="124"/>
      <c r="D630" s="124"/>
    </row>
    <row r="631" spans="1:4" ht="28.5" customHeight="1">
      <c r="A631" s="124"/>
      <c r="B631" s="41"/>
      <c r="C631" s="124"/>
      <c r="D631" s="124"/>
    </row>
    <row r="632" spans="1:4" ht="28.5" customHeight="1">
      <c r="A632" s="124"/>
      <c r="B632" s="41"/>
      <c r="C632" s="124"/>
      <c r="D632" s="124"/>
    </row>
    <row r="633" spans="1:4" ht="28.5" customHeight="1">
      <c r="A633" s="124"/>
      <c r="B633" s="41"/>
      <c r="C633" s="124"/>
      <c r="D633" s="124"/>
    </row>
    <row r="634" spans="1:4" ht="28.5" customHeight="1">
      <c r="A634" s="124"/>
      <c r="B634" s="41"/>
      <c r="C634" s="124"/>
      <c r="D634" s="124"/>
    </row>
    <row r="635" spans="1:4" ht="28.5" customHeight="1">
      <c r="A635" s="124"/>
      <c r="B635" s="41"/>
      <c r="C635" s="124"/>
      <c r="D635" s="124"/>
    </row>
    <row r="636" spans="1:4" ht="28.5" customHeight="1">
      <c r="A636" s="124"/>
      <c r="B636" s="41"/>
      <c r="C636" s="124"/>
      <c r="D636" s="124"/>
    </row>
    <row r="637" spans="1:4" ht="28.5" customHeight="1">
      <c r="A637" s="124"/>
      <c r="B637" s="41"/>
      <c r="C637" s="124"/>
      <c r="D637" s="124"/>
    </row>
    <row r="638" spans="1:4" ht="28.5" customHeight="1">
      <c r="A638" s="124"/>
      <c r="B638" s="41"/>
      <c r="C638" s="124"/>
      <c r="D638" s="124"/>
    </row>
    <row r="639" spans="1:4" ht="28.5" customHeight="1">
      <c r="A639" s="124"/>
      <c r="B639" s="41"/>
      <c r="C639" s="124"/>
      <c r="D639" s="124"/>
    </row>
    <row r="640" spans="1:4" ht="28.5" customHeight="1">
      <c r="A640" s="124"/>
      <c r="B640" s="41"/>
      <c r="C640" s="124"/>
      <c r="D640" s="124"/>
    </row>
    <row r="641" spans="1:4" ht="28.5" customHeight="1">
      <c r="A641" s="124"/>
      <c r="B641" s="41"/>
      <c r="C641" s="124"/>
      <c r="D641" s="124"/>
    </row>
    <row r="642" spans="1:4" ht="28.5" customHeight="1">
      <c r="A642" s="124"/>
      <c r="B642" s="41"/>
      <c r="C642" s="124"/>
      <c r="D642" s="124"/>
    </row>
    <row r="643" spans="1:4" ht="28.5" customHeight="1">
      <c r="A643" s="124"/>
      <c r="B643" s="41"/>
      <c r="C643" s="124"/>
      <c r="D643" s="124"/>
    </row>
    <row r="644" spans="1:4" ht="28.5" customHeight="1">
      <c r="A644" s="124"/>
      <c r="B644" s="41"/>
      <c r="C644" s="124"/>
      <c r="D644" s="124"/>
    </row>
    <row r="645" spans="1:4" ht="28.5" customHeight="1">
      <c r="A645" s="124"/>
      <c r="B645" s="41"/>
      <c r="C645" s="124"/>
      <c r="D645" s="124"/>
    </row>
    <row r="646" spans="1:4" ht="28.5" customHeight="1">
      <c r="A646" s="124"/>
      <c r="B646" s="41"/>
      <c r="C646" s="124"/>
      <c r="D646" s="124"/>
    </row>
    <row r="647" spans="1:4" ht="28.5" customHeight="1">
      <c r="A647" s="124"/>
      <c r="B647" s="41"/>
      <c r="C647" s="124"/>
      <c r="D647" s="124"/>
    </row>
    <row r="648" spans="1:4" ht="28.5" customHeight="1">
      <c r="A648" s="124"/>
      <c r="B648" s="41"/>
      <c r="C648" s="124"/>
      <c r="D648" s="124"/>
    </row>
    <row r="649" spans="1:4" ht="28.5" customHeight="1">
      <c r="A649" s="124"/>
      <c r="B649" s="41"/>
      <c r="C649" s="124"/>
      <c r="D649" s="124"/>
    </row>
    <row r="650" spans="1:4" ht="28.5" customHeight="1">
      <c r="A650" s="124"/>
      <c r="B650" s="41"/>
      <c r="C650" s="124"/>
      <c r="D650" s="124"/>
    </row>
    <row r="651" spans="1:4" ht="28.5" customHeight="1">
      <c r="A651" s="124"/>
      <c r="B651" s="41"/>
      <c r="C651" s="124"/>
      <c r="D651" s="124"/>
    </row>
    <row r="652" spans="1:4" ht="28.5" customHeight="1">
      <c r="A652" s="124"/>
      <c r="B652" s="41"/>
      <c r="C652" s="124"/>
      <c r="D652" s="124"/>
    </row>
    <row r="653" spans="1:4" ht="28.5" customHeight="1">
      <c r="A653" s="124"/>
      <c r="B653" s="41"/>
      <c r="C653" s="124"/>
      <c r="D653" s="124"/>
    </row>
    <row r="654" spans="1:4" ht="28.5" customHeight="1">
      <c r="A654" s="124"/>
      <c r="B654" s="41"/>
      <c r="C654" s="124"/>
      <c r="D654" s="124"/>
    </row>
    <row r="655" spans="1:4" ht="28.5" customHeight="1">
      <c r="A655" s="124"/>
      <c r="B655" s="41"/>
      <c r="C655" s="124"/>
      <c r="D655" s="124"/>
    </row>
    <row r="656" spans="1:4" ht="28.5" customHeight="1">
      <c r="A656" s="124"/>
      <c r="B656" s="41"/>
      <c r="C656" s="124"/>
      <c r="D656" s="124"/>
    </row>
    <row r="657" spans="1:4" ht="28.5" customHeight="1">
      <c r="A657" s="124"/>
      <c r="B657" s="41"/>
      <c r="C657" s="124"/>
      <c r="D657" s="124"/>
    </row>
    <row r="658" spans="1:4" ht="28.5" customHeight="1">
      <c r="A658" s="124"/>
      <c r="B658" s="41"/>
      <c r="C658" s="124"/>
      <c r="D658" s="124"/>
    </row>
    <row r="659" spans="1:4" ht="28.5" customHeight="1">
      <c r="A659" s="124"/>
      <c r="B659" s="41"/>
      <c r="C659" s="124"/>
      <c r="D659" s="124"/>
    </row>
    <row r="660" spans="1:4" ht="28.5" customHeight="1">
      <c r="A660" s="124"/>
      <c r="B660" s="41"/>
      <c r="C660" s="124"/>
      <c r="D660" s="124"/>
    </row>
    <row r="661" spans="1:4" ht="28.5" customHeight="1">
      <c r="A661" s="124"/>
      <c r="B661" s="41"/>
      <c r="C661" s="124"/>
      <c r="D661" s="124"/>
    </row>
    <row r="662" spans="1:4" ht="28.5" customHeight="1">
      <c r="A662" s="124"/>
      <c r="B662" s="41"/>
      <c r="C662" s="124"/>
      <c r="D662" s="124"/>
    </row>
    <row r="663" spans="1:4" ht="28.5" customHeight="1">
      <c r="A663" s="124"/>
      <c r="B663" s="41"/>
      <c r="C663" s="124"/>
      <c r="D663" s="124"/>
    </row>
    <row r="664" spans="1:4" ht="28.5" customHeight="1">
      <c r="A664" s="124"/>
      <c r="B664" s="41"/>
      <c r="C664" s="124"/>
      <c r="D664" s="124"/>
    </row>
    <row r="665" spans="1:4" ht="28.5" customHeight="1">
      <c r="A665" s="124"/>
      <c r="B665" s="41"/>
      <c r="C665" s="124"/>
      <c r="D665" s="124"/>
    </row>
    <row r="666" spans="1:4" ht="28.5" customHeight="1">
      <c r="A666" s="124"/>
      <c r="B666" s="41"/>
      <c r="C666" s="124"/>
      <c r="D666" s="124"/>
    </row>
    <row r="667" spans="1:4" ht="28.5" customHeight="1">
      <c r="A667" s="124"/>
      <c r="B667" s="41"/>
      <c r="C667" s="124"/>
      <c r="D667" s="124"/>
    </row>
    <row r="668" spans="1:4" ht="28.5" customHeight="1">
      <c r="A668" s="124"/>
      <c r="B668" s="41"/>
      <c r="C668" s="124"/>
      <c r="D668" s="124"/>
    </row>
    <row r="669" spans="1:4" ht="28.5" customHeight="1">
      <c r="A669" s="124"/>
      <c r="B669" s="41"/>
      <c r="C669" s="124"/>
      <c r="D669" s="124"/>
    </row>
    <row r="670" spans="1:4" ht="28.5" customHeight="1">
      <c r="A670" s="124"/>
      <c r="B670" s="41"/>
      <c r="C670" s="124"/>
      <c r="D670" s="124"/>
    </row>
    <row r="671" spans="1:4" ht="28.5" customHeight="1">
      <c r="A671" s="124"/>
      <c r="B671" s="41"/>
      <c r="C671" s="124"/>
      <c r="D671" s="124"/>
    </row>
    <row r="672" spans="1:4" ht="28.5" customHeight="1">
      <c r="A672" s="124"/>
      <c r="B672" s="41"/>
      <c r="C672" s="124"/>
      <c r="D672" s="124"/>
    </row>
    <row r="673" spans="1:4" ht="28.5" customHeight="1">
      <c r="A673" s="124"/>
      <c r="B673" s="41"/>
      <c r="C673" s="124"/>
      <c r="D673" s="124"/>
    </row>
    <row r="674" spans="1:4" ht="28.5" customHeight="1">
      <c r="A674" s="124"/>
      <c r="B674" s="41"/>
      <c r="C674" s="124"/>
      <c r="D674" s="124"/>
    </row>
    <row r="675" spans="1:4" ht="28.5" customHeight="1">
      <c r="A675" s="124"/>
      <c r="B675" s="41"/>
      <c r="C675" s="124"/>
      <c r="D675" s="124"/>
    </row>
    <row r="676" spans="1:4" ht="28.5" customHeight="1">
      <c r="A676" s="124"/>
      <c r="B676" s="41"/>
      <c r="C676" s="124"/>
      <c r="D676" s="124"/>
    </row>
    <row r="677" spans="1:4" ht="28.5" customHeight="1">
      <c r="A677" s="124"/>
      <c r="B677" s="41"/>
      <c r="C677" s="124"/>
      <c r="D677" s="124"/>
    </row>
    <row r="678" spans="1:4" ht="28.5" customHeight="1">
      <c r="A678" s="124"/>
      <c r="B678" s="41"/>
      <c r="C678" s="124"/>
      <c r="D678" s="124"/>
    </row>
    <row r="679" spans="1:4" ht="28.5" customHeight="1">
      <c r="A679" s="124"/>
      <c r="B679" s="41"/>
      <c r="C679" s="124"/>
      <c r="D679" s="124"/>
    </row>
    <row r="680" spans="1:4" ht="28.5" customHeight="1">
      <c r="A680" s="124"/>
      <c r="B680" s="41"/>
      <c r="C680" s="124"/>
      <c r="D680" s="124"/>
    </row>
    <row r="681" spans="1:4" ht="28.5" customHeight="1">
      <c r="A681" s="124"/>
      <c r="B681" s="41"/>
      <c r="C681" s="124"/>
      <c r="D681" s="124"/>
    </row>
    <row r="682" spans="1:4" ht="28.5" customHeight="1">
      <c r="A682" s="124"/>
      <c r="B682" s="41"/>
      <c r="C682" s="124"/>
      <c r="D682" s="124"/>
    </row>
    <row r="683" spans="1:4" ht="28.5" customHeight="1">
      <c r="A683" s="124"/>
      <c r="B683" s="41"/>
      <c r="C683" s="124"/>
      <c r="D683" s="124"/>
    </row>
    <row r="684" spans="1:4" ht="28.5" customHeight="1">
      <c r="A684" s="124"/>
      <c r="B684" s="41"/>
      <c r="C684" s="124"/>
      <c r="D684" s="124"/>
    </row>
    <row r="685" spans="1:4" ht="28.5" customHeight="1">
      <c r="A685" s="124"/>
      <c r="B685" s="41"/>
      <c r="C685" s="124"/>
      <c r="D685" s="124"/>
    </row>
    <row r="686" spans="1:4" ht="28.5" customHeight="1">
      <c r="A686" s="124"/>
      <c r="B686" s="41"/>
      <c r="C686" s="124"/>
      <c r="D686" s="124"/>
    </row>
    <row r="687" spans="1:4" ht="28.5" customHeight="1">
      <c r="A687" s="124"/>
      <c r="B687" s="41"/>
      <c r="C687" s="124"/>
      <c r="D687" s="124"/>
    </row>
    <row r="688" spans="1:4" ht="28.5" customHeight="1">
      <c r="A688" s="124"/>
      <c r="B688" s="41"/>
      <c r="C688" s="124"/>
      <c r="D688" s="124"/>
    </row>
    <row r="689" spans="1:4" ht="28.5" customHeight="1">
      <c r="A689" s="124"/>
      <c r="B689" s="41"/>
      <c r="C689" s="124"/>
      <c r="D689" s="124"/>
    </row>
    <row r="690" spans="1:4" ht="28.5" customHeight="1">
      <c r="A690" s="124"/>
      <c r="B690" s="41"/>
      <c r="C690" s="124"/>
      <c r="D690" s="124"/>
    </row>
    <row r="691" spans="1:4" ht="28.5" customHeight="1">
      <c r="A691" s="124"/>
      <c r="B691" s="41"/>
      <c r="C691" s="124"/>
      <c r="D691" s="124"/>
    </row>
    <row r="692" spans="1:4" ht="28.5" customHeight="1">
      <c r="A692" s="124"/>
      <c r="B692" s="41"/>
      <c r="C692" s="124"/>
      <c r="D692" s="124"/>
    </row>
    <row r="693" spans="1:4" ht="28.5" customHeight="1">
      <c r="A693" s="124"/>
      <c r="B693" s="41"/>
      <c r="C693" s="124"/>
      <c r="D693" s="124"/>
    </row>
    <row r="694" spans="1:4" ht="28.5" customHeight="1">
      <c r="A694" s="124"/>
      <c r="B694" s="41"/>
      <c r="C694" s="124"/>
      <c r="D694" s="124"/>
    </row>
    <row r="695" spans="1:4" ht="28.5" customHeight="1">
      <c r="A695" s="124"/>
      <c r="B695" s="41"/>
      <c r="C695" s="124"/>
      <c r="D695" s="124"/>
    </row>
    <row r="696" spans="1:4" ht="28.5" customHeight="1">
      <c r="A696" s="124"/>
      <c r="B696" s="41"/>
      <c r="C696" s="124"/>
      <c r="D696" s="124"/>
    </row>
    <row r="697" spans="1:4" ht="28.5" customHeight="1">
      <c r="A697" s="124"/>
      <c r="B697" s="41"/>
      <c r="C697" s="124"/>
      <c r="D697" s="124"/>
    </row>
    <row r="698" spans="1:4" ht="28.5" customHeight="1">
      <c r="A698" s="124"/>
      <c r="B698" s="41"/>
      <c r="C698" s="124"/>
      <c r="D698" s="124"/>
    </row>
    <row r="699" spans="1:4" ht="28.5" customHeight="1">
      <c r="A699" s="124"/>
      <c r="B699" s="41"/>
      <c r="C699" s="124"/>
      <c r="D699" s="124"/>
    </row>
    <row r="700" spans="1:4" ht="28.5" customHeight="1">
      <c r="A700" s="124"/>
      <c r="B700" s="41"/>
      <c r="C700" s="124"/>
      <c r="D700" s="124"/>
    </row>
    <row r="701" spans="1:4" ht="28.5" customHeight="1">
      <c r="A701" s="124"/>
      <c r="B701" s="41"/>
      <c r="C701" s="124"/>
      <c r="D701" s="124"/>
    </row>
    <row r="702" spans="1:4" ht="28.5" customHeight="1">
      <c r="A702" s="124"/>
      <c r="B702" s="41"/>
      <c r="C702" s="124"/>
      <c r="D702" s="124"/>
    </row>
    <row r="703" spans="1:4" ht="28.5" customHeight="1">
      <c r="A703" s="124"/>
      <c r="B703" s="41"/>
      <c r="C703" s="124"/>
      <c r="D703" s="124"/>
    </row>
    <row r="704" spans="1:4" ht="28.5" customHeight="1">
      <c r="A704" s="124"/>
      <c r="B704" s="41"/>
      <c r="C704" s="124"/>
      <c r="D704" s="124"/>
    </row>
    <row r="705" spans="1:4" ht="28.5" customHeight="1">
      <c r="A705" s="124"/>
      <c r="B705" s="41"/>
      <c r="C705" s="124"/>
      <c r="D705" s="124"/>
    </row>
    <row r="706" spans="1:4" ht="28.5" customHeight="1">
      <c r="A706" s="124"/>
      <c r="B706" s="41"/>
      <c r="C706" s="124"/>
      <c r="D706" s="124"/>
    </row>
    <row r="707" spans="1:4" ht="28.5" customHeight="1">
      <c r="A707" s="124"/>
      <c r="B707" s="41"/>
      <c r="C707" s="124"/>
      <c r="D707" s="124"/>
    </row>
    <row r="708" spans="1:4" ht="28.5" customHeight="1">
      <c r="A708" s="124"/>
      <c r="B708" s="41"/>
      <c r="C708" s="124"/>
      <c r="D708" s="124"/>
    </row>
    <row r="709" spans="1:4" ht="28.5" customHeight="1">
      <c r="A709" s="124"/>
      <c r="B709" s="41"/>
      <c r="C709" s="124"/>
      <c r="D709" s="124"/>
    </row>
    <row r="710" spans="1:4" ht="28.5" customHeight="1">
      <c r="A710" s="124"/>
      <c r="B710" s="41"/>
      <c r="C710" s="124"/>
      <c r="D710" s="124"/>
    </row>
    <row r="711" spans="1:4" ht="28.5" customHeight="1">
      <c r="A711" s="124"/>
      <c r="B711" s="41"/>
      <c r="C711" s="124"/>
      <c r="D711" s="124"/>
    </row>
    <row r="712" spans="1:4" ht="28.5" customHeight="1">
      <c r="A712" s="124"/>
      <c r="B712" s="41"/>
      <c r="C712" s="124"/>
      <c r="D712" s="124"/>
    </row>
    <row r="713" spans="1:4" ht="28.5" customHeight="1">
      <c r="A713" s="124"/>
      <c r="B713" s="41"/>
      <c r="C713" s="124"/>
      <c r="D713" s="124"/>
    </row>
    <row r="714" spans="1:4" ht="28.5" customHeight="1">
      <c r="A714" s="124"/>
      <c r="B714" s="41"/>
      <c r="C714" s="124"/>
      <c r="D714" s="124"/>
    </row>
    <row r="715" spans="1:4" ht="28.5" customHeight="1">
      <c r="A715" s="124"/>
      <c r="B715" s="41"/>
      <c r="C715" s="124"/>
      <c r="D715" s="124"/>
    </row>
    <row r="716" spans="1:4" ht="28.5" customHeight="1">
      <c r="A716" s="124"/>
      <c r="B716" s="41"/>
      <c r="C716" s="124"/>
      <c r="D716" s="124"/>
    </row>
    <row r="717" spans="1:4" ht="28.5" customHeight="1">
      <c r="A717" s="124"/>
      <c r="B717" s="41"/>
      <c r="C717" s="124"/>
      <c r="D717" s="124"/>
    </row>
    <row r="718" spans="1:4" ht="28.5" customHeight="1">
      <c r="A718" s="124"/>
      <c r="B718" s="41"/>
      <c r="C718" s="124"/>
      <c r="D718" s="124"/>
    </row>
    <row r="719" spans="1:4" ht="28.5" customHeight="1">
      <c r="A719" s="124"/>
      <c r="B719" s="41"/>
      <c r="C719" s="124"/>
      <c r="D719" s="124"/>
    </row>
    <row r="720" spans="1:4" ht="28.5" customHeight="1">
      <c r="A720" s="124"/>
      <c r="B720" s="41"/>
      <c r="C720" s="124"/>
      <c r="D720" s="124"/>
    </row>
    <row r="721" spans="1:4" ht="28.5" customHeight="1">
      <c r="A721" s="124"/>
      <c r="B721" s="41"/>
      <c r="C721" s="124"/>
      <c r="D721" s="124"/>
    </row>
    <row r="722" spans="1:4" ht="28.5" customHeight="1">
      <c r="A722" s="124"/>
      <c r="B722" s="41"/>
      <c r="C722" s="124"/>
      <c r="D722" s="124"/>
    </row>
    <row r="723" spans="1:4" ht="28.5" customHeight="1">
      <c r="A723" s="124"/>
      <c r="B723" s="41"/>
      <c r="C723" s="124"/>
      <c r="D723" s="124"/>
    </row>
    <row r="724" spans="1:4" ht="28.5" customHeight="1">
      <c r="A724" s="124"/>
      <c r="B724" s="41"/>
      <c r="C724" s="124"/>
      <c r="D724" s="124"/>
    </row>
    <row r="725" spans="1:4" ht="28.5" customHeight="1">
      <c r="A725" s="124"/>
      <c r="B725" s="41"/>
      <c r="C725" s="124"/>
      <c r="D725" s="124"/>
    </row>
    <row r="726" spans="1:4" ht="28.5" customHeight="1">
      <c r="A726" s="124"/>
      <c r="B726" s="41"/>
      <c r="C726" s="124"/>
      <c r="D726" s="124"/>
    </row>
    <row r="727" spans="1:4" ht="28.5" customHeight="1">
      <c r="A727" s="124"/>
      <c r="B727" s="41"/>
      <c r="C727" s="124"/>
      <c r="D727" s="124"/>
    </row>
    <row r="728" spans="1:4" ht="28.5" customHeight="1">
      <c r="A728" s="124"/>
      <c r="B728" s="41"/>
      <c r="C728" s="124"/>
      <c r="D728" s="124"/>
    </row>
    <row r="729" spans="1:4" ht="28.5" customHeight="1">
      <c r="A729" s="124"/>
      <c r="B729" s="41"/>
      <c r="C729" s="124"/>
      <c r="D729" s="124"/>
    </row>
    <row r="730" spans="1:4" ht="28.5" customHeight="1">
      <c r="A730" s="124"/>
      <c r="B730" s="41"/>
      <c r="C730" s="124"/>
      <c r="D730" s="124"/>
    </row>
    <row r="731" spans="1:4" ht="28.5" customHeight="1">
      <c r="A731" s="124"/>
      <c r="B731" s="41"/>
      <c r="C731" s="124"/>
      <c r="D731" s="124"/>
    </row>
    <row r="732" spans="1:4" ht="28.5" customHeight="1">
      <c r="A732" s="124"/>
      <c r="B732" s="41"/>
      <c r="C732" s="124"/>
      <c r="D732" s="124"/>
    </row>
    <row r="733" spans="1:4" ht="28.5" customHeight="1">
      <c r="A733" s="124"/>
      <c r="B733" s="41"/>
      <c r="C733" s="124"/>
      <c r="D733" s="124"/>
    </row>
    <row r="734" spans="1:4" ht="28.5" customHeight="1">
      <c r="A734" s="124"/>
      <c r="B734" s="41"/>
      <c r="C734" s="124"/>
      <c r="D734" s="124"/>
    </row>
    <row r="735" spans="1:4" ht="28.5" customHeight="1">
      <c r="A735" s="124"/>
      <c r="B735" s="41"/>
      <c r="C735" s="124"/>
      <c r="D735" s="124"/>
    </row>
    <row r="736" spans="1:4" ht="28.5" customHeight="1">
      <c r="A736" s="124"/>
      <c r="B736" s="41"/>
      <c r="C736" s="124"/>
      <c r="D736" s="124"/>
    </row>
    <row r="737" spans="1:4" ht="28.5" customHeight="1">
      <c r="A737" s="124"/>
      <c r="B737" s="41"/>
      <c r="C737" s="124"/>
      <c r="D737" s="124"/>
    </row>
    <row r="738" spans="1:4" ht="28.5" customHeight="1">
      <c r="A738" s="124"/>
      <c r="B738" s="41"/>
      <c r="C738" s="124"/>
      <c r="D738" s="124"/>
    </row>
    <row r="739" spans="1:4" ht="28.5" customHeight="1">
      <c r="A739" s="124"/>
      <c r="B739" s="41"/>
      <c r="C739" s="124"/>
      <c r="D739" s="124"/>
    </row>
    <row r="740" spans="1:4" ht="28.5" customHeight="1">
      <c r="A740" s="124"/>
      <c r="B740" s="41"/>
      <c r="C740" s="124"/>
      <c r="D740" s="124"/>
    </row>
    <row r="741" spans="1:4" ht="28.5" customHeight="1">
      <c r="A741" s="124"/>
      <c r="B741" s="41"/>
      <c r="C741" s="124"/>
      <c r="D741" s="124"/>
    </row>
    <row r="742" spans="1:4" ht="28.5" customHeight="1">
      <c r="A742" s="124"/>
      <c r="B742" s="41"/>
      <c r="C742" s="124"/>
      <c r="D742" s="124"/>
    </row>
    <row r="743" spans="1:4" ht="28.5" customHeight="1">
      <c r="A743" s="124"/>
      <c r="B743" s="41"/>
      <c r="C743" s="124"/>
      <c r="D743" s="124"/>
    </row>
    <row r="744" spans="1:4" ht="28.5" customHeight="1">
      <c r="A744" s="124"/>
      <c r="B744" s="41"/>
      <c r="C744" s="124"/>
      <c r="D744" s="124"/>
    </row>
    <row r="745" spans="1:4" ht="28.5" customHeight="1">
      <c r="A745" s="124"/>
      <c r="B745" s="41"/>
      <c r="C745" s="124"/>
      <c r="D745" s="124"/>
    </row>
    <row r="746" spans="1:4" ht="28.5" customHeight="1">
      <c r="A746" s="124"/>
      <c r="B746" s="41"/>
      <c r="C746" s="124"/>
      <c r="D746" s="124"/>
    </row>
    <row r="747" spans="1:4" ht="28.5" customHeight="1">
      <c r="A747" s="124"/>
      <c r="B747" s="41"/>
      <c r="C747" s="124"/>
      <c r="D747" s="124"/>
    </row>
    <row r="748" spans="1:4" ht="28.5" customHeight="1">
      <c r="A748" s="124"/>
      <c r="B748" s="41"/>
      <c r="C748" s="124"/>
      <c r="D748" s="124"/>
    </row>
    <row r="749" spans="1:4" ht="28.5" customHeight="1">
      <c r="A749" s="124"/>
      <c r="B749" s="41"/>
      <c r="C749" s="124"/>
      <c r="D749" s="124"/>
    </row>
    <row r="750" spans="1:4" ht="28.5" customHeight="1">
      <c r="A750" s="124"/>
      <c r="B750" s="41"/>
      <c r="C750" s="124"/>
      <c r="D750" s="124"/>
    </row>
    <row r="751" spans="1:4" ht="28.5" customHeight="1">
      <c r="A751" s="124"/>
      <c r="B751" s="41"/>
      <c r="C751" s="124"/>
      <c r="D751" s="124"/>
    </row>
    <row r="752" spans="1:4" ht="28.5" customHeight="1">
      <c r="A752" s="124"/>
      <c r="B752" s="41"/>
      <c r="C752" s="124"/>
      <c r="D752" s="124"/>
    </row>
    <row r="753" spans="1:4" ht="28.5" customHeight="1">
      <c r="A753" s="124"/>
      <c r="B753" s="41"/>
      <c r="C753" s="124"/>
      <c r="D753" s="124"/>
    </row>
    <row r="754" spans="1:4" ht="28.5" customHeight="1">
      <c r="A754" s="124"/>
      <c r="B754" s="41"/>
      <c r="C754" s="124"/>
      <c r="D754" s="124"/>
    </row>
    <row r="755" spans="1:4" ht="28.5" customHeight="1">
      <c r="A755" s="124"/>
      <c r="B755" s="41"/>
      <c r="C755" s="124"/>
      <c r="D755" s="124"/>
    </row>
    <row r="756" spans="1:4" ht="28.5" customHeight="1">
      <c r="A756" s="124"/>
      <c r="B756" s="41"/>
      <c r="C756" s="124"/>
      <c r="D756" s="124"/>
    </row>
    <row r="757" spans="1:4" ht="28.5" customHeight="1">
      <c r="A757" s="124"/>
      <c r="B757" s="41"/>
      <c r="C757" s="124"/>
      <c r="D757" s="124"/>
    </row>
    <row r="758" spans="1:4" ht="28.5" customHeight="1">
      <c r="A758" s="124"/>
      <c r="B758" s="41"/>
      <c r="C758" s="124"/>
      <c r="D758" s="124"/>
    </row>
    <row r="759" spans="1:4" ht="28.5" customHeight="1">
      <c r="A759" s="124"/>
      <c r="B759" s="41"/>
      <c r="C759" s="124"/>
      <c r="D759" s="124"/>
    </row>
    <row r="760" spans="1:4" ht="28.5" customHeight="1">
      <c r="A760" s="124"/>
      <c r="B760" s="41"/>
      <c r="C760" s="124"/>
      <c r="D760" s="124"/>
    </row>
    <row r="761" spans="1:4" ht="28.5" customHeight="1">
      <c r="A761" s="124"/>
      <c r="B761" s="41"/>
      <c r="C761" s="124"/>
      <c r="D761" s="124"/>
    </row>
    <row r="762" spans="1:4" ht="28.5" customHeight="1">
      <c r="A762" s="124"/>
      <c r="B762" s="41"/>
      <c r="C762" s="124"/>
      <c r="D762" s="124"/>
    </row>
    <row r="763" spans="1:4" ht="28.5" customHeight="1">
      <c r="A763" s="124"/>
      <c r="B763" s="41"/>
      <c r="C763" s="124"/>
      <c r="D763" s="124"/>
    </row>
    <row r="764" spans="1:4" ht="28.5" customHeight="1">
      <c r="A764" s="124"/>
      <c r="B764" s="41"/>
      <c r="C764" s="124"/>
      <c r="D764" s="124"/>
    </row>
    <row r="765" spans="1:4" ht="28.5" customHeight="1">
      <c r="A765" s="124"/>
      <c r="B765" s="41"/>
      <c r="C765" s="124"/>
      <c r="D765" s="124"/>
    </row>
    <row r="766" spans="1:4" ht="28.5" customHeight="1">
      <c r="A766" s="124"/>
      <c r="B766" s="41"/>
      <c r="C766" s="124"/>
      <c r="D766" s="124"/>
    </row>
    <row r="767" spans="1:4" ht="28.5" customHeight="1">
      <c r="A767" s="124"/>
      <c r="B767" s="41"/>
      <c r="C767" s="124"/>
      <c r="D767" s="124"/>
    </row>
    <row r="768" spans="1:4" ht="28.5" customHeight="1">
      <c r="A768" s="124"/>
      <c r="B768" s="41"/>
      <c r="C768" s="124"/>
      <c r="D768" s="124"/>
    </row>
    <row r="769" spans="1:4" ht="28.5" customHeight="1">
      <c r="A769" s="124"/>
      <c r="B769" s="41"/>
      <c r="C769" s="124"/>
      <c r="D769" s="124"/>
    </row>
    <row r="770" spans="1:4" ht="28.5" customHeight="1">
      <c r="A770" s="124"/>
      <c r="B770" s="41"/>
      <c r="C770" s="124"/>
      <c r="D770" s="124"/>
    </row>
    <row r="771" spans="1:4" ht="28.5" customHeight="1">
      <c r="A771" s="124"/>
      <c r="B771" s="41"/>
      <c r="C771" s="124"/>
      <c r="D771" s="124"/>
    </row>
    <row r="772" spans="1:4" ht="28.5" customHeight="1">
      <c r="A772" s="124"/>
      <c r="B772" s="41"/>
      <c r="C772" s="124"/>
      <c r="D772" s="124"/>
    </row>
    <row r="773" spans="1:4" ht="28.5" customHeight="1">
      <c r="A773" s="124"/>
      <c r="B773" s="41"/>
      <c r="C773" s="124"/>
      <c r="D773" s="124"/>
    </row>
    <row r="774" spans="1:4" ht="28.5" customHeight="1">
      <c r="A774" s="124"/>
      <c r="B774" s="41"/>
      <c r="C774" s="124"/>
      <c r="D774" s="124"/>
    </row>
    <row r="775" spans="1:4" ht="28.5" customHeight="1">
      <c r="A775" s="124"/>
      <c r="B775" s="41"/>
      <c r="C775" s="124"/>
      <c r="D775" s="124"/>
    </row>
    <row r="776" spans="1:4" ht="28.5" customHeight="1">
      <c r="A776" s="124"/>
      <c r="B776" s="41"/>
      <c r="C776" s="124"/>
      <c r="D776" s="124"/>
    </row>
    <row r="777" spans="1:4" ht="28.5" customHeight="1">
      <c r="A777" s="124"/>
      <c r="B777" s="41"/>
      <c r="C777" s="124"/>
      <c r="D777" s="124"/>
    </row>
    <row r="778" spans="1:4" ht="28.5" customHeight="1">
      <c r="A778" s="124"/>
      <c r="B778" s="41"/>
      <c r="C778" s="124"/>
      <c r="D778" s="124"/>
    </row>
    <row r="779" spans="1:4" ht="28.5" customHeight="1">
      <c r="A779" s="124"/>
      <c r="B779" s="41"/>
      <c r="C779" s="124"/>
      <c r="D779" s="124"/>
    </row>
    <row r="780" spans="1:4" ht="28.5" customHeight="1">
      <c r="A780" s="124"/>
      <c r="B780" s="41"/>
      <c r="C780" s="124"/>
      <c r="D780" s="124"/>
    </row>
    <row r="781" spans="1:4" ht="28.5" customHeight="1">
      <c r="A781" s="124"/>
      <c r="B781" s="41"/>
      <c r="C781" s="124"/>
      <c r="D781" s="124"/>
    </row>
    <row r="782" spans="1:4" ht="28.5" customHeight="1">
      <c r="A782" s="124"/>
      <c r="B782" s="41"/>
      <c r="C782" s="124"/>
      <c r="D782" s="124"/>
    </row>
    <row r="783" spans="1:4" ht="28.5" customHeight="1">
      <c r="A783" s="124"/>
      <c r="B783" s="41"/>
      <c r="C783" s="124"/>
      <c r="D783" s="124"/>
    </row>
    <row r="784" spans="1:4" ht="28.5" customHeight="1">
      <c r="A784" s="124"/>
      <c r="B784" s="41"/>
      <c r="C784" s="124"/>
      <c r="D784" s="124"/>
    </row>
    <row r="785" spans="1:4" ht="28.5" customHeight="1">
      <c r="A785" s="124"/>
      <c r="B785" s="41"/>
      <c r="C785" s="124"/>
      <c r="D785" s="124"/>
    </row>
    <row r="786" spans="1:4" ht="28.5" customHeight="1">
      <c r="A786" s="124"/>
      <c r="B786" s="41"/>
      <c r="C786" s="124"/>
      <c r="D786" s="124"/>
    </row>
    <row r="787" spans="1:4" ht="28.5" customHeight="1">
      <c r="A787" s="124"/>
      <c r="B787" s="41"/>
      <c r="C787" s="124"/>
      <c r="D787" s="124"/>
    </row>
    <row r="788" spans="1:4" ht="28.5" customHeight="1">
      <c r="A788" s="124"/>
      <c r="B788" s="41"/>
      <c r="C788" s="124"/>
      <c r="D788" s="124"/>
    </row>
    <row r="789" spans="1:4" ht="28.5" customHeight="1">
      <c r="A789" s="124"/>
      <c r="B789" s="41"/>
      <c r="C789" s="124"/>
      <c r="D789" s="124"/>
    </row>
    <row r="790" spans="1:4" ht="28.5" customHeight="1">
      <c r="A790" s="124"/>
      <c r="B790" s="41"/>
      <c r="C790" s="124"/>
      <c r="D790" s="124"/>
    </row>
    <row r="791" spans="1:4" ht="28.5" customHeight="1">
      <c r="A791" s="124"/>
      <c r="B791" s="41"/>
      <c r="C791" s="124"/>
      <c r="D791" s="124"/>
    </row>
    <row r="792" spans="1:4" ht="28.5" customHeight="1">
      <c r="A792" s="124"/>
      <c r="B792" s="41"/>
      <c r="C792" s="124"/>
      <c r="D792" s="124"/>
    </row>
    <row r="793" spans="1:4" ht="28.5" customHeight="1">
      <c r="A793" s="124"/>
      <c r="B793" s="41"/>
      <c r="C793" s="124"/>
      <c r="D793" s="124"/>
    </row>
    <row r="794" spans="1:4" ht="28.5" customHeight="1">
      <c r="A794" s="124"/>
      <c r="B794" s="41"/>
      <c r="C794" s="124"/>
      <c r="D794" s="124"/>
    </row>
    <row r="795" spans="1:4" ht="28.5" customHeight="1">
      <c r="A795" s="124"/>
      <c r="B795" s="41"/>
      <c r="C795" s="124"/>
      <c r="D795" s="124"/>
    </row>
    <row r="796" spans="1:4" ht="28.5" customHeight="1">
      <c r="A796" s="124"/>
      <c r="B796" s="41"/>
      <c r="C796" s="124"/>
      <c r="D796" s="124"/>
    </row>
    <row r="797" spans="1:4" ht="28.5" customHeight="1">
      <c r="A797" s="124"/>
      <c r="B797" s="41"/>
      <c r="C797" s="124"/>
      <c r="D797" s="124"/>
    </row>
    <row r="798" spans="1:4" ht="28.5" customHeight="1">
      <c r="A798" s="124"/>
      <c r="B798" s="41"/>
      <c r="C798" s="124"/>
      <c r="D798" s="124"/>
    </row>
    <row r="799" spans="1:4" ht="28.5" customHeight="1">
      <c r="A799" s="124"/>
      <c r="B799" s="41"/>
      <c r="C799" s="124"/>
      <c r="D799" s="124"/>
    </row>
    <row r="800" spans="1:4" ht="28.5" customHeight="1">
      <c r="A800" s="124"/>
      <c r="B800" s="41"/>
      <c r="C800" s="124"/>
      <c r="D800" s="124"/>
    </row>
    <row r="801" spans="1:4" ht="28.5" customHeight="1">
      <c r="A801" s="124"/>
      <c r="B801" s="41"/>
      <c r="C801" s="124"/>
      <c r="D801" s="124"/>
    </row>
    <row r="802" spans="1:4" ht="28.5" customHeight="1">
      <c r="A802" s="124"/>
      <c r="B802" s="41"/>
      <c r="C802" s="124"/>
      <c r="D802" s="124"/>
    </row>
    <row r="803" spans="1:4" ht="28.5" customHeight="1">
      <c r="A803" s="124"/>
      <c r="B803" s="41"/>
      <c r="C803" s="124"/>
      <c r="D803" s="124"/>
    </row>
    <row r="804" spans="1:4" ht="28.5" customHeight="1">
      <c r="A804" s="124"/>
      <c r="B804" s="41"/>
      <c r="C804" s="124"/>
      <c r="D804" s="124"/>
    </row>
    <row r="805" spans="1:4" ht="28.5" customHeight="1">
      <c r="A805" s="124"/>
      <c r="B805" s="41"/>
      <c r="C805" s="124"/>
      <c r="D805" s="124"/>
    </row>
    <row r="806" spans="1:4" ht="28.5" customHeight="1">
      <c r="A806" s="124"/>
      <c r="B806" s="41"/>
      <c r="C806" s="124"/>
      <c r="D806" s="124"/>
    </row>
    <row r="807" spans="1:4" ht="28.5" customHeight="1">
      <c r="A807" s="124"/>
      <c r="B807" s="41"/>
      <c r="C807" s="124"/>
      <c r="D807" s="124"/>
    </row>
    <row r="808" spans="1:4" ht="28.5" customHeight="1">
      <c r="A808" s="124"/>
      <c r="B808" s="41"/>
      <c r="C808" s="124"/>
      <c r="D808" s="124"/>
    </row>
    <row r="809" spans="1:4" ht="28.5" customHeight="1">
      <c r="A809" s="124"/>
      <c r="B809" s="41"/>
      <c r="C809" s="124"/>
      <c r="D809" s="124"/>
    </row>
    <row r="810" spans="1:4" ht="28.5" customHeight="1">
      <c r="A810" s="124"/>
      <c r="B810" s="41"/>
      <c r="C810" s="124"/>
      <c r="D810" s="124"/>
    </row>
    <row r="811" spans="1:4" ht="28.5" customHeight="1">
      <c r="A811" s="124"/>
      <c r="B811" s="41"/>
      <c r="C811" s="124"/>
      <c r="D811" s="124"/>
    </row>
    <row r="812" spans="1:4" ht="28.5" customHeight="1">
      <c r="A812" s="124"/>
      <c r="B812" s="41"/>
      <c r="C812" s="124"/>
      <c r="D812" s="124"/>
    </row>
    <row r="813" spans="1:4" ht="28.5" customHeight="1">
      <c r="A813" s="124"/>
      <c r="B813" s="41"/>
      <c r="C813" s="124"/>
      <c r="D813" s="124"/>
    </row>
    <row r="814" spans="1:4" ht="28.5" customHeight="1">
      <c r="A814" s="124"/>
      <c r="B814" s="41"/>
      <c r="C814" s="124"/>
      <c r="D814" s="124"/>
    </row>
    <row r="815" spans="1:4" ht="28.5" customHeight="1">
      <c r="A815" s="124"/>
      <c r="B815" s="41"/>
      <c r="C815" s="124"/>
      <c r="D815" s="124"/>
    </row>
    <row r="816" spans="1:4" ht="28.5" customHeight="1">
      <c r="A816" s="124"/>
      <c r="B816" s="41"/>
      <c r="C816" s="124"/>
      <c r="D816" s="124"/>
    </row>
    <row r="817" spans="1:4" ht="28.5" customHeight="1">
      <c r="A817" s="124"/>
      <c r="B817" s="41"/>
      <c r="C817" s="124"/>
      <c r="D817" s="124"/>
    </row>
    <row r="818" spans="1:4" ht="28.5" customHeight="1">
      <c r="A818" s="124"/>
      <c r="B818" s="41"/>
      <c r="C818" s="124"/>
      <c r="D818" s="124"/>
    </row>
    <row r="819" spans="1:4" ht="28.5" customHeight="1">
      <c r="A819" s="124"/>
      <c r="B819" s="41"/>
      <c r="C819" s="124"/>
      <c r="D819" s="124"/>
    </row>
    <row r="820" spans="1:4" ht="28.5" customHeight="1">
      <c r="A820" s="124"/>
      <c r="B820" s="41"/>
      <c r="C820" s="124"/>
      <c r="D820" s="124"/>
    </row>
    <row r="821" spans="1:4" ht="28.5" customHeight="1">
      <c r="A821" s="124"/>
      <c r="B821" s="41"/>
      <c r="C821" s="124"/>
      <c r="D821" s="124"/>
    </row>
    <row r="822" spans="1:4" ht="28.5" customHeight="1">
      <c r="A822" s="124"/>
      <c r="B822" s="41"/>
      <c r="C822" s="124"/>
      <c r="D822" s="124"/>
    </row>
    <row r="823" spans="1:4" ht="28.5" customHeight="1">
      <c r="A823" s="124"/>
      <c r="B823" s="41"/>
      <c r="C823" s="124"/>
      <c r="D823" s="124"/>
    </row>
    <row r="824" spans="1:4" ht="28.5" customHeight="1">
      <c r="A824" s="124"/>
      <c r="B824" s="41"/>
      <c r="C824" s="124"/>
      <c r="D824" s="124"/>
    </row>
    <row r="825" spans="1:4" ht="28.5" customHeight="1">
      <c r="A825" s="124"/>
      <c r="B825" s="41"/>
      <c r="C825" s="124"/>
      <c r="D825" s="124"/>
    </row>
    <row r="826" spans="1:4" ht="28.5" customHeight="1">
      <c r="A826" s="124"/>
      <c r="B826" s="41"/>
      <c r="C826" s="124"/>
      <c r="D826" s="124"/>
    </row>
    <row r="827" spans="1:4" ht="28.5" customHeight="1">
      <c r="A827" s="124"/>
      <c r="B827" s="41"/>
      <c r="C827" s="124"/>
      <c r="D827" s="124"/>
    </row>
    <row r="828" spans="1:4" ht="28.5" customHeight="1">
      <c r="A828" s="124"/>
      <c r="B828" s="41"/>
      <c r="C828" s="124"/>
      <c r="D828" s="124"/>
    </row>
    <row r="829" spans="1:4" ht="28.5" customHeight="1">
      <c r="A829" s="124"/>
      <c r="B829" s="41"/>
      <c r="C829" s="124"/>
      <c r="D829" s="124"/>
    </row>
    <row r="830" spans="1:4" ht="28.5" customHeight="1">
      <c r="A830" s="124"/>
      <c r="B830" s="41"/>
      <c r="C830" s="124"/>
      <c r="D830" s="124"/>
    </row>
    <row r="831" spans="1:4" ht="28.5" customHeight="1">
      <c r="A831" s="124"/>
      <c r="B831" s="41"/>
      <c r="C831" s="124"/>
      <c r="D831" s="124"/>
    </row>
    <row r="832" spans="1:4" ht="28.5" customHeight="1">
      <c r="A832" s="124"/>
      <c r="B832" s="41"/>
      <c r="C832" s="124"/>
      <c r="D832" s="124"/>
    </row>
    <row r="833" spans="1:4" ht="28.5" customHeight="1">
      <c r="A833" s="124"/>
      <c r="B833" s="41"/>
      <c r="C833" s="124"/>
      <c r="D833" s="124"/>
    </row>
    <row r="834" spans="1:4" ht="28.5" customHeight="1">
      <c r="A834" s="124"/>
      <c r="B834" s="41"/>
      <c r="C834" s="124"/>
      <c r="D834" s="124"/>
    </row>
    <row r="835" spans="1:4" ht="28.5" customHeight="1">
      <c r="A835" s="124"/>
      <c r="B835" s="41"/>
      <c r="C835" s="124"/>
      <c r="D835" s="124"/>
    </row>
    <row r="836" spans="1:4" ht="28.5" customHeight="1">
      <c r="A836" s="124"/>
      <c r="B836" s="41"/>
      <c r="C836" s="124"/>
      <c r="D836" s="124"/>
    </row>
    <row r="837" spans="1:4" ht="28.5" customHeight="1">
      <c r="A837" s="124"/>
      <c r="B837" s="41"/>
      <c r="C837" s="124"/>
      <c r="D837" s="124"/>
    </row>
    <row r="838" spans="1:4" ht="28.5" customHeight="1">
      <c r="A838" s="124"/>
      <c r="B838" s="41"/>
      <c r="C838" s="124"/>
      <c r="D838" s="124"/>
    </row>
    <row r="839" spans="1:4" ht="28.5" customHeight="1">
      <c r="A839" s="124"/>
      <c r="B839" s="41"/>
      <c r="C839" s="124"/>
      <c r="D839" s="124"/>
    </row>
    <row r="840" spans="1:4" ht="28.5" customHeight="1">
      <c r="A840" s="124"/>
      <c r="B840" s="41"/>
      <c r="C840" s="124"/>
      <c r="D840" s="124"/>
    </row>
    <row r="841" spans="1:4" ht="28.5" customHeight="1">
      <c r="A841" s="124"/>
      <c r="B841" s="41"/>
      <c r="C841" s="124"/>
      <c r="D841" s="124"/>
    </row>
    <row r="842" spans="1:4" ht="28.5" customHeight="1">
      <c r="A842" s="124"/>
      <c r="B842" s="41"/>
      <c r="C842" s="124"/>
      <c r="D842" s="124"/>
    </row>
    <row r="843" spans="1:4" ht="28.5" customHeight="1">
      <c r="A843" s="124"/>
      <c r="B843" s="41"/>
      <c r="C843" s="124"/>
      <c r="D843" s="124"/>
    </row>
    <row r="844" spans="1:4" ht="28.5" customHeight="1">
      <c r="A844" s="124"/>
      <c r="B844" s="41"/>
      <c r="C844" s="124"/>
      <c r="D844" s="124"/>
    </row>
    <row r="845" spans="1:4" ht="28.5" customHeight="1">
      <c r="A845" s="124"/>
      <c r="B845" s="41"/>
      <c r="C845" s="124"/>
      <c r="D845" s="124"/>
    </row>
    <row r="846" spans="1:4" ht="28.5" customHeight="1">
      <c r="A846" s="124"/>
      <c r="B846" s="41"/>
      <c r="C846" s="124"/>
      <c r="D846" s="124"/>
    </row>
    <row r="847" spans="1:4" ht="28.5" customHeight="1">
      <c r="A847" s="124"/>
      <c r="B847" s="41"/>
      <c r="C847" s="124"/>
      <c r="D847" s="124"/>
    </row>
    <row r="848" spans="1:4" ht="28.5" customHeight="1">
      <c r="A848" s="124"/>
      <c r="B848" s="41"/>
      <c r="C848" s="124"/>
      <c r="D848" s="124"/>
    </row>
    <row r="849" spans="1:4" ht="28.5" customHeight="1">
      <c r="A849" s="124"/>
      <c r="B849" s="41"/>
      <c r="C849" s="124"/>
      <c r="D849" s="124"/>
    </row>
    <row r="850" spans="1:4" ht="28.5" customHeight="1">
      <c r="A850" s="124"/>
      <c r="B850" s="41"/>
      <c r="C850" s="124"/>
      <c r="D850" s="124"/>
    </row>
    <row r="851" spans="1:4" ht="28.5" customHeight="1">
      <c r="A851" s="124"/>
      <c r="B851" s="41"/>
      <c r="C851" s="124"/>
      <c r="D851" s="124"/>
    </row>
    <row r="852" spans="1:4" ht="28.5" customHeight="1">
      <c r="A852" s="124"/>
      <c r="B852" s="41"/>
      <c r="C852" s="124"/>
      <c r="D852" s="124"/>
    </row>
    <row r="853" spans="1:4" ht="28.5" customHeight="1">
      <c r="A853" s="124"/>
      <c r="B853" s="41"/>
      <c r="C853" s="124"/>
      <c r="D853" s="124"/>
    </row>
    <row r="854" spans="1:4" ht="28.5" customHeight="1">
      <c r="A854" s="124"/>
      <c r="B854" s="41"/>
      <c r="C854" s="124"/>
      <c r="D854" s="124"/>
    </row>
    <row r="855" spans="1:4" ht="28.5" customHeight="1">
      <c r="A855" s="124"/>
      <c r="B855" s="41"/>
      <c r="C855" s="124"/>
      <c r="D855" s="124"/>
    </row>
    <row r="856" spans="1:4" ht="28.5" customHeight="1">
      <c r="A856" s="124"/>
      <c r="B856" s="41"/>
      <c r="C856" s="124"/>
      <c r="D856" s="124"/>
    </row>
    <row r="857" spans="1:4" ht="28.5" customHeight="1">
      <c r="A857" s="124"/>
      <c r="B857" s="41"/>
      <c r="C857" s="124"/>
      <c r="D857" s="124"/>
    </row>
    <row r="858" spans="1:4" ht="28.5" customHeight="1">
      <c r="A858" s="124"/>
      <c r="B858" s="41"/>
      <c r="C858" s="124"/>
      <c r="D858" s="124"/>
    </row>
    <row r="859" spans="1:4" ht="28.5" customHeight="1">
      <c r="A859" s="124"/>
      <c r="B859" s="41"/>
      <c r="C859" s="124"/>
      <c r="D859" s="124"/>
    </row>
    <row r="860" spans="1:4" ht="28.5" customHeight="1">
      <c r="A860" s="124"/>
      <c r="B860" s="41"/>
      <c r="C860" s="124"/>
      <c r="D860" s="124"/>
    </row>
    <row r="861" spans="1:4" ht="28.5" customHeight="1">
      <c r="A861" s="124"/>
      <c r="B861" s="41"/>
      <c r="C861" s="124"/>
      <c r="D861" s="124"/>
    </row>
    <row r="862" spans="1:4" ht="28.5" customHeight="1">
      <c r="A862" s="124"/>
      <c r="B862" s="41"/>
      <c r="C862" s="124"/>
      <c r="D862" s="124"/>
    </row>
    <row r="863" spans="1:4" ht="28.5" customHeight="1">
      <c r="A863" s="124"/>
      <c r="B863" s="41"/>
      <c r="C863" s="124"/>
      <c r="D863" s="124"/>
    </row>
    <row r="864" spans="1:4" ht="28.5" customHeight="1">
      <c r="A864" s="124"/>
      <c r="B864" s="41"/>
      <c r="C864" s="124"/>
      <c r="D864" s="124"/>
    </row>
    <row r="865" spans="1:4" ht="28.5" customHeight="1">
      <c r="A865" s="124"/>
      <c r="B865" s="41"/>
      <c r="C865" s="124"/>
      <c r="D865" s="124"/>
    </row>
    <row r="866" spans="1:4" ht="28.5" customHeight="1">
      <c r="A866" s="124"/>
      <c r="B866" s="41"/>
      <c r="C866" s="124"/>
      <c r="D866" s="124"/>
    </row>
    <row r="867" spans="1:4" ht="28.5" customHeight="1">
      <c r="A867" s="124"/>
      <c r="B867" s="41"/>
      <c r="C867" s="124"/>
      <c r="D867" s="124"/>
    </row>
    <row r="868" spans="1:4" ht="28.5" customHeight="1">
      <c r="A868" s="124"/>
      <c r="B868" s="41"/>
      <c r="C868" s="124"/>
      <c r="D868" s="124"/>
    </row>
    <row r="869" spans="1:4" ht="28.5" customHeight="1">
      <c r="A869" s="124"/>
      <c r="B869" s="41"/>
      <c r="C869" s="124"/>
      <c r="D869" s="124"/>
    </row>
    <row r="870" spans="1:4" ht="28.5" customHeight="1">
      <c r="A870" s="124"/>
      <c r="B870" s="41"/>
      <c r="C870" s="124"/>
      <c r="D870" s="124"/>
    </row>
    <row r="871" spans="1:4" ht="28.5" customHeight="1">
      <c r="A871" s="124"/>
      <c r="B871" s="41"/>
      <c r="C871" s="124"/>
      <c r="D871" s="124"/>
    </row>
    <row r="872" spans="1:4" ht="28.5" customHeight="1">
      <c r="A872" s="124"/>
      <c r="B872" s="41"/>
      <c r="C872" s="124"/>
      <c r="D872" s="124"/>
    </row>
    <row r="873" spans="1:4" ht="28.5" customHeight="1">
      <c r="A873" s="124"/>
      <c r="B873" s="41"/>
      <c r="C873" s="124"/>
      <c r="D873" s="124"/>
    </row>
    <row r="874" spans="1:4" ht="28.5" customHeight="1">
      <c r="A874" s="124"/>
      <c r="B874" s="41"/>
      <c r="C874" s="124"/>
      <c r="D874" s="124"/>
    </row>
    <row r="875" spans="1:4" ht="28.5" customHeight="1">
      <c r="A875" s="124"/>
      <c r="B875" s="41"/>
      <c r="C875" s="124"/>
      <c r="D875" s="124"/>
    </row>
    <row r="876" spans="1:4" ht="28.5" customHeight="1">
      <c r="A876" s="124"/>
      <c r="B876" s="41"/>
      <c r="C876" s="124"/>
      <c r="D876" s="124"/>
    </row>
    <row r="877" spans="1:4" ht="28.5" customHeight="1">
      <c r="A877" s="124"/>
      <c r="B877" s="41"/>
      <c r="C877" s="124"/>
      <c r="D877" s="124"/>
    </row>
    <row r="878" spans="1:4" ht="28.5" customHeight="1">
      <c r="A878" s="124"/>
      <c r="B878" s="41"/>
      <c r="C878" s="124"/>
      <c r="D878" s="124"/>
    </row>
    <row r="879" spans="1:4" ht="28.5" customHeight="1">
      <c r="A879" s="124"/>
      <c r="B879" s="41"/>
      <c r="C879" s="124"/>
      <c r="D879" s="124"/>
    </row>
    <row r="880" spans="1:4" ht="28.5" customHeight="1">
      <c r="A880" s="124"/>
      <c r="B880" s="41"/>
      <c r="C880" s="124"/>
      <c r="D880" s="124"/>
    </row>
    <row r="881" spans="1:4" ht="28.5" customHeight="1">
      <c r="A881" s="124"/>
      <c r="B881" s="41"/>
      <c r="C881" s="124"/>
      <c r="D881" s="124"/>
    </row>
    <row r="882" spans="1:4" ht="28.5" customHeight="1">
      <c r="A882" s="124"/>
      <c r="B882" s="41"/>
      <c r="C882" s="124"/>
      <c r="D882" s="124"/>
    </row>
    <row r="883" spans="1:4" ht="28.5" customHeight="1">
      <c r="A883" s="124"/>
      <c r="B883" s="41"/>
      <c r="C883" s="124"/>
      <c r="D883" s="124"/>
    </row>
    <row r="884" spans="1:4" ht="28.5" customHeight="1">
      <c r="A884" s="124"/>
      <c r="B884" s="41"/>
      <c r="C884" s="124"/>
      <c r="D884" s="124"/>
    </row>
    <row r="885" spans="1:4" ht="28.5" customHeight="1">
      <c r="A885" s="124"/>
      <c r="B885" s="41"/>
      <c r="C885" s="124"/>
      <c r="D885" s="124"/>
    </row>
    <row r="886" spans="1:4" ht="28.5" customHeight="1">
      <c r="A886" s="124"/>
      <c r="B886" s="41"/>
      <c r="C886" s="124"/>
      <c r="D886" s="124"/>
    </row>
    <row r="887" spans="1:4" ht="28.5" customHeight="1">
      <c r="A887" s="124"/>
      <c r="B887" s="41"/>
      <c r="C887" s="124"/>
      <c r="D887" s="124"/>
    </row>
    <row r="888" spans="1:4" ht="28.5" customHeight="1">
      <c r="A888" s="124"/>
      <c r="B888" s="41"/>
      <c r="C888" s="124"/>
      <c r="D888" s="124"/>
    </row>
    <row r="889" spans="1:4" ht="28.5" customHeight="1">
      <c r="A889" s="124"/>
      <c r="B889" s="41"/>
      <c r="C889" s="124"/>
      <c r="D889" s="124"/>
    </row>
    <row r="890" spans="1:4" ht="28.5" customHeight="1">
      <c r="A890" s="124"/>
      <c r="B890" s="41"/>
      <c r="C890" s="124"/>
      <c r="D890" s="124"/>
    </row>
    <row r="891" spans="1:4" ht="28.5" customHeight="1">
      <c r="A891" s="124"/>
      <c r="B891" s="41"/>
      <c r="C891" s="124"/>
      <c r="D891" s="124"/>
    </row>
    <row r="892" spans="1:4" ht="28.5" customHeight="1">
      <c r="A892" s="124"/>
      <c r="B892" s="41"/>
      <c r="C892" s="124"/>
      <c r="D892" s="124"/>
    </row>
    <row r="893" spans="1:4" ht="28.5" customHeight="1">
      <c r="A893" s="124"/>
      <c r="B893" s="41"/>
      <c r="C893" s="124"/>
      <c r="D893" s="124"/>
    </row>
    <row r="894" spans="1:4" ht="28.5" customHeight="1">
      <c r="A894" s="124"/>
      <c r="B894" s="41"/>
      <c r="C894" s="124"/>
      <c r="D894" s="124"/>
    </row>
    <row r="895" spans="1:4" ht="28.5" customHeight="1">
      <c r="A895" s="124"/>
      <c r="B895" s="41"/>
      <c r="C895" s="124"/>
      <c r="D895" s="124"/>
    </row>
    <row r="896" spans="1:4" ht="28.5" customHeight="1">
      <c r="A896" s="124"/>
      <c r="B896" s="41"/>
      <c r="C896" s="124"/>
      <c r="D896" s="124"/>
    </row>
    <row r="897" spans="1:4" ht="28.5" customHeight="1">
      <c r="A897" s="124"/>
      <c r="B897" s="41"/>
      <c r="C897" s="124"/>
      <c r="D897" s="124"/>
    </row>
    <row r="898" spans="1:4" ht="28.5" customHeight="1">
      <c r="A898" s="124"/>
      <c r="B898" s="41"/>
      <c r="C898" s="124"/>
      <c r="D898" s="124"/>
    </row>
    <row r="899" spans="1:4" ht="28.5" customHeight="1">
      <c r="A899" s="124"/>
      <c r="B899" s="41"/>
      <c r="C899" s="124"/>
      <c r="D899" s="124"/>
    </row>
    <row r="900" spans="1:4" ht="28.5" customHeight="1">
      <c r="A900" s="124"/>
      <c r="B900" s="41"/>
      <c r="C900" s="124"/>
      <c r="D900" s="124"/>
    </row>
    <row r="901" spans="1:4" ht="28.5" customHeight="1">
      <c r="A901" s="124"/>
      <c r="B901" s="41"/>
      <c r="C901" s="124"/>
      <c r="D901" s="124"/>
    </row>
    <row r="902" spans="1:4" ht="28.5" customHeight="1">
      <c r="A902" s="124"/>
      <c r="B902" s="41"/>
      <c r="C902" s="124"/>
      <c r="D902" s="124"/>
    </row>
    <row r="903" spans="1:4" ht="28.5" customHeight="1">
      <c r="A903" s="124"/>
      <c r="B903" s="41"/>
      <c r="C903" s="124"/>
      <c r="D903" s="124"/>
    </row>
    <row r="904" spans="1:4" ht="28.5" customHeight="1">
      <c r="A904" s="124"/>
      <c r="B904" s="41"/>
      <c r="C904" s="124"/>
      <c r="D904" s="124"/>
    </row>
    <row r="905" spans="1:4" ht="28.5" customHeight="1">
      <c r="A905" s="124"/>
      <c r="B905" s="41"/>
      <c r="C905" s="124"/>
      <c r="D905" s="124"/>
    </row>
    <row r="906" spans="1:4" ht="28.5" customHeight="1">
      <c r="A906" s="124"/>
      <c r="B906" s="41"/>
      <c r="C906" s="124"/>
      <c r="D906" s="124"/>
    </row>
    <row r="907" spans="1:4" ht="28.5" customHeight="1">
      <c r="A907" s="124"/>
      <c r="B907" s="41"/>
      <c r="C907" s="124"/>
      <c r="D907" s="124"/>
    </row>
    <row r="908" spans="1:4" ht="28.5" customHeight="1">
      <c r="A908" s="124"/>
      <c r="B908" s="41"/>
      <c r="C908" s="124"/>
      <c r="D908" s="124"/>
    </row>
    <row r="909" spans="1:4" ht="28.5" customHeight="1">
      <c r="A909" s="124"/>
      <c r="B909" s="41"/>
      <c r="C909" s="124"/>
      <c r="D909" s="124"/>
    </row>
    <row r="910" spans="1:4" ht="28.5" customHeight="1">
      <c r="A910" s="124"/>
      <c r="B910" s="41"/>
      <c r="C910" s="124"/>
      <c r="D910" s="124"/>
    </row>
    <row r="911" spans="1:4" ht="28.5" customHeight="1">
      <c r="A911" s="124"/>
      <c r="B911" s="41"/>
      <c r="C911" s="124"/>
      <c r="D911" s="124"/>
    </row>
    <row r="912" spans="1:4" ht="28.5" customHeight="1">
      <c r="A912" s="124"/>
      <c r="B912" s="41"/>
      <c r="C912" s="124"/>
      <c r="D912" s="124"/>
    </row>
    <row r="913" spans="1:4" ht="28.5" customHeight="1">
      <c r="A913" s="124"/>
      <c r="B913" s="41"/>
      <c r="C913" s="124"/>
      <c r="D913" s="124"/>
    </row>
    <row r="914" spans="1:4" ht="28.5" customHeight="1">
      <c r="A914" s="124"/>
      <c r="B914" s="41"/>
      <c r="C914" s="124"/>
      <c r="D914" s="124"/>
    </row>
    <row r="915" spans="1:4" ht="28.5" customHeight="1">
      <c r="A915" s="124"/>
      <c r="B915" s="41"/>
      <c r="C915" s="124"/>
      <c r="D915" s="124"/>
    </row>
    <row r="916" spans="1:4" ht="28.5" customHeight="1">
      <c r="A916" s="124"/>
      <c r="B916" s="41"/>
      <c r="C916" s="124"/>
      <c r="D916" s="124"/>
    </row>
    <row r="917" spans="1:4" ht="28.5" customHeight="1">
      <c r="A917" s="124"/>
      <c r="B917" s="41"/>
      <c r="C917" s="124"/>
      <c r="D917" s="124"/>
    </row>
    <row r="918" spans="1:4" ht="28.5" customHeight="1">
      <c r="A918" s="124"/>
      <c r="B918" s="41"/>
      <c r="C918" s="124"/>
      <c r="D918" s="124"/>
    </row>
    <row r="919" spans="1:4" ht="28.5" customHeight="1">
      <c r="A919" s="124"/>
      <c r="B919" s="41"/>
      <c r="C919" s="124"/>
      <c r="D919" s="124"/>
    </row>
    <row r="920" spans="1:4" ht="28.5" customHeight="1">
      <c r="A920" s="124"/>
      <c r="B920" s="41"/>
      <c r="C920" s="124"/>
      <c r="D920" s="124"/>
    </row>
    <row r="921" spans="1:4" ht="28.5" customHeight="1">
      <c r="A921" s="124"/>
      <c r="B921" s="41"/>
      <c r="C921" s="124"/>
      <c r="D921" s="124"/>
    </row>
    <row r="922" spans="1:4" ht="28.5" customHeight="1">
      <c r="A922" s="124"/>
      <c r="B922" s="41"/>
      <c r="C922" s="124"/>
      <c r="D922" s="124"/>
    </row>
    <row r="923" spans="1:4" ht="28.5" customHeight="1">
      <c r="A923" s="124"/>
      <c r="B923" s="41"/>
      <c r="C923" s="124"/>
      <c r="D923" s="124"/>
    </row>
    <row r="924" spans="1:4" ht="28.5" customHeight="1">
      <c r="A924" s="124"/>
      <c r="B924" s="41"/>
      <c r="C924" s="124"/>
      <c r="D924" s="124"/>
    </row>
    <row r="925" spans="1:4" ht="28.5" customHeight="1">
      <c r="A925" s="124"/>
      <c r="B925" s="41"/>
      <c r="C925" s="124"/>
      <c r="D925" s="124"/>
    </row>
    <row r="926" spans="1:4" ht="28.5" customHeight="1">
      <c r="A926" s="124"/>
      <c r="B926" s="41"/>
      <c r="C926" s="124"/>
      <c r="D926" s="124"/>
    </row>
    <row r="927" spans="1:4" ht="28.5" customHeight="1">
      <c r="A927" s="124"/>
      <c r="B927" s="41"/>
      <c r="C927" s="124"/>
      <c r="D927" s="124"/>
    </row>
    <row r="928" spans="1:4" ht="28.5" customHeight="1">
      <c r="A928" s="124"/>
      <c r="B928" s="41"/>
      <c r="C928" s="124"/>
      <c r="D928" s="124"/>
    </row>
    <row r="929" spans="1:4" ht="28.5" customHeight="1">
      <c r="A929" s="124"/>
      <c r="B929" s="41"/>
      <c r="C929" s="124"/>
      <c r="D929" s="124"/>
    </row>
    <row r="930" spans="1:4" ht="28.5" customHeight="1">
      <c r="A930" s="124"/>
      <c r="B930" s="41"/>
      <c r="C930" s="124"/>
      <c r="D930" s="124"/>
    </row>
    <row r="931" spans="1:4" ht="28.5" customHeight="1">
      <c r="A931" s="124"/>
      <c r="B931" s="41"/>
      <c r="C931" s="124"/>
      <c r="D931" s="124"/>
    </row>
    <row r="932" spans="1:4" ht="28.5" customHeight="1">
      <c r="A932" s="124"/>
      <c r="B932" s="41"/>
      <c r="C932" s="124"/>
      <c r="D932" s="124"/>
    </row>
    <row r="933" spans="1:4" ht="28.5" customHeight="1">
      <c r="A933" s="124"/>
      <c r="B933" s="41"/>
      <c r="C933" s="124"/>
      <c r="D933" s="124"/>
    </row>
    <row r="934" spans="1:4" ht="28.5" customHeight="1">
      <c r="A934" s="124"/>
      <c r="B934" s="41"/>
      <c r="C934" s="124"/>
      <c r="D934" s="124"/>
    </row>
    <row r="935" spans="1:4" ht="28.5" customHeight="1">
      <c r="A935" s="124"/>
      <c r="B935" s="41"/>
      <c r="C935" s="124"/>
      <c r="D935" s="124"/>
    </row>
    <row r="936" spans="1:4" ht="28.5" customHeight="1">
      <c r="A936" s="124"/>
      <c r="B936" s="41"/>
      <c r="C936" s="124"/>
      <c r="D936" s="124"/>
    </row>
    <row r="937" spans="1:4" ht="28.5" customHeight="1">
      <c r="A937" s="124"/>
      <c r="B937" s="41"/>
      <c r="C937" s="124"/>
      <c r="D937" s="124"/>
    </row>
    <row r="938" spans="1:4" ht="28.5" customHeight="1">
      <c r="A938" s="124"/>
      <c r="B938" s="41"/>
      <c r="C938" s="124"/>
      <c r="D938" s="124"/>
    </row>
    <row r="939" spans="1:4" ht="28.5" customHeight="1">
      <c r="A939" s="124"/>
      <c r="B939" s="41"/>
      <c r="C939" s="124"/>
      <c r="D939" s="124"/>
    </row>
    <row r="940" spans="1:4" ht="28.5" customHeight="1">
      <c r="A940" s="124"/>
      <c r="B940" s="41"/>
      <c r="C940" s="124"/>
      <c r="D940" s="124"/>
    </row>
    <row r="941" spans="1:4" ht="28.5" customHeight="1">
      <c r="A941" s="124"/>
      <c r="B941" s="41"/>
      <c r="C941" s="124"/>
      <c r="D941" s="124"/>
    </row>
    <row r="942" spans="1:4" ht="28.5" customHeight="1">
      <c r="A942" s="124"/>
      <c r="B942" s="41"/>
      <c r="C942" s="124"/>
      <c r="D942" s="124"/>
    </row>
    <row r="943" spans="1:4" ht="28.5" customHeight="1">
      <c r="A943" s="124"/>
      <c r="B943" s="41"/>
      <c r="C943" s="124"/>
      <c r="D943" s="124"/>
    </row>
    <row r="944" spans="1:4" ht="28.5" customHeight="1">
      <c r="A944" s="124"/>
      <c r="B944" s="41"/>
      <c r="C944" s="124"/>
      <c r="D944" s="124"/>
    </row>
    <row r="945" spans="1:4" ht="28.5" customHeight="1">
      <c r="A945" s="124"/>
      <c r="B945" s="41"/>
      <c r="C945" s="124"/>
      <c r="D945" s="124"/>
    </row>
    <row r="946" spans="1:4" ht="28.5" customHeight="1">
      <c r="A946" s="124"/>
      <c r="B946" s="41"/>
      <c r="C946" s="124"/>
      <c r="D946" s="124"/>
    </row>
    <row r="947" spans="1:4" ht="28.5" customHeight="1">
      <c r="A947" s="124"/>
      <c r="B947" s="41"/>
      <c r="C947" s="124"/>
      <c r="D947" s="124"/>
    </row>
    <row r="948" spans="1:4" ht="28.5" customHeight="1">
      <c r="A948" s="124"/>
      <c r="B948" s="41"/>
      <c r="C948" s="124"/>
      <c r="D948" s="124"/>
    </row>
    <row r="949" spans="1:4" ht="28.5" customHeight="1">
      <c r="A949" s="124"/>
      <c r="B949" s="41"/>
      <c r="C949" s="124"/>
      <c r="D949" s="124"/>
    </row>
    <row r="950" spans="1:4" ht="28.5" customHeight="1">
      <c r="A950" s="124"/>
      <c r="B950" s="41"/>
      <c r="C950" s="124"/>
      <c r="D950" s="124"/>
    </row>
    <row r="951" spans="1:4" ht="28.5" customHeight="1">
      <c r="A951" s="124"/>
      <c r="B951" s="41"/>
      <c r="C951" s="124"/>
      <c r="D951" s="124"/>
    </row>
    <row r="952" spans="1:4" ht="28.5" customHeight="1">
      <c r="A952" s="124"/>
      <c r="B952" s="41"/>
      <c r="C952" s="124"/>
      <c r="D952" s="124"/>
    </row>
    <row r="953" spans="1:4" ht="28.5" customHeight="1">
      <c r="A953" s="124"/>
      <c r="B953" s="41"/>
      <c r="C953" s="124"/>
      <c r="D953" s="124"/>
    </row>
    <row r="954" spans="1:4" ht="28.5" customHeight="1">
      <c r="A954" s="124"/>
      <c r="B954" s="41"/>
      <c r="C954" s="124"/>
      <c r="D954" s="124"/>
    </row>
    <row r="955" spans="1:4" ht="28.5" customHeight="1">
      <c r="A955" s="124"/>
      <c r="B955" s="41"/>
      <c r="C955" s="124"/>
      <c r="D955" s="124"/>
    </row>
    <row r="956" spans="1:4" ht="28.5" customHeight="1">
      <c r="A956" s="124"/>
      <c r="B956" s="41"/>
      <c r="C956" s="124"/>
      <c r="D956" s="124"/>
    </row>
    <row r="957" spans="1:4" ht="28.5" customHeight="1">
      <c r="A957" s="124"/>
      <c r="B957" s="41"/>
      <c r="C957" s="124"/>
      <c r="D957" s="124"/>
    </row>
    <row r="958" spans="1:4" ht="28.5" customHeight="1">
      <c r="A958" s="124"/>
      <c r="B958" s="41"/>
      <c r="C958" s="124"/>
      <c r="D958" s="124"/>
    </row>
    <row r="959" spans="1:4" ht="28.5" customHeight="1">
      <c r="A959" s="124"/>
      <c r="B959" s="41"/>
      <c r="C959" s="124"/>
      <c r="D959" s="124"/>
    </row>
    <row r="960" spans="1:4" ht="28.5" customHeight="1">
      <c r="A960" s="124"/>
      <c r="B960" s="41"/>
      <c r="C960" s="124"/>
      <c r="D960" s="124"/>
    </row>
    <row r="961" spans="1:4" ht="28.5" customHeight="1">
      <c r="A961" s="124"/>
      <c r="B961" s="41"/>
      <c r="C961" s="124"/>
      <c r="D961" s="124"/>
    </row>
    <row r="962" spans="1:4" ht="28.5" customHeight="1">
      <c r="A962" s="124"/>
      <c r="B962" s="41"/>
      <c r="C962" s="124"/>
      <c r="D962" s="124"/>
    </row>
    <row r="963" spans="1:4" ht="28.5" customHeight="1">
      <c r="A963" s="124"/>
      <c r="B963" s="41"/>
      <c r="C963" s="124"/>
      <c r="D963" s="124"/>
    </row>
    <row r="964" spans="1:4" ht="28.5" customHeight="1">
      <c r="A964" s="124"/>
      <c r="B964" s="41"/>
      <c r="C964" s="124"/>
      <c r="D964" s="124"/>
    </row>
    <row r="965" spans="1:4" ht="28.5" customHeight="1">
      <c r="A965" s="124"/>
      <c r="B965" s="41"/>
      <c r="C965" s="124"/>
      <c r="D965" s="124"/>
    </row>
    <row r="966" spans="1:4" ht="28.5" customHeight="1">
      <c r="A966" s="124"/>
      <c r="B966" s="41"/>
      <c r="C966" s="124"/>
      <c r="D966" s="124"/>
    </row>
    <row r="967" spans="1:4" ht="28.5" customHeight="1">
      <c r="A967" s="124"/>
      <c r="B967" s="41"/>
      <c r="C967" s="124"/>
      <c r="D967" s="124"/>
    </row>
    <row r="968" spans="1:4" ht="28.5" customHeight="1">
      <c r="A968" s="124"/>
      <c r="B968" s="41"/>
      <c r="C968" s="124"/>
      <c r="D968" s="124"/>
    </row>
    <row r="969" spans="1:4" ht="28.5" customHeight="1">
      <c r="A969" s="124"/>
      <c r="B969" s="41"/>
      <c r="C969" s="124"/>
      <c r="D969" s="124"/>
    </row>
    <row r="970" spans="1:4" ht="28.5" customHeight="1">
      <c r="A970" s="124"/>
      <c r="B970" s="41"/>
      <c r="C970" s="124"/>
      <c r="D970" s="124"/>
    </row>
    <row r="971" spans="1:4" ht="28.5" customHeight="1">
      <c r="A971" s="124"/>
      <c r="B971" s="41"/>
      <c r="C971" s="124"/>
      <c r="D971" s="124"/>
    </row>
    <row r="972" spans="1:4" ht="28.5" customHeight="1">
      <c r="A972" s="124"/>
      <c r="B972" s="41"/>
      <c r="C972" s="124"/>
      <c r="D972" s="124"/>
    </row>
    <row r="973" spans="1:4" ht="28.5" customHeight="1">
      <c r="A973" s="124"/>
      <c r="B973" s="41"/>
      <c r="C973" s="124"/>
      <c r="D973" s="124"/>
    </row>
    <row r="974" spans="1:4" ht="28.5" customHeight="1">
      <c r="A974" s="124"/>
      <c r="B974" s="41"/>
      <c r="C974" s="124"/>
      <c r="D974" s="124"/>
    </row>
    <row r="975" spans="1:4" ht="28.5" customHeight="1">
      <c r="A975" s="124"/>
      <c r="B975" s="41"/>
      <c r="C975" s="124"/>
      <c r="D975" s="124"/>
    </row>
    <row r="976" spans="1:4" ht="28.5" customHeight="1">
      <c r="A976" s="124"/>
      <c r="B976" s="41"/>
      <c r="C976" s="124"/>
      <c r="D976" s="124"/>
    </row>
    <row r="977" spans="1:4" ht="28.5" customHeight="1">
      <c r="A977" s="124"/>
      <c r="B977" s="41"/>
      <c r="C977" s="124"/>
      <c r="D977" s="124"/>
    </row>
    <row r="978" spans="1:4" ht="28.5" customHeight="1">
      <c r="A978" s="124"/>
      <c r="B978" s="41"/>
      <c r="C978" s="124"/>
      <c r="D978" s="124"/>
    </row>
    <row r="979" spans="1:4" ht="28.5" customHeight="1">
      <c r="A979" s="124"/>
      <c r="B979" s="41"/>
      <c r="C979" s="124"/>
      <c r="D979" s="124"/>
    </row>
    <row r="980" spans="1:4" ht="28.5" customHeight="1">
      <c r="A980" s="124"/>
      <c r="B980" s="41"/>
      <c r="C980" s="124"/>
      <c r="D980" s="124"/>
    </row>
    <row r="981" spans="1:4" ht="28.5" customHeight="1">
      <c r="A981" s="124"/>
      <c r="B981" s="41"/>
      <c r="C981" s="124"/>
      <c r="D981" s="124"/>
    </row>
    <row r="982" spans="1:4" ht="28.5" customHeight="1">
      <c r="A982" s="124"/>
      <c r="B982" s="41"/>
      <c r="C982" s="124"/>
      <c r="D982" s="124"/>
    </row>
    <row r="983" spans="1:4" ht="28.5" customHeight="1">
      <c r="A983" s="124"/>
      <c r="B983" s="41"/>
      <c r="C983" s="124"/>
      <c r="D983" s="124"/>
    </row>
    <row r="984" spans="1:4" ht="28.5" customHeight="1">
      <c r="A984" s="124"/>
      <c r="B984" s="41"/>
      <c r="C984" s="124"/>
      <c r="D984" s="124"/>
    </row>
    <row r="985" spans="1:4" ht="28.5" customHeight="1">
      <c r="A985" s="124"/>
      <c r="B985" s="41"/>
      <c r="C985" s="124"/>
      <c r="D985" s="124"/>
    </row>
    <row r="986" spans="1:4" ht="28.5" customHeight="1">
      <c r="A986" s="124"/>
      <c r="B986" s="41"/>
      <c r="C986" s="124"/>
      <c r="D986" s="124"/>
    </row>
    <row r="987" spans="1:4" ht="28.5" customHeight="1">
      <c r="A987" s="124"/>
      <c r="B987" s="41"/>
      <c r="C987" s="124"/>
      <c r="D987" s="124"/>
    </row>
    <row r="988" spans="1:4" ht="28.5" customHeight="1">
      <c r="A988" s="124"/>
      <c r="B988" s="41"/>
      <c r="C988" s="124"/>
      <c r="D988" s="124"/>
    </row>
  </sheetData>
  <mergeCells count="2">
    <mergeCell ref="B2:D2"/>
    <mergeCell ref="D36:D37"/>
  </mergeCells>
  <phoneticPr fontId="10"/>
  <pageMargins left="0.7" right="0.7" top="0.75" bottom="0.75" header="0" footer="0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B6946-D0EE-41FD-A1A2-C73CEDDE42F2}">
  <dimension ref="A1:H992"/>
  <sheetViews>
    <sheetView zoomScale="90" zoomScaleNormal="90" workbookViewId="0">
      <pane xSplit="4" ySplit="1" topLeftCell="E44" activePane="bottomRight" state="frozen"/>
      <selection pane="topRight" activeCell="C1" sqref="C1"/>
      <selection pane="bottomLeft" activeCell="A3" sqref="A3"/>
      <selection pane="bottomRight" activeCell="H50" sqref="H50"/>
    </sheetView>
  </sheetViews>
  <sheetFormatPr defaultColWidth="14.42578125" defaultRowHeight="28.5" customHeight="1"/>
  <cols>
    <col min="1" max="2" width="4.140625" style="239" customWidth="1"/>
    <col min="3" max="5" width="10.85546875" style="239" customWidth="1"/>
    <col min="6" max="6" width="12.5703125" style="235" bestFit="1" customWidth="1"/>
    <col min="7" max="7" width="10.85546875" style="239" customWidth="1"/>
    <col min="8" max="8" width="28.140625" style="239" bestFit="1" customWidth="1"/>
    <col min="9" max="16384" width="14.42578125" style="239"/>
  </cols>
  <sheetData>
    <row r="1" spans="1:8" ht="22.5" customHeight="1">
      <c r="B1" s="279"/>
      <c r="C1" s="260" t="s">
        <v>9</v>
      </c>
      <c r="D1" s="260" t="s">
        <v>660</v>
      </c>
      <c r="E1" s="261" t="s">
        <v>653</v>
      </c>
      <c r="F1" s="262" t="s">
        <v>654</v>
      </c>
      <c r="G1" s="263" t="s">
        <v>655</v>
      </c>
      <c r="H1" s="263" t="s">
        <v>659</v>
      </c>
    </row>
    <row r="2" spans="1:8" ht="28.5" customHeight="1">
      <c r="A2" s="242" t="s">
        <v>656</v>
      </c>
      <c r="B2" s="264">
        <v>1</v>
      </c>
      <c r="C2" s="265" t="s">
        <v>25</v>
      </c>
      <c r="D2" s="268" t="s">
        <v>665</v>
      </c>
      <c r="E2" s="266">
        <v>7012</v>
      </c>
      <c r="F2" s="267">
        <v>2750</v>
      </c>
      <c r="G2" s="266">
        <f t="shared" ref="G2:G41" si="0">SUM(E2:F2)</f>
        <v>9762</v>
      </c>
      <c r="H2" s="259"/>
    </row>
    <row r="3" spans="1:8" ht="28.5" customHeight="1">
      <c r="A3" s="242" t="s">
        <v>656</v>
      </c>
      <c r="B3" s="264">
        <v>2</v>
      </c>
      <c r="C3" s="265" t="s">
        <v>45</v>
      </c>
      <c r="D3" s="268" t="s">
        <v>665</v>
      </c>
      <c r="E3" s="266">
        <v>17600</v>
      </c>
      <c r="F3" s="267">
        <v>2750</v>
      </c>
      <c r="G3" s="266">
        <f t="shared" si="0"/>
        <v>20350</v>
      </c>
      <c r="H3" s="259"/>
    </row>
    <row r="4" spans="1:8" ht="28.5" customHeight="1">
      <c r="A4" s="242" t="s">
        <v>656</v>
      </c>
      <c r="B4" s="264">
        <v>3</v>
      </c>
      <c r="C4" s="265" t="s">
        <v>61</v>
      </c>
      <c r="D4" s="268" t="s">
        <v>665</v>
      </c>
      <c r="E4" s="266">
        <v>8800</v>
      </c>
      <c r="F4" s="267">
        <v>2750</v>
      </c>
      <c r="G4" s="266">
        <f t="shared" si="0"/>
        <v>11550</v>
      </c>
      <c r="H4" s="259"/>
    </row>
    <row r="5" spans="1:8" ht="28.5" customHeight="1">
      <c r="A5" s="242" t="s">
        <v>656</v>
      </c>
      <c r="B5" s="264">
        <v>4</v>
      </c>
      <c r="C5" s="265" t="s">
        <v>69</v>
      </c>
      <c r="D5" s="268" t="s">
        <v>665</v>
      </c>
      <c r="E5" s="266">
        <v>11412</v>
      </c>
      <c r="F5" s="267">
        <v>2750</v>
      </c>
      <c r="G5" s="266">
        <f t="shared" si="0"/>
        <v>14162</v>
      </c>
      <c r="H5" s="259"/>
    </row>
    <row r="6" spans="1:8" ht="28.5" customHeight="1">
      <c r="A6" s="242" t="s">
        <v>656</v>
      </c>
      <c r="B6" s="264">
        <v>5</v>
      </c>
      <c r="C6" s="265" t="s">
        <v>86</v>
      </c>
      <c r="D6" s="268" t="s">
        <v>665</v>
      </c>
      <c r="E6" s="266">
        <v>8800</v>
      </c>
      <c r="F6" s="267">
        <v>2750</v>
      </c>
      <c r="G6" s="266">
        <f t="shared" si="0"/>
        <v>11550</v>
      </c>
      <c r="H6" s="259"/>
    </row>
    <row r="7" spans="1:8" ht="28.5" customHeight="1">
      <c r="A7" s="242" t="s">
        <v>656</v>
      </c>
      <c r="B7" s="264">
        <v>6</v>
      </c>
      <c r="C7" s="265" t="s">
        <v>94</v>
      </c>
      <c r="D7" s="268" t="s">
        <v>665</v>
      </c>
      <c r="E7" s="266">
        <v>17600</v>
      </c>
      <c r="F7" s="267">
        <v>2750</v>
      </c>
      <c r="G7" s="266">
        <f t="shared" si="0"/>
        <v>20350</v>
      </c>
      <c r="H7" s="259"/>
    </row>
    <row r="8" spans="1:8" ht="28.5" customHeight="1">
      <c r="A8" s="242" t="s">
        <v>656</v>
      </c>
      <c r="B8" s="264">
        <v>7</v>
      </c>
      <c r="C8" s="265" t="s">
        <v>102</v>
      </c>
      <c r="D8" s="268" t="s">
        <v>665</v>
      </c>
      <c r="E8" s="266">
        <v>19800</v>
      </c>
      <c r="F8" s="267">
        <v>2750</v>
      </c>
      <c r="G8" s="266">
        <f t="shared" si="0"/>
        <v>22550</v>
      </c>
      <c r="H8" s="259"/>
    </row>
    <row r="9" spans="1:8" ht="28.5" customHeight="1">
      <c r="A9" s="242" t="s">
        <v>656</v>
      </c>
      <c r="B9" s="264">
        <v>8</v>
      </c>
      <c r="C9" s="265" t="s">
        <v>108</v>
      </c>
      <c r="D9" s="268" t="s">
        <v>665</v>
      </c>
      <c r="E9" s="266">
        <v>8800</v>
      </c>
      <c r="F9" s="267">
        <v>2750</v>
      </c>
      <c r="G9" s="266">
        <f t="shared" si="0"/>
        <v>11550</v>
      </c>
      <c r="H9" s="259"/>
    </row>
    <row r="10" spans="1:8" ht="28.5" customHeight="1">
      <c r="A10" s="242" t="s">
        <v>656</v>
      </c>
      <c r="B10" s="264">
        <v>9</v>
      </c>
      <c r="C10" s="268" t="s">
        <v>569</v>
      </c>
      <c r="D10" s="268" t="s">
        <v>665</v>
      </c>
      <c r="E10" s="266">
        <v>6050</v>
      </c>
      <c r="F10" s="267">
        <v>2750</v>
      </c>
      <c r="G10" s="266">
        <f t="shared" si="0"/>
        <v>8800</v>
      </c>
      <c r="H10" s="259"/>
    </row>
    <row r="11" spans="1:8" ht="28.5" customHeight="1">
      <c r="A11" s="242" t="s">
        <v>656</v>
      </c>
      <c r="B11" s="264">
        <v>10</v>
      </c>
      <c r="C11" s="265" t="s">
        <v>115</v>
      </c>
      <c r="D11" s="268" t="s">
        <v>665</v>
      </c>
      <c r="E11" s="266">
        <v>17600</v>
      </c>
      <c r="F11" s="267">
        <v>2750</v>
      </c>
      <c r="G11" s="266">
        <f t="shared" si="0"/>
        <v>20350</v>
      </c>
      <c r="H11" s="259"/>
    </row>
    <row r="12" spans="1:8" ht="28.5" customHeight="1">
      <c r="A12" s="242" t="s">
        <v>656</v>
      </c>
      <c r="B12" s="264">
        <v>11</v>
      </c>
      <c r="C12" s="269" t="s">
        <v>517</v>
      </c>
      <c r="D12" s="268" t="s">
        <v>665</v>
      </c>
      <c r="E12" s="266">
        <v>6050</v>
      </c>
      <c r="F12" s="267">
        <v>2750</v>
      </c>
      <c r="G12" s="266">
        <f t="shared" si="0"/>
        <v>8800</v>
      </c>
      <c r="H12" s="259"/>
    </row>
    <row r="13" spans="1:8" ht="28.5" customHeight="1">
      <c r="A13" s="242" t="s">
        <v>656</v>
      </c>
      <c r="B13" s="264">
        <v>12</v>
      </c>
      <c r="C13" s="265" t="s">
        <v>129</v>
      </c>
      <c r="D13" s="268" t="s">
        <v>665</v>
      </c>
      <c r="E13" s="266">
        <v>10450</v>
      </c>
      <c r="F13" s="267">
        <v>2750</v>
      </c>
      <c r="G13" s="266">
        <f t="shared" si="0"/>
        <v>13200</v>
      </c>
      <c r="H13" s="259"/>
    </row>
    <row r="14" spans="1:8" ht="28.5" customHeight="1">
      <c r="A14" s="242" t="s">
        <v>656</v>
      </c>
      <c r="B14" s="264">
        <v>13</v>
      </c>
      <c r="C14" s="265" t="s">
        <v>147</v>
      </c>
      <c r="D14" s="268" t="s">
        <v>665</v>
      </c>
      <c r="E14" s="266">
        <v>9624</v>
      </c>
      <c r="F14" s="267">
        <v>2750</v>
      </c>
      <c r="G14" s="266">
        <f t="shared" si="0"/>
        <v>12374</v>
      </c>
      <c r="H14" s="259"/>
    </row>
    <row r="15" spans="1:8" ht="28.5" customHeight="1">
      <c r="A15" s="242" t="s">
        <v>656</v>
      </c>
      <c r="B15" s="264">
        <v>14</v>
      </c>
      <c r="C15" s="265" t="s">
        <v>156</v>
      </c>
      <c r="D15" s="268" t="s">
        <v>665</v>
      </c>
      <c r="E15" s="266">
        <v>8800</v>
      </c>
      <c r="F15" s="267">
        <v>2750</v>
      </c>
      <c r="G15" s="266">
        <f t="shared" si="0"/>
        <v>11550</v>
      </c>
      <c r="H15" s="259"/>
    </row>
    <row r="16" spans="1:8" s="247" customFormat="1" ht="28.5" customHeight="1">
      <c r="A16" s="246" t="s">
        <v>656</v>
      </c>
      <c r="B16" s="264">
        <v>15</v>
      </c>
      <c r="C16" s="270" t="s">
        <v>560</v>
      </c>
      <c r="D16" s="268" t="s">
        <v>665</v>
      </c>
      <c r="E16" s="266">
        <v>8800</v>
      </c>
      <c r="F16" s="267">
        <v>2750</v>
      </c>
      <c r="G16" s="266">
        <f t="shared" si="0"/>
        <v>11550</v>
      </c>
      <c r="H16" s="259"/>
    </row>
    <row r="17" spans="1:8" ht="28.5" customHeight="1">
      <c r="A17" s="242" t="s">
        <v>656</v>
      </c>
      <c r="B17" s="264">
        <v>16</v>
      </c>
      <c r="C17" s="265" t="s">
        <v>168</v>
      </c>
      <c r="D17" s="268" t="s">
        <v>665</v>
      </c>
      <c r="E17" s="266">
        <v>5224</v>
      </c>
      <c r="F17" s="267">
        <v>2750</v>
      </c>
      <c r="G17" s="266">
        <f t="shared" si="0"/>
        <v>7974</v>
      </c>
      <c r="H17" s="259"/>
    </row>
    <row r="18" spans="1:8" ht="28.5" customHeight="1">
      <c r="A18" s="242" t="s">
        <v>656</v>
      </c>
      <c r="B18" s="264">
        <v>17</v>
      </c>
      <c r="C18" s="268" t="s">
        <v>588</v>
      </c>
      <c r="D18" s="268" t="s">
        <v>665</v>
      </c>
      <c r="E18" s="266">
        <v>6050</v>
      </c>
      <c r="F18" s="267">
        <v>2750</v>
      </c>
      <c r="G18" s="266">
        <f t="shared" si="0"/>
        <v>8800</v>
      </c>
      <c r="H18" s="259"/>
    </row>
    <row r="19" spans="1:8" ht="28.5" customHeight="1">
      <c r="A19" s="242" t="s">
        <v>656</v>
      </c>
      <c r="B19" s="264">
        <v>18</v>
      </c>
      <c r="C19" s="268" t="s">
        <v>644</v>
      </c>
      <c r="D19" s="268" t="s">
        <v>665</v>
      </c>
      <c r="E19" s="266">
        <v>6050</v>
      </c>
      <c r="F19" s="267">
        <v>2750</v>
      </c>
      <c r="G19" s="266">
        <f t="shared" si="0"/>
        <v>8800</v>
      </c>
      <c r="H19" s="259"/>
    </row>
    <row r="20" spans="1:8" ht="28.5" customHeight="1">
      <c r="A20" s="245" t="s">
        <v>656</v>
      </c>
      <c r="B20" s="264">
        <v>19</v>
      </c>
      <c r="C20" s="268" t="s">
        <v>643</v>
      </c>
      <c r="D20" s="268" t="s">
        <v>665</v>
      </c>
      <c r="E20" s="266">
        <v>6050</v>
      </c>
      <c r="F20" s="267">
        <v>2750</v>
      </c>
      <c r="G20" s="266">
        <f t="shared" si="0"/>
        <v>8800</v>
      </c>
      <c r="H20" s="259"/>
    </row>
    <row r="21" spans="1:8" ht="28.5" customHeight="1">
      <c r="A21" s="242" t="s">
        <v>656</v>
      </c>
      <c r="B21" s="264">
        <v>20</v>
      </c>
      <c r="C21" s="265" t="s">
        <v>174</v>
      </c>
      <c r="D21" s="268" t="s">
        <v>665</v>
      </c>
      <c r="E21" s="266">
        <v>9624</v>
      </c>
      <c r="F21" s="267">
        <v>2750</v>
      </c>
      <c r="G21" s="266">
        <f t="shared" si="0"/>
        <v>12374</v>
      </c>
      <c r="H21" s="259"/>
    </row>
    <row r="22" spans="1:8" ht="28.5" customHeight="1">
      <c r="A22" s="242" t="s">
        <v>656</v>
      </c>
      <c r="B22" s="264">
        <v>21</v>
      </c>
      <c r="C22" s="268" t="s">
        <v>642</v>
      </c>
      <c r="D22" s="268" t="s">
        <v>665</v>
      </c>
      <c r="E22" s="266"/>
      <c r="F22" s="267">
        <v>2750</v>
      </c>
      <c r="G22" s="266">
        <f t="shared" si="0"/>
        <v>2750</v>
      </c>
      <c r="H22" s="271" t="s">
        <v>657</v>
      </c>
    </row>
    <row r="23" spans="1:8" ht="28.5" customHeight="1">
      <c r="A23" s="242" t="s">
        <v>656</v>
      </c>
      <c r="B23" s="264">
        <v>22</v>
      </c>
      <c r="C23" s="265" t="s">
        <v>180</v>
      </c>
      <c r="D23" s="268" t="s">
        <v>665</v>
      </c>
      <c r="E23" s="266">
        <v>17600</v>
      </c>
      <c r="F23" s="267">
        <v>2750</v>
      </c>
      <c r="G23" s="266">
        <f t="shared" si="0"/>
        <v>20350</v>
      </c>
      <c r="H23" s="259"/>
    </row>
    <row r="24" spans="1:8" ht="28.5" customHeight="1">
      <c r="A24" s="242" t="s">
        <v>656</v>
      </c>
      <c r="B24" s="264">
        <v>23</v>
      </c>
      <c r="C24" s="269" t="s">
        <v>518</v>
      </c>
      <c r="D24" s="268" t="s">
        <v>665</v>
      </c>
      <c r="E24" s="266">
        <v>6600</v>
      </c>
      <c r="F24" s="267">
        <v>2750</v>
      </c>
      <c r="G24" s="266">
        <f t="shared" si="0"/>
        <v>9350</v>
      </c>
      <c r="H24" s="259"/>
    </row>
    <row r="25" spans="1:8" ht="28.5" customHeight="1">
      <c r="A25" s="242" t="s">
        <v>656</v>
      </c>
      <c r="B25" s="264">
        <v>24</v>
      </c>
      <c r="C25" s="265" t="s">
        <v>197</v>
      </c>
      <c r="D25" s="268" t="s">
        <v>665</v>
      </c>
      <c r="E25" s="266">
        <v>8800</v>
      </c>
      <c r="F25" s="267">
        <v>2750</v>
      </c>
      <c r="G25" s="266">
        <f t="shared" si="0"/>
        <v>11550</v>
      </c>
      <c r="H25" s="259"/>
    </row>
    <row r="26" spans="1:8" ht="28.5" customHeight="1">
      <c r="A26" s="242" t="s">
        <v>656</v>
      </c>
      <c r="B26" s="264">
        <v>25</v>
      </c>
      <c r="C26" s="268" t="s">
        <v>563</v>
      </c>
      <c r="D26" s="268" t="s">
        <v>665</v>
      </c>
      <c r="E26" s="266">
        <v>6050</v>
      </c>
      <c r="F26" s="267">
        <v>2750</v>
      </c>
      <c r="G26" s="266">
        <f t="shared" si="0"/>
        <v>8800</v>
      </c>
      <c r="H26" s="259"/>
    </row>
    <row r="27" spans="1:8" ht="28.5" customHeight="1">
      <c r="A27" s="242" t="s">
        <v>656</v>
      </c>
      <c r="B27" s="264">
        <v>26</v>
      </c>
      <c r="C27" s="268" t="s">
        <v>552</v>
      </c>
      <c r="D27" s="268" t="s">
        <v>665</v>
      </c>
      <c r="E27" s="266">
        <v>6050</v>
      </c>
      <c r="F27" s="267">
        <v>2750</v>
      </c>
      <c r="G27" s="266">
        <f t="shared" si="0"/>
        <v>8800</v>
      </c>
      <c r="H27" s="259"/>
    </row>
    <row r="28" spans="1:8" ht="28.5" customHeight="1">
      <c r="A28" s="242" t="s">
        <v>656</v>
      </c>
      <c r="B28" s="264">
        <v>27</v>
      </c>
      <c r="C28" s="268" t="s">
        <v>553</v>
      </c>
      <c r="D28" s="268" t="s">
        <v>665</v>
      </c>
      <c r="E28" s="266">
        <v>6050</v>
      </c>
      <c r="F28" s="267">
        <v>2750</v>
      </c>
      <c r="G28" s="266">
        <f t="shared" si="0"/>
        <v>8800</v>
      </c>
      <c r="H28" s="259"/>
    </row>
    <row r="29" spans="1:8" ht="28.5" customHeight="1">
      <c r="A29" s="242" t="s">
        <v>656</v>
      </c>
      <c r="B29" s="264">
        <v>28</v>
      </c>
      <c r="C29" s="265" t="s">
        <v>213</v>
      </c>
      <c r="D29" s="268" t="s">
        <v>665</v>
      </c>
      <c r="E29" s="266">
        <v>4400</v>
      </c>
      <c r="F29" s="267">
        <v>2750</v>
      </c>
      <c r="G29" s="266">
        <f t="shared" si="0"/>
        <v>7150</v>
      </c>
      <c r="H29" s="259"/>
    </row>
    <row r="30" spans="1:8" ht="28.5" customHeight="1">
      <c r="A30" s="242" t="s">
        <v>656</v>
      </c>
      <c r="B30" s="264">
        <v>29</v>
      </c>
      <c r="C30" s="272" t="s">
        <v>661</v>
      </c>
      <c r="D30" s="268" t="s">
        <v>665</v>
      </c>
      <c r="E30" s="266">
        <v>6600</v>
      </c>
      <c r="F30" s="267">
        <v>2750</v>
      </c>
      <c r="G30" s="266">
        <f t="shared" si="0"/>
        <v>9350</v>
      </c>
      <c r="H30" s="259"/>
    </row>
    <row r="31" spans="1:8" ht="28.5" customHeight="1">
      <c r="A31" s="242" t="s">
        <v>656</v>
      </c>
      <c r="B31" s="264">
        <v>30</v>
      </c>
      <c r="C31" s="265" t="s">
        <v>296</v>
      </c>
      <c r="D31" s="268" t="s">
        <v>665</v>
      </c>
      <c r="E31" s="266">
        <v>13200</v>
      </c>
      <c r="F31" s="267">
        <v>2750</v>
      </c>
      <c r="G31" s="266">
        <f t="shared" si="0"/>
        <v>15950</v>
      </c>
      <c r="H31" s="259"/>
    </row>
    <row r="32" spans="1:8" ht="27" customHeight="1">
      <c r="A32" s="242" t="s">
        <v>656</v>
      </c>
      <c r="B32" s="264">
        <v>31</v>
      </c>
      <c r="C32" s="265" t="s">
        <v>327</v>
      </c>
      <c r="D32" s="268" t="s">
        <v>665</v>
      </c>
      <c r="E32" s="266">
        <v>13200</v>
      </c>
      <c r="F32" s="267">
        <v>2750</v>
      </c>
      <c r="G32" s="266">
        <f t="shared" si="0"/>
        <v>15950</v>
      </c>
      <c r="H32" s="259"/>
    </row>
    <row r="33" spans="1:8" ht="28.5" customHeight="1">
      <c r="A33" s="242" t="s">
        <v>656</v>
      </c>
      <c r="B33" s="264">
        <v>32</v>
      </c>
      <c r="C33" s="273" t="s">
        <v>355</v>
      </c>
      <c r="D33" s="268" t="s">
        <v>665</v>
      </c>
      <c r="E33" s="266">
        <v>6050</v>
      </c>
      <c r="F33" s="267">
        <v>2750</v>
      </c>
      <c r="G33" s="266">
        <f t="shared" si="0"/>
        <v>8800</v>
      </c>
      <c r="H33" s="259"/>
    </row>
    <row r="34" spans="1:8" ht="28.5" customHeight="1">
      <c r="A34" s="242" t="s">
        <v>656</v>
      </c>
      <c r="B34" s="264">
        <v>33</v>
      </c>
      <c r="C34" s="265" t="s">
        <v>242</v>
      </c>
      <c r="D34" s="268" t="s">
        <v>665</v>
      </c>
      <c r="E34" s="266">
        <v>17600</v>
      </c>
      <c r="F34" s="267">
        <v>2750</v>
      </c>
      <c r="G34" s="266">
        <f>SUM(E34:F34)</f>
        <v>20350</v>
      </c>
      <c r="H34" s="259"/>
    </row>
    <row r="35" spans="1:8" ht="28.5" customHeight="1">
      <c r="A35" s="242" t="s">
        <v>656</v>
      </c>
      <c r="B35" s="264">
        <v>34</v>
      </c>
      <c r="C35" s="268" t="s">
        <v>592</v>
      </c>
      <c r="D35" s="268" t="s">
        <v>665</v>
      </c>
      <c r="E35" s="266">
        <v>6050</v>
      </c>
      <c r="F35" s="267">
        <v>2750</v>
      </c>
      <c r="G35" s="266">
        <f t="shared" si="0"/>
        <v>8800</v>
      </c>
      <c r="H35" s="259"/>
    </row>
    <row r="36" spans="1:8" ht="28.5" customHeight="1">
      <c r="A36" s="242" t="s">
        <v>656</v>
      </c>
      <c r="B36" s="264">
        <v>35</v>
      </c>
      <c r="C36" s="268" t="s">
        <v>539</v>
      </c>
      <c r="D36" s="268" t="s">
        <v>665</v>
      </c>
      <c r="E36" s="266">
        <v>9064</v>
      </c>
      <c r="F36" s="267">
        <v>2750</v>
      </c>
      <c r="G36" s="266">
        <f t="shared" si="0"/>
        <v>11814</v>
      </c>
      <c r="H36" s="259"/>
    </row>
    <row r="37" spans="1:8" ht="28.5" customHeight="1">
      <c r="A37" s="242" t="s">
        <v>656</v>
      </c>
      <c r="B37" s="264">
        <v>36</v>
      </c>
      <c r="C37" s="268" t="s">
        <v>547</v>
      </c>
      <c r="D37" s="268" t="s">
        <v>665</v>
      </c>
      <c r="E37" s="266">
        <v>12100</v>
      </c>
      <c r="F37" s="267">
        <v>2750</v>
      </c>
      <c r="G37" s="266">
        <f t="shared" si="0"/>
        <v>14850</v>
      </c>
      <c r="H37" s="259"/>
    </row>
    <row r="38" spans="1:8" ht="28.5" customHeight="1">
      <c r="A38" s="242" t="s">
        <v>656</v>
      </c>
      <c r="B38" s="264">
        <v>37</v>
      </c>
      <c r="C38" s="268" t="s">
        <v>550</v>
      </c>
      <c r="D38" s="268" t="s">
        <v>665</v>
      </c>
      <c r="E38" s="266">
        <v>12100</v>
      </c>
      <c r="F38" s="267">
        <v>2750</v>
      </c>
      <c r="G38" s="266">
        <f t="shared" si="0"/>
        <v>14850</v>
      </c>
      <c r="H38" s="259"/>
    </row>
    <row r="39" spans="1:8" ht="28.5" customHeight="1">
      <c r="A39" s="242" t="s">
        <v>656</v>
      </c>
      <c r="B39" s="264">
        <v>38</v>
      </c>
      <c r="C39" s="265" t="s">
        <v>333</v>
      </c>
      <c r="D39" s="268" t="s">
        <v>665</v>
      </c>
      <c r="E39" s="266">
        <v>9624</v>
      </c>
      <c r="F39" s="267">
        <v>2750</v>
      </c>
      <c r="G39" s="266">
        <f t="shared" si="0"/>
        <v>12374</v>
      </c>
      <c r="H39" s="259"/>
    </row>
    <row r="40" spans="1:8" ht="28.5" customHeight="1">
      <c r="A40" s="242" t="s">
        <v>656</v>
      </c>
      <c r="B40" s="264">
        <v>39</v>
      </c>
      <c r="C40" s="270" t="s">
        <v>538</v>
      </c>
      <c r="D40" s="268" t="s">
        <v>665</v>
      </c>
      <c r="E40" s="266">
        <v>13200</v>
      </c>
      <c r="F40" s="267">
        <v>2750</v>
      </c>
      <c r="G40" s="266">
        <f t="shared" si="0"/>
        <v>15950</v>
      </c>
      <c r="H40" s="259"/>
    </row>
    <row r="41" spans="1:8" ht="28.5" customHeight="1" thickBot="1">
      <c r="A41" s="243" t="s">
        <v>656</v>
      </c>
      <c r="B41" s="282">
        <v>40</v>
      </c>
      <c r="C41" s="275" t="s">
        <v>304</v>
      </c>
      <c r="D41" s="276" t="s">
        <v>665</v>
      </c>
      <c r="E41" s="277">
        <v>4950</v>
      </c>
      <c r="F41" s="283">
        <v>2750</v>
      </c>
      <c r="G41" s="277">
        <f t="shared" si="0"/>
        <v>7700</v>
      </c>
      <c r="H41" s="274"/>
    </row>
    <row r="42" spans="1:8" ht="28.5" customHeight="1" thickBot="1">
      <c r="A42" s="242"/>
      <c r="B42" s="350" t="s">
        <v>662</v>
      </c>
      <c r="C42" s="351"/>
      <c r="D42" s="352"/>
      <c r="E42" s="278">
        <f t="shared" ref="E42:F42" si="1">SUM(E2:E41)</f>
        <v>379484</v>
      </c>
      <c r="F42" s="280">
        <f t="shared" si="1"/>
        <v>110000</v>
      </c>
      <c r="G42" s="281">
        <f>SUM(G2:G41)</f>
        <v>489484</v>
      </c>
      <c r="H42" s="258"/>
    </row>
    <row r="43" spans="1:8" ht="28.5" customHeight="1">
      <c r="A43" s="242" t="s">
        <v>656</v>
      </c>
      <c r="B43" s="264">
        <v>1</v>
      </c>
      <c r="C43" s="268" t="s">
        <v>614</v>
      </c>
      <c r="D43" s="268" t="s">
        <v>630</v>
      </c>
      <c r="E43" s="266">
        <v>19980</v>
      </c>
      <c r="F43" s="267">
        <v>2750</v>
      </c>
      <c r="G43" s="266">
        <f t="shared" ref="G43:G51" si="2">SUM(E43:F43)</f>
        <v>22730</v>
      </c>
      <c r="H43" s="259"/>
    </row>
    <row r="44" spans="1:8" ht="28.5" customHeight="1">
      <c r="A44" s="242" t="s">
        <v>656</v>
      </c>
      <c r="B44" s="264">
        <v>2</v>
      </c>
      <c r="C44" s="268" t="s">
        <v>635</v>
      </c>
      <c r="D44" s="268" t="s">
        <v>630</v>
      </c>
      <c r="E44" s="266"/>
      <c r="F44" s="267">
        <v>2750</v>
      </c>
      <c r="G44" s="266">
        <f t="shared" si="2"/>
        <v>2750</v>
      </c>
      <c r="H44" s="264" t="s">
        <v>658</v>
      </c>
    </row>
    <row r="45" spans="1:8" ht="28.5" customHeight="1">
      <c r="A45" s="242" t="s">
        <v>656</v>
      </c>
      <c r="B45" s="264">
        <v>3</v>
      </c>
      <c r="C45" s="265" t="s">
        <v>338</v>
      </c>
      <c r="D45" s="268" t="s">
        <v>630</v>
      </c>
      <c r="E45" s="266">
        <v>8800</v>
      </c>
      <c r="F45" s="267">
        <v>2750</v>
      </c>
      <c r="G45" s="266">
        <f t="shared" si="2"/>
        <v>11550</v>
      </c>
      <c r="H45" s="259"/>
    </row>
    <row r="46" spans="1:8" ht="28.5" customHeight="1">
      <c r="A46" s="242" t="s">
        <v>656</v>
      </c>
      <c r="B46" s="264">
        <v>4</v>
      </c>
      <c r="C46" s="265" t="s">
        <v>346</v>
      </c>
      <c r="D46" s="268" t="s">
        <v>630</v>
      </c>
      <c r="E46" s="266">
        <v>8800</v>
      </c>
      <c r="F46" s="267">
        <v>2750</v>
      </c>
      <c r="G46" s="266">
        <f t="shared" si="2"/>
        <v>11550</v>
      </c>
      <c r="H46" s="259"/>
    </row>
    <row r="47" spans="1:8" ht="28.5" customHeight="1">
      <c r="A47" s="242" t="s">
        <v>656</v>
      </c>
      <c r="B47" s="264">
        <v>5</v>
      </c>
      <c r="C47" s="268" t="s">
        <v>647</v>
      </c>
      <c r="D47" s="268" t="s">
        <v>630</v>
      </c>
      <c r="E47" s="266">
        <v>6600</v>
      </c>
      <c r="F47" s="267">
        <v>2750</v>
      </c>
      <c r="G47" s="266">
        <f t="shared" si="2"/>
        <v>9350</v>
      </c>
      <c r="H47" s="259"/>
    </row>
    <row r="48" spans="1:8" ht="28.5" customHeight="1">
      <c r="A48" s="242" t="s">
        <v>656</v>
      </c>
      <c r="B48" s="264">
        <v>6</v>
      </c>
      <c r="C48" s="268" t="s">
        <v>628</v>
      </c>
      <c r="D48" s="268" t="s">
        <v>630</v>
      </c>
      <c r="E48" s="266">
        <v>19800</v>
      </c>
      <c r="F48" s="267">
        <v>2750</v>
      </c>
      <c r="G48" s="266">
        <f t="shared" si="2"/>
        <v>22550</v>
      </c>
      <c r="H48" s="259"/>
    </row>
    <row r="49" spans="1:8" ht="28.5" customHeight="1">
      <c r="A49" s="242" t="s">
        <v>656</v>
      </c>
      <c r="B49" s="264">
        <v>7</v>
      </c>
      <c r="C49" s="268" t="s">
        <v>652</v>
      </c>
      <c r="D49" s="268" t="s">
        <v>630</v>
      </c>
      <c r="E49" s="266">
        <v>8800</v>
      </c>
      <c r="F49" s="267">
        <v>2750</v>
      </c>
      <c r="G49" s="266">
        <f t="shared" si="2"/>
        <v>11550</v>
      </c>
      <c r="H49" s="259"/>
    </row>
    <row r="50" spans="1:8" ht="28.5" customHeight="1">
      <c r="A50" s="242" t="s">
        <v>656</v>
      </c>
      <c r="B50" s="264">
        <v>8</v>
      </c>
      <c r="C50" s="265" t="s">
        <v>250</v>
      </c>
      <c r="D50" s="268" t="s">
        <v>630</v>
      </c>
      <c r="E50" s="266">
        <v>8800</v>
      </c>
      <c r="F50" s="267">
        <v>2750</v>
      </c>
      <c r="G50" s="266">
        <f t="shared" si="2"/>
        <v>11550</v>
      </c>
      <c r="H50" s="259"/>
    </row>
    <row r="51" spans="1:8" ht="28.5" customHeight="1" thickBot="1">
      <c r="A51" s="243" t="s">
        <v>656</v>
      </c>
      <c r="B51" s="282">
        <v>9</v>
      </c>
      <c r="C51" s="284" t="s">
        <v>646</v>
      </c>
      <c r="D51" s="276" t="s">
        <v>630</v>
      </c>
      <c r="E51" s="277">
        <v>9900</v>
      </c>
      <c r="F51" s="283">
        <v>2750</v>
      </c>
      <c r="G51" s="277">
        <f t="shared" si="2"/>
        <v>12650</v>
      </c>
      <c r="H51" s="274"/>
    </row>
    <row r="52" spans="1:8" ht="28.5" customHeight="1" thickBot="1">
      <c r="B52" s="350" t="s">
        <v>663</v>
      </c>
      <c r="C52" s="351"/>
      <c r="D52" s="352"/>
      <c r="E52" s="285">
        <f t="shared" ref="E52:F52" si="3">SUM(E43:E51)</f>
        <v>91480</v>
      </c>
      <c r="F52" s="280">
        <f t="shared" si="3"/>
        <v>24750</v>
      </c>
      <c r="G52" s="244">
        <f>SUM(G43:G51)</f>
        <v>116230</v>
      </c>
      <c r="H52" s="258"/>
    </row>
    <row r="53" spans="1:8" ht="28.5" customHeight="1" thickBot="1">
      <c r="B53" s="290" t="s">
        <v>664</v>
      </c>
      <c r="C53" s="292"/>
      <c r="D53" s="291"/>
      <c r="E53" s="286">
        <f>E42+E52</f>
        <v>470964</v>
      </c>
      <c r="F53" s="287">
        <f>F42+F52</f>
        <v>134750</v>
      </c>
      <c r="G53" s="288">
        <f>G42+G52</f>
        <v>605714</v>
      </c>
      <c r="H53" s="289"/>
    </row>
    <row r="54" spans="1:8" ht="28.5" customHeight="1">
      <c r="C54" s="32"/>
      <c r="D54" s="32"/>
      <c r="E54" s="65"/>
      <c r="F54" s="233"/>
      <c r="G54" s="32"/>
    </row>
    <row r="55" spans="1:8" ht="28.5" customHeight="1">
      <c r="C55" s="32"/>
      <c r="D55" s="153"/>
      <c r="E55" s="65"/>
      <c r="F55" s="233"/>
      <c r="G55" s="66"/>
    </row>
    <row r="56" spans="1:8" ht="28.5" customHeight="1">
      <c r="C56" s="63"/>
      <c r="D56" s="69"/>
      <c r="E56" s="63"/>
      <c r="F56" s="236"/>
      <c r="G56" s="64"/>
    </row>
    <row r="57" spans="1:8" ht="28.5" customHeight="1">
      <c r="C57" s="70"/>
      <c r="D57" s="241"/>
      <c r="E57" s="241"/>
      <c r="F57" s="234"/>
      <c r="G57" s="162"/>
    </row>
    <row r="58" spans="1:8" ht="28.5" customHeight="1">
      <c r="C58" s="71"/>
      <c r="D58" s="241"/>
      <c r="E58" s="71"/>
      <c r="F58" s="234"/>
      <c r="G58" s="241"/>
    </row>
    <row r="59" spans="1:8" ht="28.5" customHeight="1">
      <c r="C59" s="71"/>
      <c r="D59" s="241"/>
      <c r="E59" s="71"/>
      <c r="F59" s="234"/>
      <c r="G59" s="241"/>
    </row>
    <row r="60" spans="1:8" ht="28.5" customHeight="1">
      <c r="C60" s="241"/>
      <c r="D60" s="182"/>
      <c r="E60" s="241"/>
      <c r="F60" s="234"/>
      <c r="G60" s="241"/>
    </row>
    <row r="61" spans="1:8" ht="28.5" customHeight="1">
      <c r="C61" s="241"/>
      <c r="D61" s="153"/>
      <c r="E61" s="241"/>
      <c r="F61" s="234"/>
      <c r="G61" s="162"/>
    </row>
    <row r="62" spans="1:8" ht="28.5" customHeight="1">
      <c r="C62" s="241"/>
      <c r="E62" s="241"/>
      <c r="F62" s="234"/>
      <c r="G62" s="162"/>
    </row>
    <row r="63" spans="1:8" ht="28.5" customHeight="1">
      <c r="C63" s="110"/>
      <c r="E63" s="110"/>
      <c r="F63" s="237"/>
      <c r="G63" s="81"/>
    </row>
    <row r="64" spans="1:8" ht="28.5" customHeight="1">
      <c r="C64" s="110"/>
      <c r="E64" s="110"/>
      <c r="F64" s="237"/>
      <c r="G64" s="80"/>
    </row>
    <row r="65" spans="3:7" ht="28.5" customHeight="1">
      <c r="C65" s="241"/>
      <c r="E65" s="241"/>
      <c r="F65" s="234"/>
      <c r="G65" s="162"/>
    </row>
    <row r="66" spans="3:7" ht="28.5" customHeight="1">
      <c r="C66" s="110"/>
      <c r="E66" s="110"/>
      <c r="F66" s="237"/>
      <c r="G66" s="83"/>
    </row>
    <row r="67" spans="3:7" ht="28.5" customHeight="1">
      <c r="C67" s="241"/>
      <c r="E67" s="241"/>
      <c r="F67" s="234"/>
      <c r="G67" s="241"/>
    </row>
    <row r="68" spans="3:7" ht="28.5" customHeight="1">
      <c r="C68" s="241"/>
      <c r="E68" s="241"/>
      <c r="F68" s="234"/>
      <c r="G68" s="162"/>
    </row>
    <row r="69" spans="3:7" ht="28.5" customHeight="1">
      <c r="C69" s="241"/>
      <c r="E69" s="241"/>
      <c r="F69" s="234"/>
      <c r="G69" s="162"/>
    </row>
    <row r="70" spans="3:7" ht="28.5" customHeight="1">
      <c r="C70" s="124"/>
      <c r="E70" s="124"/>
      <c r="F70" s="238"/>
      <c r="G70" s="124"/>
    </row>
    <row r="71" spans="3:7" ht="28.5" customHeight="1">
      <c r="C71" s="124"/>
      <c r="E71" s="124"/>
      <c r="F71" s="238"/>
      <c r="G71" s="124"/>
    </row>
    <row r="72" spans="3:7" ht="28.5" customHeight="1">
      <c r="C72" s="124"/>
      <c r="E72" s="124"/>
      <c r="F72" s="238"/>
      <c r="G72" s="124"/>
    </row>
    <row r="73" spans="3:7" ht="28.5" customHeight="1">
      <c r="C73" s="124"/>
      <c r="E73" s="124"/>
      <c r="F73" s="238"/>
      <c r="G73" s="124"/>
    </row>
    <row r="74" spans="3:7" ht="28.5" customHeight="1">
      <c r="C74" s="124"/>
      <c r="E74" s="124"/>
      <c r="F74" s="238"/>
      <c r="G74" s="124"/>
    </row>
    <row r="75" spans="3:7" ht="28.5" customHeight="1">
      <c r="C75" s="124"/>
      <c r="E75" s="124"/>
      <c r="F75" s="238"/>
      <c r="G75" s="124"/>
    </row>
    <row r="76" spans="3:7" ht="28.5" customHeight="1">
      <c r="C76" s="124"/>
      <c r="E76" s="124"/>
      <c r="F76" s="238"/>
      <c r="G76" s="124"/>
    </row>
    <row r="77" spans="3:7" ht="28.5" customHeight="1">
      <c r="C77" s="124"/>
      <c r="E77" s="124"/>
      <c r="F77" s="238"/>
      <c r="G77" s="124"/>
    </row>
    <row r="78" spans="3:7" ht="28.5" customHeight="1">
      <c r="C78" s="124"/>
      <c r="E78" s="124"/>
      <c r="F78" s="238"/>
      <c r="G78" s="124"/>
    </row>
    <row r="79" spans="3:7" ht="28.5" customHeight="1">
      <c r="C79" s="124"/>
      <c r="E79" s="124"/>
      <c r="F79" s="238"/>
      <c r="G79" s="124"/>
    </row>
    <row r="80" spans="3:7" ht="28.5" customHeight="1">
      <c r="C80" s="124"/>
      <c r="E80" s="124"/>
      <c r="F80" s="238"/>
      <c r="G80" s="124"/>
    </row>
    <row r="81" spans="3:7" ht="28.5" customHeight="1">
      <c r="C81" s="124"/>
      <c r="E81" s="124"/>
      <c r="F81" s="238"/>
      <c r="G81" s="124"/>
    </row>
    <row r="82" spans="3:7" ht="28.5" customHeight="1">
      <c r="C82" s="124"/>
      <c r="E82" s="124"/>
      <c r="F82" s="238"/>
      <c r="G82" s="124"/>
    </row>
    <row r="83" spans="3:7" ht="28.5" customHeight="1">
      <c r="C83" s="124"/>
      <c r="E83" s="124"/>
      <c r="F83" s="238"/>
      <c r="G83" s="124"/>
    </row>
    <row r="84" spans="3:7" ht="28.5" customHeight="1">
      <c r="C84" s="124"/>
      <c r="E84" s="124"/>
      <c r="F84" s="238"/>
      <c r="G84" s="124"/>
    </row>
    <row r="85" spans="3:7" ht="28.5" customHeight="1">
      <c r="C85" s="124"/>
      <c r="E85" s="124"/>
      <c r="F85" s="238"/>
      <c r="G85" s="124"/>
    </row>
    <row r="86" spans="3:7" ht="28.5" customHeight="1">
      <c r="C86" s="124"/>
      <c r="E86" s="124"/>
      <c r="F86" s="238"/>
      <c r="G86" s="124"/>
    </row>
    <row r="87" spans="3:7" ht="28.5" customHeight="1">
      <c r="C87" s="124"/>
      <c r="E87" s="124"/>
      <c r="F87" s="238"/>
      <c r="G87" s="124"/>
    </row>
    <row r="88" spans="3:7" ht="28.5" customHeight="1">
      <c r="C88" s="124"/>
      <c r="E88" s="124"/>
      <c r="F88" s="238"/>
      <c r="G88" s="124"/>
    </row>
    <row r="89" spans="3:7" ht="28.5" customHeight="1">
      <c r="C89" s="124"/>
      <c r="E89" s="124"/>
      <c r="F89" s="238"/>
      <c r="G89" s="124"/>
    </row>
    <row r="90" spans="3:7" ht="28.5" customHeight="1">
      <c r="C90" s="124"/>
      <c r="E90" s="124"/>
      <c r="F90" s="238"/>
      <c r="G90" s="124"/>
    </row>
    <row r="91" spans="3:7" ht="28.5" customHeight="1">
      <c r="C91" s="124"/>
      <c r="E91" s="124"/>
      <c r="F91" s="238"/>
      <c r="G91" s="124"/>
    </row>
    <row r="92" spans="3:7" ht="28.5" customHeight="1">
      <c r="C92" s="124"/>
      <c r="E92" s="124"/>
      <c r="F92" s="238"/>
      <c r="G92" s="124"/>
    </row>
    <row r="93" spans="3:7" ht="28.5" customHeight="1">
      <c r="C93" s="124"/>
      <c r="E93" s="124"/>
      <c r="F93" s="238"/>
      <c r="G93" s="124"/>
    </row>
    <row r="94" spans="3:7" ht="28.5" customHeight="1">
      <c r="C94" s="124"/>
      <c r="E94" s="124"/>
      <c r="F94" s="238"/>
      <c r="G94" s="124"/>
    </row>
    <row r="95" spans="3:7" ht="28.5" customHeight="1">
      <c r="C95" s="124"/>
      <c r="E95" s="124"/>
      <c r="F95" s="238"/>
      <c r="G95" s="124"/>
    </row>
    <row r="96" spans="3:7" ht="28.5" customHeight="1">
      <c r="C96" s="124"/>
      <c r="E96" s="124"/>
      <c r="F96" s="238"/>
      <c r="G96" s="124"/>
    </row>
    <row r="97" spans="3:7" ht="28.5" customHeight="1">
      <c r="C97" s="124"/>
      <c r="E97" s="124"/>
      <c r="F97" s="238"/>
      <c r="G97" s="124"/>
    </row>
    <row r="98" spans="3:7" ht="28.5" customHeight="1">
      <c r="C98" s="124"/>
      <c r="E98" s="124"/>
      <c r="F98" s="238"/>
      <c r="G98" s="124"/>
    </row>
    <row r="99" spans="3:7" ht="28.5" customHeight="1">
      <c r="C99" s="124"/>
      <c r="E99" s="124"/>
      <c r="F99" s="238"/>
      <c r="G99" s="124"/>
    </row>
    <row r="100" spans="3:7" ht="28.5" customHeight="1">
      <c r="C100" s="124"/>
      <c r="E100" s="124"/>
      <c r="F100" s="238"/>
      <c r="G100" s="124"/>
    </row>
    <row r="101" spans="3:7" ht="28.5" customHeight="1">
      <c r="C101" s="124"/>
      <c r="E101" s="124"/>
      <c r="F101" s="238"/>
      <c r="G101" s="124"/>
    </row>
    <row r="102" spans="3:7" ht="28.5" customHeight="1">
      <c r="C102" s="124"/>
      <c r="E102" s="124"/>
      <c r="F102" s="238"/>
      <c r="G102" s="124"/>
    </row>
    <row r="103" spans="3:7" ht="28.5" customHeight="1">
      <c r="C103" s="124"/>
      <c r="E103" s="124"/>
      <c r="F103" s="238"/>
      <c r="G103" s="124"/>
    </row>
    <row r="104" spans="3:7" ht="28.5" customHeight="1">
      <c r="C104" s="124"/>
      <c r="E104" s="124"/>
      <c r="F104" s="238"/>
      <c r="G104" s="124"/>
    </row>
    <row r="105" spans="3:7" ht="28.5" customHeight="1">
      <c r="C105" s="124"/>
      <c r="E105" s="124"/>
      <c r="F105" s="238"/>
      <c r="G105" s="124"/>
    </row>
    <row r="106" spans="3:7" ht="28.5" customHeight="1">
      <c r="C106" s="124"/>
      <c r="E106" s="124"/>
      <c r="F106" s="238"/>
      <c r="G106" s="124"/>
    </row>
    <row r="107" spans="3:7" ht="28.5" customHeight="1">
      <c r="C107" s="124"/>
      <c r="E107" s="124"/>
      <c r="F107" s="238"/>
      <c r="G107" s="124"/>
    </row>
    <row r="108" spans="3:7" ht="28.5" customHeight="1">
      <c r="C108" s="124"/>
      <c r="E108" s="124"/>
      <c r="F108" s="238"/>
      <c r="G108" s="124"/>
    </row>
    <row r="109" spans="3:7" ht="28.5" customHeight="1">
      <c r="C109" s="124"/>
      <c r="E109" s="124"/>
      <c r="F109" s="238"/>
      <c r="G109" s="124"/>
    </row>
    <row r="110" spans="3:7" ht="28.5" customHeight="1">
      <c r="C110" s="124"/>
      <c r="E110" s="124"/>
      <c r="F110" s="238"/>
      <c r="G110" s="124"/>
    </row>
    <row r="111" spans="3:7" ht="28.5" customHeight="1">
      <c r="C111" s="124"/>
      <c r="E111" s="124"/>
      <c r="F111" s="238"/>
      <c r="G111" s="124"/>
    </row>
    <row r="112" spans="3:7" ht="28.5" customHeight="1">
      <c r="C112" s="124"/>
      <c r="E112" s="124"/>
      <c r="F112" s="238"/>
      <c r="G112" s="124"/>
    </row>
    <row r="113" spans="3:7" ht="28.5" customHeight="1">
      <c r="C113" s="124"/>
      <c r="E113" s="124"/>
      <c r="F113" s="238"/>
      <c r="G113" s="124"/>
    </row>
    <row r="114" spans="3:7" ht="28.5" customHeight="1">
      <c r="C114" s="124"/>
      <c r="E114" s="124"/>
      <c r="F114" s="238"/>
      <c r="G114" s="124"/>
    </row>
    <row r="115" spans="3:7" ht="28.5" customHeight="1">
      <c r="C115" s="124"/>
      <c r="E115" s="124"/>
      <c r="F115" s="238"/>
      <c r="G115" s="124"/>
    </row>
    <row r="116" spans="3:7" ht="28.5" customHeight="1">
      <c r="C116" s="124"/>
      <c r="E116" s="124"/>
      <c r="F116" s="238"/>
      <c r="G116" s="124"/>
    </row>
    <row r="117" spans="3:7" ht="28.5" customHeight="1">
      <c r="C117" s="124"/>
      <c r="E117" s="124"/>
      <c r="F117" s="238"/>
      <c r="G117" s="124"/>
    </row>
    <row r="118" spans="3:7" ht="28.5" customHeight="1">
      <c r="C118" s="124"/>
      <c r="E118" s="124"/>
      <c r="F118" s="238"/>
      <c r="G118" s="124"/>
    </row>
    <row r="119" spans="3:7" ht="28.5" customHeight="1">
      <c r="C119" s="124"/>
      <c r="E119" s="124"/>
      <c r="F119" s="238"/>
      <c r="G119" s="124"/>
    </row>
    <row r="120" spans="3:7" ht="28.5" customHeight="1">
      <c r="C120" s="124"/>
      <c r="E120" s="124"/>
      <c r="F120" s="238"/>
      <c r="G120" s="124"/>
    </row>
    <row r="121" spans="3:7" ht="28.5" customHeight="1">
      <c r="C121" s="124"/>
      <c r="E121" s="124"/>
      <c r="F121" s="238"/>
      <c r="G121" s="124"/>
    </row>
    <row r="122" spans="3:7" ht="28.5" customHeight="1">
      <c r="C122" s="124"/>
      <c r="E122" s="124"/>
      <c r="F122" s="238"/>
      <c r="G122" s="124"/>
    </row>
    <row r="123" spans="3:7" ht="28.5" customHeight="1">
      <c r="C123" s="124"/>
      <c r="E123" s="124"/>
      <c r="F123" s="238"/>
      <c r="G123" s="124"/>
    </row>
    <row r="124" spans="3:7" ht="28.5" customHeight="1">
      <c r="C124" s="124"/>
      <c r="E124" s="124"/>
      <c r="F124" s="238"/>
      <c r="G124" s="124"/>
    </row>
    <row r="125" spans="3:7" ht="28.5" customHeight="1">
      <c r="C125" s="124"/>
      <c r="E125" s="124"/>
      <c r="F125" s="238"/>
      <c r="G125" s="124"/>
    </row>
    <row r="126" spans="3:7" ht="28.5" customHeight="1">
      <c r="C126" s="124"/>
      <c r="E126" s="124"/>
      <c r="F126" s="238"/>
      <c r="G126" s="124"/>
    </row>
    <row r="127" spans="3:7" ht="28.5" customHeight="1">
      <c r="C127" s="124"/>
      <c r="E127" s="124"/>
      <c r="F127" s="238"/>
      <c r="G127" s="124"/>
    </row>
    <row r="128" spans="3:7" ht="28.5" customHeight="1">
      <c r="C128" s="124"/>
      <c r="E128" s="124"/>
      <c r="F128" s="238"/>
      <c r="G128" s="124"/>
    </row>
    <row r="129" spans="3:7" ht="28.5" customHeight="1">
      <c r="C129" s="124"/>
      <c r="E129" s="124"/>
      <c r="F129" s="238"/>
      <c r="G129" s="124"/>
    </row>
    <row r="130" spans="3:7" ht="28.5" customHeight="1">
      <c r="C130" s="124"/>
      <c r="E130" s="124"/>
      <c r="F130" s="238"/>
      <c r="G130" s="124"/>
    </row>
    <row r="131" spans="3:7" ht="28.5" customHeight="1">
      <c r="C131" s="124"/>
      <c r="E131" s="124"/>
      <c r="F131" s="238"/>
      <c r="G131" s="124"/>
    </row>
    <row r="132" spans="3:7" ht="28.5" customHeight="1">
      <c r="C132" s="124"/>
      <c r="E132" s="124"/>
      <c r="F132" s="238"/>
      <c r="G132" s="124"/>
    </row>
    <row r="133" spans="3:7" ht="28.5" customHeight="1">
      <c r="C133" s="124"/>
      <c r="E133" s="124"/>
      <c r="F133" s="238"/>
      <c r="G133" s="124"/>
    </row>
    <row r="134" spans="3:7" ht="28.5" customHeight="1">
      <c r="C134" s="124"/>
      <c r="E134" s="124"/>
      <c r="F134" s="238"/>
      <c r="G134" s="124"/>
    </row>
    <row r="135" spans="3:7" ht="28.5" customHeight="1">
      <c r="C135" s="124"/>
      <c r="E135" s="124"/>
      <c r="F135" s="238"/>
      <c r="G135" s="124"/>
    </row>
    <row r="136" spans="3:7" ht="28.5" customHeight="1">
      <c r="C136" s="124"/>
      <c r="E136" s="124"/>
      <c r="F136" s="238"/>
      <c r="G136" s="124"/>
    </row>
    <row r="137" spans="3:7" ht="28.5" customHeight="1">
      <c r="C137" s="124"/>
      <c r="E137" s="124"/>
      <c r="F137" s="238"/>
      <c r="G137" s="124"/>
    </row>
    <row r="138" spans="3:7" ht="28.5" customHeight="1">
      <c r="C138" s="124"/>
      <c r="E138" s="124"/>
      <c r="F138" s="238"/>
      <c r="G138" s="124"/>
    </row>
    <row r="139" spans="3:7" ht="28.5" customHeight="1">
      <c r="C139" s="124"/>
      <c r="E139" s="124"/>
      <c r="F139" s="238"/>
      <c r="G139" s="124"/>
    </row>
    <row r="140" spans="3:7" ht="28.5" customHeight="1">
      <c r="C140" s="124"/>
      <c r="E140" s="124"/>
      <c r="F140" s="238"/>
      <c r="G140" s="124"/>
    </row>
    <row r="141" spans="3:7" ht="28.5" customHeight="1">
      <c r="C141" s="124"/>
      <c r="E141" s="124"/>
      <c r="F141" s="238"/>
      <c r="G141" s="124"/>
    </row>
    <row r="142" spans="3:7" ht="28.5" customHeight="1">
      <c r="C142" s="124"/>
      <c r="E142" s="124"/>
      <c r="F142" s="238"/>
      <c r="G142" s="124"/>
    </row>
    <row r="143" spans="3:7" ht="28.5" customHeight="1">
      <c r="C143" s="124"/>
      <c r="E143" s="124"/>
      <c r="F143" s="238"/>
      <c r="G143" s="124"/>
    </row>
    <row r="144" spans="3:7" ht="28.5" customHeight="1">
      <c r="C144" s="124"/>
      <c r="E144" s="124"/>
      <c r="F144" s="238"/>
      <c r="G144" s="124"/>
    </row>
    <row r="145" spans="3:7" ht="28.5" customHeight="1">
      <c r="C145" s="124"/>
      <c r="E145" s="124"/>
      <c r="F145" s="238"/>
      <c r="G145" s="124"/>
    </row>
    <row r="146" spans="3:7" ht="28.5" customHeight="1">
      <c r="C146" s="124"/>
      <c r="E146" s="124"/>
      <c r="F146" s="238"/>
      <c r="G146" s="124"/>
    </row>
    <row r="147" spans="3:7" ht="28.5" customHeight="1">
      <c r="C147" s="124"/>
      <c r="E147" s="124"/>
      <c r="F147" s="238"/>
      <c r="G147" s="124"/>
    </row>
    <row r="148" spans="3:7" ht="28.5" customHeight="1">
      <c r="C148" s="124"/>
      <c r="E148" s="124"/>
      <c r="F148" s="238"/>
      <c r="G148" s="124"/>
    </row>
    <row r="149" spans="3:7" ht="28.5" customHeight="1">
      <c r="C149" s="124"/>
      <c r="E149" s="124"/>
      <c r="F149" s="238"/>
      <c r="G149" s="124"/>
    </row>
    <row r="150" spans="3:7" ht="28.5" customHeight="1">
      <c r="C150" s="124"/>
      <c r="E150" s="124"/>
      <c r="F150" s="238"/>
      <c r="G150" s="124"/>
    </row>
    <row r="151" spans="3:7" ht="28.5" customHeight="1">
      <c r="C151" s="124"/>
      <c r="E151" s="124"/>
      <c r="F151" s="238"/>
      <c r="G151" s="124"/>
    </row>
    <row r="152" spans="3:7" ht="28.5" customHeight="1">
      <c r="C152" s="124"/>
      <c r="E152" s="124"/>
      <c r="F152" s="238"/>
      <c r="G152" s="124"/>
    </row>
    <row r="153" spans="3:7" ht="28.5" customHeight="1">
      <c r="C153" s="124"/>
      <c r="E153" s="124"/>
      <c r="F153" s="238"/>
      <c r="G153" s="124"/>
    </row>
    <row r="154" spans="3:7" ht="28.5" customHeight="1">
      <c r="C154" s="124"/>
      <c r="E154" s="124"/>
      <c r="F154" s="238"/>
      <c r="G154" s="124"/>
    </row>
    <row r="155" spans="3:7" ht="28.5" customHeight="1">
      <c r="C155" s="124"/>
      <c r="E155" s="124"/>
      <c r="F155" s="238"/>
      <c r="G155" s="124"/>
    </row>
    <row r="156" spans="3:7" ht="28.5" customHeight="1">
      <c r="C156" s="124"/>
      <c r="E156" s="124"/>
      <c r="F156" s="238"/>
      <c r="G156" s="124"/>
    </row>
    <row r="157" spans="3:7" ht="28.5" customHeight="1">
      <c r="C157" s="124"/>
      <c r="E157" s="124"/>
      <c r="F157" s="238"/>
      <c r="G157" s="124"/>
    </row>
    <row r="158" spans="3:7" ht="28.5" customHeight="1">
      <c r="C158" s="124"/>
      <c r="E158" s="124"/>
      <c r="F158" s="238"/>
      <c r="G158" s="124"/>
    </row>
    <row r="159" spans="3:7" ht="28.5" customHeight="1">
      <c r="C159" s="124"/>
      <c r="E159" s="124"/>
      <c r="F159" s="238"/>
      <c r="G159" s="124"/>
    </row>
    <row r="160" spans="3:7" ht="28.5" customHeight="1">
      <c r="C160" s="124"/>
      <c r="E160" s="124"/>
      <c r="F160" s="238"/>
      <c r="G160" s="124"/>
    </row>
    <row r="161" spans="3:7" ht="28.5" customHeight="1">
      <c r="C161" s="124"/>
      <c r="E161" s="124"/>
      <c r="F161" s="238"/>
      <c r="G161" s="124"/>
    </row>
    <row r="162" spans="3:7" ht="28.5" customHeight="1">
      <c r="C162" s="124"/>
      <c r="E162" s="124"/>
      <c r="F162" s="238"/>
      <c r="G162" s="124"/>
    </row>
    <row r="163" spans="3:7" ht="28.5" customHeight="1">
      <c r="C163" s="124"/>
      <c r="E163" s="124"/>
      <c r="F163" s="238"/>
      <c r="G163" s="124"/>
    </row>
    <row r="164" spans="3:7" ht="28.5" customHeight="1">
      <c r="C164" s="124"/>
      <c r="E164" s="124"/>
      <c r="F164" s="238"/>
      <c r="G164" s="124"/>
    </row>
    <row r="165" spans="3:7" ht="28.5" customHeight="1">
      <c r="C165" s="124"/>
      <c r="E165" s="124"/>
      <c r="F165" s="238"/>
      <c r="G165" s="124"/>
    </row>
    <row r="166" spans="3:7" ht="28.5" customHeight="1">
      <c r="C166" s="124"/>
      <c r="E166" s="124"/>
      <c r="F166" s="238"/>
      <c r="G166" s="124"/>
    </row>
    <row r="167" spans="3:7" ht="28.5" customHeight="1">
      <c r="C167" s="124"/>
      <c r="E167" s="124"/>
      <c r="F167" s="238"/>
      <c r="G167" s="124"/>
    </row>
    <row r="168" spans="3:7" ht="28.5" customHeight="1">
      <c r="C168" s="124"/>
      <c r="E168" s="124"/>
      <c r="F168" s="238"/>
      <c r="G168" s="124"/>
    </row>
    <row r="169" spans="3:7" ht="28.5" customHeight="1">
      <c r="C169" s="124"/>
      <c r="E169" s="124"/>
      <c r="F169" s="238"/>
      <c r="G169" s="124"/>
    </row>
    <row r="170" spans="3:7" ht="28.5" customHeight="1">
      <c r="C170" s="124"/>
      <c r="E170" s="124"/>
      <c r="F170" s="238"/>
      <c r="G170" s="124"/>
    </row>
    <row r="171" spans="3:7" ht="28.5" customHeight="1">
      <c r="C171" s="124"/>
      <c r="E171" s="124"/>
      <c r="F171" s="238"/>
      <c r="G171" s="124"/>
    </row>
    <row r="172" spans="3:7" ht="28.5" customHeight="1">
      <c r="C172" s="124"/>
      <c r="E172" s="124"/>
      <c r="F172" s="238"/>
      <c r="G172" s="124"/>
    </row>
    <row r="173" spans="3:7" ht="28.5" customHeight="1">
      <c r="C173" s="124"/>
      <c r="E173" s="124"/>
      <c r="F173" s="238"/>
      <c r="G173" s="124"/>
    </row>
    <row r="174" spans="3:7" ht="28.5" customHeight="1">
      <c r="C174" s="124"/>
      <c r="E174" s="124"/>
      <c r="F174" s="238"/>
      <c r="G174" s="124"/>
    </row>
    <row r="175" spans="3:7" ht="28.5" customHeight="1">
      <c r="C175" s="124"/>
      <c r="E175" s="124"/>
      <c r="F175" s="238"/>
      <c r="G175" s="124"/>
    </row>
    <row r="176" spans="3:7" ht="28.5" customHeight="1">
      <c r="C176" s="124"/>
      <c r="E176" s="124"/>
      <c r="F176" s="238"/>
      <c r="G176" s="124"/>
    </row>
    <row r="177" spans="3:7" ht="28.5" customHeight="1">
      <c r="C177" s="124"/>
      <c r="E177" s="124"/>
      <c r="F177" s="238"/>
      <c r="G177" s="124"/>
    </row>
    <row r="178" spans="3:7" ht="28.5" customHeight="1">
      <c r="C178" s="124"/>
      <c r="E178" s="124"/>
      <c r="F178" s="238"/>
      <c r="G178" s="124"/>
    </row>
    <row r="179" spans="3:7" ht="28.5" customHeight="1">
      <c r="C179" s="124"/>
      <c r="E179" s="124"/>
      <c r="F179" s="238"/>
      <c r="G179" s="124"/>
    </row>
    <row r="180" spans="3:7" ht="28.5" customHeight="1">
      <c r="C180" s="124"/>
      <c r="E180" s="124"/>
      <c r="F180" s="238"/>
      <c r="G180" s="124"/>
    </row>
    <row r="181" spans="3:7" ht="28.5" customHeight="1">
      <c r="C181" s="124"/>
      <c r="E181" s="124"/>
      <c r="F181" s="238"/>
      <c r="G181" s="124"/>
    </row>
    <row r="182" spans="3:7" ht="28.5" customHeight="1">
      <c r="C182" s="124"/>
      <c r="E182" s="124"/>
      <c r="F182" s="238"/>
      <c r="G182" s="124"/>
    </row>
    <row r="183" spans="3:7" ht="28.5" customHeight="1">
      <c r="C183" s="124"/>
      <c r="E183" s="124"/>
      <c r="F183" s="238"/>
      <c r="G183" s="124"/>
    </row>
    <row r="184" spans="3:7" ht="28.5" customHeight="1">
      <c r="C184" s="124"/>
      <c r="E184" s="124"/>
      <c r="F184" s="238"/>
      <c r="G184" s="124"/>
    </row>
    <row r="185" spans="3:7" ht="28.5" customHeight="1">
      <c r="C185" s="124"/>
      <c r="E185" s="124"/>
      <c r="F185" s="238"/>
      <c r="G185" s="124"/>
    </row>
    <row r="186" spans="3:7" ht="28.5" customHeight="1">
      <c r="C186" s="124"/>
      <c r="E186" s="124"/>
      <c r="F186" s="238"/>
      <c r="G186" s="124"/>
    </row>
    <row r="187" spans="3:7" ht="28.5" customHeight="1">
      <c r="C187" s="124"/>
      <c r="E187" s="124"/>
      <c r="F187" s="238"/>
      <c r="G187" s="124"/>
    </row>
    <row r="188" spans="3:7" ht="28.5" customHeight="1">
      <c r="C188" s="124"/>
      <c r="E188" s="124"/>
      <c r="F188" s="238"/>
      <c r="G188" s="124"/>
    </row>
    <row r="189" spans="3:7" ht="28.5" customHeight="1">
      <c r="C189" s="124"/>
      <c r="E189" s="124"/>
      <c r="F189" s="238"/>
      <c r="G189" s="124"/>
    </row>
    <row r="190" spans="3:7" ht="28.5" customHeight="1">
      <c r="C190" s="124"/>
      <c r="E190" s="124"/>
      <c r="F190" s="238"/>
      <c r="G190" s="124"/>
    </row>
    <row r="191" spans="3:7" ht="28.5" customHeight="1">
      <c r="C191" s="124"/>
      <c r="E191" s="124"/>
      <c r="F191" s="238"/>
      <c r="G191" s="124"/>
    </row>
    <row r="192" spans="3:7" ht="28.5" customHeight="1">
      <c r="C192" s="124"/>
      <c r="E192" s="124"/>
      <c r="F192" s="238"/>
      <c r="G192" s="124"/>
    </row>
    <row r="193" spans="3:7" ht="28.5" customHeight="1">
      <c r="C193" s="124"/>
      <c r="E193" s="124"/>
      <c r="F193" s="238"/>
      <c r="G193" s="124"/>
    </row>
    <row r="194" spans="3:7" ht="28.5" customHeight="1">
      <c r="C194" s="124"/>
      <c r="E194" s="124"/>
      <c r="F194" s="238"/>
      <c r="G194" s="124"/>
    </row>
    <row r="195" spans="3:7" ht="28.5" customHeight="1">
      <c r="C195" s="124"/>
      <c r="E195" s="124"/>
      <c r="F195" s="238"/>
      <c r="G195" s="124"/>
    </row>
    <row r="196" spans="3:7" ht="28.5" customHeight="1">
      <c r="C196" s="124"/>
      <c r="E196" s="124"/>
      <c r="F196" s="238"/>
      <c r="G196" s="124"/>
    </row>
    <row r="197" spans="3:7" ht="28.5" customHeight="1">
      <c r="C197" s="124"/>
      <c r="E197" s="124"/>
      <c r="F197" s="238"/>
      <c r="G197" s="124"/>
    </row>
    <row r="198" spans="3:7" ht="28.5" customHeight="1">
      <c r="C198" s="124"/>
      <c r="E198" s="124"/>
      <c r="F198" s="238"/>
      <c r="G198" s="124"/>
    </row>
    <row r="199" spans="3:7" ht="28.5" customHeight="1">
      <c r="C199" s="124"/>
      <c r="E199" s="124"/>
      <c r="F199" s="238"/>
      <c r="G199" s="124"/>
    </row>
    <row r="200" spans="3:7" ht="28.5" customHeight="1">
      <c r="C200" s="124"/>
      <c r="E200" s="124"/>
      <c r="F200" s="238"/>
      <c r="G200" s="124"/>
    </row>
    <row r="201" spans="3:7" ht="28.5" customHeight="1">
      <c r="C201" s="124"/>
      <c r="E201" s="124"/>
      <c r="F201" s="238"/>
      <c r="G201" s="124"/>
    </row>
    <row r="202" spans="3:7" ht="28.5" customHeight="1">
      <c r="C202" s="124"/>
      <c r="E202" s="124"/>
      <c r="F202" s="238"/>
      <c r="G202" s="124"/>
    </row>
    <row r="203" spans="3:7" ht="28.5" customHeight="1">
      <c r="C203" s="124"/>
      <c r="E203" s="124"/>
      <c r="F203" s="238"/>
      <c r="G203" s="124"/>
    </row>
    <row r="204" spans="3:7" ht="28.5" customHeight="1">
      <c r="C204" s="124"/>
      <c r="E204" s="124"/>
      <c r="F204" s="238"/>
      <c r="G204" s="124"/>
    </row>
    <row r="205" spans="3:7" ht="28.5" customHeight="1">
      <c r="C205" s="124"/>
      <c r="E205" s="124"/>
      <c r="F205" s="238"/>
      <c r="G205" s="124"/>
    </row>
    <row r="206" spans="3:7" ht="28.5" customHeight="1">
      <c r="C206" s="124"/>
      <c r="E206" s="124"/>
      <c r="F206" s="238"/>
      <c r="G206" s="124"/>
    </row>
    <row r="207" spans="3:7" ht="28.5" customHeight="1">
      <c r="C207" s="124"/>
      <c r="E207" s="124"/>
      <c r="F207" s="238"/>
      <c r="G207" s="124"/>
    </row>
    <row r="208" spans="3:7" ht="28.5" customHeight="1">
      <c r="C208" s="124"/>
      <c r="E208" s="124"/>
      <c r="F208" s="238"/>
      <c r="G208" s="124"/>
    </row>
    <row r="209" spans="3:7" ht="28.5" customHeight="1">
      <c r="C209" s="124"/>
      <c r="E209" s="124"/>
      <c r="F209" s="238"/>
      <c r="G209" s="124"/>
    </row>
    <row r="210" spans="3:7" ht="28.5" customHeight="1">
      <c r="C210" s="124"/>
      <c r="E210" s="124"/>
      <c r="F210" s="238"/>
      <c r="G210" s="124"/>
    </row>
    <row r="211" spans="3:7" ht="28.5" customHeight="1">
      <c r="C211" s="124"/>
      <c r="E211" s="124"/>
      <c r="F211" s="238"/>
      <c r="G211" s="124"/>
    </row>
    <row r="212" spans="3:7" ht="28.5" customHeight="1">
      <c r="C212" s="124"/>
      <c r="E212" s="124"/>
      <c r="F212" s="238"/>
      <c r="G212" s="124"/>
    </row>
    <row r="213" spans="3:7" ht="28.5" customHeight="1">
      <c r="C213" s="124"/>
      <c r="E213" s="124"/>
      <c r="F213" s="238"/>
      <c r="G213" s="124"/>
    </row>
    <row r="214" spans="3:7" ht="28.5" customHeight="1">
      <c r="C214" s="124"/>
      <c r="E214" s="124"/>
      <c r="F214" s="238"/>
      <c r="G214" s="124"/>
    </row>
    <row r="215" spans="3:7" ht="28.5" customHeight="1">
      <c r="C215" s="124"/>
      <c r="E215" s="124"/>
      <c r="F215" s="238"/>
      <c r="G215" s="124"/>
    </row>
    <row r="216" spans="3:7" ht="28.5" customHeight="1">
      <c r="C216" s="124"/>
      <c r="E216" s="124"/>
      <c r="F216" s="238"/>
      <c r="G216" s="124"/>
    </row>
    <row r="217" spans="3:7" ht="28.5" customHeight="1">
      <c r="C217" s="124"/>
      <c r="E217" s="124"/>
      <c r="F217" s="238"/>
      <c r="G217" s="124"/>
    </row>
    <row r="218" spans="3:7" ht="28.5" customHeight="1">
      <c r="C218" s="124"/>
      <c r="E218" s="124"/>
      <c r="F218" s="238"/>
      <c r="G218" s="124"/>
    </row>
    <row r="219" spans="3:7" ht="28.5" customHeight="1">
      <c r="C219" s="124"/>
      <c r="E219" s="124"/>
      <c r="F219" s="238"/>
      <c r="G219" s="124"/>
    </row>
    <row r="220" spans="3:7" ht="28.5" customHeight="1">
      <c r="C220" s="124"/>
      <c r="E220" s="124"/>
      <c r="F220" s="238"/>
      <c r="G220" s="124"/>
    </row>
    <row r="221" spans="3:7" ht="28.5" customHeight="1">
      <c r="C221" s="124"/>
      <c r="E221" s="124"/>
      <c r="F221" s="238"/>
      <c r="G221" s="124"/>
    </row>
    <row r="222" spans="3:7" ht="28.5" customHeight="1">
      <c r="C222" s="124"/>
      <c r="E222" s="124"/>
      <c r="F222" s="238"/>
      <c r="G222" s="124"/>
    </row>
    <row r="223" spans="3:7" ht="28.5" customHeight="1">
      <c r="C223" s="124"/>
      <c r="E223" s="124"/>
      <c r="F223" s="238"/>
      <c r="G223" s="124"/>
    </row>
    <row r="224" spans="3:7" ht="28.5" customHeight="1">
      <c r="C224" s="124"/>
      <c r="E224" s="124"/>
      <c r="F224" s="238"/>
      <c r="G224" s="124"/>
    </row>
    <row r="225" spans="3:7" ht="28.5" customHeight="1">
      <c r="C225" s="124"/>
      <c r="E225" s="124"/>
      <c r="F225" s="238"/>
      <c r="G225" s="124"/>
    </row>
    <row r="226" spans="3:7" ht="28.5" customHeight="1">
      <c r="C226" s="124"/>
      <c r="E226" s="124"/>
      <c r="F226" s="238"/>
      <c r="G226" s="124"/>
    </row>
    <row r="227" spans="3:7" ht="28.5" customHeight="1">
      <c r="C227" s="124"/>
      <c r="E227" s="124"/>
      <c r="F227" s="238"/>
      <c r="G227" s="124"/>
    </row>
    <row r="228" spans="3:7" ht="28.5" customHeight="1">
      <c r="C228" s="124"/>
      <c r="E228" s="124"/>
      <c r="F228" s="238"/>
      <c r="G228" s="124"/>
    </row>
    <row r="229" spans="3:7" ht="28.5" customHeight="1">
      <c r="C229" s="124"/>
      <c r="E229" s="124"/>
      <c r="F229" s="238"/>
      <c r="G229" s="124"/>
    </row>
    <row r="230" spans="3:7" ht="28.5" customHeight="1">
      <c r="C230" s="124"/>
      <c r="E230" s="124"/>
      <c r="F230" s="238"/>
      <c r="G230" s="124"/>
    </row>
    <row r="231" spans="3:7" ht="28.5" customHeight="1">
      <c r="C231" s="124"/>
      <c r="E231" s="124"/>
      <c r="F231" s="238"/>
      <c r="G231" s="124"/>
    </row>
    <row r="232" spans="3:7" ht="28.5" customHeight="1">
      <c r="C232" s="124"/>
      <c r="E232" s="124"/>
      <c r="F232" s="238"/>
      <c r="G232" s="124"/>
    </row>
    <row r="233" spans="3:7" ht="28.5" customHeight="1">
      <c r="C233" s="124"/>
      <c r="E233" s="124"/>
      <c r="F233" s="238"/>
      <c r="G233" s="124"/>
    </row>
    <row r="234" spans="3:7" ht="28.5" customHeight="1">
      <c r="C234" s="124"/>
      <c r="E234" s="124"/>
      <c r="F234" s="238"/>
      <c r="G234" s="124"/>
    </row>
    <row r="235" spans="3:7" ht="28.5" customHeight="1">
      <c r="C235" s="124"/>
      <c r="E235" s="124"/>
      <c r="F235" s="238"/>
      <c r="G235" s="124"/>
    </row>
    <row r="236" spans="3:7" ht="28.5" customHeight="1">
      <c r="C236" s="124"/>
      <c r="E236" s="124"/>
      <c r="F236" s="238"/>
      <c r="G236" s="124"/>
    </row>
    <row r="237" spans="3:7" ht="28.5" customHeight="1">
      <c r="C237" s="124"/>
      <c r="E237" s="124"/>
      <c r="F237" s="238"/>
      <c r="G237" s="124"/>
    </row>
    <row r="238" spans="3:7" ht="28.5" customHeight="1">
      <c r="C238" s="124"/>
      <c r="E238" s="124"/>
      <c r="F238" s="238"/>
      <c r="G238" s="124"/>
    </row>
    <row r="239" spans="3:7" ht="28.5" customHeight="1">
      <c r="C239" s="124"/>
      <c r="E239" s="124"/>
      <c r="F239" s="238"/>
      <c r="G239" s="124"/>
    </row>
    <row r="240" spans="3:7" ht="28.5" customHeight="1">
      <c r="C240" s="124"/>
      <c r="E240" s="124"/>
      <c r="F240" s="238"/>
      <c r="G240" s="124"/>
    </row>
    <row r="241" spans="3:7" ht="28.5" customHeight="1">
      <c r="C241" s="124"/>
      <c r="E241" s="124"/>
      <c r="F241" s="238"/>
      <c r="G241" s="124"/>
    </row>
    <row r="242" spans="3:7" ht="28.5" customHeight="1">
      <c r="C242" s="124"/>
      <c r="E242" s="124"/>
      <c r="F242" s="238"/>
      <c r="G242" s="124"/>
    </row>
    <row r="243" spans="3:7" ht="28.5" customHeight="1">
      <c r="C243" s="124"/>
      <c r="E243" s="124"/>
      <c r="F243" s="238"/>
      <c r="G243" s="124"/>
    </row>
    <row r="244" spans="3:7" ht="28.5" customHeight="1">
      <c r="C244" s="124"/>
      <c r="E244" s="124"/>
      <c r="F244" s="238"/>
      <c r="G244" s="124"/>
    </row>
    <row r="245" spans="3:7" ht="28.5" customHeight="1">
      <c r="C245" s="124"/>
      <c r="E245" s="124"/>
      <c r="F245" s="238"/>
      <c r="G245" s="124"/>
    </row>
    <row r="246" spans="3:7" ht="28.5" customHeight="1">
      <c r="C246" s="124"/>
      <c r="E246" s="124"/>
      <c r="F246" s="238"/>
      <c r="G246" s="124"/>
    </row>
    <row r="247" spans="3:7" ht="28.5" customHeight="1">
      <c r="C247" s="124"/>
      <c r="E247" s="124"/>
      <c r="F247" s="238"/>
      <c r="G247" s="124"/>
    </row>
    <row r="248" spans="3:7" ht="28.5" customHeight="1">
      <c r="C248" s="124"/>
      <c r="E248" s="124"/>
      <c r="F248" s="238"/>
      <c r="G248" s="124"/>
    </row>
    <row r="249" spans="3:7" ht="28.5" customHeight="1">
      <c r="C249" s="124"/>
      <c r="E249" s="124"/>
      <c r="F249" s="238"/>
      <c r="G249" s="124"/>
    </row>
    <row r="250" spans="3:7" ht="28.5" customHeight="1">
      <c r="C250" s="124"/>
      <c r="E250" s="124"/>
      <c r="F250" s="238"/>
      <c r="G250" s="124"/>
    </row>
    <row r="251" spans="3:7" ht="28.5" customHeight="1">
      <c r="C251" s="124"/>
      <c r="E251" s="124"/>
      <c r="F251" s="238"/>
      <c r="G251" s="124"/>
    </row>
    <row r="252" spans="3:7" ht="28.5" customHeight="1">
      <c r="C252" s="124"/>
      <c r="E252" s="124"/>
      <c r="F252" s="238"/>
      <c r="G252" s="124"/>
    </row>
    <row r="253" spans="3:7" ht="28.5" customHeight="1">
      <c r="C253" s="124"/>
      <c r="E253" s="124"/>
      <c r="F253" s="238"/>
      <c r="G253" s="124"/>
    </row>
    <row r="254" spans="3:7" ht="28.5" customHeight="1">
      <c r="C254" s="124"/>
      <c r="E254" s="124"/>
      <c r="F254" s="238"/>
      <c r="G254" s="124"/>
    </row>
    <row r="255" spans="3:7" ht="28.5" customHeight="1">
      <c r="C255" s="124"/>
      <c r="E255" s="124"/>
      <c r="F255" s="238"/>
      <c r="G255" s="124"/>
    </row>
    <row r="256" spans="3:7" ht="28.5" customHeight="1">
      <c r="C256" s="124"/>
      <c r="E256" s="124"/>
      <c r="F256" s="238"/>
      <c r="G256" s="124"/>
    </row>
    <row r="257" spans="3:7" ht="28.5" customHeight="1">
      <c r="C257" s="124"/>
      <c r="E257" s="124"/>
      <c r="F257" s="238"/>
      <c r="G257" s="124"/>
    </row>
    <row r="258" spans="3:7" ht="28.5" customHeight="1">
      <c r="C258" s="124"/>
      <c r="E258" s="124"/>
      <c r="F258" s="238"/>
      <c r="G258" s="124"/>
    </row>
    <row r="259" spans="3:7" ht="28.5" customHeight="1">
      <c r="C259" s="41"/>
      <c r="E259" s="124"/>
      <c r="F259" s="238"/>
      <c r="G259" s="124"/>
    </row>
    <row r="260" spans="3:7" ht="28.5" customHeight="1">
      <c r="C260" s="41"/>
      <c r="E260" s="124"/>
      <c r="F260" s="238"/>
      <c r="G260" s="124"/>
    </row>
    <row r="261" spans="3:7" ht="28.5" customHeight="1">
      <c r="C261" s="41"/>
      <c r="E261" s="124"/>
      <c r="F261" s="238"/>
      <c r="G261" s="124"/>
    </row>
    <row r="262" spans="3:7" ht="28.5" customHeight="1">
      <c r="C262" s="41"/>
      <c r="E262" s="124"/>
      <c r="F262" s="238"/>
      <c r="G262" s="124"/>
    </row>
    <row r="263" spans="3:7" ht="28.5" customHeight="1">
      <c r="C263" s="41"/>
      <c r="E263" s="124"/>
      <c r="F263" s="238"/>
      <c r="G263" s="124"/>
    </row>
    <row r="264" spans="3:7" ht="28.5" customHeight="1">
      <c r="C264" s="41"/>
      <c r="E264" s="124"/>
      <c r="F264" s="238"/>
      <c r="G264" s="124"/>
    </row>
    <row r="265" spans="3:7" ht="28.5" customHeight="1">
      <c r="C265" s="41"/>
      <c r="E265" s="124"/>
      <c r="F265" s="238"/>
      <c r="G265" s="124"/>
    </row>
    <row r="266" spans="3:7" ht="28.5" customHeight="1">
      <c r="C266" s="41"/>
      <c r="E266" s="124"/>
      <c r="F266" s="238"/>
      <c r="G266" s="124"/>
    </row>
    <row r="267" spans="3:7" ht="28.5" customHeight="1">
      <c r="C267" s="41"/>
      <c r="E267" s="124"/>
      <c r="F267" s="238"/>
      <c r="G267" s="124"/>
    </row>
    <row r="268" spans="3:7" ht="28.5" customHeight="1">
      <c r="C268" s="41"/>
      <c r="E268" s="124"/>
      <c r="F268" s="238"/>
      <c r="G268" s="124"/>
    </row>
    <row r="269" spans="3:7" ht="28.5" customHeight="1">
      <c r="C269" s="41"/>
      <c r="E269" s="124"/>
      <c r="F269" s="238"/>
      <c r="G269" s="124"/>
    </row>
    <row r="270" spans="3:7" ht="28.5" customHeight="1">
      <c r="C270" s="41"/>
      <c r="E270" s="124"/>
      <c r="F270" s="238"/>
      <c r="G270" s="124"/>
    </row>
    <row r="271" spans="3:7" ht="28.5" customHeight="1">
      <c r="C271" s="41"/>
      <c r="E271" s="124"/>
      <c r="F271" s="238"/>
      <c r="G271" s="124"/>
    </row>
    <row r="272" spans="3:7" ht="28.5" customHeight="1">
      <c r="C272" s="41"/>
      <c r="E272" s="124"/>
      <c r="F272" s="238"/>
      <c r="G272" s="124"/>
    </row>
    <row r="273" spans="3:7" ht="28.5" customHeight="1">
      <c r="C273" s="41"/>
      <c r="E273" s="124"/>
      <c r="F273" s="238"/>
      <c r="G273" s="124"/>
    </row>
    <row r="274" spans="3:7" ht="28.5" customHeight="1">
      <c r="C274" s="41"/>
      <c r="E274" s="124"/>
      <c r="F274" s="238"/>
      <c r="G274" s="124"/>
    </row>
    <row r="275" spans="3:7" ht="28.5" customHeight="1">
      <c r="C275" s="41"/>
      <c r="E275" s="124"/>
      <c r="F275" s="238"/>
      <c r="G275" s="124"/>
    </row>
    <row r="276" spans="3:7" ht="28.5" customHeight="1">
      <c r="C276" s="41"/>
      <c r="E276" s="124"/>
      <c r="F276" s="238"/>
      <c r="G276" s="124"/>
    </row>
    <row r="277" spans="3:7" ht="28.5" customHeight="1">
      <c r="C277" s="41"/>
      <c r="E277" s="124"/>
      <c r="F277" s="238"/>
      <c r="G277" s="124"/>
    </row>
    <row r="278" spans="3:7" ht="28.5" customHeight="1">
      <c r="C278" s="41"/>
      <c r="E278" s="124"/>
      <c r="F278" s="238"/>
      <c r="G278" s="124"/>
    </row>
    <row r="279" spans="3:7" ht="28.5" customHeight="1">
      <c r="C279" s="41"/>
      <c r="E279" s="124"/>
      <c r="F279" s="238"/>
      <c r="G279" s="124"/>
    </row>
    <row r="280" spans="3:7" ht="28.5" customHeight="1">
      <c r="C280" s="41"/>
      <c r="E280" s="124"/>
      <c r="F280" s="238"/>
      <c r="G280" s="124"/>
    </row>
    <row r="281" spans="3:7" ht="28.5" customHeight="1">
      <c r="C281" s="41"/>
      <c r="E281" s="124"/>
      <c r="F281" s="238"/>
      <c r="G281" s="124"/>
    </row>
    <row r="282" spans="3:7" ht="28.5" customHeight="1">
      <c r="C282" s="41"/>
      <c r="E282" s="124"/>
      <c r="F282" s="238"/>
      <c r="G282" s="124"/>
    </row>
    <row r="283" spans="3:7" ht="28.5" customHeight="1">
      <c r="C283" s="41"/>
      <c r="E283" s="124"/>
      <c r="F283" s="238"/>
      <c r="G283" s="124"/>
    </row>
    <row r="284" spans="3:7" ht="28.5" customHeight="1">
      <c r="C284" s="41"/>
      <c r="E284" s="124"/>
      <c r="F284" s="238"/>
      <c r="G284" s="124"/>
    </row>
    <row r="285" spans="3:7" ht="28.5" customHeight="1">
      <c r="C285" s="41"/>
      <c r="E285" s="124"/>
      <c r="F285" s="238"/>
      <c r="G285" s="124"/>
    </row>
    <row r="286" spans="3:7" ht="28.5" customHeight="1">
      <c r="C286" s="41"/>
      <c r="E286" s="124"/>
      <c r="F286" s="238"/>
      <c r="G286" s="124"/>
    </row>
    <row r="287" spans="3:7" ht="28.5" customHeight="1">
      <c r="C287" s="41"/>
      <c r="E287" s="124"/>
      <c r="F287" s="238"/>
      <c r="G287" s="124"/>
    </row>
    <row r="288" spans="3:7" ht="28.5" customHeight="1">
      <c r="C288" s="41"/>
      <c r="E288" s="124"/>
      <c r="F288" s="238"/>
      <c r="G288" s="124"/>
    </row>
    <row r="289" spans="3:7" ht="28.5" customHeight="1">
      <c r="C289" s="41"/>
      <c r="E289" s="124"/>
      <c r="F289" s="238"/>
      <c r="G289" s="124"/>
    </row>
    <row r="290" spans="3:7" ht="28.5" customHeight="1">
      <c r="C290" s="41"/>
      <c r="E290" s="124"/>
      <c r="F290" s="238"/>
      <c r="G290" s="124"/>
    </row>
    <row r="291" spans="3:7" ht="28.5" customHeight="1">
      <c r="C291" s="41"/>
      <c r="E291" s="124"/>
      <c r="F291" s="238"/>
      <c r="G291" s="124"/>
    </row>
    <row r="292" spans="3:7" ht="28.5" customHeight="1">
      <c r="C292" s="41"/>
      <c r="E292" s="124"/>
      <c r="F292" s="238"/>
      <c r="G292" s="124"/>
    </row>
    <row r="293" spans="3:7" ht="28.5" customHeight="1">
      <c r="C293" s="41"/>
      <c r="E293" s="124"/>
      <c r="F293" s="238"/>
      <c r="G293" s="124"/>
    </row>
    <row r="294" spans="3:7" ht="28.5" customHeight="1">
      <c r="C294" s="41"/>
      <c r="E294" s="124"/>
      <c r="F294" s="238"/>
      <c r="G294" s="124"/>
    </row>
    <row r="295" spans="3:7" ht="28.5" customHeight="1">
      <c r="C295" s="41"/>
      <c r="E295" s="124"/>
      <c r="F295" s="238"/>
      <c r="G295" s="124"/>
    </row>
    <row r="296" spans="3:7" ht="28.5" customHeight="1">
      <c r="C296" s="41"/>
      <c r="E296" s="124"/>
      <c r="F296" s="238"/>
      <c r="G296" s="124"/>
    </row>
    <row r="297" spans="3:7" ht="28.5" customHeight="1">
      <c r="C297" s="41"/>
      <c r="E297" s="124"/>
      <c r="F297" s="238"/>
      <c r="G297" s="124"/>
    </row>
    <row r="298" spans="3:7" ht="28.5" customHeight="1">
      <c r="C298" s="41"/>
      <c r="E298" s="124"/>
      <c r="F298" s="238"/>
      <c r="G298" s="124"/>
    </row>
    <row r="299" spans="3:7" ht="28.5" customHeight="1">
      <c r="C299" s="41"/>
      <c r="E299" s="124"/>
      <c r="F299" s="238"/>
      <c r="G299" s="124"/>
    </row>
    <row r="300" spans="3:7" ht="28.5" customHeight="1">
      <c r="C300" s="41"/>
      <c r="E300" s="124"/>
      <c r="F300" s="238"/>
      <c r="G300" s="124"/>
    </row>
    <row r="301" spans="3:7" ht="28.5" customHeight="1">
      <c r="C301" s="41"/>
      <c r="E301" s="124"/>
      <c r="F301" s="238"/>
      <c r="G301" s="124"/>
    </row>
    <row r="302" spans="3:7" ht="28.5" customHeight="1">
      <c r="C302" s="41"/>
      <c r="E302" s="124"/>
      <c r="F302" s="238"/>
      <c r="G302" s="124"/>
    </row>
    <row r="303" spans="3:7" ht="28.5" customHeight="1">
      <c r="C303" s="41"/>
      <c r="E303" s="124"/>
      <c r="F303" s="238"/>
      <c r="G303" s="124"/>
    </row>
    <row r="304" spans="3:7" ht="28.5" customHeight="1">
      <c r="C304" s="41"/>
      <c r="E304" s="124"/>
      <c r="F304" s="238"/>
      <c r="G304" s="124"/>
    </row>
    <row r="305" spans="3:7" ht="28.5" customHeight="1">
      <c r="C305" s="41"/>
      <c r="E305" s="124"/>
      <c r="F305" s="238"/>
      <c r="G305" s="124"/>
    </row>
    <row r="306" spans="3:7" ht="28.5" customHeight="1">
      <c r="C306" s="41"/>
      <c r="E306" s="124"/>
      <c r="F306" s="238"/>
      <c r="G306" s="124"/>
    </row>
    <row r="307" spans="3:7" ht="28.5" customHeight="1">
      <c r="C307" s="41"/>
      <c r="E307" s="124"/>
      <c r="F307" s="238"/>
      <c r="G307" s="124"/>
    </row>
    <row r="308" spans="3:7" ht="28.5" customHeight="1">
      <c r="C308" s="41"/>
      <c r="E308" s="124"/>
      <c r="F308" s="238"/>
      <c r="G308" s="124"/>
    </row>
    <row r="309" spans="3:7" ht="28.5" customHeight="1">
      <c r="C309" s="41"/>
      <c r="E309" s="124"/>
      <c r="F309" s="238"/>
      <c r="G309" s="124"/>
    </row>
    <row r="310" spans="3:7" ht="28.5" customHeight="1">
      <c r="C310" s="41"/>
      <c r="E310" s="124"/>
      <c r="F310" s="238"/>
      <c r="G310" s="124"/>
    </row>
    <row r="311" spans="3:7" ht="28.5" customHeight="1">
      <c r="C311" s="41"/>
      <c r="E311" s="124"/>
      <c r="F311" s="238"/>
      <c r="G311" s="124"/>
    </row>
    <row r="312" spans="3:7" ht="28.5" customHeight="1">
      <c r="C312" s="41"/>
      <c r="E312" s="124"/>
      <c r="F312" s="238"/>
      <c r="G312" s="124"/>
    </row>
    <row r="313" spans="3:7" ht="28.5" customHeight="1">
      <c r="C313" s="41"/>
      <c r="E313" s="124"/>
      <c r="F313" s="238"/>
      <c r="G313" s="124"/>
    </row>
    <row r="314" spans="3:7" ht="28.5" customHeight="1">
      <c r="C314" s="41"/>
      <c r="E314" s="124"/>
      <c r="F314" s="238"/>
      <c r="G314" s="124"/>
    </row>
    <row r="315" spans="3:7" ht="28.5" customHeight="1">
      <c r="C315" s="41"/>
      <c r="E315" s="124"/>
      <c r="F315" s="238"/>
      <c r="G315" s="124"/>
    </row>
    <row r="316" spans="3:7" ht="28.5" customHeight="1">
      <c r="C316" s="41"/>
      <c r="E316" s="124"/>
      <c r="F316" s="238"/>
      <c r="G316" s="124"/>
    </row>
    <row r="317" spans="3:7" ht="28.5" customHeight="1">
      <c r="C317" s="41"/>
      <c r="E317" s="124"/>
      <c r="F317" s="238"/>
      <c r="G317" s="124"/>
    </row>
    <row r="318" spans="3:7" ht="28.5" customHeight="1">
      <c r="C318" s="41"/>
      <c r="E318" s="124"/>
      <c r="F318" s="238"/>
      <c r="G318" s="124"/>
    </row>
    <row r="319" spans="3:7" ht="28.5" customHeight="1">
      <c r="C319" s="41"/>
      <c r="E319" s="124"/>
      <c r="F319" s="238"/>
      <c r="G319" s="124"/>
    </row>
    <row r="320" spans="3:7" ht="28.5" customHeight="1">
      <c r="C320" s="41"/>
      <c r="E320" s="124"/>
      <c r="F320" s="238"/>
      <c r="G320" s="124"/>
    </row>
    <row r="321" spans="3:7" ht="28.5" customHeight="1">
      <c r="C321" s="41"/>
      <c r="E321" s="124"/>
      <c r="F321" s="238"/>
      <c r="G321" s="124"/>
    </row>
    <row r="322" spans="3:7" ht="28.5" customHeight="1">
      <c r="C322" s="41"/>
      <c r="E322" s="124"/>
      <c r="F322" s="238"/>
      <c r="G322" s="124"/>
    </row>
    <row r="323" spans="3:7" ht="28.5" customHeight="1">
      <c r="C323" s="41"/>
      <c r="E323" s="124"/>
      <c r="F323" s="238"/>
      <c r="G323" s="124"/>
    </row>
    <row r="324" spans="3:7" ht="28.5" customHeight="1">
      <c r="C324" s="41"/>
      <c r="E324" s="124"/>
      <c r="F324" s="238"/>
      <c r="G324" s="124"/>
    </row>
    <row r="325" spans="3:7" ht="28.5" customHeight="1">
      <c r="C325" s="41"/>
      <c r="E325" s="124"/>
      <c r="F325" s="238"/>
      <c r="G325" s="124"/>
    </row>
    <row r="326" spans="3:7" ht="28.5" customHeight="1">
      <c r="C326" s="41"/>
      <c r="E326" s="124"/>
      <c r="F326" s="238"/>
      <c r="G326" s="124"/>
    </row>
    <row r="327" spans="3:7" ht="28.5" customHeight="1">
      <c r="C327" s="41"/>
      <c r="E327" s="124"/>
      <c r="F327" s="238"/>
      <c r="G327" s="124"/>
    </row>
    <row r="328" spans="3:7" ht="28.5" customHeight="1">
      <c r="C328" s="41"/>
      <c r="E328" s="124"/>
      <c r="F328" s="238"/>
      <c r="G328" s="124"/>
    </row>
    <row r="329" spans="3:7" ht="28.5" customHeight="1">
      <c r="C329" s="41"/>
      <c r="E329" s="124"/>
      <c r="F329" s="238"/>
      <c r="G329" s="124"/>
    </row>
    <row r="330" spans="3:7" ht="28.5" customHeight="1">
      <c r="C330" s="41"/>
      <c r="E330" s="124"/>
      <c r="F330" s="238"/>
      <c r="G330" s="124"/>
    </row>
    <row r="331" spans="3:7" ht="28.5" customHeight="1">
      <c r="C331" s="41"/>
      <c r="E331" s="124"/>
      <c r="F331" s="238"/>
      <c r="G331" s="124"/>
    </row>
    <row r="332" spans="3:7" ht="28.5" customHeight="1">
      <c r="C332" s="41"/>
      <c r="E332" s="124"/>
      <c r="F332" s="238"/>
      <c r="G332" s="124"/>
    </row>
    <row r="333" spans="3:7" ht="28.5" customHeight="1">
      <c r="C333" s="41"/>
      <c r="E333" s="124"/>
      <c r="F333" s="238"/>
      <c r="G333" s="124"/>
    </row>
    <row r="334" spans="3:7" ht="28.5" customHeight="1">
      <c r="C334" s="41"/>
      <c r="E334" s="124"/>
      <c r="F334" s="238"/>
      <c r="G334" s="124"/>
    </row>
    <row r="335" spans="3:7" ht="28.5" customHeight="1">
      <c r="C335" s="41"/>
      <c r="E335" s="124"/>
      <c r="F335" s="238"/>
      <c r="G335" s="124"/>
    </row>
    <row r="336" spans="3:7" ht="28.5" customHeight="1">
      <c r="C336" s="41"/>
      <c r="E336" s="124"/>
      <c r="F336" s="238"/>
      <c r="G336" s="124"/>
    </row>
    <row r="337" spans="3:7" ht="28.5" customHeight="1">
      <c r="C337" s="41"/>
      <c r="E337" s="124"/>
      <c r="F337" s="238"/>
      <c r="G337" s="124"/>
    </row>
    <row r="338" spans="3:7" ht="28.5" customHeight="1">
      <c r="C338" s="41"/>
      <c r="E338" s="124"/>
      <c r="F338" s="238"/>
      <c r="G338" s="124"/>
    </row>
    <row r="339" spans="3:7" ht="28.5" customHeight="1">
      <c r="C339" s="41"/>
      <c r="E339" s="124"/>
      <c r="F339" s="238"/>
      <c r="G339" s="124"/>
    </row>
    <row r="340" spans="3:7" ht="28.5" customHeight="1">
      <c r="C340" s="41"/>
      <c r="E340" s="124"/>
      <c r="F340" s="238"/>
      <c r="G340" s="124"/>
    </row>
    <row r="341" spans="3:7" ht="28.5" customHeight="1">
      <c r="C341" s="41"/>
      <c r="E341" s="124"/>
      <c r="F341" s="238"/>
      <c r="G341" s="124"/>
    </row>
    <row r="342" spans="3:7" ht="28.5" customHeight="1">
      <c r="C342" s="41"/>
      <c r="E342" s="124"/>
      <c r="F342" s="238"/>
      <c r="G342" s="124"/>
    </row>
    <row r="343" spans="3:7" ht="28.5" customHeight="1">
      <c r="C343" s="41"/>
      <c r="E343" s="124"/>
      <c r="F343" s="238"/>
      <c r="G343" s="124"/>
    </row>
    <row r="344" spans="3:7" ht="28.5" customHeight="1">
      <c r="C344" s="41"/>
      <c r="E344" s="124"/>
      <c r="F344" s="238"/>
      <c r="G344" s="124"/>
    </row>
    <row r="345" spans="3:7" ht="28.5" customHeight="1">
      <c r="C345" s="41"/>
      <c r="E345" s="124"/>
      <c r="F345" s="238"/>
      <c r="G345" s="124"/>
    </row>
    <row r="346" spans="3:7" ht="28.5" customHeight="1">
      <c r="C346" s="41"/>
      <c r="E346" s="124"/>
      <c r="F346" s="238"/>
      <c r="G346" s="124"/>
    </row>
    <row r="347" spans="3:7" ht="28.5" customHeight="1">
      <c r="C347" s="41"/>
      <c r="E347" s="124"/>
      <c r="F347" s="238"/>
      <c r="G347" s="124"/>
    </row>
    <row r="348" spans="3:7" ht="28.5" customHeight="1">
      <c r="C348" s="41"/>
      <c r="E348" s="124"/>
      <c r="F348" s="238"/>
      <c r="G348" s="124"/>
    </row>
    <row r="349" spans="3:7" ht="28.5" customHeight="1">
      <c r="C349" s="41"/>
      <c r="E349" s="124"/>
      <c r="F349" s="238"/>
      <c r="G349" s="124"/>
    </row>
    <row r="350" spans="3:7" ht="28.5" customHeight="1">
      <c r="C350" s="41"/>
      <c r="E350" s="124"/>
      <c r="F350" s="238"/>
      <c r="G350" s="124"/>
    </row>
    <row r="351" spans="3:7" ht="28.5" customHeight="1">
      <c r="C351" s="41"/>
      <c r="E351" s="124"/>
      <c r="F351" s="238"/>
      <c r="G351" s="124"/>
    </row>
    <row r="352" spans="3:7" ht="28.5" customHeight="1">
      <c r="C352" s="41"/>
      <c r="E352" s="124"/>
      <c r="F352" s="238"/>
      <c r="G352" s="124"/>
    </row>
    <row r="353" spans="3:7" ht="28.5" customHeight="1">
      <c r="C353" s="41"/>
      <c r="E353" s="124"/>
      <c r="F353" s="238"/>
      <c r="G353" s="124"/>
    </row>
    <row r="354" spans="3:7" ht="28.5" customHeight="1">
      <c r="C354" s="41"/>
      <c r="E354" s="124"/>
      <c r="F354" s="238"/>
      <c r="G354" s="124"/>
    </row>
    <row r="355" spans="3:7" ht="28.5" customHeight="1">
      <c r="C355" s="41"/>
      <c r="E355" s="124"/>
      <c r="F355" s="238"/>
      <c r="G355" s="124"/>
    </row>
    <row r="356" spans="3:7" ht="28.5" customHeight="1">
      <c r="C356" s="41"/>
      <c r="E356" s="124"/>
      <c r="F356" s="238"/>
      <c r="G356" s="124"/>
    </row>
    <row r="357" spans="3:7" ht="28.5" customHeight="1">
      <c r="C357" s="41"/>
      <c r="E357" s="124"/>
      <c r="F357" s="238"/>
      <c r="G357" s="124"/>
    </row>
    <row r="358" spans="3:7" ht="28.5" customHeight="1">
      <c r="C358" s="41"/>
      <c r="E358" s="124"/>
      <c r="F358" s="238"/>
      <c r="G358" s="124"/>
    </row>
    <row r="359" spans="3:7" ht="28.5" customHeight="1">
      <c r="C359" s="41"/>
      <c r="E359" s="124"/>
      <c r="F359" s="238"/>
      <c r="G359" s="124"/>
    </row>
    <row r="360" spans="3:7" ht="28.5" customHeight="1">
      <c r="C360" s="41"/>
      <c r="E360" s="124"/>
      <c r="F360" s="238"/>
      <c r="G360" s="124"/>
    </row>
    <row r="361" spans="3:7" ht="28.5" customHeight="1">
      <c r="C361" s="41"/>
      <c r="E361" s="124"/>
      <c r="F361" s="238"/>
      <c r="G361" s="124"/>
    </row>
    <row r="362" spans="3:7" ht="28.5" customHeight="1">
      <c r="C362" s="41"/>
      <c r="E362" s="124"/>
      <c r="F362" s="238"/>
      <c r="G362" s="124"/>
    </row>
    <row r="363" spans="3:7" ht="28.5" customHeight="1">
      <c r="C363" s="41"/>
      <c r="E363" s="124"/>
      <c r="F363" s="238"/>
      <c r="G363" s="124"/>
    </row>
    <row r="364" spans="3:7" ht="28.5" customHeight="1">
      <c r="C364" s="41"/>
      <c r="E364" s="124"/>
      <c r="F364" s="238"/>
      <c r="G364" s="124"/>
    </row>
    <row r="365" spans="3:7" ht="28.5" customHeight="1">
      <c r="C365" s="41"/>
      <c r="E365" s="124"/>
      <c r="F365" s="238"/>
      <c r="G365" s="124"/>
    </row>
    <row r="366" spans="3:7" ht="28.5" customHeight="1">
      <c r="C366" s="41"/>
      <c r="E366" s="124"/>
      <c r="F366" s="238"/>
      <c r="G366" s="124"/>
    </row>
    <row r="367" spans="3:7" ht="28.5" customHeight="1">
      <c r="C367" s="41"/>
      <c r="E367" s="124"/>
      <c r="F367" s="238"/>
      <c r="G367" s="124"/>
    </row>
    <row r="368" spans="3:7" ht="28.5" customHeight="1">
      <c r="C368" s="41"/>
      <c r="E368" s="124"/>
      <c r="F368" s="238"/>
      <c r="G368" s="124"/>
    </row>
    <row r="369" spans="3:7" ht="28.5" customHeight="1">
      <c r="C369" s="41"/>
      <c r="E369" s="124"/>
      <c r="F369" s="238"/>
      <c r="G369" s="124"/>
    </row>
    <row r="370" spans="3:7" ht="28.5" customHeight="1">
      <c r="C370" s="41"/>
      <c r="E370" s="124"/>
      <c r="F370" s="238"/>
      <c r="G370" s="124"/>
    </row>
    <row r="371" spans="3:7" ht="28.5" customHeight="1">
      <c r="C371" s="41"/>
      <c r="E371" s="124"/>
      <c r="F371" s="238"/>
      <c r="G371" s="124"/>
    </row>
    <row r="372" spans="3:7" ht="28.5" customHeight="1">
      <c r="C372" s="41"/>
      <c r="E372" s="124"/>
      <c r="F372" s="238"/>
      <c r="G372" s="124"/>
    </row>
    <row r="373" spans="3:7" ht="28.5" customHeight="1">
      <c r="C373" s="41"/>
      <c r="E373" s="124"/>
      <c r="F373" s="238"/>
      <c r="G373" s="124"/>
    </row>
    <row r="374" spans="3:7" ht="28.5" customHeight="1">
      <c r="C374" s="41"/>
      <c r="E374" s="124"/>
      <c r="F374" s="238"/>
      <c r="G374" s="124"/>
    </row>
    <row r="375" spans="3:7" ht="28.5" customHeight="1">
      <c r="C375" s="41"/>
      <c r="E375" s="124"/>
      <c r="F375" s="238"/>
      <c r="G375" s="124"/>
    </row>
    <row r="376" spans="3:7" ht="28.5" customHeight="1">
      <c r="C376" s="41"/>
      <c r="E376" s="124"/>
      <c r="F376" s="238"/>
      <c r="G376" s="124"/>
    </row>
    <row r="377" spans="3:7" ht="28.5" customHeight="1">
      <c r="C377" s="41"/>
      <c r="E377" s="124"/>
      <c r="F377" s="238"/>
      <c r="G377" s="124"/>
    </row>
    <row r="378" spans="3:7" ht="28.5" customHeight="1">
      <c r="C378" s="41"/>
      <c r="E378" s="124"/>
      <c r="F378" s="238"/>
      <c r="G378" s="124"/>
    </row>
    <row r="379" spans="3:7" ht="28.5" customHeight="1">
      <c r="C379" s="41"/>
      <c r="E379" s="124"/>
      <c r="F379" s="238"/>
      <c r="G379" s="124"/>
    </row>
    <row r="380" spans="3:7" ht="28.5" customHeight="1">
      <c r="C380" s="41"/>
      <c r="E380" s="124"/>
      <c r="F380" s="238"/>
      <c r="G380" s="124"/>
    </row>
    <row r="381" spans="3:7" ht="28.5" customHeight="1">
      <c r="C381" s="41"/>
      <c r="E381" s="124"/>
      <c r="F381" s="238"/>
      <c r="G381" s="124"/>
    </row>
    <row r="382" spans="3:7" ht="28.5" customHeight="1">
      <c r="C382" s="41"/>
      <c r="E382" s="124"/>
      <c r="F382" s="238"/>
      <c r="G382" s="124"/>
    </row>
    <row r="383" spans="3:7" ht="28.5" customHeight="1">
      <c r="C383" s="41"/>
      <c r="E383" s="124"/>
      <c r="F383" s="238"/>
      <c r="G383" s="124"/>
    </row>
    <row r="384" spans="3:7" ht="28.5" customHeight="1">
      <c r="C384" s="41"/>
      <c r="E384" s="124"/>
      <c r="F384" s="238"/>
      <c r="G384" s="124"/>
    </row>
    <row r="385" spans="3:7" ht="28.5" customHeight="1">
      <c r="C385" s="41"/>
      <c r="E385" s="124"/>
      <c r="F385" s="238"/>
      <c r="G385" s="124"/>
    </row>
    <row r="386" spans="3:7" ht="28.5" customHeight="1">
      <c r="C386" s="41"/>
      <c r="E386" s="124"/>
      <c r="F386" s="238"/>
      <c r="G386" s="124"/>
    </row>
    <row r="387" spans="3:7" ht="28.5" customHeight="1">
      <c r="C387" s="41"/>
      <c r="E387" s="124"/>
      <c r="F387" s="238"/>
      <c r="G387" s="124"/>
    </row>
    <row r="388" spans="3:7" ht="28.5" customHeight="1">
      <c r="C388" s="41"/>
      <c r="E388" s="124"/>
      <c r="F388" s="238"/>
      <c r="G388" s="124"/>
    </row>
    <row r="389" spans="3:7" ht="28.5" customHeight="1">
      <c r="C389" s="41"/>
      <c r="E389" s="124"/>
      <c r="F389" s="238"/>
      <c r="G389" s="124"/>
    </row>
    <row r="390" spans="3:7" ht="28.5" customHeight="1">
      <c r="C390" s="41"/>
      <c r="E390" s="124"/>
      <c r="F390" s="238"/>
      <c r="G390" s="124"/>
    </row>
    <row r="391" spans="3:7" ht="28.5" customHeight="1">
      <c r="C391" s="41"/>
      <c r="E391" s="124"/>
      <c r="F391" s="238"/>
      <c r="G391" s="124"/>
    </row>
    <row r="392" spans="3:7" ht="28.5" customHeight="1">
      <c r="C392" s="41"/>
      <c r="E392" s="124"/>
      <c r="F392" s="238"/>
      <c r="G392" s="124"/>
    </row>
    <row r="393" spans="3:7" ht="28.5" customHeight="1">
      <c r="C393" s="41"/>
      <c r="E393" s="124"/>
      <c r="F393" s="238"/>
      <c r="G393" s="124"/>
    </row>
    <row r="394" spans="3:7" ht="28.5" customHeight="1">
      <c r="C394" s="41"/>
      <c r="E394" s="124"/>
      <c r="F394" s="238"/>
      <c r="G394" s="124"/>
    </row>
    <row r="395" spans="3:7" ht="28.5" customHeight="1">
      <c r="C395" s="41"/>
      <c r="E395" s="124"/>
      <c r="F395" s="238"/>
      <c r="G395" s="124"/>
    </row>
    <row r="396" spans="3:7" ht="28.5" customHeight="1">
      <c r="C396" s="41"/>
      <c r="E396" s="124"/>
      <c r="F396" s="238"/>
      <c r="G396" s="124"/>
    </row>
    <row r="397" spans="3:7" ht="28.5" customHeight="1">
      <c r="C397" s="41"/>
      <c r="E397" s="124"/>
      <c r="F397" s="238"/>
      <c r="G397" s="124"/>
    </row>
    <row r="398" spans="3:7" ht="28.5" customHeight="1">
      <c r="C398" s="41"/>
      <c r="E398" s="124"/>
      <c r="F398" s="238"/>
      <c r="G398" s="124"/>
    </row>
    <row r="399" spans="3:7" ht="28.5" customHeight="1">
      <c r="C399" s="41"/>
      <c r="E399" s="124"/>
      <c r="F399" s="238"/>
      <c r="G399" s="124"/>
    </row>
    <row r="400" spans="3:7" ht="28.5" customHeight="1">
      <c r="C400" s="41"/>
      <c r="E400" s="124"/>
      <c r="F400" s="238"/>
      <c r="G400" s="124"/>
    </row>
    <row r="401" spans="3:7" ht="28.5" customHeight="1">
      <c r="C401" s="41"/>
      <c r="E401" s="124"/>
      <c r="F401" s="238"/>
      <c r="G401" s="124"/>
    </row>
    <row r="402" spans="3:7" ht="28.5" customHeight="1">
      <c r="C402" s="41"/>
      <c r="E402" s="124"/>
      <c r="F402" s="238"/>
      <c r="G402" s="124"/>
    </row>
    <row r="403" spans="3:7" ht="28.5" customHeight="1">
      <c r="C403" s="41"/>
      <c r="E403" s="124"/>
      <c r="F403" s="238"/>
      <c r="G403" s="124"/>
    </row>
    <row r="404" spans="3:7" ht="28.5" customHeight="1">
      <c r="C404" s="41"/>
      <c r="E404" s="124"/>
      <c r="F404" s="238"/>
      <c r="G404" s="124"/>
    </row>
    <row r="405" spans="3:7" ht="28.5" customHeight="1">
      <c r="C405" s="41"/>
      <c r="E405" s="124"/>
      <c r="F405" s="238"/>
      <c r="G405" s="124"/>
    </row>
    <row r="406" spans="3:7" ht="28.5" customHeight="1">
      <c r="C406" s="41"/>
      <c r="E406" s="124"/>
      <c r="F406" s="238"/>
      <c r="G406" s="124"/>
    </row>
    <row r="407" spans="3:7" ht="28.5" customHeight="1">
      <c r="C407" s="41"/>
      <c r="E407" s="124"/>
      <c r="F407" s="238"/>
      <c r="G407" s="124"/>
    </row>
    <row r="408" spans="3:7" ht="28.5" customHeight="1">
      <c r="C408" s="41"/>
      <c r="E408" s="124"/>
      <c r="F408" s="238"/>
      <c r="G408" s="124"/>
    </row>
    <row r="409" spans="3:7" ht="28.5" customHeight="1">
      <c r="C409" s="41"/>
      <c r="E409" s="124"/>
      <c r="F409" s="238"/>
      <c r="G409" s="124"/>
    </row>
    <row r="410" spans="3:7" ht="28.5" customHeight="1">
      <c r="C410" s="41"/>
      <c r="E410" s="124"/>
      <c r="F410" s="238"/>
      <c r="G410" s="124"/>
    </row>
    <row r="411" spans="3:7" ht="28.5" customHeight="1">
      <c r="C411" s="41"/>
      <c r="E411" s="124"/>
      <c r="F411" s="238"/>
      <c r="G411" s="124"/>
    </row>
    <row r="412" spans="3:7" ht="28.5" customHeight="1">
      <c r="C412" s="41"/>
      <c r="E412" s="124"/>
      <c r="F412" s="238"/>
      <c r="G412" s="124"/>
    </row>
    <row r="413" spans="3:7" ht="28.5" customHeight="1">
      <c r="C413" s="41"/>
      <c r="E413" s="124"/>
      <c r="F413" s="238"/>
      <c r="G413" s="124"/>
    </row>
    <row r="414" spans="3:7" ht="28.5" customHeight="1">
      <c r="C414" s="41"/>
      <c r="E414" s="124"/>
      <c r="F414" s="238"/>
      <c r="G414" s="124"/>
    </row>
    <row r="415" spans="3:7" ht="28.5" customHeight="1">
      <c r="C415" s="41"/>
      <c r="E415" s="124"/>
      <c r="F415" s="238"/>
      <c r="G415" s="124"/>
    </row>
    <row r="416" spans="3:7" ht="28.5" customHeight="1">
      <c r="C416" s="41"/>
      <c r="E416" s="124"/>
      <c r="F416" s="238"/>
      <c r="G416" s="124"/>
    </row>
    <row r="417" spans="3:7" ht="28.5" customHeight="1">
      <c r="C417" s="41"/>
      <c r="E417" s="124"/>
      <c r="F417" s="238"/>
      <c r="G417" s="124"/>
    </row>
    <row r="418" spans="3:7" ht="28.5" customHeight="1">
      <c r="C418" s="41"/>
      <c r="E418" s="124"/>
      <c r="F418" s="238"/>
      <c r="G418" s="124"/>
    </row>
    <row r="419" spans="3:7" ht="28.5" customHeight="1">
      <c r="C419" s="41"/>
      <c r="E419" s="124"/>
      <c r="F419" s="238"/>
      <c r="G419" s="124"/>
    </row>
    <row r="420" spans="3:7" ht="28.5" customHeight="1">
      <c r="C420" s="41"/>
      <c r="E420" s="124"/>
      <c r="F420" s="238"/>
      <c r="G420" s="124"/>
    </row>
    <row r="421" spans="3:7" ht="28.5" customHeight="1">
      <c r="C421" s="41"/>
      <c r="E421" s="124"/>
      <c r="F421" s="238"/>
      <c r="G421" s="124"/>
    </row>
    <row r="422" spans="3:7" ht="28.5" customHeight="1">
      <c r="C422" s="41"/>
      <c r="E422" s="124"/>
      <c r="F422" s="238"/>
      <c r="G422" s="124"/>
    </row>
    <row r="423" spans="3:7" ht="28.5" customHeight="1">
      <c r="C423" s="41"/>
      <c r="E423" s="124"/>
      <c r="F423" s="238"/>
      <c r="G423" s="124"/>
    </row>
    <row r="424" spans="3:7" ht="28.5" customHeight="1">
      <c r="C424" s="41"/>
      <c r="E424" s="124"/>
      <c r="F424" s="238"/>
      <c r="G424" s="124"/>
    </row>
    <row r="425" spans="3:7" ht="28.5" customHeight="1">
      <c r="C425" s="41"/>
      <c r="E425" s="124"/>
      <c r="F425" s="238"/>
      <c r="G425" s="124"/>
    </row>
    <row r="426" spans="3:7" ht="28.5" customHeight="1">
      <c r="C426" s="41"/>
      <c r="E426" s="124"/>
      <c r="F426" s="238"/>
      <c r="G426" s="124"/>
    </row>
    <row r="427" spans="3:7" ht="28.5" customHeight="1">
      <c r="C427" s="41"/>
      <c r="E427" s="124"/>
      <c r="F427" s="238"/>
      <c r="G427" s="124"/>
    </row>
    <row r="428" spans="3:7" ht="28.5" customHeight="1">
      <c r="C428" s="41"/>
      <c r="E428" s="124"/>
      <c r="F428" s="238"/>
      <c r="G428" s="124"/>
    </row>
    <row r="429" spans="3:7" ht="28.5" customHeight="1">
      <c r="C429" s="41"/>
      <c r="E429" s="124"/>
      <c r="F429" s="238"/>
      <c r="G429" s="124"/>
    </row>
    <row r="430" spans="3:7" ht="28.5" customHeight="1">
      <c r="C430" s="41"/>
      <c r="E430" s="124"/>
      <c r="F430" s="238"/>
      <c r="G430" s="124"/>
    </row>
    <row r="431" spans="3:7" ht="28.5" customHeight="1">
      <c r="C431" s="41"/>
      <c r="E431" s="124"/>
      <c r="F431" s="238"/>
      <c r="G431" s="124"/>
    </row>
    <row r="432" spans="3:7" ht="28.5" customHeight="1">
      <c r="C432" s="41"/>
      <c r="E432" s="124"/>
      <c r="F432" s="238"/>
      <c r="G432" s="124"/>
    </row>
    <row r="433" spans="3:7" ht="28.5" customHeight="1">
      <c r="C433" s="41"/>
      <c r="E433" s="124"/>
      <c r="F433" s="238"/>
      <c r="G433" s="124"/>
    </row>
    <row r="434" spans="3:7" ht="28.5" customHeight="1">
      <c r="C434" s="41"/>
      <c r="E434" s="124"/>
      <c r="F434" s="238"/>
      <c r="G434" s="124"/>
    </row>
    <row r="435" spans="3:7" ht="28.5" customHeight="1">
      <c r="C435" s="41"/>
      <c r="E435" s="124"/>
      <c r="F435" s="238"/>
      <c r="G435" s="124"/>
    </row>
    <row r="436" spans="3:7" ht="28.5" customHeight="1">
      <c r="C436" s="41"/>
      <c r="E436" s="124"/>
      <c r="F436" s="238"/>
      <c r="G436" s="124"/>
    </row>
    <row r="437" spans="3:7" ht="28.5" customHeight="1">
      <c r="C437" s="41"/>
      <c r="E437" s="124"/>
      <c r="F437" s="238"/>
      <c r="G437" s="124"/>
    </row>
    <row r="438" spans="3:7" ht="28.5" customHeight="1">
      <c r="C438" s="41"/>
      <c r="E438" s="124"/>
      <c r="F438" s="238"/>
      <c r="G438" s="124"/>
    </row>
    <row r="439" spans="3:7" ht="28.5" customHeight="1">
      <c r="C439" s="41"/>
      <c r="E439" s="124"/>
      <c r="F439" s="238"/>
      <c r="G439" s="124"/>
    </row>
    <row r="440" spans="3:7" ht="28.5" customHeight="1">
      <c r="C440" s="41"/>
      <c r="E440" s="124"/>
      <c r="F440" s="238"/>
      <c r="G440" s="124"/>
    </row>
    <row r="441" spans="3:7" ht="28.5" customHeight="1">
      <c r="C441" s="41"/>
      <c r="E441" s="124"/>
      <c r="F441" s="238"/>
      <c r="G441" s="124"/>
    </row>
    <row r="442" spans="3:7" ht="28.5" customHeight="1">
      <c r="C442" s="41"/>
      <c r="E442" s="124"/>
      <c r="F442" s="238"/>
      <c r="G442" s="124"/>
    </row>
    <row r="443" spans="3:7" ht="28.5" customHeight="1">
      <c r="C443" s="41"/>
      <c r="E443" s="124"/>
      <c r="F443" s="238"/>
      <c r="G443" s="124"/>
    </row>
    <row r="444" spans="3:7" ht="28.5" customHeight="1">
      <c r="C444" s="41"/>
      <c r="E444" s="124"/>
      <c r="F444" s="238"/>
      <c r="G444" s="124"/>
    </row>
    <row r="445" spans="3:7" ht="28.5" customHeight="1">
      <c r="C445" s="41"/>
      <c r="E445" s="124"/>
      <c r="F445" s="238"/>
      <c r="G445" s="124"/>
    </row>
    <row r="446" spans="3:7" ht="28.5" customHeight="1">
      <c r="C446" s="41"/>
      <c r="E446" s="124"/>
      <c r="F446" s="238"/>
      <c r="G446" s="124"/>
    </row>
    <row r="447" spans="3:7" ht="28.5" customHeight="1">
      <c r="C447" s="41"/>
      <c r="E447" s="124"/>
      <c r="F447" s="238"/>
      <c r="G447" s="124"/>
    </row>
    <row r="448" spans="3:7" ht="28.5" customHeight="1">
      <c r="C448" s="41"/>
      <c r="E448" s="124"/>
      <c r="F448" s="238"/>
      <c r="G448" s="124"/>
    </row>
    <row r="449" spans="3:7" ht="28.5" customHeight="1">
      <c r="C449" s="41"/>
      <c r="E449" s="124"/>
      <c r="F449" s="238"/>
      <c r="G449" s="124"/>
    </row>
    <row r="450" spans="3:7" ht="28.5" customHeight="1">
      <c r="C450" s="41"/>
      <c r="E450" s="124"/>
      <c r="F450" s="238"/>
      <c r="G450" s="124"/>
    </row>
    <row r="451" spans="3:7" ht="28.5" customHeight="1">
      <c r="C451" s="41"/>
      <c r="E451" s="124"/>
      <c r="F451" s="238"/>
      <c r="G451" s="124"/>
    </row>
    <row r="452" spans="3:7" ht="28.5" customHeight="1">
      <c r="C452" s="41"/>
      <c r="E452" s="124"/>
      <c r="F452" s="238"/>
      <c r="G452" s="124"/>
    </row>
    <row r="453" spans="3:7" ht="28.5" customHeight="1">
      <c r="C453" s="41"/>
      <c r="E453" s="124"/>
      <c r="F453" s="238"/>
      <c r="G453" s="124"/>
    </row>
    <row r="454" spans="3:7" ht="28.5" customHeight="1">
      <c r="C454" s="41"/>
      <c r="E454" s="124"/>
      <c r="F454" s="238"/>
      <c r="G454" s="124"/>
    </row>
    <row r="455" spans="3:7" ht="28.5" customHeight="1">
      <c r="C455" s="41"/>
      <c r="E455" s="124"/>
      <c r="F455" s="238"/>
      <c r="G455" s="124"/>
    </row>
    <row r="456" spans="3:7" ht="28.5" customHeight="1">
      <c r="C456" s="41"/>
      <c r="E456" s="124"/>
      <c r="F456" s="238"/>
      <c r="G456" s="124"/>
    </row>
    <row r="457" spans="3:7" ht="28.5" customHeight="1">
      <c r="C457" s="41"/>
      <c r="E457" s="124"/>
      <c r="F457" s="238"/>
      <c r="G457" s="124"/>
    </row>
    <row r="458" spans="3:7" ht="28.5" customHeight="1">
      <c r="C458" s="41"/>
      <c r="E458" s="124"/>
      <c r="F458" s="238"/>
      <c r="G458" s="124"/>
    </row>
    <row r="459" spans="3:7" ht="28.5" customHeight="1">
      <c r="C459" s="41"/>
      <c r="E459" s="124"/>
      <c r="F459" s="238"/>
      <c r="G459" s="124"/>
    </row>
    <row r="460" spans="3:7" ht="28.5" customHeight="1">
      <c r="C460" s="41"/>
      <c r="E460" s="124"/>
      <c r="F460" s="238"/>
      <c r="G460" s="124"/>
    </row>
    <row r="461" spans="3:7" ht="28.5" customHeight="1">
      <c r="C461" s="41"/>
      <c r="E461" s="124"/>
      <c r="F461" s="238"/>
      <c r="G461" s="124"/>
    </row>
    <row r="462" spans="3:7" ht="28.5" customHeight="1">
      <c r="C462" s="41"/>
      <c r="E462" s="124"/>
      <c r="F462" s="238"/>
      <c r="G462" s="124"/>
    </row>
    <row r="463" spans="3:7" ht="28.5" customHeight="1">
      <c r="C463" s="41"/>
      <c r="E463" s="124"/>
      <c r="F463" s="238"/>
      <c r="G463" s="124"/>
    </row>
    <row r="464" spans="3:7" ht="28.5" customHeight="1">
      <c r="C464" s="41"/>
      <c r="E464" s="124"/>
      <c r="F464" s="238"/>
      <c r="G464" s="124"/>
    </row>
    <row r="465" spans="3:7" ht="28.5" customHeight="1">
      <c r="C465" s="41"/>
      <c r="E465" s="124"/>
      <c r="F465" s="238"/>
      <c r="G465" s="124"/>
    </row>
    <row r="466" spans="3:7" ht="28.5" customHeight="1">
      <c r="C466" s="41"/>
      <c r="E466" s="124"/>
      <c r="F466" s="238"/>
      <c r="G466" s="124"/>
    </row>
    <row r="467" spans="3:7" ht="28.5" customHeight="1">
      <c r="C467" s="41"/>
      <c r="E467" s="124"/>
      <c r="F467" s="238"/>
      <c r="G467" s="124"/>
    </row>
    <row r="468" spans="3:7" ht="28.5" customHeight="1">
      <c r="C468" s="41"/>
      <c r="E468" s="124"/>
      <c r="F468" s="238"/>
      <c r="G468" s="124"/>
    </row>
    <row r="469" spans="3:7" ht="28.5" customHeight="1">
      <c r="C469" s="41"/>
      <c r="E469" s="124"/>
      <c r="F469" s="238"/>
      <c r="G469" s="124"/>
    </row>
    <row r="470" spans="3:7" ht="28.5" customHeight="1">
      <c r="C470" s="41"/>
      <c r="E470" s="124"/>
      <c r="F470" s="238"/>
      <c r="G470" s="124"/>
    </row>
    <row r="471" spans="3:7" ht="28.5" customHeight="1">
      <c r="C471" s="41"/>
      <c r="E471" s="124"/>
      <c r="F471" s="238"/>
      <c r="G471" s="124"/>
    </row>
    <row r="472" spans="3:7" ht="28.5" customHeight="1">
      <c r="C472" s="41"/>
      <c r="E472" s="124"/>
      <c r="F472" s="238"/>
      <c r="G472" s="124"/>
    </row>
    <row r="473" spans="3:7" ht="28.5" customHeight="1">
      <c r="C473" s="41"/>
      <c r="E473" s="124"/>
      <c r="F473" s="238"/>
      <c r="G473" s="124"/>
    </row>
    <row r="474" spans="3:7" ht="28.5" customHeight="1">
      <c r="C474" s="41"/>
      <c r="E474" s="124"/>
      <c r="F474" s="238"/>
      <c r="G474" s="124"/>
    </row>
    <row r="475" spans="3:7" ht="28.5" customHeight="1">
      <c r="C475" s="41"/>
      <c r="E475" s="124"/>
      <c r="F475" s="238"/>
      <c r="G475" s="124"/>
    </row>
    <row r="476" spans="3:7" ht="28.5" customHeight="1">
      <c r="C476" s="41"/>
      <c r="E476" s="124"/>
      <c r="F476" s="238"/>
      <c r="G476" s="124"/>
    </row>
    <row r="477" spans="3:7" ht="28.5" customHeight="1">
      <c r="C477" s="41"/>
      <c r="E477" s="124"/>
      <c r="F477" s="238"/>
      <c r="G477" s="124"/>
    </row>
    <row r="478" spans="3:7" ht="28.5" customHeight="1">
      <c r="C478" s="41"/>
      <c r="E478" s="124"/>
      <c r="F478" s="238"/>
      <c r="G478" s="124"/>
    </row>
    <row r="479" spans="3:7" ht="28.5" customHeight="1">
      <c r="C479" s="41"/>
      <c r="E479" s="124"/>
      <c r="F479" s="238"/>
      <c r="G479" s="124"/>
    </row>
    <row r="480" spans="3:7" ht="28.5" customHeight="1">
      <c r="C480" s="41"/>
      <c r="E480" s="124"/>
      <c r="F480" s="238"/>
      <c r="G480" s="124"/>
    </row>
    <row r="481" spans="3:7" ht="28.5" customHeight="1">
      <c r="C481" s="41"/>
      <c r="E481" s="124"/>
      <c r="F481" s="238"/>
      <c r="G481" s="124"/>
    </row>
    <row r="482" spans="3:7" ht="28.5" customHeight="1">
      <c r="C482" s="41"/>
      <c r="E482" s="124"/>
      <c r="F482" s="238"/>
      <c r="G482" s="124"/>
    </row>
    <row r="483" spans="3:7" ht="28.5" customHeight="1">
      <c r="C483" s="41"/>
      <c r="E483" s="124"/>
      <c r="F483" s="238"/>
      <c r="G483" s="124"/>
    </row>
    <row r="484" spans="3:7" ht="28.5" customHeight="1">
      <c r="C484" s="41"/>
      <c r="E484" s="124"/>
      <c r="F484" s="238"/>
      <c r="G484" s="124"/>
    </row>
    <row r="485" spans="3:7" ht="28.5" customHeight="1">
      <c r="C485" s="41"/>
      <c r="E485" s="124"/>
      <c r="F485" s="238"/>
      <c r="G485" s="124"/>
    </row>
    <row r="486" spans="3:7" ht="28.5" customHeight="1">
      <c r="C486" s="41"/>
      <c r="E486" s="124"/>
      <c r="F486" s="238"/>
      <c r="G486" s="124"/>
    </row>
    <row r="487" spans="3:7" ht="28.5" customHeight="1">
      <c r="C487" s="41"/>
      <c r="E487" s="124"/>
      <c r="F487" s="238"/>
      <c r="G487" s="124"/>
    </row>
    <row r="488" spans="3:7" ht="28.5" customHeight="1">
      <c r="C488" s="41"/>
      <c r="E488" s="124"/>
      <c r="F488" s="238"/>
      <c r="G488" s="124"/>
    </row>
    <row r="489" spans="3:7" ht="28.5" customHeight="1">
      <c r="C489" s="41"/>
      <c r="E489" s="124"/>
      <c r="F489" s="238"/>
      <c r="G489" s="124"/>
    </row>
    <row r="490" spans="3:7" ht="28.5" customHeight="1">
      <c r="C490" s="41"/>
      <c r="E490" s="124"/>
      <c r="F490" s="238"/>
      <c r="G490" s="124"/>
    </row>
    <row r="491" spans="3:7" ht="28.5" customHeight="1">
      <c r="C491" s="41"/>
      <c r="E491" s="124"/>
      <c r="F491" s="238"/>
      <c r="G491" s="124"/>
    </row>
    <row r="492" spans="3:7" ht="28.5" customHeight="1">
      <c r="C492" s="41"/>
      <c r="E492" s="124"/>
      <c r="F492" s="238"/>
      <c r="G492" s="124"/>
    </row>
    <row r="493" spans="3:7" ht="28.5" customHeight="1">
      <c r="C493" s="41"/>
      <c r="E493" s="124"/>
      <c r="F493" s="238"/>
      <c r="G493" s="124"/>
    </row>
    <row r="494" spans="3:7" ht="28.5" customHeight="1">
      <c r="C494" s="41"/>
      <c r="E494" s="124"/>
      <c r="F494" s="238"/>
      <c r="G494" s="124"/>
    </row>
    <row r="495" spans="3:7" ht="28.5" customHeight="1">
      <c r="C495" s="41"/>
      <c r="E495" s="124"/>
      <c r="F495" s="238"/>
      <c r="G495" s="124"/>
    </row>
    <row r="496" spans="3:7" ht="28.5" customHeight="1">
      <c r="C496" s="41"/>
      <c r="E496" s="124"/>
      <c r="F496" s="238"/>
      <c r="G496" s="124"/>
    </row>
    <row r="497" spans="3:7" ht="28.5" customHeight="1">
      <c r="C497" s="41"/>
      <c r="E497" s="124"/>
      <c r="F497" s="238"/>
      <c r="G497" s="124"/>
    </row>
    <row r="498" spans="3:7" ht="28.5" customHeight="1">
      <c r="C498" s="41"/>
      <c r="E498" s="124"/>
      <c r="F498" s="238"/>
      <c r="G498" s="124"/>
    </row>
    <row r="499" spans="3:7" ht="28.5" customHeight="1">
      <c r="C499" s="41"/>
      <c r="E499" s="124"/>
      <c r="F499" s="238"/>
      <c r="G499" s="124"/>
    </row>
    <row r="500" spans="3:7" ht="28.5" customHeight="1">
      <c r="C500" s="41"/>
      <c r="E500" s="124"/>
      <c r="F500" s="238"/>
      <c r="G500" s="124"/>
    </row>
    <row r="501" spans="3:7" ht="28.5" customHeight="1">
      <c r="C501" s="41"/>
      <c r="E501" s="124"/>
      <c r="F501" s="238"/>
      <c r="G501" s="124"/>
    </row>
    <row r="502" spans="3:7" ht="28.5" customHeight="1">
      <c r="C502" s="41"/>
      <c r="E502" s="124"/>
      <c r="F502" s="238"/>
      <c r="G502" s="124"/>
    </row>
    <row r="503" spans="3:7" ht="28.5" customHeight="1">
      <c r="C503" s="41"/>
      <c r="E503" s="124"/>
      <c r="F503" s="238"/>
      <c r="G503" s="124"/>
    </row>
    <row r="504" spans="3:7" ht="28.5" customHeight="1">
      <c r="C504" s="41"/>
      <c r="E504" s="124"/>
      <c r="F504" s="238"/>
      <c r="G504" s="124"/>
    </row>
    <row r="505" spans="3:7" ht="28.5" customHeight="1">
      <c r="C505" s="41"/>
      <c r="E505" s="124"/>
      <c r="F505" s="238"/>
      <c r="G505" s="124"/>
    </row>
    <row r="506" spans="3:7" ht="28.5" customHeight="1">
      <c r="C506" s="41"/>
      <c r="E506" s="124"/>
      <c r="F506" s="238"/>
      <c r="G506" s="124"/>
    </row>
    <row r="507" spans="3:7" ht="28.5" customHeight="1">
      <c r="C507" s="41"/>
      <c r="E507" s="124"/>
      <c r="F507" s="238"/>
      <c r="G507" s="124"/>
    </row>
    <row r="508" spans="3:7" ht="28.5" customHeight="1">
      <c r="C508" s="41"/>
      <c r="E508" s="124"/>
      <c r="F508" s="238"/>
      <c r="G508" s="124"/>
    </row>
    <row r="509" spans="3:7" ht="28.5" customHeight="1">
      <c r="C509" s="41"/>
      <c r="E509" s="124"/>
      <c r="F509" s="238"/>
      <c r="G509" s="124"/>
    </row>
    <row r="510" spans="3:7" ht="28.5" customHeight="1">
      <c r="C510" s="41"/>
      <c r="E510" s="124"/>
      <c r="F510" s="238"/>
      <c r="G510" s="124"/>
    </row>
    <row r="511" spans="3:7" ht="28.5" customHeight="1">
      <c r="C511" s="41"/>
      <c r="E511" s="124"/>
      <c r="F511" s="238"/>
      <c r="G511" s="124"/>
    </row>
    <row r="512" spans="3:7" ht="28.5" customHeight="1">
      <c r="C512" s="41"/>
      <c r="E512" s="124"/>
      <c r="F512" s="238"/>
      <c r="G512" s="124"/>
    </row>
    <row r="513" spans="3:7" ht="28.5" customHeight="1">
      <c r="C513" s="41"/>
      <c r="E513" s="124"/>
      <c r="F513" s="238"/>
      <c r="G513" s="124"/>
    </row>
    <row r="514" spans="3:7" ht="28.5" customHeight="1">
      <c r="C514" s="41"/>
      <c r="E514" s="124"/>
      <c r="F514" s="238"/>
      <c r="G514" s="124"/>
    </row>
    <row r="515" spans="3:7" ht="28.5" customHeight="1">
      <c r="C515" s="41"/>
      <c r="E515" s="124"/>
      <c r="F515" s="238"/>
      <c r="G515" s="124"/>
    </row>
    <row r="516" spans="3:7" ht="28.5" customHeight="1">
      <c r="C516" s="41"/>
      <c r="E516" s="124"/>
      <c r="F516" s="238"/>
      <c r="G516" s="124"/>
    </row>
    <row r="517" spans="3:7" ht="28.5" customHeight="1">
      <c r="C517" s="41"/>
      <c r="E517" s="124"/>
      <c r="F517" s="238"/>
      <c r="G517" s="124"/>
    </row>
    <row r="518" spans="3:7" ht="28.5" customHeight="1">
      <c r="C518" s="41"/>
      <c r="E518" s="124"/>
      <c r="F518" s="238"/>
      <c r="G518" s="124"/>
    </row>
    <row r="519" spans="3:7" ht="28.5" customHeight="1">
      <c r="C519" s="41"/>
      <c r="E519" s="124"/>
      <c r="F519" s="238"/>
      <c r="G519" s="124"/>
    </row>
    <row r="520" spans="3:7" ht="28.5" customHeight="1">
      <c r="C520" s="41"/>
      <c r="E520" s="124"/>
      <c r="F520" s="238"/>
      <c r="G520" s="124"/>
    </row>
    <row r="521" spans="3:7" ht="28.5" customHeight="1">
      <c r="C521" s="41"/>
      <c r="E521" s="124"/>
      <c r="F521" s="238"/>
      <c r="G521" s="124"/>
    </row>
    <row r="522" spans="3:7" ht="28.5" customHeight="1">
      <c r="C522" s="41"/>
      <c r="E522" s="124"/>
      <c r="F522" s="238"/>
      <c r="G522" s="124"/>
    </row>
    <row r="523" spans="3:7" ht="28.5" customHeight="1">
      <c r="C523" s="41"/>
      <c r="E523" s="124"/>
      <c r="F523" s="238"/>
      <c r="G523" s="124"/>
    </row>
    <row r="524" spans="3:7" ht="28.5" customHeight="1">
      <c r="C524" s="41"/>
      <c r="E524" s="124"/>
      <c r="F524" s="238"/>
      <c r="G524" s="124"/>
    </row>
    <row r="525" spans="3:7" ht="28.5" customHeight="1">
      <c r="C525" s="41"/>
      <c r="E525" s="124"/>
      <c r="F525" s="238"/>
      <c r="G525" s="124"/>
    </row>
    <row r="526" spans="3:7" ht="28.5" customHeight="1">
      <c r="C526" s="41"/>
      <c r="E526" s="124"/>
      <c r="F526" s="238"/>
      <c r="G526" s="124"/>
    </row>
    <row r="527" spans="3:7" ht="28.5" customHeight="1">
      <c r="C527" s="41"/>
      <c r="E527" s="124"/>
      <c r="F527" s="238"/>
      <c r="G527" s="124"/>
    </row>
    <row r="528" spans="3:7" ht="28.5" customHeight="1">
      <c r="C528" s="41"/>
      <c r="E528" s="124"/>
      <c r="F528" s="238"/>
      <c r="G528" s="124"/>
    </row>
    <row r="529" spans="3:7" ht="28.5" customHeight="1">
      <c r="C529" s="41"/>
      <c r="E529" s="124"/>
      <c r="F529" s="238"/>
      <c r="G529" s="124"/>
    </row>
    <row r="530" spans="3:7" ht="28.5" customHeight="1">
      <c r="C530" s="41"/>
      <c r="E530" s="124"/>
      <c r="F530" s="238"/>
      <c r="G530" s="124"/>
    </row>
    <row r="531" spans="3:7" ht="28.5" customHeight="1">
      <c r="C531" s="41"/>
      <c r="E531" s="124"/>
      <c r="F531" s="238"/>
      <c r="G531" s="124"/>
    </row>
    <row r="532" spans="3:7" ht="28.5" customHeight="1">
      <c r="C532" s="41"/>
      <c r="E532" s="124"/>
      <c r="F532" s="238"/>
      <c r="G532" s="124"/>
    </row>
    <row r="533" spans="3:7" ht="28.5" customHeight="1">
      <c r="C533" s="41"/>
      <c r="E533" s="124"/>
      <c r="F533" s="238"/>
      <c r="G533" s="124"/>
    </row>
    <row r="534" spans="3:7" ht="28.5" customHeight="1">
      <c r="C534" s="41"/>
      <c r="E534" s="124"/>
      <c r="F534" s="238"/>
      <c r="G534" s="124"/>
    </row>
    <row r="535" spans="3:7" ht="28.5" customHeight="1">
      <c r="C535" s="41"/>
      <c r="E535" s="124"/>
      <c r="F535" s="238"/>
      <c r="G535" s="124"/>
    </row>
    <row r="536" spans="3:7" ht="28.5" customHeight="1">
      <c r="C536" s="41"/>
      <c r="E536" s="124"/>
      <c r="F536" s="238"/>
      <c r="G536" s="124"/>
    </row>
    <row r="537" spans="3:7" ht="28.5" customHeight="1">
      <c r="C537" s="41"/>
      <c r="E537" s="124"/>
      <c r="F537" s="238"/>
      <c r="G537" s="124"/>
    </row>
    <row r="538" spans="3:7" ht="28.5" customHeight="1">
      <c r="C538" s="41"/>
      <c r="E538" s="124"/>
      <c r="F538" s="238"/>
      <c r="G538" s="124"/>
    </row>
    <row r="539" spans="3:7" ht="28.5" customHeight="1">
      <c r="C539" s="41"/>
      <c r="E539" s="124"/>
      <c r="F539" s="238"/>
      <c r="G539" s="124"/>
    </row>
    <row r="540" spans="3:7" ht="28.5" customHeight="1">
      <c r="C540" s="41"/>
      <c r="E540" s="124"/>
      <c r="F540" s="238"/>
      <c r="G540" s="124"/>
    </row>
    <row r="541" spans="3:7" ht="28.5" customHeight="1">
      <c r="C541" s="41"/>
      <c r="E541" s="124"/>
      <c r="F541" s="238"/>
      <c r="G541" s="124"/>
    </row>
    <row r="542" spans="3:7" ht="28.5" customHeight="1">
      <c r="C542" s="41"/>
      <c r="E542" s="124"/>
      <c r="F542" s="238"/>
      <c r="G542" s="124"/>
    </row>
    <row r="543" spans="3:7" ht="28.5" customHeight="1">
      <c r="C543" s="41"/>
      <c r="E543" s="124"/>
      <c r="F543" s="238"/>
      <c r="G543" s="124"/>
    </row>
    <row r="544" spans="3:7" ht="28.5" customHeight="1">
      <c r="C544" s="41"/>
      <c r="E544" s="124"/>
      <c r="F544" s="238"/>
      <c r="G544" s="124"/>
    </row>
    <row r="545" spans="3:7" ht="28.5" customHeight="1">
      <c r="C545" s="41"/>
      <c r="E545" s="124"/>
      <c r="F545" s="238"/>
      <c r="G545" s="124"/>
    </row>
    <row r="546" spans="3:7" ht="28.5" customHeight="1">
      <c r="C546" s="41"/>
      <c r="E546" s="124"/>
      <c r="F546" s="238"/>
      <c r="G546" s="124"/>
    </row>
    <row r="547" spans="3:7" ht="28.5" customHeight="1">
      <c r="C547" s="41"/>
      <c r="E547" s="124"/>
      <c r="F547" s="238"/>
      <c r="G547" s="124"/>
    </row>
    <row r="548" spans="3:7" ht="28.5" customHeight="1">
      <c r="C548" s="41"/>
      <c r="E548" s="124"/>
      <c r="F548" s="238"/>
      <c r="G548" s="124"/>
    </row>
    <row r="549" spans="3:7" ht="28.5" customHeight="1">
      <c r="C549" s="41"/>
      <c r="E549" s="124"/>
      <c r="F549" s="238"/>
      <c r="G549" s="124"/>
    </row>
    <row r="550" spans="3:7" ht="28.5" customHeight="1">
      <c r="C550" s="41"/>
      <c r="E550" s="124"/>
      <c r="F550" s="238"/>
      <c r="G550" s="124"/>
    </row>
    <row r="551" spans="3:7" ht="28.5" customHeight="1">
      <c r="C551" s="41"/>
      <c r="E551" s="124"/>
      <c r="F551" s="238"/>
      <c r="G551" s="124"/>
    </row>
    <row r="552" spans="3:7" ht="28.5" customHeight="1">
      <c r="C552" s="41"/>
      <c r="E552" s="124"/>
      <c r="F552" s="238"/>
      <c r="G552" s="124"/>
    </row>
    <row r="553" spans="3:7" ht="28.5" customHeight="1">
      <c r="C553" s="41"/>
      <c r="E553" s="124"/>
      <c r="F553" s="238"/>
      <c r="G553" s="124"/>
    </row>
    <row r="554" spans="3:7" ht="28.5" customHeight="1">
      <c r="C554" s="41"/>
      <c r="E554" s="124"/>
      <c r="F554" s="238"/>
      <c r="G554" s="124"/>
    </row>
    <row r="555" spans="3:7" ht="28.5" customHeight="1">
      <c r="C555" s="41"/>
      <c r="E555" s="124"/>
      <c r="F555" s="238"/>
      <c r="G555" s="124"/>
    </row>
    <row r="556" spans="3:7" ht="28.5" customHeight="1">
      <c r="C556" s="41"/>
      <c r="E556" s="124"/>
      <c r="F556" s="238"/>
      <c r="G556" s="124"/>
    </row>
    <row r="557" spans="3:7" ht="28.5" customHeight="1">
      <c r="C557" s="41"/>
      <c r="E557" s="124"/>
      <c r="F557" s="238"/>
      <c r="G557" s="124"/>
    </row>
    <row r="558" spans="3:7" ht="28.5" customHeight="1">
      <c r="C558" s="41"/>
      <c r="E558" s="124"/>
      <c r="F558" s="238"/>
      <c r="G558" s="124"/>
    </row>
    <row r="559" spans="3:7" ht="28.5" customHeight="1">
      <c r="C559" s="41"/>
      <c r="E559" s="124"/>
      <c r="F559" s="238"/>
      <c r="G559" s="124"/>
    </row>
    <row r="560" spans="3:7" ht="28.5" customHeight="1">
      <c r="C560" s="41"/>
      <c r="E560" s="124"/>
      <c r="F560" s="238"/>
      <c r="G560" s="124"/>
    </row>
    <row r="561" spans="3:7" ht="28.5" customHeight="1">
      <c r="C561" s="41"/>
      <c r="E561" s="124"/>
      <c r="F561" s="238"/>
      <c r="G561" s="124"/>
    </row>
    <row r="562" spans="3:7" ht="28.5" customHeight="1">
      <c r="C562" s="41"/>
      <c r="E562" s="124"/>
      <c r="F562" s="238"/>
      <c r="G562" s="124"/>
    </row>
    <row r="563" spans="3:7" ht="28.5" customHeight="1">
      <c r="C563" s="41"/>
      <c r="E563" s="124"/>
      <c r="F563" s="238"/>
      <c r="G563" s="124"/>
    </row>
    <row r="564" spans="3:7" ht="28.5" customHeight="1">
      <c r="C564" s="41"/>
      <c r="E564" s="124"/>
      <c r="F564" s="238"/>
      <c r="G564" s="124"/>
    </row>
    <row r="565" spans="3:7" ht="28.5" customHeight="1">
      <c r="C565" s="41"/>
      <c r="E565" s="124"/>
      <c r="F565" s="238"/>
      <c r="G565" s="124"/>
    </row>
    <row r="566" spans="3:7" ht="28.5" customHeight="1">
      <c r="C566" s="41"/>
      <c r="E566" s="124"/>
      <c r="F566" s="238"/>
      <c r="G566" s="124"/>
    </row>
    <row r="567" spans="3:7" ht="28.5" customHeight="1">
      <c r="C567" s="41"/>
      <c r="E567" s="124"/>
      <c r="F567" s="238"/>
      <c r="G567" s="124"/>
    </row>
    <row r="568" spans="3:7" ht="28.5" customHeight="1">
      <c r="C568" s="41"/>
      <c r="E568" s="124"/>
      <c r="F568" s="238"/>
      <c r="G568" s="124"/>
    </row>
    <row r="569" spans="3:7" ht="28.5" customHeight="1">
      <c r="C569" s="41"/>
      <c r="E569" s="124"/>
      <c r="F569" s="238"/>
      <c r="G569" s="124"/>
    </row>
    <row r="570" spans="3:7" ht="28.5" customHeight="1">
      <c r="C570" s="41"/>
      <c r="E570" s="124"/>
      <c r="F570" s="238"/>
      <c r="G570" s="124"/>
    </row>
    <row r="571" spans="3:7" ht="28.5" customHeight="1">
      <c r="C571" s="41"/>
      <c r="E571" s="124"/>
      <c r="F571" s="238"/>
      <c r="G571" s="124"/>
    </row>
    <row r="572" spans="3:7" ht="28.5" customHeight="1">
      <c r="C572" s="41"/>
      <c r="E572" s="124"/>
      <c r="F572" s="238"/>
      <c r="G572" s="124"/>
    </row>
    <row r="573" spans="3:7" ht="28.5" customHeight="1">
      <c r="C573" s="41"/>
      <c r="E573" s="124"/>
      <c r="F573" s="238"/>
      <c r="G573" s="124"/>
    </row>
    <row r="574" spans="3:7" ht="28.5" customHeight="1">
      <c r="C574" s="41"/>
      <c r="E574" s="124"/>
      <c r="F574" s="238"/>
      <c r="G574" s="124"/>
    </row>
    <row r="575" spans="3:7" ht="28.5" customHeight="1">
      <c r="C575" s="41"/>
      <c r="E575" s="124"/>
      <c r="F575" s="238"/>
      <c r="G575" s="124"/>
    </row>
    <row r="576" spans="3:7" ht="28.5" customHeight="1">
      <c r="C576" s="41"/>
      <c r="E576" s="124"/>
      <c r="F576" s="238"/>
      <c r="G576" s="124"/>
    </row>
    <row r="577" spans="3:7" ht="28.5" customHeight="1">
      <c r="C577" s="41"/>
      <c r="E577" s="124"/>
      <c r="F577" s="238"/>
      <c r="G577" s="124"/>
    </row>
    <row r="578" spans="3:7" ht="28.5" customHeight="1">
      <c r="C578" s="41"/>
      <c r="E578" s="124"/>
      <c r="F578" s="238"/>
      <c r="G578" s="124"/>
    </row>
    <row r="579" spans="3:7" ht="28.5" customHeight="1">
      <c r="C579" s="41"/>
      <c r="E579" s="124"/>
      <c r="F579" s="238"/>
      <c r="G579" s="124"/>
    </row>
    <row r="580" spans="3:7" ht="28.5" customHeight="1">
      <c r="C580" s="41"/>
      <c r="E580" s="124"/>
      <c r="F580" s="238"/>
      <c r="G580" s="124"/>
    </row>
    <row r="581" spans="3:7" ht="28.5" customHeight="1">
      <c r="C581" s="41"/>
      <c r="E581" s="124"/>
      <c r="F581" s="238"/>
      <c r="G581" s="124"/>
    </row>
    <row r="582" spans="3:7" ht="28.5" customHeight="1">
      <c r="C582" s="41"/>
      <c r="E582" s="124"/>
      <c r="F582" s="238"/>
      <c r="G582" s="124"/>
    </row>
    <row r="583" spans="3:7" ht="28.5" customHeight="1">
      <c r="C583" s="41"/>
      <c r="E583" s="124"/>
      <c r="F583" s="238"/>
      <c r="G583" s="124"/>
    </row>
    <row r="584" spans="3:7" ht="28.5" customHeight="1">
      <c r="C584" s="41"/>
      <c r="E584" s="124"/>
      <c r="F584" s="238"/>
      <c r="G584" s="124"/>
    </row>
    <row r="585" spans="3:7" ht="28.5" customHeight="1">
      <c r="C585" s="41"/>
      <c r="E585" s="124"/>
      <c r="F585" s="238"/>
      <c r="G585" s="124"/>
    </row>
    <row r="586" spans="3:7" ht="28.5" customHeight="1">
      <c r="C586" s="41"/>
      <c r="E586" s="124"/>
      <c r="F586" s="238"/>
      <c r="G586" s="124"/>
    </row>
    <row r="587" spans="3:7" ht="28.5" customHeight="1">
      <c r="C587" s="41"/>
      <c r="E587" s="124"/>
      <c r="F587" s="238"/>
      <c r="G587" s="124"/>
    </row>
    <row r="588" spans="3:7" ht="28.5" customHeight="1">
      <c r="C588" s="41"/>
      <c r="E588" s="124"/>
      <c r="F588" s="238"/>
      <c r="G588" s="124"/>
    </row>
    <row r="589" spans="3:7" ht="28.5" customHeight="1">
      <c r="C589" s="41"/>
      <c r="E589" s="124"/>
      <c r="F589" s="238"/>
      <c r="G589" s="124"/>
    </row>
    <row r="590" spans="3:7" ht="28.5" customHeight="1">
      <c r="C590" s="41"/>
      <c r="E590" s="124"/>
      <c r="F590" s="238"/>
      <c r="G590" s="124"/>
    </row>
    <row r="591" spans="3:7" ht="28.5" customHeight="1">
      <c r="C591" s="41"/>
      <c r="E591" s="124"/>
      <c r="F591" s="238"/>
      <c r="G591" s="124"/>
    </row>
    <row r="592" spans="3:7" ht="28.5" customHeight="1">
      <c r="C592" s="41"/>
      <c r="E592" s="124"/>
      <c r="F592" s="238"/>
      <c r="G592" s="124"/>
    </row>
    <row r="593" spans="3:7" ht="28.5" customHeight="1">
      <c r="C593" s="41"/>
      <c r="E593" s="124"/>
      <c r="F593" s="238"/>
      <c r="G593" s="124"/>
    </row>
    <row r="594" spans="3:7" ht="28.5" customHeight="1">
      <c r="C594" s="41"/>
      <c r="E594" s="124"/>
      <c r="F594" s="238"/>
      <c r="G594" s="124"/>
    </row>
    <row r="595" spans="3:7" ht="28.5" customHeight="1">
      <c r="C595" s="41"/>
      <c r="E595" s="124"/>
      <c r="F595" s="238"/>
      <c r="G595" s="124"/>
    </row>
    <row r="596" spans="3:7" ht="28.5" customHeight="1">
      <c r="C596" s="41"/>
      <c r="E596" s="124"/>
      <c r="F596" s="238"/>
      <c r="G596" s="124"/>
    </row>
    <row r="597" spans="3:7" ht="28.5" customHeight="1">
      <c r="C597" s="41"/>
      <c r="E597" s="124"/>
      <c r="F597" s="238"/>
      <c r="G597" s="124"/>
    </row>
    <row r="598" spans="3:7" ht="28.5" customHeight="1">
      <c r="C598" s="41"/>
      <c r="E598" s="124"/>
      <c r="F598" s="238"/>
      <c r="G598" s="124"/>
    </row>
    <row r="599" spans="3:7" ht="28.5" customHeight="1">
      <c r="C599" s="41"/>
      <c r="E599" s="124"/>
      <c r="F599" s="238"/>
      <c r="G599" s="124"/>
    </row>
    <row r="600" spans="3:7" ht="28.5" customHeight="1">
      <c r="C600" s="41"/>
      <c r="E600" s="124"/>
      <c r="F600" s="238"/>
      <c r="G600" s="124"/>
    </row>
    <row r="601" spans="3:7" ht="28.5" customHeight="1">
      <c r="C601" s="41"/>
      <c r="E601" s="124"/>
      <c r="F601" s="238"/>
      <c r="G601" s="124"/>
    </row>
    <row r="602" spans="3:7" ht="28.5" customHeight="1">
      <c r="C602" s="41"/>
      <c r="E602" s="124"/>
      <c r="F602" s="238"/>
      <c r="G602" s="124"/>
    </row>
    <row r="603" spans="3:7" ht="28.5" customHeight="1">
      <c r="C603" s="41"/>
      <c r="E603" s="124"/>
      <c r="F603" s="238"/>
      <c r="G603" s="124"/>
    </row>
    <row r="604" spans="3:7" ht="28.5" customHeight="1">
      <c r="C604" s="41"/>
      <c r="E604" s="124"/>
      <c r="F604" s="238"/>
      <c r="G604" s="124"/>
    </row>
    <row r="605" spans="3:7" ht="28.5" customHeight="1">
      <c r="C605" s="41"/>
      <c r="E605" s="124"/>
      <c r="F605" s="238"/>
      <c r="G605" s="124"/>
    </row>
    <row r="606" spans="3:7" ht="28.5" customHeight="1">
      <c r="C606" s="41"/>
      <c r="E606" s="124"/>
      <c r="F606" s="238"/>
      <c r="G606" s="124"/>
    </row>
    <row r="607" spans="3:7" ht="28.5" customHeight="1">
      <c r="C607" s="41"/>
      <c r="E607" s="124"/>
      <c r="F607" s="238"/>
      <c r="G607" s="124"/>
    </row>
    <row r="608" spans="3:7" ht="28.5" customHeight="1">
      <c r="C608" s="41"/>
      <c r="E608" s="124"/>
      <c r="F608" s="238"/>
      <c r="G608" s="124"/>
    </row>
    <row r="609" spans="3:7" ht="28.5" customHeight="1">
      <c r="C609" s="41"/>
      <c r="E609" s="124"/>
      <c r="F609" s="238"/>
      <c r="G609" s="124"/>
    </row>
    <row r="610" spans="3:7" ht="28.5" customHeight="1">
      <c r="C610" s="41"/>
      <c r="E610" s="124"/>
      <c r="F610" s="238"/>
      <c r="G610" s="124"/>
    </row>
    <row r="611" spans="3:7" ht="28.5" customHeight="1">
      <c r="C611" s="41"/>
      <c r="E611" s="124"/>
      <c r="F611" s="238"/>
      <c r="G611" s="124"/>
    </row>
    <row r="612" spans="3:7" ht="28.5" customHeight="1">
      <c r="C612" s="41"/>
      <c r="E612" s="124"/>
      <c r="F612" s="238"/>
      <c r="G612" s="124"/>
    </row>
    <row r="613" spans="3:7" ht="28.5" customHeight="1">
      <c r="C613" s="41"/>
      <c r="E613" s="124"/>
      <c r="F613" s="238"/>
      <c r="G613" s="124"/>
    </row>
    <row r="614" spans="3:7" ht="28.5" customHeight="1">
      <c r="C614" s="41"/>
      <c r="E614" s="124"/>
      <c r="F614" s="238"/>
      <c r="G614" s="124"/>
    </row>
    <row r="615" spans="3:7" ht="28.5" customHeight="1">
      <c r="C615" s="41"/>
      <c r="E615" s="124"/>
      <c r="F615" s="238"/>
      <c r="G615" s="124"/>
    </row>
    <row r="616" spans="3:7" ht="28.5" customHeight="1">
      <c r="C616" s="41"/>
      <c r="E616" s="124"/>
      <c r="F616" s="238"/>
      <c r="G616" s="124"/>
    </row>
    <row r="617" spans="3:7" ht="28.5" customHeight="1">
      <c r="C617" s="41"/>
      <c r="E617" s="124"/>
      <c r="F617" s="238"/>
      <c r="G617" s="124"/>
    </row>
    <row r="618" spans="3:7" ht="28.5" customHeight="1">
      <c r="C618" s="41"/>
      <c r="E618" s="124"/>
      <c r="F618" s="238"/>
      <c r="G618" s="124"/>
    </row>
    <row r="619" spans="3:7" ht="28.5" customHeight="1">
      <c r="C619" s="41"/>
      <c r="E619" s="124"/>
      <c r="F619" s="238"/>
      <c r="G619" s="124"/>
    </row>
    <row r="620" spans="3:7" ht="28.5" customHeight="1">
      <c r="C620" s="41"/>
      <c r="E620" s="124"/>
      <c r="F620" s="238"/>
      <c r="G620" s="124"/>
    </row>
    <row r="621" spans="3:7" ht="28.5" customHeight="1">
      <c r="C621" s="41"/>
      <c r="E621" s="124"/>
      <c r="F621" s="238"/>
      <c r="G621" s="124"/>
    </row>
    <row r="622" spans="3:7" ht="28.5" customHeight="1">
      <c r="C622" s="41"/>
      <c r="E622" s="124"/>
      <c r="F622" s="238"/>
      <c r="G622" s="124"/>
    </row>
    <row r="623" spans="3:7" ht="28.5" customHeight="1">
      <c r="C623" s="41"/>
      <c r="E623" s="124"/>
      <c r="F623" s="238"/>
      <c r="G623" s="124"/>
    </row>
    <row r="624" spans="3:7" ht="28.5" customHeight="1">
      <c r="C624" s="41"/>
      <c r="E624" s="124"/>
      <c r="F624" s="238"/>
      <c r="G624" s="124"/>
    </row>
    <row r="625" spans="3:7" ht="28.5" customHeight="1">
      <c r="C625" s="41"/>
      <c r="E625" s="124"/>
      <c r="F625" s="238"/>
      <c r="G625" s="124"/>
    </row>
    <row r="626" spans="3:7" ht="28.5" customHeight="1">
      <c r="C626" s="41"/>
      <c r="E626" s="124"/>
      <c r="F626" s="238"/>
      <c r="G626" s="124"/>
    </row>
    <row r="627" spans="3:7" ht="28.5" customHeight="1">
      <c r="C627" s="41"/>
      <c r="E627" s="124"/>
      <c r="F627" s="238"/>
      <c r="G627" s="124"/>
    </row>
    <row r="628" spans="3:7" ht="28.5" customHeight="1">
      <c r="C628" s="41"/>
      <c r="E628" s="124"/>
      <c r="F628" s="238"/>
      <c r="G628" s="124"/>
    </row>
    <row r="629" spans="3:7" ht="28.5" customHeight="1">
      <c r="C629" s="41"/>
      <c r="E629" s="124"/>
      <c r="F629" s="238"/>
      <c r="G629" s="124"/>
    </row>
    <row r="630" spans="3:7" ht="28.5" customHeight="1">
      <c r="C630" s="41"/>
      <c r="E630" s="124"/>
      <c r="F630" s="238"/>
      <c r="G630" s="124"/>
    </row>
    <row r="631" spans="3:7" ht="28.5" customHeight="1">
      <c r="C631" s="41"/>
      <c r="E631" s="124"/>
      <c r="F631" s="238"/>
      <c r="G631" s="124"/>
    </row>
    <row r="632" spans="3:7" ht="28.5" customHeight="1">
      <c r="C632" s="41"/>
      <c r="E632" s="124"/>
      <c r="F632" s="238"/>
      <c r="G632" s="124"/>
    </row>
    <row r="633" spans="3:7" ht="28.5" customHeight="1">
      <c r="C633" s="41"/>
      <c r="E633" s="124"/>
      <c r="F633" s="238"/>
      <c r="G633" s="124"/>
    </row>
    <row r="634" spans="3:7" ht="28.5" customHeight="1">
      <c r="C634" s="41"/>
      <c r="E634" s="124"/>
      <c r="F634" s="238"/>
      <c r="G634" s="124"/>
    </row>
    <row r="635" spans="3:7" ht="28.5" customHeight="1">
      <c r="C635" s="41"/>
      <c r="E635" s="124"/>
      <c r="F635" s="238"/>
      <c r="G635" s="124"/>
    </row>
    <row r="636" spans="3:7" ht="28.5" customHeight="1">
      <c r="C636" s="41"/>
      <c r="E636" s="124"/>
      <c r="F636" s="238"/>
      <c r="G636" s="124"/>
    </row>
    <row r="637" spans="3:7" ht="28.5" customHeight="1">
      <c r="C637" s="41"/>
      <c r="E637" s="124"/>
      <c r="F637" s="238"/>
      <c r="G637" s="124"/>
    </row>
    <row r="638" spans="3:7" ht="28.5" customHeight="1">
      <c r="C638" s="41"/>
      <c r="E638" s="124"/>
      <c r="F638" s="238"/>
      <c r="G638" s="124"/>
    </row>
    <row r="639" spans="3:7" ht="28.5" customHeight="1">
      <c r="C639" s="41"/>
      <c r="E639" s="124"/>
      <c r="F639" s="238"/>
      <c r="G639" s="124"/>
    </row>
    <row r="640" spans="3:7" ht="28.5" customHeight="1">
      <c r="C640" s="41"/>
      <c r="E640" s="124"/>
      <c r="F640" s="238"/>
      <c r="G640" s="124"/>
    </row>
    <row r="641" spans="3:7" ht="28.5" customHeight="1">
      <c r="C641" s="41"/>
      <c r="E641" s="124"/>
      <c r="F641" s="238"/>
      <c r="G641" s="124"/>
    </row>
    <row r="642" spans="3:7" ht="28.5" customHeight="1">
      <c r="C642" s="41"/>
      <c r="E642" s="124"/>
      <c r="F642" s="238"/>
      <c r="G642" s="124"/>
    </row>
    <row r="643" spans="3:7" ht="28.5" customHeight="1">
      <c r="C643" s="41"/>
      <c r="E643" s="124"/>
      <c r="F643" s="238"/>
      <c r="G643" s="124"/>
    </row>
    <row r="644" spans="3:7" ht="28.5" customHeight="1">
      <c r="C644" s="41"/>
      <c r="E644" s="124"/>
      <c r="F644" s="238"/>
      <c r="G644" s="124"/>
    </row>
    <row r="645" spans="3:7" ht="28.5" customHeight="1">
      <c r="C645" s="41"/>
      <c r="E645" s="124"/>
      <c r="F645" s="238"/>
      <c r="G645" s="124"/>
    </row>
    <row r="646" spans="3:7" ht="28.5" customHeight="1">
      <c r="C646" s="41"/>
      <c r="E646" s="124"/>
      <c r="F646" s="238"/>
      <c r="G646" s="124"/>
    </row>
    <row r="647" spans="3:7" ht="28.5" customHeight="1">
      <c r="C647" s="41"/>
      <c r="E647" s="124"/>
      <c r="F647" s="238"/>
      <c r="G647" s="124"/>
    </row>
    <row r="648" spans="3:7" ht="28.5" customHeight="1">
      <c r="C648" s="41"/>
      <c r="E648" s="124"/>
      <c r="F648" s="238"/>
      <c r="G648" s="124"/>
    </row>
    <row r="649" spans="3:7" ht="28.5" customHeight="1">
      <c r="C649" s="41"/>
      <c r="E649" s="124"/>
      <c r="F649" s="238"/>
      <c r="G649" s="124"/>
    </row>
    <row r="650" spans="3:7" ht="28.5" customHeight="1">
      <c r="C650" s="41"/>
      <c r="E650" s="124"/>
      <c r="F650" s="238"/>
      <c r="G650" s="124"/>
    </row>
    <row r="651" spans="3:7" ht="28.5" customHeight="1">
      <c r="C651" s="41"/>
      <c r="E651" s="124"/>
      <c r="F651" s="238"/>
      <c r="G651" s="124"/>
    </row>
    <row r="652" spans="3:7" ht="28.5" customHeight="1">
      <c r="C652" s="41"/>
      <c r="E652" s="124"/>
      <c r="F652" s="238"/>
      <c r="G652" s="124"/>
    </row>
    <row r="653" spans="3:7" ht="28.5" customHeight="1">
      <c r="C653" s="41"/>
      <c r="E653" s="124"/>
      <c r="F653" s="238"/>
      <c r="G653" s="124"/>
    </row>
    <row r="654" spans="3:7" ht="28.5" customHeight="1">
      <c r="C654" s="41"/>
      <c r="E654" s="124"/>
      <c r="F654" s="238"/>
      <c r="G654" s="124"/>
    </row>
    <row r="655" spans="3:7" ht="28.5" customHeight="1">
      <c r="C655" s="41"/>
      <c r="E655" s="124"/>
      <c r="F655" s="238"/>
      <c r="G655" s="124"/>
    </row>
    <row r="656" spans="3:7" ht="28.5" customHeight="1">
      <c r="C656" s="41"/>
      <c r="E656" s="124"/>
      <c r="F656" s="238"/>
      <c r="G656" s="124"/>
    </row>
    <row r="657" spans="3:7" ht="28.5" customHeight="1">
      <c r="C657" s="41"/>
      <c r="E657" s="124"/>
      <c r="F657" s="238"/>
      <c r="G657" s="124"/>
    </row>
    <row r="658" spans="3:7" ht="28.5" customHeight="1">
      <c r="C658" s="41"/>
      <c r="E658" s="124"/>
      <c r="F658" s="238"/>
      <c r="G658" s="124"/>
    </row>
    <row r="659" spans="3:7" ht="28.5" customHeight="1">
      <c r="C659" s="41"/>
      <c r="E659" s="124"/>
      <c r="F659" s="238"/>
      <c r="G659" s="124"/>
    </row>
    <row r="660" spans="3:7" ht="28.5" customHeight="1">
      <c r="C660" s="41"/>
      <c r="E660" s="124"/>
      <c r="F660" s="238"/>
      <c r="G660" s="124"/>
    </row>
    <row r="661" spans="3:7" ht="28.5" customHeight="1">
      <c r="C661" s="41"/>
      <c r="E661" s="124"/>
      <c r="F661" s="238"/>
      <c r="G661" s="124"/>
    </row>
    <row r="662" spans="3:7" ht="28.5" customHeight="1">
      <c r="C662" s="41"/>
      <c r="E662" s="124"/>
      <c r="F662" s="238"/>
      <c r="G662" s="124"/>
    </row>
    <row r="663" spans="3:7" ht="28.5" customHeight="1">
      <c r="C663" s="41"/>
      <c r="E663" s="124"/>
      <c r="F663" s="238"/>
      <c r="G663" s="124"/>
    </row>
    <row r="664" spans="3:7" ht="28.5" customHeight="1">
      <c r="C664" s="41"/>
      <c r="E664" s="124"/>
      <c r="F664" s="238"/>
      <c r="G664" s="124"/>
    </row>
    <row r="665" spans="3:7" ht="28.5" customHeight="1">
      <c r="C665" s="41"/>
      <c r="E665" s="124"/>
      <c r="F665" s="238"/>
      <c r="G665" s="124"/>
    </row>
    <row r="666" spans="3:7" ht="28.5" customHeight="1">
      <c r="C666" s="41"/>
      <c r="E666" s="124"/>
      <c r="F666" s="238"/>
      <c r="G666" s="124"/>
    </row>
    <row r="667" spans="3:7" ht="28.5" customHeight="1">
      <c r="C667" s="41"/>
      <c r="E667" s="124"/>
      <c r="F667" s="238"/>
      <c r="G667" s="124"/>
    </row>
    <row r="668" spans="3:7" ht="28.5" customHeight="1">
      <c r="C668" s="41"/>
      <c r="E668" s="124"/>
      <c r="F668" s="238"/>
      <c r="G668" s="124"/>
    </row>
    <row r="669" spans="3:7" ht="28.5" customHeight="1">
      <c r="C669" s="41"/>
      <c r="E669" s="124"/>
      <c r="F669" s="238"/>
      <c r="G669" s="124"/>
    </row>
    <row r="670" spans="3:7" ht="28.5" customHeight="1">
      <c r="C670" s="41"/>
      <c r="E670" s="124"/>
      <c r="F670" s="238"/>
      <c r="G670" s="124"/>
    </row>
    <row r="671" spans="3:7" ht="28.5" customHeight="1">
      <c r="C671" s="41"/>
      <c r="E671" s="124"/>
      <c r="F671" s="238"/>
      <c r="G671" s="124"/>
    </row>
    <row r="672" spans="3:7" ht="28.5" customHeight="1">
      <c r="C672" s="41"/>
      <c r="E672" s="124"/>
      <c r="F672" s="238"/>
      <c r="G672" s="124"/>
    </row>
    <row r="673" spans="3:7" ht="28.5" customHeight="1">
      <c r="C673" s="41"/>
      <c r="E673" s="124"/>
      <c r="F673" s="238"/>
      <c r="G673" s="124"/>
    </row>
    <row r="674" spans="3:7" ht="28.5" customHeight="1">
      <c r="C674" s="41"/>
      <c r="E674" s="124"/>
      <c r="F674" s="238"/>
      <c r="G674" s="124"/>
    </row>
    <row r="675" spans="3:7" ht="28.5" customHeight="1">
      <c r="C675" s="41"/>
      <c r="E675" s="124"/>
      <c r="F675" s="238"/>
      <c r="G675" s="124"/>
    </row>
    <row r="676" spans="3:7" ht="28.5" customHeight="1">
      <c r="C676" s="41"/>
      <c r="E676" s="124"/>
      <c r="F676" s="238"/>
      <c r="G676" s="124"/>
    </row>
    <row r="677" spans="3:7" ht="28.5" customHeight="1">
      <c r="C677" s="41"/>
      <c r="E677" s="124"/>
      <c r="F677" s="238"/>
      <c r="G677" s="124"/>
    </row>
    <row r="678" spans="3:7" ht="28.5" customHeight="1">
      <c r="C678" s="41"/>
      <c r="E678" s="124"/>
      <c r="F678" s="238"/>
      <c r="G678" s="124"/>
    </row>
    <row r="679" spans="3:7" ht="28.5" customHeight="1">
      <c r="C679" s="41"/>
      <c r="E679" s="124"/>
      <c r="F679" s="238"/>
      <c r="G679" s="124"/>
    </row>
    <row r="680" spans="3:7" ht="28.5" customHeight="1">
      <c r="C680" s="41"/>
      <c r="E680" s="124"/>
      <c r="F680" s="238"/>
      <c r="G680" s="124"/>
    </row>
    <row r="681" spans="3:7" ht="28.5" customHeight="1">
      <c r="C681" s="41"/>
      <c r="E681" s="124"/>
      <c r="F681" s="238"/>
      <c r="G681" s="124"/>
    </row>
    <row r="682" spans="3:7" ht="28.5" customHeight="1">
      <c r="C682" s="41"/>
      <c r="E682" s="124"/>
      <c r="F682" s="238"/>
      <c r="G682" s="124"/>
    </row>
    <row r="683" spans="3:7" ht="28.5" customHeight="1">
      <c r="C683" s="41"/>
      <c r="E683" s="124"/>
      <c r="F683" s="238"/>
      <c r="G683" s="124"/>
    </row>
    <row r="684" spans="3:7" ht="28.5" customHeight="1">
      <c r="C684" s="41"/>
      <c r="E684" s="124"/>
      <c r="F684" s="238"/>
      <c r="G684" s="124"/>
    </row>
    <row r="685" spans="3:7" ht="28.5" customHeight="1">
      <c r="C685" s="41"/>
      <c r="E685" s="124"/>
      <c r="F685" s="238"/>
      <c r="G685" s="124"/>
    </row>
    <row r="686" spans="3:7" ht="28.5" customHeight="1">
      <c r="C686" s="41"/>
      <c r="E686" s="124"/>
      <c r="F686" s="238"/>
      <c r="G686" s="124"/>
    </row>
    <row r="687" spans="3:7" ht="28.5" customHeight="1">
      <c r="C687" s="41"/>
      <c r="E687" s="124"/>
      <c r="F687" s="238"/>
      <c r="G687" s="124"/>
    </row>
    <row r="688" spans="3:7" ht="28.5" customHeight="1">
      <c r="C688" s="41"/>
      <c r="E688" s="124"/>
      <c r="F688" s="238"/>
      <c r="G688" s="124"/>
    </row>
    <row r="689" spans="3:7" ht="28.5" customHeight="1">
      <c r="C689" s="41"/>
      <c r="E689" s="124"/>
      <c r="F689" s="238"/>
      <c r="G689" s="124"/>
    </row>
    <row r="690" spans="3:7" ht="28.5" customHeight="1">
      <c r="C690" s="41"/>
      <c r="E690" s="124"/>
      <c r="F690" s="238"/>
      <c r="G690" s="124"/>
    </row>
    <row r="691" spans="3:7" ht="28.5" customHeight="1">
      <c r="C691" s="41"/>
      <c r="E691" s="124"/>
      <c r="F691" s="238"/>
      <c r="G691" s="124"/>
    </row>
    <row r="692" spans="3:7" ht="28.5" customHeight="1">
      <c r="C692" s="41"/>
      <c r="E692" s="124"/>
      <c r="F692" s="238"/>
      <c r="G692" s="124"/>
    </row>
    <row r="693" spans="3:7" ht="28.5" customHeight="1">
      <c r="C693" s="41"/>
      <c r="E693" s="124"/>
      <c r="F693" s="238"/>
      <c r="G693" s="124"/>
    </row>
    <row r="694" spans="3:7" ht="28.5" customHeight="1">
      <c r="C694" s="41"/>
      <c r="E694" s="124"/>
      <c r="F694" s="238"/>
      <c r="G694" s="124"/>
    </row>
    <row r="695" spans="3:7" ht="28.5" customHeight="1">
      <c r="C695" s="41"/>
      <c r="E695" s="124"/>
      <c r="F695" s="238"/>
      <c r="G695" s="124"/>
    </row>
    <row r="696" spans="3:7" ht="28.5" customHeight="1">
      <c r="C696" s="41"/>
      <c r="E696" s="124"/>
      <c r="F696" s="238"/>
      <c r="G696" s="124"/>
    </row>
    <row r="697" spans="3:7" ht="28.5" customHeight="1">
      <c r="C697" s="41"/>
      <c r="E697" s="124"/>
      <c r="F697" s="238"/>
      <c r="G697" s="124"/>
    </row>
    <row r="698" spans="3:7" ht="28.5" customHeight="1">
      <c r="C698" s="41"/>
      <c r="E698" s="124"/>
      <c r="F698" s="238"/>
      <c r="G698" s="124"/>
    </row>
    <row r="699" spans="3:7" ht="28.5" customHeight="1">
      <c r="C699" s="41"/>
      <c r="E699" s="124"/>
      <c r="F699" s="238"/>
      <c r="G699" s="124"/>
    </row>
    <row r="700" spans="3:7" ht="28.5" customHeight="1">
      <c r="C700" s="41"/>
      <c r="E700" s="124"/>
      <c r="F700" s="238"/>
      <c r="G700" s="124"/>
    </row>
    <row r="701" spans="3:7" ht="28.5" customHeight="1">
      <c r="C701" s="41"/>
      <c r="E701" s="124"/>
      <c r="F701" s="238"/>
      <c r="G701" s="124"/>
    </row>
    <row r="702" spans="3:7" ht="28.5" customHeight="1">
      <c r="C702" s="41"/>
      <c r="E702" s="124"/>
      <c r="F702" s="238"/>
      <c r="G702" s="124"/>
    </row>
    <row r="703" spans="3:7" ht="28.5" customHeight="1">
      <c r="C703" s="41"/>
      <c r="E703" s="124"/>
      <c r="F703" s="238"/>
      <c r="G703" s="124"/>
    </row>
    <row r="704" spans="3:7" ht="28.5" customHeight="1">
      <c r="C704" s="41"/>
      <c r="E704" s="124"/>
      <c r="F704" s="238"/>
      <c r="G704" s="124"/>
    </row>
    <row r="705" spans="3:7" ht="28.5" customHeight="1">
      <c r="C705" s="41"/>
      <c r="E705" s="124"/>
      <c r="F705" s="238"/>
      <c r="G705" s="124"/>
    </row>
    <row r="706" spans="3:7" ht="28.5" customHeight="1">
      <c r="C706" s="41"/>
      <c r="E706" s="124"/>
      <c r="F706" s="238"/>
      <c r="G706" s="124"/>
    </row>
    <row r="707" spans="3:7" ht="28.5" customHeight="1">
      <c r="C707" s="41"/>
      <c r="E707" s="124"/>
      <c r="F707" s="238"/>
      <c r="G707" s="124"/>
    </row>
    <row r="708" spans="3:7" ht="28.5" customHeight="1">
      <c r="C708" s="41"/>
      <c r="E708" s="124"/>
      <c r="F708" s="238"/>
      <c r="G708" s="124"/>
    </row>
    <row r="709" spans="3:7" ht="28.5" customHeight="1">
      <c r="C709" s="41"/>
      <c r="E709" s="124"/>
      <c r="F709" s="238"/>
      <c r="G709" s="124"/>
    </row>
    <row r="710" spans="3:7" ht="28.5" customHeight="1">
      <c r="C710" s="41"/>
      <c r="E710" s="124"/>
      <c r="F710" s="238"/>
      <c r="G710" s="124"/>
    </row>
    <row r="711" spans="3:7" ht="28.5" customHeight="1">
      <c r="C711" s="41"/>
      <c r="E711" s="124"/>
      <c r="F711" s="238"/>
      <c r="G711" s="124"/>
    </row>
    <row r="712" spans="3:7" ht="28.5" customHeight="1">
      <c r="C712" s="41"/>
      <c r="E712" s="124"/>
      <c r="F712" s="238"/>
      <c r="G712" s="124"/>
    </row>
    <row r="713" spans="3:7" ht="28.5" customHeight="1">
      <c r="C713" s="41"/>
      <c r="E713" s="124"/>
      <c r="F713" s="238"/>
      <c r="G713" s="124"/>
    </row>
    <row r="714" spans="3:7" ht="28.5" customHeight="1">
      <c r="C714" s="41"/>
      <c r="E714" s="124"/>
      <c r="F714" s="238"/>
      <c r="G714" s="124"/>
    </row>
    <row r="715" spans="3:7" ht="28.5" customHeight="1">
      <c r="C715" s="41"/>
      <c r="E715" s="124"/>
      <c r="F715" s="238"/>
      <c r="G715" s="124"/>
    </row>
    <row r="716" spans="3:7" ht="28.5" customHeight="1">
      <c r="C716" s="41"/>
      <c r="E716" s="124"/>
      <c r="F716" s="238"/>
      <c r="G716" s="124"/>
    </row>
    <row r="717" spans="3:7" ht="28.5" customHeight="1">
      <c r="C717" s="41"/>
      <c r="E717" s="124"/>
      <c r="F717" s="238"/>
      <c r="G717" s="124"/>
    </row>
    <row r="718" spans="3:7" ht="28.5" customHeight="1">
      <c r="C718" s="41"/>
      <c r="E718" s="124"/>
      <c r="F718" s="238"/>
      <c r="G718" s="124"/>
    </row>
    <row r="719" spans="3:7" ht="28.5" customHeight="1">
      <c r="C719" s="41"/>
      <c r="E719" s="124"/>
      <c r="F719" s="238"/>
      <c r="G719" s="124"/>
    </row>
    <row r="720" spans="3:7" ht="28.5" customHeight="1">
      <c r="C720" s="41"/>
      <c r="E720" s="124"/>
      <c r="F720" s="238"/>
      <c r="G720" s="124"/>
    </row>
    <row r="721" spans="3:7" ht="28.5" customHeight="1">
      <c r="C721" s="41"/>
      <c r="E721" s="124"/>
      <c r="F721" s="238"/>
      <c r="G721" s="124"/>
    </row>
    <row r="722" spans="3:7" ht="28.5" customHeight="1">
      <c r="C722" s="41"/>
      <c r="E722" s="124"/>
      <c r="F722" s="238"/>
      <c r="G722" s="124"/>
    </row>
    <row r="723" spans="3:7" ht="28.5" customHeight="1">
      <c r="C723" s="41"/>
      <c r="E723" s="124"/>
      <c r="F723" s="238"/>
      <c r="G723" s="124"/>
    </row>
    <row r="724" spans="3:7" ht="28.5" customHeight="1">
      <c r="C724" s="41"/>
      <c r="E724" s="124"/>
      <c r="F724" s="238"/>
      <c r="G724" s="124"/>
    </row>
    <row r="725" spans="3:7" ht="28.5" customHeight="1">
      <c r="C725" s="41"/>
      <c r="E725" s="124"/>
      <c r="F725" s="238"/>
      <c r="G725" s="124"/>
    </row>
    <row r="726" spans="3:7" ht="28.5" customHeight="1">
      <c r="C726" s="41"/>
      <c r="E726" s="124"/>
      <c r="F726" s="238"/>
      <c r="G726" s="124"/>
    </row>
    <row r="727" spans="3:7" ht="28.5" customHeight="1">
      <c r="C727" s="41"/>
      <c r="E727" s="124"/>
      <c r="F727" s="238"/>
      <c r="G727" s="124"/>
    </row>
    <row r="728" spans="3:7" ht="28.5" customHeight="1">
      <c r="C728" s="41"/>
      <c r="E728" s="124"/>
      <c r="F728" s="238"/>
      <c r="G728" s="124"/>
    </row>
    <row r="729" spans="3:7" ht="28.5" customHeight="1">
      <c r="C729" s="41"/>
      <c r="E729" s="124"/>
      <c r="F729" s="238"/>
      <c r="G729" s="124"/>
    </row>
    <row r="730" spans="3:7" ht="28.5" customHeight="1">
      <c r="C730" s="41"/>
      <c r="E730" s="124"/>
      <c r="F730" s="238"/>
      <c r="G730" s="124"/>
    </row>
    <row r="731" spans="3:7" ht="28.5" customHeight="1">
      <c r="C731" s="41"/>
      <c r="E731" s="124"/>
      <c r="F731" s="238"/>
      <c r="G731" s="124"/>
    </row>
    <row r="732" spans="3:7" ht="28.5" customHeight="1">
      <c r="C732" s="41"/>
      <c r="E732" s="124"/>
      <c r="F732" s="238"/>
      <c r="G732" s="124"/>
    </row>
    <row r="733" spans="3:7" ht="28.5" customHeight="1">
      <c r="C733" s="41"/>
      <c r="E733" s="124"/>
      <c r="F733" s="238"/>
      <c r="G733" s="124"/>
    </row>
    <row r="734" spans="3:7" ht="28.5" customHeight="1">
      <c r="C734" s="41"/>
      <c r="E734" s="124"/>
      <c r="F734" s="238"/>
      <c r="G734" s="124"/>
    </row>
    <row r="735" spans="3:7" ht="28.5" customHeight="1">
      <c r="C735" s="41"/>
      <c r="E735" s="124"/>
      <c r="F735" s="238"/>
      <c r="G735" s="124"/>
    </row>
    <row r="736" spans="3:7" ht="28.5" customHeight="1">
      <c r="C736" s="41"/>
      <c r="E736" s="124"/>
      <c r="F736" s="238"/>
      <c r="G736" s="124"/>
    </row>
    <row r="737" spans="3:7" ht="28.5" customHeight="1">
      <c r="C737" s="41"/>
      <c r="E737" s="124"/>
      <c r="F737" s="238"/>
      <c r="G737" s="124"/>
    </row>
    <row r="738" spans="3:7" ht="28.5" customHeight="1">
      <c r="C738" s="41"/>
      <c r="E738" s="124"/>
      <c r="F738" s="238"/>
      <c r="G738" s="124"/>
    </row>
    <row r="739" spans="3:7" ht="28.5" customHeight="1">
      <c r="C739" s="41"/>
      <c r="E739" s="124"/>
      <c r="F739" s="238"/>
      <c r="G739" s="124"/>
    </row>
    <row r="740" spans="3:7" ht="28.5" customHeight="1">
      <c r="C740" s="41"/>
      <c r="E740" s="124"/>
      <c r="F740" s="238"/>
      <c r="G740" s="124"/>
    </row>
    <row r="741" spans="3:7" ht="28.5" customHeight="1">
      <c r="C741" s="41"/>
      <c r="E741" s="124"/>
      <c r="F741" s="238"/>
      <c r="G741" s="124"/>
    </row>
    <row r="742" spans="3:7" ht="28.5" customHeight="1">
      <c r="C742" s="41"/>
      <c r="E742" s="124"/>
      <c r="F742" s="238"/>
      <c r="G742" s="124"/>
    </row>
    <row r="743" spans="3:7" ht="28.5" customHeight="1">
      <c r="C743" s="41"/>
      <c r="E743" s="124"/>
      <c r="F743" s="238"/>
      <c r="G743" s="124"/>
    </row>
    <row r="744" spans="3:7" ht="28.5" customHeight="1">
      <c r="C744" s="41"/>
      <c r="E744" s="124"/>
      <c r="F744" s="238"/>
      <c r="G744" s="124"/>
    </row>
    <row r="745" spans="3:7" ht="28.5" customHeight="1">
      <c r="C745" s="41"/>
      <c r="E745" s="124"/>
      <c r="F745" s="238"/>
      <c r="G745" s="124"/>
    </row>
    <row r="746" spans="3:7" ht="28.5" customHeight="1">
      <c r="C746" s="41"/>
      <c r="E746" s="124"/>
      <c r="F746" s="238"/>
      <c r="G746" s="124"/>
    </row>
    <row r="747" spans="3:7" ht="28.5" customHeight="1">
      <c r="C747" s="41"/>
      <c r="E747" s="124"/>
      <c r="F747" s="238"/>
      <c r="G747" s="124"/>
    </row>
    <row r="748" spans="3:7" ht="28.5" customHeight="1">
      <c r="C748" s="41"/>
      <c r="E748" s="124"/>
      <c r="F748" s="238"/>
      <c r="G748" s="124"/>
    </row>
    <row r="749" spans="3:7" ht="28.5" customHeight="1">
      <c r="C749" s="41"/>
      <c r="E749" s="124"/>
      <c r="F749" s="238"/>
      <c r="G749" s="124"/>
    </row>
    <row r="750" spans="3:7" ht="28.5" customHeight="1">
      <c r="C750" s="41"/>
      <c r="E750" s="124"/>
      <c r="F750" s="238"/>
      <c r="G750" s="124"/>
    </row>
    <row r="751" spans="3:7" ht="28.5" customHeight="1">
      <c r="C751" s="41"/>
      <c r="E751" s="124"/>
      <c r="F751" s="238"/>
      <c r="G751" s="124"/>
    </row>
    <row r="752" spans="3:7" ht="28.5" customHeight="1">
      <c r="C752" s="41"/>
      <c r="E752" s="124"/>
      <c r="F752" s="238"/>
      <c r="G752" s="124"/>
    </row>
    <row r="753" spans="3:7" ht="28.5" customHeight="1">
      <c r="C753" s="41"/>
      <c r="E753" s="124"/>
      <c r="F753" s="238"/>
      <c r="G753" s="124"/>
    </row>
    <row r="754" spans="3:7" ht="28.5" customHeight="1">
      <c r="C754" s="41"/>
      <c r="E754" s="124"/>
      <c r="F754" s="238"/>
      <c r="G754" s="124"/>
    </row>
    <row r="755" spans="3:7" ht="28.5" customHeight="1">
      <c r="C755" s="41"/>
      <c r="E755" s="124"/>
      <c r="F755" s="238"/>
      <c r="G755" s="124"/>
    </row>
    <row r="756" spans="3:7" ht="28.5" customHeight="1">
      <c r="C756" s="41"/>
      <c r="E756" s="124"/>
      <c r="F756" s="238"/>
      <c r="G756" s="124"/>
    </row>
    <row r="757" spans="3:7" ht="28.5" customHeight="1">
      <c r="C757" s="41"/>
      <c r="E757" s="124"/>
      <c r="F757" s="238"/>
      <c r="G757" s="124"/>
    </row>
    <row r="758" spans="3:7" ht="28.5" customHeight="1">
      <c r="C758" s="41"/>
      <c r="E758" s="124"/>
      <c r="F758" s="238"/>
      <c r="G758" s="124"/>
    </row>
    <row r="759" spans="3:7" ht="28.5" customHeight="1">
      <c r="C759" s="41"/>
      <c r="E759" s="124"/>
      <c r="F759" s="238"/>
      <c r="G759" s="124"/>
    </row>
    <row r="760" spans="3:7" ht="28.5" customHeight="1">
      <c r="C760" s="41"/>
      <c r="E760" s="124"/>
      <c r="F760" s="238"/>
      <c r="G760" s="124"/>
    </row>
    <row r="761" spans="3:7" ht="28.5" customHeight="1">
      <c r="C761" s="41"/>
      <c r="E761" s="124"/>
      <c r="F761" s="238"/>
      <c r="G761" s="124"/>
    </row>
    <row r="762" spans="3:7" ht="28.5" customHeight="1">
      <c r="C762" s="41"/>
      <c r="E762" s="124"/>
      <c r="F762" s="238"/>
      <c r="G762" s="124"/>
    </row>
    <row r="763" spans="3:7" ht="28.5" customHeight="1">
      <c r="C763" s="41"/>
      <c r="E763" s="124"/>
      <c r="F763" s="238"/>
      <c r="G763" s="124"/>
    </row>
    <row r="764" spans="3:7" ht="28.5" customHeight="1">
      <c r="C764" s="41"/>
      <c r="E764" s="124"/>
      <c r="F764" s="238"/>
      <c r="G764" s="124"/>
    </row>
    <row r="765" spans="3:7" ht="28.5" customHeight="1">
      <c r="C765" s="41"/>
      <c r="E765" s="124"/>
      <c r="F765" s="238"/>
      <c r="G765" s="124"/>
    </row>
    <row r="766" spans="3:7" ht="28.5" customHeight="1">
      <c r="C766" s="41"/>
      <c r="E766" s="124"/>
      <c r="F766" s="238"/>
      <c r="G766" s="124"/>
    </row>
    <row r="767" spans="3:7" ht="28.5" customHeight="1">
      <c r="C767" s="41"/>
      <c r="E767" s="124"/>
      <c r="F767" s="238"/>
      <c r="G767" s="124"/>
    </row>
    <row r="768" spans="3:7" ht="28.5" customHeight="1">
      <c r="C768" s="41"/>
      <c r="E768" s="124"/>
      <c r="F768" s="238"/>
      <c r="G768" s="124"/>
    </row>
    <row r="769" spans="3:7" ht="28.5" customHeight="1">
      <c r="C769" s="41"/>
      <c r="E769" s="124"/>
      <c r="F769" s="238"/>
      <c r="G769" s="124"/>
    </row>
    <row r="770" spans="3:7" ht="28.5" customHeight="1">
      <c r="C770" s="41"/>
      <c r="E770" s="124"/>
      <c r="F770" s="238"/>
      <c r="G770" s="124"/>
    </row>
    <row r="771" spans="3:7" ht="28.5" customHeight="1">
      <c r="C771" s="41"/>
      <c r="E771" s="124"/>
      <c r="F771" s="238"/>
      <c r="G771" s="124"/>
    </row>
    <row r="772" spans="3:7" ht="28.5" customHeight="1">
      <c r="C772" s="41"/>
      <c r="E772" s="124"/>
      <c r="F772" s="238"/>
      <c r="G772" s="124"/>
    </row>
    <row r="773" spans="3:7" ht="28.5" customHeight="1">
      <c r="C773" s="41"/>
      <c r="E773" s="124"/>
      <c r="F773" s="238"/>
      <c r="G773" s="124"/>
    </row>
    <row r="774" spans="3:7" ht="28.5" customHeight="1">
      <c r="C774" s="41"/>
      <c r="E774" s="124"/>
      <c r="F774" s="238"/>
      <c r="G774" s="124"/>
    </row>
    <row r="775" spans="3:7" ht="28.5" customHeight="1">
      <c r="C775" s="41"/>
      <c r="E775" s="124"/>
      <c r="F775" s="238"/>
      <c r="G775" s="124"/>
    </row>
    <row r="776" spans="3:7" ht="28.5" customHeight="1">
      <c r="C776" s="41"/>
      <c r="E776" s="124"/>
      <c r="F776" s="238"/>
      <c r="G776" s="124"/>
    </row>
    <row r="777" spans="3:7" ht="28.5" customHeight="1">
      <c r="C777" s="41"/>
      <c r="E777" s="124"/>
      <c r="F777" s="238"/>
      <c r="G777" s="124"/>
    </row>
    <row r="778" spans="3:7" ht="28.5" customHeight="1">
      <c r="C778" s="41"/>
      <c r="E778" s="124"/>
      <c r="F778" s="238"/>
      <c r="G778" s="124"/>
    </row>
    <row r="779" spans="3:7" ht="28.5" customHeight="1">
      <c r="C779" s="41"/>
      <c r="E779" s="124"/>
      <c r="F779" s="238"/>
      <c r="G779" s="124"/>
    </row>
    <row r="780" spans="3:7" ht="28.5" customHeight="1">
      <c r="C780" s="41"/>
      <c r="E780" s="124"/>
      <c r="F780" s="238"/>
      <c r="G780" s="124"/>
    </row>
    <row r="781" spans="3:7" ht="28.5" customHeight="1">
      <c r="C781" s="41"/>
      <c r="E781" s="124"/>
      <c r="F781" s="238"/>
      <c r="G781" s="124"/>
    </row>
    <row r="782" spans="3:7" ht="28.5" customHeight="1">
      <c r="C782" s="41"/>
      <c r="E782" s="124"/>
      <c r="F782" s="238"/>
      <c r="G782" s="124"/>
    </row>
    <row r="783" spans="3:7" ht="28.5" customHeight="1">
      <c r="C783" s="41"/>
      <c r="E783" s="124"/>
      <c r="F783" s="238"/>
      <c r="G783" s="124"/>
    </row>
    <row r="784" spans="3:7" ht="28.5" customHeight="1">
      <c r="C784" s="41"/>
      <c r="E784" s="124"/>
      <c r="F784" s="238"/>
      <c r="G784" s="124"/>
    </row>
    <row r="785" spans="3:7" ht="28.5" customHeight="1">
      <c r="C785" s="41"/>
      <c r="E785" s="124"/>
      <c r="F785" s="238"/>
      <c r="G785" s="124"/>
    </row>
    <row r="786" spans="3:7" ht="28.5" customHeight="1">
      <c r="C786" s="41"/>
      <c r="E786" s="124"/>
      <c r="F786" s="238"/>
      <c r="G786" s="124"/>
    </row>
    <row r="787" spans="3:7" ht="28.5" customHeight="1">
      <c r="C787" s="41"/>
      <c r="E787" s="124"/>
      <c r="F787" s="238"/>
      <c r="G787" s="124"/>
    </row>
    <row r="788" spans="3:7" ht="28.5" customHeight="1">
      <c r="C788" s="41"/>
      <c r="E788" s="124"/>
      <c r="F788" s="238"/>
      <c r="G788" s="124"/>
    </row>
    <row r="789" spans="3:7" ht="28.5" customHeight="1">
      <c r="C789" s="41"/>
      <c r="E789" s="124"/>
      <c r="F789" s="238"/>
      <c r="G789" s="124"/>
    </row>
    <row r="790" spans="3:7" ht="28.5" customHeight="1">
      <c r="C790" s="41"/>
      <c r="E790" s="124"/>
      <c r="F790" s="238"/>
      <c r="G790" s="124"/>
    </row>
    <row r="791" spans="3:7" ht="28.5" customHeight="1">
      <c r="C791" s="41"/>
      <c r="E791" s="124"/>
      <c r="F791" s="238"/>
      <c r="G791" s="124"/>
    </row>
    <row r="792" spans="3:7" ht="28.5" customHeight="1">
      <c r="C792" s="41"/>
      <c r="E792" s="124"/>
      <c r="F792" s="238"/>
      <c r="G792" s="124"/>
    </row>
    <row r="793" spans="3:7" ht="28.5" customHeight="1">
      <c r="C793" s="41"/>
      <c r="E793" s="124"/>
      <c r="F793" s="238"/>
      <c r="G793" s="124"/>
    </row>
    <row r="794" spans="3:7" ht="28.5" customHeight="1">
      <c r="C794" s="41"/>
      <c r="E794" s="124"/>
      <c r="F794" s="238"/>
      <c r="G794" s="124"/>
    </row>
    <row r="795" spans="3:7" ht="28.5" customHeight="1">
      <c r="C795" s="41"/>
      <c r="E795" s="124"/>
      <c r="F795" s="238"/>
      <c r="G795" s="124"/>
    </row>
    <row r="796" spans="3:7" ht="28.5" customHeight="1">
      <c r="C796" s="41"/>
      <c r="E796" s="124"/>
      <c r="F796" s="238"/>
      <c r="G796" s="124"/>
    </row>
    <row r="797" spans="3:7" ht="28.5" customHeight="1">
      <c r="C797" s="41"/>
      <c r="E797" s="124"/>
      <c r="F797" s="238"/>
      <c r="G797" s="124"/>
    </row>
    <row r="798" spans="3:7" ht="28.5" customHeight="1">
      <c r="C798" s="41"/>
      <c r="E798" s="124"/>
      <c r="F798" s="238"/>
      <c r="G798" s="124"/>
    </row>
    <row r="799" spans="3:7" ht="28.5" customHeight="1">
      <c r="C799" s="41"/>
      <c r="E799" s="124"/>
      <c r="F799" s="238"/>
      <c r="G799" s="124"/>
    </row>
    <row r="800" spans="3:7" ht="28.5" customHeight="1">
      <c r="C800" s="41"/>
      <c r="E800" s="124"/>
      <c r="F800" s="238"/>
      <c r="G800" s="124"/>
    </row>
    <row r="801" spans="3:7" ht="28.5" customHeight="1">
      <c r="C801" s="41"/>
      <c r="E801" s="124"/>
      <c r="F801" s="238"/>
      <c r="G801" s="124"/>
    </row>
    <row r="802" spans="3:7" ht="28.5" customHeight="1">
      <c r="C802" s="41"/>
      <c r="E802" s="124"/>
      <c r="F802" s="238"/>
      <c r="G802" s="124"/>
    </row>
    <row r="803" spans="3:7" ht="28.5" customHeight="1">
      <c r="C803" s="41"/>
      <c r="E803" s="124"/>
      <c r="F803" s="238"/>
      <c r="G803" s="124"/>
    </row>
    <row r="804" spans="3:7" ht="28.5" customHeight="1">
      <c r="C804" s="41"/>
      <c r="E804" s="124"/>
      <c r="F804" s="238"/>
      <c r="G804" s="124"/>
    </row>
    <row r="805" spans="3:7" ht="28.5" customHeight="1">
      <c r="C805" s="41"/>
      <c r="E805" s="124"/>
      <c r="F805" s="238"/>
      <c r="G805" s="124"/>
    </row>
    <row r="806" spans="3:7" ht="28.5" customHeight="1">
      <c r="C806" s="41"/>
      <c r="E806" s="124"/>
      <c r="F806" s="238"/>
      <c r="G806" s="124"/>
    </row>
    <row r="807" spans="3:7" ht="28.5" customHeight="1">
      <c r="C807" s="41"/>
      <c r="E807" s="124"/>
      <c r="F807" s="238"/>
      <c r="G807" s="124"/>
    </row>
    <row r="808" spans="3:7" ht="28.5" customHeight="1">
      <c r="C808" s="41"/>
      <c r="E808" s="124"/>
      <c r="F808" s="238"/>
      <c r="G808" s="124"/>
    </row>
    <row r="809" spans="3:7" ht="28.5" customHeight="1">
      <c r="C809" s="41"/>
      <c r="E809" s="124"/>
      <c r="F809" s="238"/>
      <c r="G809" s="124"/>
    </row>
    <row r="810" spans="3:7" ht="28.5" customHeight="1">
      <c r="C810" s="41"/>
      <c r="E810" s="124"/>
      <c r="F810" s="238"/>
      <c r="G810" s="124"/>
    </row>
    <row r="811" spans="3:7" ht="28.5" customHeight="1">
      <c r="C811" s="41"/>
      <c r="E811" s="124"/>
      <c r="F811" s="238"/>
      <c r="G811" s="124"/>
    </row>
    <row r="812" spans="3:7" ht="28.5" customHeight="1">
      <c r="C812" s="41"/>
      <c r="E812" s="124"/>
      <c r="F812" s="238"/>
      <c r="G812" s="124"/>
    </row>
    <row r="813" spans="3:7" ht="28.5" customHeight="1">
      <c r="C813" s="41"/>
      <c r="E813" s="124"/>
      <c r="F813" s="238"/>
      <c r="G813" s="124"/>
    </row>
    <row r="814" spans="3:7" ht="28.5" customHeight="1">
      <c r="C814" s="41"/>
      <c r="E814" s="124"/>
      <c r="F814" s="238"/>
      <c r="G814" s="124"/>
    </row>
    <row r="815" spans="3:7" ht="28.5" customHeight="1">
      <c r="C815" s="41"/>
      <c r="E815" s="124"/>
      <c r="F815" s="238"/>
      <c r="G815" s="124"/>
    </row>
    <row r="816" spans="3:7" ht="28.5" customHeight="1">
      <c r="C816" s="41"/>
      <c r="E816" s="124"/>
      <c r="F816" s="238"/>
      <c r="G816" s="124"/>
    </row>
    <row r="817" spans="3:7" ht="28.5" customHeight="1">
      <c r="C817" s="41"/>
      <c r="E817" s="124"/>
      <c r="F817" s="238"/>
      <c r="G817" s="124"/>
    </row>
    <row r="818" spans="3:7" ht="28.5" customHeight="1">
      <c r="C818" s="41"/>
      <c r="E818" s="124"/>
      <c r="F818" s="238"/>
      <c r="G818" s="124"/>
    </row>
    <row r="819" spans="3:7" ht="28.5" customHeight="1">
      <c r="C819" s="41"/>
      <c r="E819" s="124"/>
      <c r="F819" s="238"/>
      <c r="G819" s="124"/>
    </row>
    <row r="820" spans="3:7" ht="28.5" customHeight="1">
      <c r="C820" s="41"/>
      <c r="E820" s="124"/>
      <c r="F820" s="238"/>
      <c r="G820" s="124"/>
    </row>
    <row r="821" spans="3:7" ht="28.5" customHeight="1">
      <c r="C821" s="41"/>
      <c r="E821" s="124"/>
      <c r="F821" s="238"/>
      <c r="G821" s="124"/>
    </row>
    <row r="822" spans="3:7" ht="28.5" customHeight="1">
      <c r="C822" s="41"/>
      <c r="E822" s="124"/>
      <c r="F822" s="238"/>
      <c r="G822" s="124"/>
    </row>
    <row r="823" spans="3:7" ht="28.5" customHeight="1">
      <c r="C823" s="41"/>
      <c r="E823" s="124"/>
      <c r="F823" s="238"/>
      <c r="G823" s="124"/>
    </row>
    <row r="824" spans="3:7" ht="28.5" customHeight="1">
      <c r="C824" s="41"/>
      <c r="E824" s="124"/>
      <c r="F824" s="238"/>
      <c r="G824" s="124"/>
    </row>
    <row r="825" spans="3:7" ht="28.5" customHeight="1">
      <c r="C825" s="41"/>
      <c r="E825" s="124"/>
      <c r="F825" s="238"/>
      <c r="G825" s="124"/>
    </row>
    <row r="826" spans="3:7" ht="28.5" customHeight="1">
      <c r="C826" s="41"/>
      <c r="E826" s="124"/>
      <c r="F826" s="238"/>
      <c r="G826" s="124"/>
    </row>
    <row r="827" spans="3:7" ht="28.5" customHeight="1">
      <c r="C827" s="41"/>
      <c r="E827" s="124"/>
      <c r="F827" s="238"/>
      <c r="G827" s="124"/>
    </row>
    <row r="828" spans="3:7" ht="28.5" customHeight="1">
      <c r="C828" s="41"/>
      <c r="E828" s="124"/>
      <c r="F828" s="238"/>
      <c r="G828" s="124"/>
    </row>
    <row r="829" spans="3:7" ht="28.5" customHeight="1">
      <c r="C829" s="41"/>
      <c r="E829" s="124"/>
      <c r="F829" s="238"/>
      <c r="G829" s="124"/>
    </row>
    <row r="830" spans="3:7" ht="28.5" customHeight="1">
      <c r="C830" s="41"/>
      <c r="E830" s="124"/>
      <c r="F830" s="238"/>
      <c r="G830" s="124"/>
    </row>
    <row r="831" spans="3:7" ht="28.5" customHeight="1">
      <c r="C831" s="41"/>
      <c r="E831" s="124"/>
      <c r="F831" s="238"/>
      <c r="G831" s="124"/>
    </row>
    <row r="832" spans="3:7" ht="28.5" customHeight="1">
      <c r="C832" s="41"/>
      <c r="E832" s="124"/>
      <c r="F832" s="238"/>
      <c r="G832" s="124"/>
    </row>
    <row r="833" spans="3:7" ht="28.5" customHeight="1">
      <c r="C833" s="41"/>
      <c r="E833" s="124"/>
      <c r="F833" s="238"/>
      <c r="G833" s="124"/>
    </row>
    <row r="834" spans="3:7" ht="28.5" customHeight="1">
      <c r="C834" s="41"/>
      <c r="E834" s="124"/>
      <c r="F834" s="238"/>
      <c r="G834" s="124"/>
    </row>
    <row r="835" spans="3:7" ht="28.5" customHeight="1">
      <c r="C835" s="41"/>
      <c r="E835" s="124"/>
      <c r="F835" s="238"/>
      <c r="G835" s="124"/>
    </row>
    <row r="836" spans="3:7" ht="28.5" customHeight="1">
      <c r="C836" s="41"/>
      <c r="E836" s="124"/>
      <c r="F836" s="238"/>
      <c r="G836" s="124"/>
    </row>
    <row r="837" spans="3:7" ht="28.5" customHeight="1">
      <c r="C837" s="41"/>
      <c r="E837" s="124"/>
      <c r="F837" s="238"/>
      <c r="G837" s="124"/>
    </row>
    <row r="838" spans="3:7" ht="28.5" customHeight="1">
      <c r="C838" s="41"/>
      <c r="E838" s="124"/>
      <c r="F838" s="238"/>
      <c r="G838" s="124"/>
    </row>
    <row r="839" spans="3:7" ht="28.5" customHeight="1">
      <c r="C839" s="41"/>
      <c r="E839" s="124"/>
      <c r="F839" s="238"/>
      <c r="G839" s="124"/>
    </row>
    <row r="840" spans="3:7" ht="28.5" customHeight="1">
      <c r="C840" s="41"/>
      <c r="E840" s="124"/>
      <c r="F840" s="238"/>
      <c r="G840" s="124"/>
    </row>
    <row r="841" spans="3:7" ht="28.5" customHeight="1">
      <c r="C841" s="41"/>
      <c r="E841" s="124"/>
      <c r="F841" s="238"/>
      <c r="G841" s="124"/>
    </row>
    <row r="842" spans="3:7" ht="28.5" customHeight="1">
      <c r="C842" s="41"/>
      <c r="E842" s="124"/>
      <c r="F842" s="238"/>
      <c r="G842" s="124"/>
    </row>
    <row r="843" spans="3:7" ht="28.5" customHeight="1">
      <c r="C843" s="41"/>
      <c r="E843" s="124"/>
      <c r="F843" s="238"/>
      <c r="G843" s="124"/>
    </row>
    <row r="844" spans="3:7" ht="28.5" customHeight="1">
      <c r="C844" s="41"/>
      <c r="E844" s="124"/>
      <c r="F844" s="238"/>
      <c r="G844" s="124"/>
    </row>
    <row r="845" spans="3:7" ht="28.5" customHeight="1">
      <c r="C845" s="41"/>
      <c r="E845" s="124"/>
      <c r="F845" s="238"/>
      <c r="G845" s="124"/>
    </row>
    <row r="846" spans="3:7" ht="28.5" customHeight="1">
      <c r="C846" s="41"/>
      <c r="E846" s="124"/>
      <c r="F846" s="238"/>
      <c r="G846" s="124"/>
    </row>
    <row r="847" spans="3:7" ht="28.5" customHeight="1">
      <c r="C847" s="41"/>
      <c r="E847" s="124"/>
      <c r="F847" s="238"/>
      <c r="G847" s="124"/>
    </row>
    <row r="848" spans="3:7" ht="28.5" customHeight="1">
      <c r="C848" s="41"/>
      <c r="E848" s="124"/>
      <c r="F848" s="238"/>
      <c r="G848" s="124"/>
    </row>
    <row r="849" spans="3:7" ht="28.5" customHeight="1">
      <c r="C849" s="41"/>
      <c r="E849" s="124"/>
      <c r="F849" s="238"/>
      <c r="G849" s="124"/>
    </row>
    <row r="850" spans="3:7" ht="28.5" customHeight="1">
      <c r="C850" s="41"/>
      <c r="E850" s="124"/>
      <c r="F850" s="238"/>
      <c r="G850" s="124"/>
    </row>
    <row r="851" spans="3:7" ht="28.5" customHeight="1">
      <c r="C851" s="41"/>
      <c r="E851" s="124"/>
      <c r="F851" s="238"/>
      <c r="G851" s="124"/>
    </row>
    <row r="852" spans="3:7" ht="28.5" customHeight="1">
      <c r="C852" s="41"/>
      <c r="E852" s="124"/>
      <c r="F852" s="238"/>
      <c r="G852" s="124"/>
    </row>
    <row r="853" spans="3:7" ht="28.5" customHeight="1">
      <c r="C853" s="41"/>
      <c r="E853" s="124"/>
      <c r="F853" s="238"/>
      <c r="G853" s="124"/>
    </row>
    <row r="854" spans="3:7" ht="28.5" customHeight="1">
      <c r="C854" s="41"/>
      <c r="E854" s="124"/>
      <c r="F854" s="238"/>
      <c r="G854" s="124"/>
    </row>
    <row r="855" spans="3:7" ht="28.5" customHeight="1">
      <c r="C855" s="41"/>
      <c r="E855" s="124"/>
      <c r="F855" s="238"/>
      <c r="G855" s="124"/>
    </row>
    <row r="856" spans="3:7" ht="28.5" customHeight="1">
      <c r="C856" s="41"/>
      <c r="E856" s="124"/>
      <c r="F856" s="238"/>
      <c r="G856" s="124"/>
    </row>
    <row r="857" spans="3:7" ht="28.5" customHeight="1">
      <c r="C857" s="41"/>
      <c r="E857" s="124"/>
      <c r="F857" s="238"/>
      <c r="G857" s="124"/>
    </row>
    <row r="858" spans="3:7" ht="28.5" customHeight="1">
      <c r="C858" s="41"/>
      <c r="E858" s="124"/>
      <c r="F858" s="238"/>
      <c r="G858" s="124"/>
    </row>
    <row r="859" spans="3:7" ht="28.5" customHeight="1">
      <c r="C859" s="41"/>
      <c r="E859" s="124"/>
      <c r="F859" s="238"/>
      <c r="G859" s="124"/>
    </row>
    <row r="860" spans="3:7" ht="28.5" customHeight="1">
      <c r="C860" s="41"/>
      <c r="E860" s="124"/>
      <c r="F860" s="238"/>
      <c r="G860" s="124"/>
    </row>
    <row r="861" spans="3:7" ht="28.5" customHeight="1">
      <c r="C861" s="41"/>
      <c r="E861" s="124"/>
      <c r="F861" s="238"/>
      <c r="G861" s="124"/>
    </row>
    <row r="862" spans="3:7" ht="28.5" customHeight="1">
      <c r="C862" s="41"/>
      <c r="E862" s="124"/>
      <c r="F862" s="238"/>
      <c r="G862" s="124"/>
    </row>
    <row r="863" spans="3:7" ht="28.5" customHeight="1">
      <c r="C863" s="41"/>
      <c r="E863" s="124"/>
      <c r="F863" s="238"/>
      <c r="G863" s="124"/>
    </row>
    <row r="864" spans="3:7" ht="28.5" customHeight="1">
      <c r="C864" s="41"/>
      <c r="E864" s="124"/>
      <c r="F864" s="238"/>
      <c r="G864" s="124"/>
    </row>
    <row r="865" spans="3:7" ht="28.5" customHeight="1">
      <c r="C865" s="41"/>
      <c r="E865" s="124"/>
      <c r="F865" s="238"/>
      <c r="G865" s="124"/>
    </row>
    <row r="866" spans="3:7" ht="28.5" customHeight="1">
      <c r="C866" s="41"/>
      <c r="E866" s="124"/>
      <c r="F866" s="238"/>
      <c r="G866" s="124"/>
    </row>
    <row r="867" spans="3:7" ht="28.5" customHeight="1">
      <c r="C867" s="41"/>
      <c r="E867" s="124"/>
      <c r="F867" s="238"/>
      <c r="G867" s="124"/>
    </row>
    <row r="868" spans="3:7" ht="28.5" customHeight="1">
      <c r="C868" s="41"/>
      <c r="E868" s="124"/>
      <c r="F868" s="238"/>
      <c r="G868" s="124"/>
    </row>
    <row r="869" spans="3:7" ht="28.5" customHeight="1">
      <c r="C869" s="41"/>
      <c r="E869" s="124"/>
      <c r="F869" s="238"/>
      <c r="G869" s="124"/>
    </row>
    <row r="870" spans="3:7" ht="28.5" customHeight="1">
      <c r="C870" s="41"/>
      <c r="E870" s="124"/>
      <c r="F870" s="238"/>
      <c r="G870" s="124"/>
    </row>
    <row r="871" spans="3:7" ht="28.5" customHeight="1">
      <c r="C871" s="41"/>
      <c r="E871" s="124"/>
      <c r="F871" s="238"/>
      <c r="G871" s="124"/>
    </row>
    <row r="872" spans="3:7" ht="28.5" customHeight="1">
      <c r="C872" s="41"/>
      <c r="E872" s="124"/>
      <c r="F872" s="238"/>
      <c r="G872" s="124"/>
    </row>
    <row r="873" spans="3:7" ht="28.5" customHeight="1">
      <c r="C873" s="41"/>
      <c r="E873" s="124"/>
      <c r="F873" s="238"/>
      <c r="G873" s="124"/>
    </row>
    <row r="874" spans="3:7" ht="28.5" customHeight="1">
      <c r="C874" s="41"/>
      <c r="E874" s="124"/>
      <c r="F874" s="238"/>
      <c r="G874" s="124"/>
    </row>
    <row r="875" spans="3:7" ht="28.5" customHeight="1">
      <c r="C875" s="41"/>
      <c r="E875" s="124"/>
      <c r="F875" s="238"/>
      <c r="G875" s="124"/>
    </row>
    <row r="876" spans="3:7" ht="28.5" customHeight="1">
      <c r="C876" s="41"/>
      <c r="E876" s="124"/>
      <c r="F876" s="238"/>
      <c r="G876" s="124"/>
    </row>
    <row r="877" spans="3:7" ht="28.5" customHeight="1">
      <c r="C877" s="41"/>
      <c r="E877" s="124"/>
      <c r="F877" s="238"/>
      <c r="G877" s="124"/>
    </row>
    <row r="878" spans="3:7" ht="28.5" customHeight="1">
      <c r="C878" s="41"/>
      <c r="E878" s="124"/>
      <c r="F878" s="238"/>
      <c r="G878" s="124"/>
    </row>
    <row r="879" spans="3:7" ht="28.5" customHeight="1">
      <c r="C879" s="41"/>
      <c r="E879" s="124"/>
      <c r="F879" s="238"/>
      <c r="G879" s="124"/>
    </row>
    <row r="880" spans="3:7" ht="28.5" customHeight="1">
      <c r="C880" s="41"/>
      <c r="E880" s="124"/>
      <c r="F880" s="238"/>
      <c r="G880" s="124"/>
    </row>
    <row r="881" spans="3:7" ht="28.5" customHeight="1">
      <c r="C881" s="41"/>
      <c r="E881" s="124"/>
      <c r="F881" s="238"/>
      <c r="G881" s="124"/>
    </row>
    <row r="882" spans="3:7" ht="28.5" customHeight="1">
      <c r="C882" s="41"/>
      <c r="E882" s="124"/>
      <c r="F882" s="238"/>
      <c r="G882" s="124"/>
    </row>
    <row r="883" spans="3:7" ht="28.5" customHeight="1">
      <c r="C883" s="41"/>
      <c r="E883" s="124"/>
      <c r="F883" s="238"/>
      <c r="G883" s="124"/>
    </row>
    <row r="884" spans="3:7" ht="28.5" customHeight="1">
      <c r="C884" s="41"/>
      <c r="E884" s="124"/>
      <c r="F884" s="238"/>
      <c r="G884" s="124"/>
    </row>
    <row r="885" spans="3:7" ht="28.5" customHeight="1">
      <c r="C885" s="41"/>
      <c r="E885" s="124"/>
      <c r="F885" s="238"/>
      <c r="G885" s="124"/>
    </row>
    <row r="886" spans="3:7" ht="28.5" customHeight="1">
      <c r="C886" s="41"/>
      <c r="E886" s="124"/>
      <c r="F886" s="238"/>
      <c r="G886" s="124"/>
    </row>
    <row r="887" spans="3:7" ht="28.5" customHeight="1">
      <c r="C887" s="41"/>
      <c r="E887" s="124"/>
      <c r="F887" s="238"/>
      <c r="G887" s="124"/>
    </row>
    <row r="888" spans="3:7" ht="28.5" customHeight="1">
      <c r="C888" s="41"/>
      <c r="E888" s="124"/>
      <c r="F888" s="238"/>
      <c r="G888" s="124"/>
    </row>
    <row r="889" spans="3:7" ht="28.5" customHeight="1">
      <c r="C889" s="41"/>
      <c r="E889" s="124"/>
      <c r="F889" s="238"/>
      <c r="G889" s="124"/>
    </row>
    <row r="890" spans="3:7" ht="28.5" customHeight="1">
      <c r="C890" s="41"/>
      <c r="E890" s="124"/>
      <c r="F890" s="238"/>
      <c r="G890" s="124"/>
    </row>
    <row r="891" spans="3:7" ht="28.5" customHeight="1">
      <c r="C891" s="41"/>
      <c r="E891" s="124"/>
      <c r="F891" s="238"/>
      <c r="G891" s="124"/>
    </row>
    <row r="892" spans="3:7" ht="28.5" customHeight="1">
      <c r="C892" s="41"/>
      <c r="E892" s="124"/>
      <c r="F892" s="238"/>
      <c r="G892" s="124"/>
    </row>
    <row r="893" spans="3:7" ht="28.5" customHeight="1">
      <c r="C893" s="41"/>
      <c r="E893" s="124"/>
      <c r="F893" s="238"/>
      <c r="G893" s="124"/>
    </row>
    <row r="894" spans="3:7" ht="28.5" customHeight="1">
      <c r="C894" s="41"/>
      <c r="E894" s="124"/>
      <c r="F894" s="238"/>
      <c r="G894" s="124"/>
    </row>
    <row r="895" spans="3:7" ht="28.5" customHeight="1">
      <c r="C895" s="41"/>
      <c r="E895" s="124"/>
      <c r="F895" s="238"/>
      <c r="G895" s="124"/>
    </row>
    <row r="896" spans="3:7" ht="28.5" customHeight="1">
      <c r="C896" s="41"/>
      <c r="E896" s="124"/>
      <c r="F896" s="238"/>
      <c r="G896" s="124"/>
    </row>
    <row r="897" spans="3:7" ht="28.5" customHeight="1">
      <c r="C897" s="41"/>
      <c r="E897" s="124"/>
      <c r="F897" s="238"/>
      <c r="G897" s="124"/>
    </row>
    <row r="898" spans="3:7" ht="28.5" customHeight="1">
      <c r="C898" s="41"/>
      <c r="E898" s="124"/>
      <c r="F898" s="238"/>
      <c r="G898" s="124"/>
    </row>
    <row r="899" spans="3:7" ht="28.5" customHeight="1">
      <c r="C899" s="41"/>
      <c r="E899" s="124"/>
      <c r="F899" s="238"/>
      <c r="G899" s="124"/>
    </row>
    <row r="900" spans="3:7" ht="28.5" customHeight="1">
      <c r="C900" s="41"/>
      <c r="E900" s="124"/>
      <c r="F900" s="238"/>
      <c r="G900" s="124"/>
    </row>
    <row r="901" spans="3:7" ht="28.5" customHeight="1">
      <c r="C901" s="41"/>
      <c r="E901" s="124"/>
      <c r="F901" s="238"/>
      <c r="G901" s="124"/>
    </row>
    <row r="902" spans="3:7" ht="28.5" customHeight="1">
      <c r="C902" s="41"/>
      <c r="E902" s="124"/>
      <c r="F902" s="238"/>
      <c r="G902" s="124"/>
    </row>
    <row r="903" spans="3:7" ht="28.5" customHeight="1">
      <c r="C903" s="41"/>
      <c r="E903" s="124"/>
      <c r="F903" s="238"/>
      <c r="G903" s="124"/>
    </row>
    <row r="904" spans="3:7" ht="28.5" customHeight="1">
      <c r="C904" s="41"/>
      <c r="E904" s="124"/>
      <c r="F904" s="238"/>
      <c r="G904" s="124"/>
    </row>
    <row r="905" spans="3:7" ht="28.5" customHeight="1">
      <c r="C905" s="41"/>
      <c r="E905" s="124"/>
      <c r="F905" s="238"/>
      <c r="G905" s="124"/>
    </row>
    <row r="906" spans="3:7" ht="28.5" customHeight="1">
      <c r="C906" s="41"/>
      <c r="E906" s="124"/>
      <c r="F906" s="238"/>
      <c r="G906" s="124"/>
    </row>
    <row r="907" spans="3:7" ht="28.5" customHeight="1">
      <c r="C907" s="41"/>
      <c r="E907" s="124"/>
      <c r="F907" s="238"/>
      <c r="G907" s="124"/>
    </row>
    <row r="908" spans="3:7" ht="28.5" customHeight="1">
      <c r="C908" s="41"/>
      <c r="E908" s="124"/>
      <c r="F908" s="238"/>
      <c r="G908" s="124"/>
    </row>
    <row r="909" spans="3:7" ht="28.5" customHeight="1">
      <c r="C909" s="41"/>
      <c r="E909" s="124"/>
      <c r="F909" s="238"/>
      <c r="G909" s="124"/>
    </row>
    <row r="910" spans="3:7" ht="28.5" customHeight="1">
      <c r="C910" s="41"/>
      <c r="E910" s="124"/>
      <c r="F910" s="238"/>
      <c r="G910" s="124"/>
    </row>
    <row r="911" spans="3:7" ht="28.5" customHeight="1">
      <c r="C911" s="41"/>
      <c r="E911" s="124"/>
      <c r="F911" s="238"/>
      <c r="G911" s="124"/>
    </row>
    <row r="912" spans="3:7" ht="28.5" customHeight="1">
      <c r="C912" s="41"/>
      <c r="E912" s="124"/>
      <c r="F912" s="238"/>
      <c r="G912" s="124"/>
    </row>
    <row r="913" spans="3:7" ht="28.5" customHeight="1">
      <c r="C913" s="41"/>
      <c r="E913" s="124"/>
      <c r="F913" s="238"/>
      <c r="G913" s="124"/>
    </row>
    <row r="914" spans="3:7" ht="28.5" customHeight="1">
      <c r="C914" s="41"/>
      <c r="E914" s="124"/>
      <c r="F914" s="238"/>
      <c r="G914" s="124"/>
    </row>
    <row r="915" spans="3:7" ht="28.5" customHeight="1">
      <c r="C915" s="41"/>
      <c r="E915" s="124"/>
      <c r="F915" s="238"/>
      <c r="G915" s="124"/>
    </row>
    <row r="916" spans="3:7" ht="28.5" customHeight="1">
      <c r="C916" s="41"/>
      <c r="E916" s="124"/>
      <c r="F916" s="238"/>
      <c r="G916" s="124"/>
    </row>
    <row r="917" spans="3:7" ht="28.5" customHeight="1">
      <c r="C917" s="41"/>
      <c r="E917" s="124"/>
      <c r="F917" s="238"/>
      <c r="G917" s="124"/>
    </row>
    <row r="918" spans="3:7" ht="28.5" customHeight="1">
      <c r="C918" s="41"/>
      <c r="E918" s="124"/>
      <c r="F918" s="238"/>
      <c r="G918" s="124"/>
    </row>
    <row r="919" spans="3:7" ht="28.5" customHeight="1">
      <c r="C919" s="41"/>
      <c r="E919" s="124"/>
      <c r="F919" s="238"/>
      <c r="G919" s="124"/>
    </row>
    <row r="920" spans="3:7" ht="28.5" customHeight="1">
      <c r="C920" s="41"/>
      <c r="E920" s="124"/>
      <c r="F920" s="238"/>
      <c r="G920" s="124"/>
    </row>
    <row r="921" spans="3:7" ht="28.5" customHeight="1">
      <c r="C921" s="41"/>
      <c r="E921" s="124"/>
      <c r="F921" s="238"/>
      <c r="G921" s="124"/>
    </row>
    <row r="922" spans="3:7" ht="28.5" customHeight="1">
      <c r="C922" s="41"/>
      <c r="E922" s="124"/>
      <c r="F922" s="238"/>
      <c r="G922" s="124"/>
    </row>
    <row r="923" spans="3:7" ht="28.5" customHeight="1">
      <c r="C923" s="41"/>
      <c r="E923" s="124"/>
      <c r="F923" s="238"/>
      <c r="G923" s="124"/>
    </row>
    <row r="924" spans="3:7" ht="28.5" customHeight="1">
      <c r="C924" s="41"/>
      <c r="E924" s="124"/>
      <c r="F924" s="238"/>
      <c r="G924" s="124"/>
    </row>
    <row r="925" spans="3:7" ht="28.5" customHeight="1">
      <c r="C925" s="41"/>
      <c r="E925" s="124"/>
      <c r="F925" s="238"/>
      <c r="G925" s="124"/>
    </row>
    <row r="926" spans="3:7" ht="28.5" customHeight="1">
      <c r="C926" s="41"/>
      <c r="E926" s="124"/>
      <c r="F926" s="238"/>
      <c r="G926" s="124"/>
    </row>
    <row r="927" spans="3:7" ht="28.5" customHeight="1">
      <c r="C927" s="41"/>
      <c r="E927" s="124"/>
      <c r="F927" s="238"/>
      <c r="G927" s="124"/>
    </row>
    <row r="928" spans="3:7" ht="28.5" customHeight="1">
      <c r="C928" s="41"/>
      <c r="E928" s="124"/>
      <c r="F928" s="238"/>
      <c r="G928" s="124"/>
    </row>
    <row r="929" spans="3:7" ht="28.5" customHeight="1">
      <c r="C929" s="41"/>
      <c r="E929" s="124"/>
      <c r="F929" s="238"/>
      <c r="G929" s="124"/>
    </row>
    <row r="930" spans="3:7" ht="28.5" customHeight="1">
      <c r="C930" s="41"/>
      <c r="E930" s="124"/>
      <c r="F930" s="238"/>
      <c r="G930" s="124"/>
    </row>
    <row r="931" spans="3:7" ht="28.5" customHeight="1">
      <c r="C931" s="41"/>
      <c r="E931" s="124"/>
      <c r="F931" s="238"/>
      <c r="G931" s="124"/>
    </row>
    <row r="932" spans="3:7" ht="28.5" customHeight="1">
      <c r="C932" s="41"/>
      <c r="E932" s="124"/>
      <c r="F932" s="238"/>
      <c r="G932" s="124"/>
    </row>
    <row r="933" spans="3:7" ht="28.5" customHeight="1">
      <c r="C933" s="41"/>
      <c r="E933" s="124"/>
      <c r="F933" s="238"/>
      <c r="G933" s="124"/>
    </row>
    <row r="934" spans="3:7" ht="28.5" customHeight="1">
      <c r="C934" s="41"/>
      <c r="E934" s="124"/>
      <c r="F934" s="238"/>
      <c r="G934" s="124"/>
    </row>
    <row r="935" spans="3:7" ht="28.5" customHeight="1">
      <c r="C935" s="41"/>
      <c r="E935" s="124"/>
      <c r="F935" s="238"/>
      <c r="G935" s="124"/>
    </row>
    <row r="936" spans="3:7" ht="28.5" customHeight="1">
      <c r="C936" s="41"/>
      <c r="E936" s="124"/>
      <c r="F936" s="238"/>
      <c r="G936" s="124"/>
    </row>
    <row r="937" spans="3:7" ht="28.5" customHeight="1">
      <c r="C937" s="41"/>
      <c r="E937" s="124"/>
      <c r="F937" s="238"/>
      <c r="G937" s="124"/>
    </row>
    <row r="938" spans="3:7" ht="28.5" customHeight="1">
      <c r="C938" s="41"/>
      <c r="E938" s="124"/>
      <c r="F938" s="238"/>
      <c r="G938" s="124"/>
    </row>
    <row r="939" spans="3:7" ht="28.5" customHeight="1">
      <c r="C939" s="41"/>
      <c r="E939" s="124"/>
      <c r="F939" s="238"/>
      <c r="G939" s="124"/>
    </row>
    <row r="940" spans="3:7" ht="28.5" customHeight="1">
      <c r="C940" s="41"/>
      <c r="E940" s="124"/>
      <c r="F940" s="238"/>
      <c r="G940" s="124"/>
    </row>
    <row r="941" spans="3:7" ht="28.5" customHeight="1">
      <c r="C941" s="41"/>
      <c r="E941" s="124"/>
      <c r="F941" s="238"/>
      <c r="G941" s="124"/>
    </row>
    <row r="942" spans="3:7" ht="28.5" customHeight="1">
      <c r="C942" s="41"/>
      <c r="E942" s="124"/>
      <c r="F942" s="238"/>
      <c r="G942" s="124"/>
    </row>
    <row r="943" spans="3:7" ht="28.5" customHeight="1">
      <c r="C943" s="41"/>
      <c r="E943" s="124"/>
      <c r="F943" s="238"/>
      <c r="G943" s="124"/>
    </row>
    <row r="944" spans="3:7" ht="28.5" customHeight="1">
      <c r="C944" s="41"/>
      <c r="E944" s="124"/>
      <c r="F944" s="238"/>
      <c r="G944" s="124"/>
    </row>
    <row r="945" spans="3:7" ht="28.5" customHeight="1">
      <c r="C945" s="41"/>
      <c r="E945" s="124"/>
      <c r="F945" s="238"/>
      <c r="G945" s="124"/>
    </row>
    <row r="946" spans="3:7" ht="28.5" customHeight="1">
      <c r="C946" s="41"/>
      <c r="E946" s="124"/>
      <c r="F946" s="238"/>
      <c r="G946" s="124"/>
    </row>
    <row r="947" spans="3:7" ht="28.5" customHeight="1">
      <c r="C947" s="41"/>
      <c r="E947" s="124"/>
      <c r="F947" s="238"/>
      <c r="G947" s="124"/>
    </row>
    <row r="948" spans="3:7" ht="28.5" customHeight="1">
      <c r="C948" s="41"/>
      <c r="E948" s="124"/>
      <c r="F948" s="238"/>
      <c r="G948" s="124"/>
    </row>
    <row r="949" spans="3:7" ht="28.5" customHeight="1">
      <c r="C949" s="41"/>
      <c r="E949" s="124"/>
      <c r="F949" s="238"/>
      <c r="G949" s="124"/>
    </row>
    <row r="950" spans="3:7" ht="28.5" customHeight="1">
      <c r="C950" s="41"/>
      <c r="E950" s="124"/>
      <c r="F950" s="238"/>
      <c r="G950" s="124"/>
    </row>
    <row r="951" spans="3:7" ht="28.5" customHeight="1">
      <c r="C951" s="41"/>
      <c r="E951" s="124"/>
      <c r="F951" s="238"/>
      <c r="G951" s="124"/>
    </row>
    <row r="952" spans="3:7" ht="28.5" customHeight="1">
      <c r="C952" s="41"/>
      <c r="E952" s="124"/>
      <c r="F952" s="238"/>
      <c r="G952" s="124"/>
    </row>
    <row r="953" spans="3:7" ht="28.5" customHeight="1">
      <c r="C953" s="41"/>
      <c r="E953" s="124"/>
      <c r="F953" s="238"/>
      <c r="G953" s="124"/>
    </row>
    <row r="954" spans="3:7" ht="28.5" customHeight="1">
      <c r="C954" s="41"/>
      <c r="E954" s="124"/>
      <c r="F954" s="238"/>
      <c r="G954" s="124"/>
    </row>
    <row r="955" spans="3:7" ht="28.5" customHeight="1">
      <c r="C955" s="41"/>
      <c r="E955" s="124"/>
      <c r="F955" s="238"/>
      <c r="G955" s="124"/>
    </row>
    <row r="956" spans="3:7" ht="28.5" customHeight="1">
      <c r="C956" s="41"/>
      <c r="E956" s="124"/>
      <c r="F956" s="238"/>
      <c r="G956" s="124"/>
    </row>
    <row r="957" spans="3:7" ht="28.5" customHeight="1">
      <c r="C957" s="41"/>
      <c r="E957" s="124"/>
      <c r="F957" s="238"/>
      <c r="G957" s="124"/>
    </row>
    <row r="958" spans="3:7" ht="28.5" customHeight="1">
      <c r="C958" s="41"/>
      <c r="E958" s="124"/>
      <c r="F958" s="238"/>
      <c r="G958" s="124"/>
    </row>
    <row r="959" spans="3:7" ht="28.5" customHeight="1">
      <c r="C959" s="41"/>
      <c r="E959" s="124"/>
      <c r="F959" s="238"/>
      <c r="G959" s="124"/>
    </row>
    <row r="960" spans="3:7" ht="28.5" customHeight="1">
      <c r="C960" s="41"/>
      <c r="E960" s="124"/>
      <c r="F960" s="238"/>
      <c r="G960" s="124"/>
    </row>
    <row r="961" spans="3:7" ht="28.5" customHeight="1">
      <c r="C961" s="41"/>
      <c r="E961" s="124"/>
      <c r="F961" s="238"/>
      <c r="G961" s="124"/>
    </row>
    <row r="962" spans="3:7" ht="28.5" customHeight="1">
      <c r="C962" s="41"/>
      <c r="E962" s="124"/>
      <c r="F962" s="238"/>
      <c r="G962" s="124"/>
    </row>
    <row r="963" spans="3:7" ht="28.5" customHeight="1">
      <c r="C963" s="41"/>
      <c r="E963" s="124"/>
      <c r="F963" s="238"/>
      <c r="G963" s="124"/>
    </row>
    <row r="964" spans="3:7" ht="28.5" customHeight="1">
      <c r="C964" s="41"/>
      <c r="E964" s="124"/>
      <c r="F964" s="238"/>
      <c r="G964" s="124"/>
    </row>
    <row r="965" spans="3:7" ht="28.5" customHeight="1">
      <c r="C965" s="41"/>
      <c r="E965" s="124"/>
      <c r="F965" s="238"/>
      <c r="G965" s="124"/>
    </row>
    <row r="966" spans="3:7" ht="28.5" customHeight="1">
      <c r="C966" s="41"/>
      <c r="E966" s="124"/>
      <c r="F966" s="238"/>
      <c r="G966" s="124"/>
    </row>
    <row r="967" spans="3:7" ht="28.5" customHeight="1">
      <c r="C967" s="41"/>
      <c r="E967" s="124"/>
      <c r="F967" s="238"/>
      <c r="G967" s="124"/>
    </row>
    <row r="968" spans="3:7" ht="28.5" customHeight="1">
      <c r="C968" s="41"/>
      <c r="E968" s="124"/>
      <c r="F968" s="238"/>
      <c r="G968" s="124"/>
    </row>
    <row r="969" spans="3:7" ht="28.5" customHeight="1">
      <c r="C969" s="41"/>
      <c r="E969" s="124"/>
      <c r="F969" s="238"/>
      <c r="G969" s="124"/>
    </row>
    <row r="970" spans="3:7" ht="28.5" customHeight="1">
      <c r="C970" s="41"/>
      <c r="E970" s="124"/>
      <c r="F970" s="238"/>
      <c r="G970" s="124"/>
    </row>
    <row r="971" spans="3:7" ht="28.5" customHeight="1">
      <c r="C971" s="41"/>
      <c r="E971" s="124"/>
      <c r="F971" s="238"/>
      <c r="G971" s="124"/>
    </row>
    <row r="972" spans="3:7" ht="28.5" customHeight="1">
      <c r="C972" s="41"/>
      <c r="E972" s="124"/>
      <c r="F972" s="238"/>
      <c r="G972" s="124"/>
    </row>
    <row r="973" spans="3:7" ht="28.5" customHeight="1">
      <c r="C973" s="41"/>
      <c r="E973" s="124"/>
      <c r="F973" s="238"/>
      <c r="G973" s="124"/>
    </row>
    <row r="974" spans="3:7" ht="28.5" customHeight="1">
      <c r="C974" s="41"/>
      <c r="E974" s="124"/>
      <c r="F974" s="238"/>
      <c r="G974" s="124"/>
    </row>
    <row r="975" spans="3:7" ht="28.5" customHeight="1">
      <c r="C975" s="41"/>
      <c r="E975" s="124"/>
      <c r="F975" s="238"/>
      <c r="G975" s="124"/>
    </row>
    <row r="976" spans="3:7" ht="28.5" customHeight="1">
      <c r="C976" s="41"/>
      <c r="E976" s="124"/>
      <c r="F976" s="238"/>
      <c r="G976" s="124"/>
    </row>
    <row r="977" spans="3:7" ht="28.5" customHeight="1">
      <c r="C977" s="41"/>
      <c r="E977" s="124"/>
      <c r="F977" s="238"/>
      <c r="G977" s="124"/>
    </row>
    <row r="978" spans="3:7" ht="28.5" customHeight="1">
      <c r="C978" s="41"/>
      <c r="E978" s="124"/>
      <c r="F978" s="238"/>
      <c r="G978" s="124"/>
    </row>
    <row r="979" spans="3:7" ht="28.5" customHeight="1">
      <c r="C979" s="41"/>
      <c r="E979" s="124"/>
      <c r="F979" s="238"/>
      <c r="G979" s="124"/>
    </row>
    <row r="980" spans="3:7" ht="28.5" customHeight="1">
      <c r="C980" s="41"/>
      <c r="E980" s="124"/>
      <c r="F980" s="238"/>
      <c r="G980" s="124"/>
    </row>
    <row r="981" spans="3:7" ht="28.5" customHeight="1">
      <c r="C981" s="41"/>
      <c r="E981" s="124"/>
      <c r="F981" s="238"/>
      <c r="G981" s="124"/>
    </row>
    <row r="982" spans="3:7" ht="28.5" customHeight="1">
      <c r="C982" s="41"/>
      <c r="E982" s="124"/>
      <c r="F982" s="238"/>
      <c r="G982" s="124"/>
    </row>
    <row r="983" spans="3:7" ht="28.5" customHeight="1">
      <c r="C983" s="41"/>
      <c r="E983" s="124"/>
      <c r="F983" s="238"/>
      <c r="G983" s="124"/>
    </row>
    <row r="984" spans="3:7" ht="28.5" customHeight="1">
      <c r="C984" s="41"/>
      <c r="E984" s="124"/>
      <c r="F984" s="238"/>
      <c r="G984" s="124"/>
    </row>
    <row r="985" spans="3:7" ht="28.5" customHeight="1">
      <c r="C985" s="41"/>
      <c r="E985" s="124"/>
      <c r="F985" s="238"/>
      <c r="G985" s="124"/>
    </row>
    <row r="986" spans="3:7" ht="28.5" customHeight="1">
      <c r="C986" s="41"/>
      <c r="E986" s="124"/>
      <c r="F986" s="238"/>
      <c r="G986" s="124"/>
    </row>
    <row r="987" spans="3:7" ht="28.5" customHeight="1">
      <c r="C987" s="41"/>
      <c r="E987" s="124"/>
      <c r="F987" s="238"/>
      <c r="G987" s="124"/>
    </row>
    <row r="988" spans="3:7" ht="28.5" customHeight="1">
      <c r="C988" s="41"/>
      <c r="E988" s="124"/>
      <c r="F988" s="238"/>
      <c r="G988" s="124"/>
    </row>
    <row r="989" spans="3:7" ht="28.5" customHeight="1">
      <c r="C989" s="41"/>
      <c r="E989" s="124"/>
      <c r="F989" s="238"/>
      <c r="G989" s="124"/>
    </row>
    <row r="990" spans="3:7" ht="28.5" customHeight="1">
      <c r="C990" s="41"/>
      <c r="E990" s="124"/>
      <c r="F990" s="238"/>
      <c r="G990" s="124"/>
    </row>
    <row r="991" spans="3:7" ht="28.5" customHeight="1">
      <c r="C991" s="41"/>
      <c r="E991" s="124"/>
      <c r="F991" s="238"/>
      <c r="G991" s="124"/>
    </row>
    <row r="992" spans="3:7" ht="28.5" customHeight="1">
      <c r="C992" s="41"/>
      <c r="E992" s="124"/>
      <c r="F992" s="238"/>
      <c r="G992" s="124"/>
    </row>
  </sheetData>
  <sortState xmlns:xlrd2="http://schemas.microsoft.com/office/spreadsheetml/2017/richdata2" ref="A2:H41">
    <sortCondition ref="D2:D41"/>
  </sortState>
  <mergeCells count="2">
    <mergeCell ref="B42:D42"/>
    <mergeCell ref="B52:D52"/>
  </mergeCells>
  <phoneticPr fontId="10"/>
  <pageMargins left="0.25" right="0.25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個人情報</vt:lpstr>
      <vt:lpstr>支払い（2019）</vt:lpstr>
      <vt:lpstr>支払い（2020） </vt:lpstr>
      <vt:lpstr>諸経費</vt:lpstr>
      <vt:lpstr>出席</vt:lpstr>
      <vt:lpstr>個人情報 (2)</vt:lpstr>
      <vt:lpstr>2020. 1月謝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cp:lastModifiedBy>BeeSchool</cp:lastModifiedBy>
  <cp:lastPrinted>2019-12-09T11:09:17Z</cp:lastPrinted>
  <dcterms:created xsi:type="dcterms:W3CDTF">2019-05-01T14:49:18Z</dcterms:created>
  <dcterms:modified xsi:type="dcterms:W3CDTF">2020-03-17T09:50:51Z</dcterms:modified>
</cp:coreProperties>
</file>